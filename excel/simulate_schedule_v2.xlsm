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codeName="ThisWorkbook" defaultThemeVersion="166925"/>
  <mc:AlternateContent xmlns:mc="http://schemas.openxmlformats.org/markup-compatibility/2006">
    <mc:Choice Requires="x15">
      <x15ac:absPath xmlns:x15ac="http://schemas.microsoft.com/office/spreadsheetml/2010/11/ac" url="C:\Users\aelhabr\Dropbox\data_science\projects\nba_python\"/>
    </mc:Choice>
  </mc:AlternateContent>
  <bookViews>
    <workbookView xWindow="0" yWindow="0" windowWidth="28770" windowHeight="12180" tabRatio="944" activeTab="1"/>
  </bookViews>
  <sheets>
    <sheet name="instructions" sheetId="9" r:id="rId1"/>
    <sheet name="summary" sheetId="14" r:id="rId2"/>
    <sheet name="d_sched" sheetId="2" r:id="rId3"/>
    <sheet name="d_win_totals" sheetId="4" r:id="rId4"/>
    <sheet name="p_win_totals" sheetId="5" r:id="rId5"/>
    <sheet name="a_win_totals" sheetId="11" r:id="rId6"/>
    <sheet name="a_h2h_wins" sheetId="1" r:id="rId7"/>
    <sheet name="a_h2h_wins_pick" sheetId="13" r:id="rId8"/>
    <sheet name="a_h2h_apm" sheetId="10" r:id="rId9"/>
  </sheets>
  <functionGroups builtInGroupCount="18"/>
  <definedNames>
    <definedName name="_xlnm._FilterDatabase" localSheetId="2" hidden="1">d_sched!$A$1:$L$2457</definedName>
    <definedName name="a_win_totals_lookup">a_win_totals!$V$2:$AZ$32</definedName>
    <definedName name="a_wins_total_lookup_header">a_win_totals!$W$2:$AZ$2</definedName>
    <definedName name="solver_adj" localSheetId="8" hidden="1">a_h2h_apm!$B$37:$B$65</definedName>
    <definedName name="solver_adj" localSheetId="6" hidden="1">a_h2h_wins!$B$37:$B$65</definedName>
    <definedName name="solver_adj" localSheetId="7" hidden="1">a_h2h_wins_pick!$B$38:$B$66</definedName>
    <definedName name="solver_cvg" localSheetId="8" hidden="1">0.0001</definedName>
    <definedName name="solver_cvg" localSheetId="6" hidden="1">0.0001</definedName>
    <definedName name="solver_cvg" localSheetId="7" hidden="1">0.0001</definedName>
    <definedName name="solver_drv" localSheetId="8" hidden="1">1</definedName>
    <definedName name="solver_drv" localSheetId="6" hidden="1">1</definedName>
    <definedName name="solver_drv" localSheetId="7" hidden="1">1</definedName>
    <definedName name="solver_eng" localSheetId="8" hidden="1">1</definedName>
    <definedName name="solver_eng" localSheetId="6" hidden="1">1</definedName>
    <definedName name="solver_eng" localSheetId="7" hidden="1">1</definedName>
    <definedName name="solver_est" localSheetId="8" hidden="1">1</definedName>
    <definedName name="solver_est" localSheetId="6" hidden="1">1</definedName>
    <definedName name="solver_est" localSheetId="7" hidden="1">1</definedName>
    <definedName name="solver_itr" localSheetId="8" hidden="1">2147483647</definedName>
    <definedName name="solver_itr" localSheetId="6" hidden="1">2147483647</definedName>
    <definedName name="solver_itr" localSheetId="7" hidden="1">2147483647</definedName>
    <definedName name="solver_lhs1" localSheetId="8" hidden="1">a_h2h_apm!#REF!</definedName>
    <definedName name="solver_lhs1" localSheetId="6" hidden="1">a_h2h_wins!#REF!</definedName>
    <definedName name="solver_lhs1" localSheetId="7" hidden="1">a_h2h_wins_pick!#REF!</definedName>
    <definedName name="solver_lhs2" localSheetId="8" hidden="1">a_h2h_apm!#REF!</definedName>
    <definedName name="solver_lhs2" localSheetId="6" hidden="1">a_h2h_wins!#REF!</definedName>
    <definedName name="solver_lhs2" localSheetId="7" hidden="1">a_h2h_wins_pick!#REF!</definedName>
    <definedName name="solver_lin" localSheetId="8" hidden="1">2</definedName>
    <definedName name="solver_lin" localSheetId="6" hidden="1">2</definedName>
    <definedName name="solver_lin" localSheetId="7" hidden="1">2</definedName>
    <definedName name="solver_mip" localSheetId="8" hidden="1">2147483647</definedName>
    <definedName name="solver_mip" localSheetId="6" hidden="1">2147483647</definedName>
    <definedName name="solver_mip" localSheetId="7" hidden="1">2147483647</definedName>
    <definedName name="solver_mni" localSheetId="8" hidden="1">30</definedName>
    <definedName name="solver_mni" localSheetId="6" hidden="1">30</definedName>
    <definedName name="solver_mni" localSheetId="7" hidden="1">30</definedName>
    <definedName name="solver_mrt" localSheetId="8" hidden="1">0.075</definedName>
    <definedName name="solver_mrt" localSheetId="6" hidden="1">0.075</definedName>
    <definedName name="solver_mrt" localSheetId="7" hidden="1">0.075</definedName>
    <definedName name="solver_msl" localSheetId="8" hidden="1">2</definedName>
    <definedName name="solver_msl" localSheetId="6" hidden="1">2</definedName>
    <definedName name="solver_msl" localSheetId="7" hidden="1">2</definedName>
    <definedName name="solver_neg" localSheetId="8" hidden="1">1</definedName>
    <definedName name="solver_neg" localSheetId="6" hidden="1">1</definedName>
    <definedName name="solver_neg" localSheetId="7" hidden="1">1</definedName>
    <definedName name="solver_nod" localSheetId="8" hidden="1">2147483647</definedName>
    <definedName name="solver_nod" localSheetId="6" hidden="1">2147483647</definedName>
    <definedName name="solver_nod" localSheetId="7" hidden="1">2147483647</definedName>
    <definedName name="solver_num" localSheetId="8" hidden="1">0</definedName>
    <definedName name="solver_num" localSheetId="6" hidden="1">0</definedName>
    <definedName name="solver_num" localSheetId="7" hidden="1">0</definedName>
    <definedName name="solver_nwt" localSheetId="8" hidden="1">1</definedName>
    <definedName name="solver_nwt" localSheetId="6" hidden="1">1</definedName>
    <definedName name="solver_nwt" localSheetId="7" hidden="1">1</definedName>
    <definedName name="solver_opt" localSheetId="8" hidden="1">a_h2h_apm!$A$136</definedName>
    <definedName name="solver_opt" localSheetId="6" hidden="1">a_h2h_wins!$A$136</definedName>
    <definedName name="solver_opt" localSheetId="7" hidden="1">a_h2h_wins_pick!#REF!</definedName>
    <definedName name="solver_pre" localSheetId="8" hidden="1">0.000001</definedName>
    <definedName name="solver_pre" localSheetId="6" hidden="1">0.000001</definedName>
    <definedName name="solver_pre" localSheetId="7" hidden="1">0.000001</definedName>
    <definedName name="solver_rbv" localSheetId="8" hidden="1">1</definedName>
    <definedName name="solver_rbv" localSheetId="6" hidden="1">1</definedName>
    <definedName name="solver_rbv" localSheetId="7" hidden="1">1</definedName>
    <definedName name="solver_rel1" localSheetId="8" hidden="1">3</definedName>
    <definedName name="solver_rel1" localSheetId="6" hidden="1">3</definedName>
    <definedName name="solver_rel1" localSheetId="7" hidden="1">3</definedName>
    <definedName name="solver_rel2" localSheetId="8" hidden="1">3</definedName>
    <definedName name="solver_rel2" localSheetId="6" hidden="1">3</definedName>
    <definedName name="solver_rel2" localSheetId="7" hidden="1">3</definedName>
    <definedName name="solver_rhs1" localSheetId="8" hidden="1">11</definedName>
    <definedName name="solver_rhs1" localSheetId="6" hidden="1">11</definedName>
    <definedName name="solver_rhs1" localSheetId="7" hidden="1">11</definedName>
    <definedName name="solver_rhs2" localSheetId="8" hidden="1">11</definedName>
    <definedName name="solver_rhs2" localSheetId="6" hidden="1">11</definedName>
    <definedName name="solver_rhs2" localSheetId="7" hidden="1">11</definedName>
    <definedName name="solver_rlx" localSheetId="8" hidden="1">2</definedName>
    <definedName name="solver_rlx" localSheetId="6" hidden="1">2</definedName>
    <definedName name="solver_rlx" localSheetId="7" hidden="1">2</definedName>
    <definedName name="solver_rsd" localSheetId="8" hidden="1">0</definedName>
    <definedName name="solver_rsd" localSheetId="6" hidden="1">0</definedName>
    <definedName name="solver_rsd" localSheetId="7" hidden="1">0</definedName>
    <definedName name="solver_scl" localSheetId="8" hidden="1">1</definedName>
    <definedName name="solver_scl" localSheetId="6" hidden="1">1</definedName>
    <definedName name="solver_scl" localSheetId="7" hidden="1">1</definedName>
    <definedName name="solver_sho" localSheetId="8" hidden="1">2</definedName>
    <definedName name="solver_sho" localSheetId="6" hidden="1">2</definedName>
    <definedName name="solver_sho" localSheetId="7" hidden="1">2</definedName>
    <definedName name="solver_ssz" localSheetId="8" hidden="1">100</definedName>
    <definedName name="solver_ssz" localSheetId="6" hidden="1">100</definedName>
    <definedName name="solver_ssz" localSheetId="7" hidden="1">100</definedName>
    <definedName name="solver_tim" localSheetId="8" hidden="1">2147483647</definedName>
    <definedName name="solver_tim" localSheetId="6" hidden="1">2147483647</definedName>
    <definedName name="solver_tim" localSheetId="7" hidden="1">2147483647</definedName>
    <definedName name="solver_tol" localSheetId="8" hidden="1">0.01</definedName>
    <definedName name="solver_tol" localSheetId="6" hidden="1">0.01</definedName>
    <definedName name="solver_tol" localSheetId="7" hidden="1">0.01</definedName>
    <definedName name="solver_typ" localSheetId="8" hidden="1">3</definedName>
    <definedName name="solver_typ" localSheetId="6" hidden="1">3</definedName>
    <definedName name="solver_typ" localSheetId="7" hidden="1">3</definedName>
    <definedName name="solver_val" localSheetId="8" hidden="1">0</definedName>
    <definedName name="solver_val" localSheetId="6" hidden="1">0</definedName>
    <definedName name="solver_val" localSheetId="7" hidden="1">0</definedName>
    <definedName name="solver_ver" localSheetId="8" hidden="1">3</definedName>
    <definedName name="solver_ver" localSheetId="6" hidden="1">3</definedName>
    <definedName name="solver_ver" localSheetId="7" hidden="1">3</definedName>
    <definedName name="table_h2h_apm">a_h2h_apm!$B$2:$AE$32</definedName>
    <definedName name="table_h2h_wins" localSheetId="7">a_h2h_wins_pick!$B$2:$AE$32</definedName>
    <definedName name="table_h2h_wins">a_h2h_wins!$B$2:$AE$32</definedName>
    <definedName name="table_rank_apm">a_h2h_apm!$A$36:$B$65</definedName>
    <definedName name="table_rank_wins" localSheetId="7">a_h2h_wins_pick!$A$37:$B$66</definedName>
    <definedName name="table_rank_wins">a_h2h_wins!$A$36:$B$65</definedName>
  </definedNames>
  <calcPr calcId="171027"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4" l="1"/>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 i="14"/>
  <c r="A28" i="14"/>
  <c r="A29" i="14"/>
  <c r="A30" i="14"/>
  <c r="A31" i="14"/>
  <c r="A32" i="14"/>
  <c r="A33" i="14"/>
  <c r="A5" i="14"/>
  <c r="A6" i="14"/>
  <c r="A7" i="14"/>
  <c r="A8" i="14"/>
  <c r="A9" i="14"/>
  <c r="A10" i="14"/>
  <c r="A11" i="14"/>
  <c r="A12" i="14"/>
  <c r="A13" i="14"/>
  <c r="A14" i="14"/>
  <c r="A15" i="14"/>
  <c r="A16" i="14"/>
  <c r="A17" i="14"/>
  <c r="A18" i="14"/>
  <c r="A19" i="14"/>
  <c r="A20" i="14"/>
  <c r="A21" i="14"/>
  <c r="A22" i="14"/>
  <c r="A23" i="14"/>
  <c r="A24" i="14"/>
  <c r="A25" i="14"/>
  <c r="A26" i="14"/>
  <c r="A27" i="14"/>
  <c r="A4" i="14"/>
  <c r="A3" i="1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2" i="4"/>
  <c r="K2" i="4"/>
  <c r="AI66" i="13" l="1"/>
  <c r="AI65" i="13"/>
  <c r="AI64" i="13"/>
  <c r="AI63" i="13"/>
  <c r="AI62" i="13"/>
  <c r="AI61" i="13"/>
  <c r="AI60" i="13"/>
  <c r="AI59" i="13"/>
  <c r="AI58" i="13"/>
  <c r="AI57" i="13"/>
  <c r="AI56" i="13"/>
  <c r="AI55" i="13"/>
  <c r="AI54" i="13"/>
  <c r="AI53" i="13"/>
  <c r="AI52" i="13"/>
  <c r="AI51" i="13"/>
  <c r="AI50" i="13"/>
  <c r="AI49" i="13"/>
  <c r="AI48" i="13"/>
  <c r="AI47" i="13"/>
  <c r="AI46" i="13"/>
  <c r="AI45" i="13"/>
  <c r="AI44" i="13"/>
  <c r="AI43" i="13"/>
  <c r="AI42" i="13"/>
  <c r="AI41" i="13"/>
  <c r="AI40" i="13"/>
  <c r="AI39" i="13"/>
  <c r="AI38" i="13"/>
  <c r="AI37" i="13"/>
  <c r="AI4" i="13"/>
  <c r="AI5" i="13"/>
  <c r="AI6" i="13"/>
  <c r="AI7" i="13"/>
  <c r="AI8" i="13"/>
  <c r="AI9" i="13"/>
  <c r="AI10" i="13"/>
  <c r="AI11" i="13"/>
  <c r="AI12" i="13"/>
  <c r="AI13" i="13"/>
  <c r="AI14" i="13"/>
  <c r="AI15" i="13"/>
  <c r="AI16" i="13"/>
  <c r="AI17" i="13"/>
  <c r="AI18" i="13"/>
  <c r="AI19" i="13"/>
  <c r="AI20" i="13"/>
  <c r="AI21" i="13"/>
  <c r="AI22" i="13"/>
  <c r="AI23" i="13"/>
  <c r="AI24" i="13"/>
  <c r="AI25" i="13"/>
  <c r="AI26" i="13"/>
  <c r="AI27" i="13"/>
  <c r="AI28" i="13"/>
  <c r="AI29" i="13"/>
  <c r="AI30" i="13"/>
  <c r="AI31" i="13"/>
  <c r="AI32" i="13"/>
  <c r="AI3" i="13"/>
  <c r="AL3" i="13"/>
  <c r="C38" i="13"/>
  <c r="D39" i="13"/>
  <c r="E40" i="13"/>
  <c r="F41" i="13"/>
  <c r="G42" i="13"/>
  <c r="H43" i="13"/>
  <c r="I44" i="13"/>
  <c r="J45" i="13"/>
  <c r="K46" i="13"/>
  <c r="L47" i="13"/>
  <c r="M48" i="13"/>
  <c r="N49" i="13"/>
  <c r="O50" i="13"/>
  <c r="P51" i="13"/>
  <c r="Q52" i="13"/>
  <c r="R53" i="13"/>
  <c r="S54" i="13"/>
  <c r="T55" i="13"/>
  <c r="U56" i="13"/>
  <c r="V57" i="13"/>
  <c r="W58" i="13"/>
  <c r="X59" i="13"/>
  <c r="Y60" i="13"/>
  <c r="Z61" i="13"/>
  <c r="AA62" i="13"/>
  <c r="AB63" i="13"/>
  <c r="AC64" i="13"/>
  <c r="AD65" i="13"/>
  <c r="AE66" i="13"/>
  <c r="B37" i="13"/>
  <c r="AL66" i="13"/>
  <c r="AL65" i="13"/>
  <c r="AL64" i="13"/>
  <c r="AL63" i="13"/>
  <c r="AL62" i="13"/>
  <c r="AL61" i="13"/>
  <c r="AL60" i="13"/>
  <c r="AL59" i="13"/>
  <c r="AL58" i="13"/>
  <c r="AL57" i="13"/>
  <c r="AL56" i="13"/>
  <c r="AL55" i="13"/>
  <c r="AL54" i="13"/>
  <c r="AL53" i="13"/>
  <c r="AL52" i="13"/>
  <c r="AL51" i="13"/>
  <c r="AL50" i="13"/>
  <c r="AL49" i="13"/>
  <c r="AL48" i="13"/>
  <c r="AL47" i="13"/>
  <c r="AL46" i="13"/>
  <c r="AL45" i="13"/>
  <c r="AL44" i="13"/>
  <c r="AL43" i="13"/>
  <c r="AL42" i="13"/>
  <c r="AL41" i="13"/>
  <c r="AL40" i="13"/>
  <c r="AL39" i="13"/>
  <c r="AL38" i="13"/>
  <c r="AL37" i="13"/>
  <c r="AL67" i="13" s="1"/>
  <c r="AL4" i="13"/>
  <c r="AL5" i="13"/>
  <c r="AL6" i="13"/>
  <c r="AL7" i="13"/>
  <c r="AL8" i="13"/>
  <c r="AL9" i="13"/>
  <c r="AL10" i="13"/>
  <c r="AL11" i="13"/>
  <c r="AL12" i="13"/>
  <c r="AL13" i="13"/>
  <c r="AL14" i="13"/>
  <c r="AL15" i="13"/>
  <c r="AL16" i="13"/>
  <c r="AL17" i="13"/>
  <c r="AL18" i="13"/>
  <c r="AL19" i="13"/>
  <c r="AL20" i="13"/>
  <c r="AL21" i="13"/>
  <c r="AL22" i="13"/>
  <c r="AL23" i="13"/>
  <c r="AL24" i="13"/>
  <c r="AL25" i="13"/>
  <c r="AL26" i="13"/>
  <c r="AL27" i="13"/>
  <c r="AL28" i="13"/>
  <c r="AL29" i="13"/>
  <c r="AL30" i="13"/>
  <c r="AL31" i="13"/>
  <c r="AL32" i="13"/>
  <c r="C4" i="13"/>
  <c r="D5" i="13"/>
  <c r="E6" i="13"/>
  <c r="F7" i="13"/>
  <c r="G8" i="13"/>
  <c r="H9" i="13"/>
  <c r="I10" i="13"/>
  <c r="J11" i="13"/>
  <c r="K12" i="13"/>
  <c r="L13" i="13"/>
  <c r="M14" i="13"/>
  <c r="N15" i="13"/>
  <c r="O16" i="13"/>
  <c r="P17" i="13"/>
  <c r="Q18" i="13"/>
  <c r="R19" i="13"/>
  <c r="S20" i="13"/>
  <c r="T21" i="13"/>
  <c r="U22" i="13"/>
  <c r="V23" i="13"/>
  <c r="W24" i="13"/>
  <c r="X25" i="13"/>
  <c r="Y26" i="13"/>
  <c r="Z27" i="13"/>
  <c r="AA28" i="13"/>
  <c r="AB29" i="13"/>
  <c r="AC30" i="13"/>
  <c r="AD31" i="13"/>
  <c r="AE32" i="13"/>
  <c r="B3" i="13"/>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O2" i="11"/>
  <c r="P2" i="11"/>
  <c r="Q2" i="11"/>
  <c r="R2" i="11"/>
  <c r="Q3" i="11"/>
  <c r="R3" i="11"/>
  <c r="R34" i="11" s="1"/>
  <c r="Q4" i="11"/>
  <c r="R4" i="11"/>
  <c r="Q5" i="11"/>
  <c r="R5" i="11"/>
  <c r="P6" i="11"/>
  <c r="Q6" i="11"/>
  <c r="R6" i="11"/>
  <c r="Q7" i="11"/>
  <c r="R7" i="11"/>
  <c r="Q8" i="11"/>
  <c r="R8" i="11"/>
  <c r="P9" i="11"/>
  <c r="S9" i="11" s="1"/>
  <c r="Q9" i="11"/>
  <c r="R9" i="11"/>
  <c r="P10" i="11"/>
  <c r="Q10" i="11"/>
  <c r="R10" i="11"/>
  <c r="Q11" i="11"/>
  <c r="R11" i="11"/>
  <c r="Q12" i="11"/>
  <c r="R12" i="11"/>
  <c r="Q13" i="11"/>
  <c r="R13" i="11"/>
  <c r="P14" i="11"/>
  <c r="Q14" i="11"/>
  <c r="R14" i="11"/>
  <c r="Q15" i="11"/>
  <c r="R15" i="11"/>
  <c r="Q16" i="11"/>
  <c r="R16" i="11"/>
  <c r="P17" i="11"/>
  <c r="Q17" i="11"/>
  <c r="R17" i="11"/>
  <c r="Q18" i="11"/>
  <c r="R18" i="11"/>
  <c r="Q19" i="11"/>
  <c r="R19" i="11"/>
  <c r="Q20" i="11"/>
  <c r="R20" i="11"/>
  <c r="Q21" i="11"/>
  <c r="R21" i="11"/>
  <c r="Q22" i="11"/>
  <c r="R22" i="11"/>
  <c r="Q23" i="11"/>
  <c r="R23" i="11"/>
  <c r="Q24" i="11"/>
  <c r="R24" i="11"/>
  <c r="P25" i="11"/>
  <c r="S25" i="11" s="1"/>
  <c r="Q25" i="11"/>
  <c r="R25" i="11"/>
  <c r="Q26" i="11"/>
  <c r="R26" i="11"/>
  <c r="Q27" i="11"/>
  <c r="R27" i="11"/>
  <c r="Q28" i="11"/>
  <c r="R28" i="11"/>
  <c r="Q29" i="11"/>
  <c r="R29" i="11"/>
  <c r="Q30" i="11"/>
  <c r="R30" i="11"/>
  <c r="Q31" i="11"/>
  <c r="R31" i="11"/>
  <c r="Q32" i="11"/>
  <c r="R32" i="11"/>
  <c r="M3" i="11"/>
  <c r="N3" i="11"/>
  <c r="M4" i="11"/>
  <c r="N4" i="11"/>
  <c r="M5" i="11"/>
  <c r="N5" i="11"/>
  <c r="M6" i="11"/>
  <c r="N6" i="11"/>
  <c r="M7" i="11"/>
  <c r="N7" i="11"/>
  <c r="M8" i="11"/>
  <c r="N8" i="11"/>
  <c r="M9" i="11"/>
  <c r="N9" i="11"/>
  <c r="M10" i="11"/>
  <c r="N10" i="11"/>
  <c r="M11" i="11"/>
  <c r="N11" i="11"/>
  <c r="M12" i="11"/>
  <c r="N12" i="11"/>
  <c r="M13" i="11"/>
  <c r="N13" i="11"/>
  <c r="M14" i="11"/>
  <c r="N14" i="11"/>
  <c r="M15" i="11"/>
  <c r="N15" i="11"/>
  <c r="M16" i="11"/>
  <c r="N16" i="11"/>
  <c r="M17" i="11"/>
  <c r="N17" i="11"/>
  <c r="M18" i="11"/>
  <c r="N18" i="11"/>
  <c r="M19" i="11"/>
  <c r="N19" i="11"/>
  <c r="M20" i="11"/>
  <c r="N20" i="11"/>
  <c r="M21" i="11"/>
  <c r="N21" i="11"/>
  <c r="M22" i="11"/>
  <c r="N22" i="11"/>
  <c r="M23" i="11"/>
  <c r="N23" i="11"/>
  <c r="M24" i="11"/>
  <c r="N24" i="11"/>
  <c r="M25" i="11"/>
  <c r="N25" i="11"/>
  <c r="M26" i="11"/>
  <c r="N26" i="11"/>
  <c r="M27" i="11"/>
  <c r="N27" i="11"/>
  <c r="M28" i="11"/>
  <c r="N28" i="11"/>
  <c r="M29" i="11"/>
  <c r="N29" i="11"/>
  <c r="M30" i="11"/>
  <c r="N30" i="11"/>
  <c r="M31" i="11"/>
  <c r="N31" i="11"/>
  <c r="M32" i="11"/>
  <c r="N32" i="11"/>
  <c r="M2" i="11"/>
  <c r="N2" i="11"/>
  <c r="L2" i="11"/>
  <c r="B3" i="11"/>
  <c r="C3" i="11"/>
  <c r="D3" i="11"/>
  <c r="E3" i="11"/>
  <c r="F3" i="11"/>
  <c r="G3" i="11"/>
  <c r="H3" i="11"/>
  <c r="I3" i="11"/>
  <c r="J3" i="11"/>
  <c r="B4" i="11"/>
  <c r="C4" i="11"/>
  <c r="D4" i="11"/>
  <c r="E4" i="11"/>
  <c r="F4" i="11"/>
  <c r="G4" i="11"/>
  <c r="H4" i="11"/>
  <c r="I4" i="11"/>
  <c r="J4" i="11"/>
  <c r="B5" i="11"/>
  <c r="C5" i="11"/>
  <c r="D5" i="11"/>
  <c r="E5" i="11"/>
  <c r="F5" i="11"/>
  <c r="G5" i="11"/>
  <c r="H5" i="11"/>
  <c r="I5" i="11"/>
  <c r="J5" i="11"/>
  <c r="B6" i="11"/>
  <c r="C6" i="11"/>
  <c r="D6" i="11"/>
  <c r="E6" i="11"/>
  <c r="F6" i="11"/>
  <c r="G6" i="11"/>
  <c r="H6" i="11"/>
  <c r="I6" i="11"/>
  <c r="J6" i="11"/>
  <c r="B7" i="11"/>
  <c r="C7" i="11"/>
  <c r="D7" i="11"/>
  <c r="E7" i="11"/>
  <c r="F7" i="11"/>
  <c r="G7" i="11"/>
  <c r="H7" i="11"/>
  <c r="I7" i="11"/>
  <c r="J7" i="11"/>
  <c r="B8" i="11"/>
  <c r="C8" i="11"/>
  <c r="D8" i="11"/>
  <c r="E8" i="11"/>
  <c r="F8" i="11"/>
  <c r="G8" i="11"/>
  <c r="H8" i="11"/>
  <c r="I8" i="11"/>
  <c r="J8" i="11"/>
  <c r="B9" i="11"/>
  <c r="C9" i="11"/>
  <c r="D9" i="11"/>
  <c r="E9" i="11"/>
  <c r="F9" i="11"/>
  <c r="G9" i="11"/>
  <c r="H9" i="11"/>
  <c r="I9" i="11"/>
  <c r="J9" i="11"/>
  <c r="B10" i="11"/>
  <c r="C10" i="11"/>
  <c r="D10" i="11"/>
  <c r="E10" i="11"/>
  <c r="F10" i="11"/>
  <c r="G10" i="11"/>
  <c r="H10" i="11"/>
  <c r="I10" i="11"/>
  <c r="J10" i="11"/>
  <c r="B11" i="11"/>
  <c r="C11" i="11"/>
  <c r="D11" i="11"/>
  <c r="E11" i="11"/>
  <c r="F11" i="11"/>
  <c r="G11" i="11"/>
  <c r="H11" i="11"/>
  <c r="I11" i="11"/>
  <c r="J11" i="11"/>
  <c r="B12" i="11"/>
  <c r="C12" i="11"/>
  <c r="D12" i="11"/>
  <c r="E12" i="11"/>
  <c r="F12" i="11"/>
  <c r="G12" i="11"/>
  <c r="H12" i="11"/>
  <c r="I12" i="11"/>
  <c r="J12" i="11"/>
  <c r="B13" i="11"/>
  <c r="C13" i="11"/>
  <c r="D13" i="11"/>
  <c r="E13" i="11"/>
  <c r="F13" i="11"/>
  <c r="G13" i="11"/>
  <c r="H13" i="11"/>
  <c r="I13" i="11"/>
  <c r="J13" i="11"/>
  <c r="B14" i="11"/>
  <c r="C14" i="11"/>
  <c r="D14" i="11"/>
  <c r="E14" i="11"/>
  <c r="F14" i="11"/>
  <c r="G14" i="11"/>
  <c r="H14" i="11"/>
  <c r="I14" i="11"/>
  <c r="J14" i="11"/>
  <c r="B15" i="11"/>
  <c r="C15" i="11"/>
  <c r="D15" i="11"/>
  <c r="E15" i="11"/>
  <c r="F15" i="11"/>
  <c r="G15" i="11"/>
  <c r="H15" i="11"/>
  <c r="I15" i="11"/>
  <c r="J15" i="11"/>
  <c r="B16" i="11"/>
  <c r="C16" i="11"/>
  <c r="D16" i="11"/>
  <c r="E16" i="11"/>
  <c r="F16" i="11"/>
  <c r="G16" i="11"/>
  <c r="H16" i="11"/>
  <c r="I16" i="11"/>
  <c r="J16" i="11"/>
  <c r="B17" i="11"/>
  <c r="C17" i="11"/>
  <c r="D17" i="11"/>
  <c r="E17" i="11"/>
  <c r="F17" i="11"/>
  <c r="G17" i="11"/>
  <c r="H17" i="11"/>
  <c r="I17" i="11"/>
  <c r="J17" i="11"/>
  <c r="B18" i="11"/>
  <c r="C18" i="11"/>
  <c r="D18" i="11"/>
  <c r="E18" i="11"/>
  <c r="F18" i="11"/>
  <c r="G18" i="11"/>
  <c r="H18" i="11"/>
  <c r="I18" i="11"/>
  <c r="J18" i="11"/>
  <c r="B19" i="11"/>
  <c r="C19" i="11"/>
  <c r="D19" i="11"/>
  <c r="E19" i="11"/>
  <c r="F19" i="11"/>
  <c r="G19" i="11"/>
  <c r="H19" i="11"/>
  <c r="I19" i="11"/>
  <c r="J19" i="11"/>
  <c r="B20" i="11"/>
  <c r="C20" i="11"/>
  <c r="D20" i="11"/>
  <c r="E20" i="11"/>
  <c r="F20" i="11"/>
  <c r="G20" i="11"/>
  <c r="H20" i="11"/>
  <c r="I20" i="11"/>
  <c r="J20" i="11"/>
  <c r="B21" i="11"/>
  <c r="C21" i="11"/>
  <c r="D21" i="11"/>
  <c r="E21" i="11"/>
  <c r="F21" i="11"/>
  <c r="G21" i="11"/>
  <c r="H21" i="11"/>
  <c r="I21" i="11"/>
  <c r="J21" i="11"/>
  <c r="B22" i="11"/>
  <c r="C22" i="11"/>
  <c r="D22" i="11"/>
  <c r="E22" i="11"/>
  <c r="F22" i="11"/>
  <c r="G22" i="11"/>
  <c r="H22" i="11"/>
  <c r="I22" i="11"/>
  <c r="J22" i="11"/>
  <c r="B23" i="11"/>
  <c r="C23" i="11"/>
  <c r="D23" i="11"/>
  <c r="E23" i="11"/>
  <c r="F23" i="11"/>
  <c r="G23" i="11"/>
  <c r="H23" i="11"/>
  <c r="I23" i="11"/>
  <c r="J23" i="11"/>
  <c r="B24" i="11"/>
  <c r="C24" i="11"/>
  <c r="D24" i="11"/>
  <c r="E24" i="11"/>
  <c r="F24" i="11"/>
  <c r="G24" i="11"/>
  <c r="H24" i="11"/>
  <c r="I24" i="11"/>
  <c r="J24" i="11"/>
  <c r="B25" i="11"/>
  <c r="C25" i="11"/>
  <c r="D25" i="11"/>
  <c r="E25" i="11"/>
  <c r="F25" i="11"/>
  <c r="G25" i="11"/>
  <c r="H25" i="11"/>
  <c r="I25" i="11"/>
  <c r="J25" i="11"/>
  <c r="B26" i="11"/>
  <c r="C26" i="11"/>
  <c r="D26" i="11"/>
  <c r="E26" i="11"/>
  <c r="F26" i="11"/>
  <c r="G26" i="11"/>
  <c r="H26" i="11"/>
  <c r="I26" i="11"/>
  <c r="J26" i="11"/>
  <c r="B27" i="11"/>
  <c r="C27" i="11"/>
  <c r="D27" i="11"/>
  <c r="E27" i="11"/>
  <c r="F27" i="11"/>
  <c r="G27" i="11"/>
  <c r="H27" i="11"/>
  <c r="I27" i="11"/>
  <c r="J27" i="11"/>
  <c r="B28" i="11"/>
  <c r="C28" i="11"/>
  <c r="D28" i="11"/>
  <c r="E28" i="11"/>
  <c r="F28" i="11"/>
  <c r="G28" i="11"/>
  <c r="H28" i="11"/>
  <c r="I28" i="11"/>
  <c r="J28" i="11"/>
  <c r="B29" i="11"/>
  <c r="C29" i="11"/>
  <c r="D29" i="11"/>
  <c r="E29" i="11"/>
  <c r="F29" i="11"/>
  <c r="G29" i="11"/>
  <c r="H29" i="11"/>
  <c r="I29" i="11"/>
  <c r="J29" i="11"/>
  <c r="B30" i="11"/>
  <c r="C30" i="11"/>
  <c r="D30" i="11"/>
  <c r="E30" i="11"/>
  <c r="F30" i="11"/>
  <c r="G30" i="11"/>
  <c r="H30" i="11"/>
  <c r="I30" i="11"/>
  <c r="J30" i="11"/>
  <c r="B31" i="11"/>
  <c r="C31" i="11"/>
  <c r="D31" i="11"/>
  <c r="E31" i="11"/>
  <c r="F31" i="11"/>
  <c r="G31" i="11"/>
  <c r="H31" i="11"/>
  <c r="I31" i="11"/>
  <c r="J31" i="11"/>
  <c r="B32" i="11"/>
  <c r="C32" i="11"/>
  <c r="D32" i="11"/>
  <c r="E32" i="11"/>
  <c r="F32" i="11"/>
  <c r="G32" i="11"/>
  <c r="H32" i="11"/>
  <c r="I32" i="11"/>
  <c r="J32" i="11"/>
  <c r="C2" i="11"/>
  <c r="D2" i="11"/>
  <c r="E2" i="11"/>
  <c r="F2" i="11"/>
  <c r="G2" i="11"/>
  <c r="H2" i="11"/>
  <c r="I2" i="11"/>
  <c r="J2" i="11"/>
  <c r="B2" i="11"/>
  <c r="C71" i="11"/>
  <c r="C70" i="11"/>
  <c r="AZ70" i="11"/>
  <c r="C69" i="11"/>
  <c r="C68" i="11"/>
  <c r="C67" i="11"/>
  <c r="C66" i="11"/>
  <c r="AT66" i="11"/>
  <c r="C65" i="11"/>
  <c r="AX65" i="11"/>
  <c r="C64" i="11"/>
  <c r="AX64" i="11"/>
  <c r="C63" i="11"/>
  <c r="AT63" i="11"/>
  <c r="C62" i="11"/>
  <c r="AZ62" i="11"/>
  <c r="C61" i="11"/>
  <c r="AP62" i="11"/>
  <c r="C60" i="11"/>
  <c r="AW60" i="11"/>
  <c r="AU59" i="11"/>
  <c r="C59" i="11"/>
  <c r="AW59" i="11"/>
  <c r="C58" i="11"/>
  <c r="AU58" i="11"/>
  <c r="C57" i="11"/>
  <c r="AW57" i="11"/>
  <c r="C56" i="11"/>
  <c r="AK67" i="11"/>
  <c r="AX55" i="11"/>
  <c r="AR55" i="11"/>
  <c r="AN55" i="11"/>
  <c r="C55" i="11"/>
  <c r="AV55" i="11"/>
  <c r="AZ54" i="11"/>
  <c r="AX54" i="11"/>
  <c r="AQ54" i="11"/>
  <c r="AL54" i="11"/>
  <c r="C54" i="11"/>
  <c r="AI59" i="11"/>
  <c r="C53" i="11"/>
  <c r="AY53" i="11"/>
  <c r="AD52" i="11"/>
  <c r="C52" i="11"/>
  <c r="AW52" i="11"/>
  <c r="AM51" i="11"/>
  <c r="C51" i="11"/>
  <c r="AF56" i="11"/>
  <c r="C50" i="11"/>
  <c r="AX50" i="11"/>
  <c r="AU49" i="11"/>
  <c r="AQ49" i="11"/>
  <c r="AL49" i="11"/>
  <c r="AF49" i="11"/>
  <c r="C49" i="11"/>
  <c r="AD59" i="11"/>
  <c r="AZ48" i="11"/>
  <c r="AF48" i="11"/>
  <c r="C48" i="11"/>
  <c r="AT48" i="11"/>
  <c r="C47" i="11"/>
  <c r="AY47" i="11"/>
  <c r="C46" i="11"/>
  <c r="AA54" i="11"/>
  <c r="AH45" i="11"/>
  <c r="C45" i="11"/>
  <c r="AM45" i="11"/>
  <c r="C44" i="11"/>
  <c r="AW44" i="11"/>
  <c r="AU43" i="11"/>
  <c r="AA43" i="11"/>
  <c r="X43" i="11"/>
  <c r="C43" i="11"/>
  <c r="AZ43" i="11"/>
  <c r="AZ42" i="11"/>
  <c r="AB42" i="11"/>
  <c r="C42" i="11"/>
  <c r="W54" i="11"/>
  <c r="S17" i="11"/>
  <c r="R37" i="10"/>
  <c r="Q40" i="10"/>
  <c r="R41" i="10"/>
  <c r="Q44" i="10"/>
  <c r="R45" i="10"/>
  <c r="Q48" i="10"/>
  <c r="R49" i="10"/>
  <c r="Q52" i="10"/>
  <c r="R53" i="10"/>
  <c r="Q56" i="10"/>
  <c r="R57" i="10"/>
  <c r="Q60" i="10"/>
  <c r="R61" i="10"/>
  <c r="Q64" i="10"/>
  <c r="R65" i="10"/>
  <c r="D65" i="1"/>
  <c r="R65" i="1" s="1"/>
  <c r="D64" i="1"/>
  <c r="Q64" i="1" s="1"/>
  <c r="D63" i="1"/>
  <c r="Q63" i="1" s="1"/>
  <c r="D62" i="1"/>
  <c r="R62" i="1" s="1"/>
  <c r="D61" i="1"/>
  <c r="R61" i="1" s="1"/>
  <c r="D60" i="1"/>
  <c r="Q60" i="1" s="1"/>
  <c r="D59" i="1"/>
  <c r="Q59" i="1" s="1"/>
  <c r="D58" i="1"/>
  <c r="R58" i="1" s="1"/>
  <c r="D57" i="1"/>
  <c r="R57" i="1" s="1"/>
  <c r="D56" i="1"/>
  <c r="Q56" i="1" s="1"/>
  <c r="D55" i="1"/>
  <c r="Q55" i="1" s="1"/>
  <c r="D54" i="1"/>
  <c r="R54" i="1" s="1"/>
  <c r="D53" i="1"/>
  <c r="R53" i="1" s="1"/>
  <c r="D52" i="1"/>
  <c r="Q52" i="1" s="1"/>
  <c r="D51" i="1"/>
  <c r="Q51" i="1" s="1"/>
  <c r="D50" i="1"/>
  <c r="R50" i="1" s="1"/>
  <c r="D49" i="1"/>
  <c r="R49" i="1" s="1"/>
  <c r="D48" i="1"/>
  <c r="Q48" i="1" s="1"/>
  <c r="D47" i="1"/>
  <c r="Q47" i="1" s="1"/>
  <c r="D46" i="1"/>
  <c r="R46" i="1" s="1"/>
  <c r="D45" i="1"/>
  <c r="R45" i="1" s="1"/>
  <c r="D44" i="1"/>
  <c r="Q44" i="1" s="1"/>
  <c r="D43" i="1"/>
  <c r="Q43" i="1" s="1"/>
  <c r="D42" i="1"/>
  <c r="R42" i="1" s="1"/>
  <c r="D41" i="1"/>
  <c r="R41" i="1" s="1"/>
  <c r="D40" i="1"/>
  <c r="Q40" i="1" s="1"/>
  <c r="D39" i="1"/>
  <c r="Q39" i="1" s="1"/>
  <c r="D38" i="1"/>
  <c r="R38" i="1" s="1"/>
  <c r="D37" i="1"/>
  <c r="R37" i="1" s="1"/>
  <c r="D36" i="1"/>
  <c r="R36" i="1" s="1"/>
  <c r="D65" i="10"/>
  <c r="P65" i="10" s="1"/>
  <c r="D64" i="10"/>
  <c r="R64" i="10" s="1"/>
  <c r="D63" i="10"/>
  <c r="Q63" i="10" s="1"/>
  <c r="D62" i="10"/>
  <c r="P62" i="10" s="1"/>
  <c r="D61" i="10"/>
  <c r="P61" i="10" s="1"/>
  <c r="D60" i="10"/>
  <c r="R60" i="10" s="1"/>
  <c r="D59" i="10"/>
  <c r="Q59" i="10" s="1"/>
  <c r="D58" i="10"/>
  <c r="P58" i="10" s="1"/>
  <c r="D57" i="10"/>
  <c r="P57" i="10" s="1"/>
  <c r="D56" i="10"/>
  <c r="R56" i="10" s="1"/>
  <c r="D55" i="10"/>
  <c r="Q55" i="10" s="1"/>
  <c r="D54" i="10"/>
  <c r="P54" i="10" s="1"/>
  <c r="D53" i="10"/>
  <c r="P53" i="10" s="1"/>
  <c r="D52" i="10"/>
  <c r="R52" i="10" s="1"/>
  <c r="D51" i="10"/>
  <c r="Q51" i="10" s="1"/>
  <c r="D50" i="10"/>
  <c r="P50" i="10" s="1"/>
  <c r="D49" i="10"/>
  <c r="P49" i="10" s="1"/>
  <c r="D48" i="10"/>
  <c r="R48" i="10" s="1"/>
  <c r="D47" i="10"/>
  <c r="Q47" i="10" s="1"/>
  <c r="D46" i="10"/>
  <c r="P46" i="10" s="1"/>
  <c r="D45" i="10"/>
  <c r="P45" i="10" s="1"/>
  <c r="D44" i="10"/>
  <c r="R44" i="10" s="1"/>
  <c r="D43" i="10"/>
  <c r="Q43" i="10" s="1"/>
  <c r="D42" i="10"/>
  <c r="P42" i="10" s="1"/>
  <c r="D41" i="10"/>
  <c r="P41" i="10" s="1"/>
  <c r="D40" i="10"/>
  <c r="R40" i="10" s="1"/>
  <c r="D39" i="10"/>
  <c r="Q39" i="10" s="1"/>
  <c r="D38" i="10"/>
  <c r="P38" i="10" s="1"/>
  <c r="D37" i="10"/>
  <c r="P37" i="10" s="1"/>
  <c r="D36" i="10"/>
  <c r="R36" i="10" s="1"/>
  <c r="K36" i="1"/>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AG32" i="10"/>
  <c r="AG100" i="10" s="1"/>
  <c r="AG31" i="10"/>
  <c r="AG99" i="10" s="1"/>
  <c r="AG30" i="10"/>
  <c r="AG98" i="10" s="1"/>
  <c r="AG29" i="10"/>
  <c r="AG97" i="10" s="1"/>
  <c r="AG28" i="10"/>
  <c r="AG96" i="10" s="1"/>
  <c r="AG27" i="10"/>
  <c r="AG95" i="10" s="1"/>
  <c r="AG26" i="10"/>
  <c r="AG94" i="10" s="1"/>
  <c r="AG25" i="10"/>
  <c r="AG93" i="10" s="1"/>
  <c r="AG24" i="10"/>
  <c r="AG92" i="10" s="1"/>
  <c r="AG23" i="10"/>
  <c r="AG91" i="10" s="1"/>
  <c r="AG22" i="10"/>
  <c r="AG90" i="10" s="1"/>
  <c r="AG21" i="10"/>
  <c r="AG89" i="10" s="1"/>
  <c r="AG20" i="10"/>
  <c r="AG88" i="10" s="1"/>
  <c r="AG19" i="10"/>
  <c r="AG87" i="10" s="1"/>
  <c r="AG18" i="10"/>
  <c r="AG86" i="10" s="1"/>
  <c r="AG17" i="10"/>
  <c r="AG85" i="10" s="1"/>
  <c r="AG16" i="10"/>
  <c r="AG84" i="10" s="1"/>
  <c r="AG15" i="10"/>
  <c r="AG83" i="10" s="1"/>
  <c r="AG14" i="10"/>
  <c r="AG82" i="10" s="1"/>
  <c r="AG13" i="10"/>
  <c r="AG81" i="10" s="1"/>
  <c r="AG12" i="10"/>
  <c r="AG80" i="10" s="1"/>
  <c r="AG11" i="10"/>
  <c r="AG79" i="10" s="1"/>
  <c r="AG10" i="10"/>
  <c r="AG78" i="10" s="1"/>
  <c r="AG9" i="10"/>
  <c r="AG77" i="10" s="1"/>
  <c r="AG8" i="10"/>
  <c r="AG76" i="10" s="1"/>
  <c r="AG7" i="10"/>
  <c r="AG75" i="10" s="1"/>
  <c r="AG6" i="10"/>
  <c r="AG74" i="10" s="1"/>
  <c r="AG5" i="10"/>
  <c r="AG73" i="10" s="1"/>
  <c r="AG4" i="10"/>
  <c r="AG72" i="10" s="1"/>
  <c r="AG3" i="10"/>
  <c r="B36" i="1"/>
  <c r="D3" i="5"/>
  <c r="D4" i="5"/>
  <c r="O5" i="11" s="1"/>
  <c r="D5" i="5"/>
  <c r="E5" i="5" s="1"/>
  <c r="I5" i="5" s="1"/>
  <c r="D6" i="5"/>
  <c r="E6" i="5" s="1"/>
  <c r="I6" i="5" s="1"/>
  <c r="D7" i="5"/>
  <c r="O8" i="11" s="1"/>
  <c r="D8" i="5"/>
  <c r="O9" i="11" s="1"/>
  <c r="D9" i="5"/>
  <c r="E9" i="5" s="1"/>
  <c r="I9" i="5" s="1"/>
  <c r="D10" i="5"/>
  <c r="E10" i="5" s="1"/>
  <c r="I10" i="5" s="1"/>
  <c r="D11" i="5"/>
  <c r="E11" i="5" s="1"/>
  <c r="D12" i="5"/>
  <c r="O13" i="11" s="1"/>
  <c r="D13" i="5"/>
  <c r="E13" i="5" s="1"/>
  <c r="I13" i="5" s="1"/>
  <c r="D14" i="5"/>
  <c r="E14" i="5" s="1"/>
  <c r="I14" i="5" s="1"/>
  <c r="D15" i="5"/>
  <c r="O16" i="11" s="1"/>
  <c r="D16" i="5"/>
  <c r="O17" i="11" s="1"/>
  <c r="D17" i="5"/>
  <c r="E17" i="5" s="1"/>
  <c r="I17" i="5" s="1"/>
  <c r="D18" i="5"/>
  <c r="E18" i="5" s="1"/>
  <c r="I18" i="5" s="1"/>
  <c r="D19" i="5"/>
  <c r="E19" i="5" s="1"/>
  <c r="D20" i="5"/>
  <c r="O21" i="11" s="1"/>
  <c r="D21" i="5"/>
  <c r="E21" i="5" s="1"/>
  <c r="I21" i="5" s="1"/>
  <c r="D22" i="5"/>
  <c r="E22" i="5" s="1"/>
  <c r="I22" i="5" s="1"/>
  <c r="D23" i="5"/>
  <c r="O24" i="11" s="1"/>
  <c r="D24" i="5"/>
  <c r="O25" i="11" s="1"/>
  <c r="D25" i="5"/>
  <c r="E25" i="5" s="1"/>
  <c r="I25" i="5" s="1"/>
  <c r="D26" i="5"/>
  <c r="E26" i="5" s="1"/>
  <c r="I26" i="5" s="1"/>
  <c r="D27" i="5"/>
  <c r="E27" i="5" s="1"/>
  <c r="D28" i="5"/>
  <c r="O29" i="11" s="1"/>
  <c r="D29" i="5"/>
  <c r="E29" i="5" s="1"/>
  <c r="I29" i="5" s="1"/>
  <c r="D30" i="5"/>
  <c r="E30" i="5" s="1"/>
  <c r="I30" i="5" s="1"/>
  <c r="D31" i="5"/>
  <c r="O32" i="11" s="1"/>
  <c r="D2" i="5"/>
  <c r="AH7" i="13" s="1"/>
  <c r="E4" i="5"/>
  <c r="I4" i="5" s="1"/>
  <c r="E7" i="5"/>
  <c r="I7" i="5" s="1"/>
  <c r="E8" i="5"/>
  <c r="I8" i="5" s="1"/>
  <c r="E12" i="5"/>
  <c r="I12" i="5" s="1"/>
  <c r="E15" i="5"/>
  <c r="P16" i="11" s="1"/>
  <c r="E16" i="5"/>
  <c r="I16" i="5" s="1"/>
  <c r="E20" i="5"/>
  <c r="P21" i="11" s="1"/>
  <c r="S21" i="11" s="1"/>
  <c r="E23" i="5"/>
  <c r="I23" i="5" s="1"/>
  <c r="E24" i="5"/>
  <c r="I24" i="5" s="1"/>
  <c r="E28" i="5"/>
  <c r="I28" i="5" s="1"/>
  <c r="E31" i="5"/>
  <c r="P32" i="11" s="1"/>
  <c r="E2" i="5"/>
  <c r="I2" i="5" s="1"/>
  <c r="I20" i="5"/>
  <c r="I27" i="5" l="1"/>
  <c r="P28" i="11"/>
  <c r="P20" i="11"/>
  <c r="I19" i="5"/>
  <c r="I11" i="5"/>
  <c r="P12" i="11"/>
  <c r="K58" i="1"/>
  <c r="K46" i="1"/>
  <c r="P63" i="10"/>
  <c r="P59" i="10"/>
  <c r="P55" i="10"/>
  <c r="P47" i="10"/>
  <c r="P39" i="10"/>
  <c r="K61" i="1"/>
  <c r="K57" i="1"/>
  <c r="K53" i="1"/>
  <c r="K45" i="1"/>
  <c r="K41" i="1"/>
  <c r="K37" i="1"/>
  <c r="K36" i="10"/>
  <c r="K40" i="10"/>
  <c r="K42" i="10"/>
  <c r="K44" i="10"/>
  <c r="K46" i="10"/>
  <c r="K48" i="10"/>
  <c r="K50" i="10"/>
  <c r="K52" i="10"/>
  <c r="K54" i="10"/>
  <c r="K56" i="10"/>
  <c r="K58" i="10"/>
  <c r="K60" i="10"/>
  <c r="K62" i="10"/>
  <c r="K64" i="10"/>
  <c r="Q36" i="10"/>
  <c r="Q65" i="10"/>
  <c r="P64" i="10"/>
  <c r="R62" i="10"/>
  <c r="Q61" i="10"/>
  <c r="P60" i="10"/>
  <c r="R58" i="10"/>
  <c r="Q57" i="10"/>
  <c r="P56" i="10"/>
  <c r="R54" i="10"/>
  <c r="Q53" i="10"/>
  <c r="P52" i="10"/>
  <c r="R50" i="10"/>
  <c r="Q49" i="10"/>
  <c r="P48" i="10"/>
  <c r="R46" i="10"/>
  <c r="Q45" i="10"/>
  <c r="P44" i="10"/>
  <c r="R42" i="10"/>
  <c r="Q41" i="10"/>
  <c r="P40" i="10"/>
  <c r="R38" i="10"/>
  <c r="Q37" i="10"/>
  <c r="O31" i="11"/>
  <c r="O30" i="11"/>
  <c r="O28" i="11"/>
  <c r="O27" i="11"/>
  <c r="O26" i="11"/>
  <c r="O23" i="11"/>
  <c r="O22" i="11"/>
  <c r="O20" i="11"/>
  <c r="O19" i="11"/>
  <c r="O18" i="11"/>
  <c r="O15" i="11"/>
  <c r="O14" i="11"/>
  <c r="O12" i="11"/>
  <c r="O11" i="11"/>
  <c r="O10" i="11"/>
  <c r="O7" i="11"/>
  <c r="O6" i="11"/>
  <c r="O4" i="11"/>
  <c r="AH29" i="13"/>
  <c r="AH24" i="13"/>
  <c r="AH19" i="13"/>
  <c r="AH13" i="13"/>
  <c r="AH8" i="13"/>
  <c r="K54" i="1"/>
  <c r="K42" i="1"/>
  <c r="P51" i="10"/>
  <c r="I15" i="5"/>
  <c r="K49" i="1" s="1"/>
  <c r="E3" i="5"/>
  <c r="K64" i="1"/>
  <c r="K60" i="1"/>
  <c r="K56" i="1"/>
  <c r="K52" i="1"/>
  <c r="K48" i="1"/>
  <c r="K44" i="1"/>
  <c r="K40" i="1"/>
  <c r="P36" i="10"/>
  <c r="R63" i="10"/>
  <c r="Q62" i="10"/>
  <c r="R59" i="10"/>
  <c r="Q58" i="10"/>
  <c r="R55" i="10"/>
  <c r="Q54" i="10"/>
  <c r="R51" i="10"/>
  <c r="Q50" i="10"/>
  <c r="R47" i="10"/>
  <c r="Q46" i="10"/>
  <c r="R43" i="10"/>
  <c r="Q42" i="10"/>
  <c r="R39" i="10"/>
  <c r="Q38" i="10"/>
  <c r="AH3" i="13"/>
  <c r="AH28" i="13"/>
  <c r="AH23" i="13"/>
  <c r="AH17" i="13"/>
  <c r="AH12" i="13"/>
  <c r="K62" i="1"/>
  <c r="K50" i="1"/>
  <c r="P43" i="10"/>
  <c r="I31" i="5"/>
  <c r="K65" i="1" s="1"/>
  <c r="AH64" i="13"/>
  <c r="AH60" i="13"/>
  <c r="AH56" i="13"/>
  <c r="AH52" i="13"/>
  <c r="AH48" i="13"/>
  <c r="AH44" i="13"/>
  <c r="AH40" i="13"/>
  <c r="AH65" i="13"/>
  <c r="AH61" i="13"/>
  <c r="AH57" i="13"/>
  <c r="AH53" i="13"/>
  <c r="AH49" i="13"/>
  <c r="AH45" i="13"/>
  <c r="AH41" i="13"/>
  <c r="AH37" i="13"/>
  <c r="AH66" i="13"/>
  <c r="AH62" i="13"/>
  <c r="AH58" i="13"/>
  <c r="AH54" i="13"/>
  <c r="AH50" i="13"/>
  <c r="AH46" i="13"/>
  <c r="AH42" i="13"/>
  <c r="AH38" i="13"/>
  <c r="AH63" i="13"/>
  <c r="AH55" i="13"/>
  <c r="AH47" i="13"/>
  <c r="AH59" i="13"/>
  <c r="AH51" i="13"/>
  <c r="AH43" i="13"/>
  <c r="AH6" i="13"/>
  <c r="AH10" i="13"/>
  <c r="AH14" i="13"/>
  <c r="AH18" i="13"/>
  <c r="AH22" i="13"/>
  <c r="AH26" i="13"/>
  <c r="AH30" i="13"/>
  <c r="K63" i="1"/>
  <c r="K59" i="1"/>
  <c r="K55" i="1"/>
  <c r="K51" i="1"/>
  <c r="K47" i="1"/>
  <c r="K43" i="1"/>
  <c r="K39" i="1"/>
  <c r="K37" i="10"/>
  <c r="K39" i="10"/>
  <c r="K41" i="10"/>
  <c r="K43" i="10"/>
  <c r="K45" i="10"/>
  <c r="K47" i="10"/>
  <c r="K49" i="10"/>
  <c r="K51" i="10"/>
  <c r="K53" i="10"/>
  <c r="K55" i="10"/>
  <c r="K57" i="10"/>
  <c r="K59" i="10"/>
  <c r="K61" i="10"/>
  <c r="K63" i="10"/>
  <c r="K65" i="10"/>
  <c r="O3" i="11"/>
  <c r="AH32" i="13"/>
  <c r="AH27" i="13"/>
  <c r="AH21" i="13"/>
  <c r="AH16" i="13"/>
  <c r="AH11" i="13"/>
  <c r="AH4" i="13"/>
  <c r="P31" i="11"/>
  <c r="P30" i="11"/>
  <c r="P29" i="11"/>
  <c r="S29" i="11" s="1"/>
  <c r="P27" i="11"/>
  <c r="P26" i="11"/>
  <c r="P24" i="11"/>
  <c r="P23" i="11"/>
  <c r="P22" i="11"/>
  <c r="P19" i="11"/>
  <c r="P18" i="11"/>
  <c r="P15" i="11"/>
  <c r="P13" i="11"/>
  <c r="S13" i="11" s="1"/>
  <c r="P11" i="11"/>
  <c r="P8" i="11"/>
  <c r="P7" i="11"/>
  <c r="P5" i="11"/>
  <c r="S5" i="11" s="1"/>
  <c r="P3" i="11"/>
  <c r="AH31" i="13"/>
  <c r="AH25" i="13"/>
  <c r="AH20" i="13"/>
  <c r="AH15" i="13"/>
  <c r="AH9" i="13"/>
  <c r="AI67" i="13"/>
  <c r="AL33" i="13"/>
  <c r="AI33" i="13"/>
  <c r="R33" i="11"/>
  <c r="R35" i="11"/>
  <c r="AQ48" i="11"/>
  <c r="AZ52" i="11"/>
  <c r="AQ56" i="11"/>
  <c r="AP61" i="11"/>
  <c r="S32" i="11"/>
  <c r="S31" i="11"/>
  <c r="S30" i="11"/>
  <c r="S28" i="11"/>
  <c r="W42" i="11"/>
  <c r="AI43" i="11"/>
  <c r="AV48" i="11"/>
  <c r="AD49" i="11"/>
  <c r="AM49" i="11"/>
  <c r="AF51" i="11"/>
  <c r="AI54" i="11"/>
  <c r="AR54" i="11"/>
  <c r="AQ55" i="11"/>
  <c r="AY55" i="11"/>
  <c r="AT42" i="11"/>
  <c r="AJ48" i="11"/>
  <c r="AI49" i="11"/>
  <c r="AT49" i="11"/>
  <c r="AX51" i="11"/>
  <c r="AN52" i="11"/>
  <c r="AN54" i="11"/>
  <c r="AY54" i="11"/>
  <c r="AI55" i="11"/>
  <c r="AD43" i="11"/>
  <c r="AN43" i="11"/>
  <c r="W45" i="11"/>
  <c r="AT45" i="11"/>
  <c r="AL52" i="11"/>
  <c r="AT52" i="11"/>
  <c r="AL55" i="11"/>
  <c r="AD57" i="11"/>
  <c r="AN57" i="11"/>
  <c r="AY57" i="11"/>
  <c r="AI58" i="11"/>
  <c r="AQ58" i="11"/>
  <c r="AO61" i="11"/>
  <c r="AN71" i="11"/>
  <c r="S27" i="11"/>
  <c r="S26" i="11"/>
  <c r="S24" i="11"/>
  <c r="S23" i="11"/>
  <c r="S22" i="11"/>
  <c r="S20" i="11"/>
  <c r="S19" i="11"/>
  <c r="S18" i="11"/>
  <c r="S16" i="11"/>
  <c r="S15" i="11"/>
  <c r="S14" i="11"/>
  <c r="S12" i="11"/>
  <c r="S11" i="11"/>
  <c r="S10" i="11"/>
  <c r="S8" i="11"/>
  <c r="S7" i="11"/>
  <c r="S6" i="11"/>
  <c r="S3" i="11"/>
  <c r="AH42" i="11"/>
  <c r="AM42" i="11"/>
  <c r="AF43" i="11"/>
  <c r="AQ43" i="11"/>
  <c r="AB45" i="11"/>
  <c r="AM48" i="11"/>
  <c r="AH49" i="11"/>
  <c r="AN49" i="11"/>
  <c r="AZ49" i="11"/>
  <c r="AQ51" i="11"/>
  <c r="AM52" i="11"/>
  <c r="AU52" i="11"/>
  <c r="AM54" i="11"/>
  <c r="AT54" i="11"/>
  <c r="AJ58" i="11"/>
  <c r="AM55" i="11"/>
  <c r="AT55" i="11"/>
  <c r="AY56" i="11"/>
  <c r="AI57" i="11"/>
  <c r="AP57" i="11"/>
  <c r="AZ57" i="11"/>
  <c r="AL58" i="11"/>
  <c r="AX58" i="11"/>
  <c r="AL59" i="11"/>
  <c r="AZ59" i="11"/>
  <c r="AJ57" i="11"/>
  <c r="AQ57" i="11"/>
  <c r="AM58" i="11"/>
  <c r="AY58" i="11"/>
  <c r="AM59" i="11"/>
  <c r="AO68" i="11"/>
  <c r="AL43" i="11"/>
  <c r="AY43" i="11"/>
  <c r="AJ51" i="11"/>
  <c r="AZ51" i="11"/>
  <c r="AI52" i="11"/>
  <c r="AQ52" i="11"/>
  <c r="AL56" i="11"/>
  <c r="AL57" i="11"/>
  <c r="AU57" i="11"/>
  <c r="AP58" i="11"/>
  <c r="AQ59" i="11"/>
  <c r="AX61" i="11"/>
  <c r="AS63" i="11"/>
  <c r="Z42" i="11"/>
  <c r="AJ42" i="11"/>
  <c r="AX42" i="11"/>
  <c r="AB44" i="11"/>
  <c r="AH44" i="11"/>
  <c r="AM44" i="11"/>
  <c r="AT44" i="11"/>
  <c r="Z58" i="11"/>
  <c r="Z69" i="11"/>
  <c r="Z59" i="11"/>
  <c r="Z45" i="11"/>
  <c r="AE45" i="11"/>
  <c r="AJ45" i="11"/>
  <c r="AP45" i="11"/>
  <c r="AY45" i="11"/>
  <c r="W46" i="11"/>
  <c r="AB46" i="11"/>
  <c r="AH46" i="11"/>
  <c r="AM46" i="11"/>
  <c r="AR46" i="11"/>
  <c r="AY46" i="11"/>
  <c r="W47" i="11"/>
  <c r="AB47" i="11"/>
  <c r="AH47" i="11"/>
  <c r="AM47" i="11"/>
  <c r="AR47" i="11"/>
  <c r="AX47" i="11"/>
  <c r="AB48" i="11"/>
  <c r="X49" i="11"/>
  <c r="X50" i="11"/>
  <c r="AE50" i="11"/>
  <c r="AL50" i="11"/>
  <c r="AU50" i="11"/>
  <c r="AB51" i="11"/>
  <c r="X52" i="11"/>
  <c r="AF52" i="11"/>
  <c r="X53" i="11"/>
  <c r="AI53" i="11"/>
  <c r="AU53" i="11"/>
  <c r="AH54" i="11"/>
  <c r="AA56" i="11"/>
  <c r="W60" i="11"/>
  <c r="W59" i="11"/>
  <c r="W61" i="11"/>
  <c r="W58" i="11"/>
  <c r="AE42" i="11"/>
  <c r="AP42" i="11"/>
  <c r="W44" i="11"/>
  <c r="AA42" i="11"/>
  <c r="AF42" i="11"/>
  <c r="AL42" i="11"/>
  <c r="AQ42" i="11"/>
  <c r="AY42" i="11"/>
  <c r="W43" i="11"/>
  <c r="AB43" i="11"/>
  <c r="AH43" i="11"/>
  <c r="AM43" i="11"/>
  <c r="AT43" i="11"/>
  <c r="X44" i="11"/>
  <c r="AD44" i="11"/>
  <c r="AI44" i="11"/>
  <c r="AN44" i="11"/>
  <c r="AU44" i="11"/>
  <c r="AA45" i="11"/>
  <c r="AF45" i="11"/>
  <c r="AL45" i="11"/>
  <c r="AQ45" i="11"/>
  <c r="AZ45" i="11"/>
  <c r="X46" i="11"/>
  <c r="AD46" i="11"/>
  <c r="AI46" i="11"/>
  <c r="AN46" i="11"/>
  <c r="AT46" i="11"/>
  <c r="AZ46" i="11"/>
  <c r="X47" i="11"/>
  <c r="AD47" i="11"/>
  <c r="AI47" i="11"/>
  <c r="AN47" i="11"/>
  <c r="AT47" i="11"/>
  <c r="W48" i="11"/>
  <c r="AE48" i="11"/>
  <c r="AL48" i="11"/>
  <c r="AA49" i="11"/>
  <c r="Z50" i="11"/>
  <c r="AF50" i="11"/>
  <c r="AN50" i="11"/>
  <c r="W51" i="11"/>
  <c r="AE51" i="11"/>
  <c r="AL51" i="11"/>
  <c r="AT51" i="11"/>
  <c r="AA52" i="11"/>
  <c r="AH52" i="11"/>
  <c r="Z53" i="11"/>
  <c r="AJ53" i="11"/>
  <c r="W55" i="11"/>
  <c r="AJ44" i="11"/>
  <c r="AY44" i="11"/>
  <c r="AA61" i="11"/>
  <c r="AA55" i="11"/>
  <c r="Z46" i="11"/>
  <c r="AE46" i="11"/>
  <c r="AJ46" i="11"/>
  <c r="AP46" i="11"/>
  <c r="AU46" i="11"/>
  <c r="AB60" i="11"/>
  <c r="AB61" i="11"/>
  <c r="AB58" i="11"/>
  <c r="AB57" i="11"/>
  <c r="Z47" i="11"/>
  <c r="AE47" i="11"/>
  <c r="AJ47" i="11"/>
  <c r="AP47" i="11"/>
  <c r="AU47" i="11"/>
  <c r="AZ47" i="11"/>
  <c r="Z48" i="11"/>
  <c r="AB49" i="11"/>
  <c r="AE58" i="11"/>
  <c r="AE59" i="11"/>
  <c r="AZ50" i="11"/>
  <c r="AT50" i="11"/>
  <c r="AM50" i="11"/>
  <c r="AH50" i="11"/>
  <c r="AB50" i="11"/>
  <c r="W50" i="11"/>
  <c r="AE57" i="11"/>
  <c r="AA50" i="11"/>
  <c r="AI50" i="11"/>
  <c r="AP50" i="11"/>
  <c r="AY50" i="11"/>
  <c r="Z51" i="11"/>
  <c r="AB52" i="11"/>
  <c r="AH60" i="11"/>
  <c r="AT53" i="11"/>
  <c r="AM53" i="11"/>
  <c r="AH53" i="11"/>
  <c r="AB53" i="11"/>
  <c r="W53" i="11"/>
  <c r="AZ53" i="11"/>
  <c r="AQ53" i="11"/>
  <c r="AL53" i="11"/>
  <c r="AF53" i="11"/>
  <c r="AA53" i="11"/>
  <c r="AD53" i="11"/>
  <c r="AN53" i="11"/>
  <c r="AB54" i="11"/>
  <c r="AB55" i="11"/>
  <c r="Z44" i="11"/>
  <c r="AE44" i="11"/>
  <c r="AP44" i="11"/>
  <c r="X42" i="11"/>
  <c r="AD42" i="11"/>
  <c r="AI42" i="11"/>
  <c r="AN42" i="11"/>
  <c r="AU42" i="11"/>
  <c r="X59" i="11"/>
  <c r="X58" i="11"/>
  <c r="X57" i="11"/>
  <c r="X55" i="11"/>
  <c r="X54" i="11"/>
  <c r="X62" i="11"/>
  <c r="Z43" i="11"/>
  <c r="AE43" i="11"/>
  <c r="AJ43" i="11"/>
  <c r="AP43" i="11"/>
  <c r="AX43" i="11"/>
  <c r="AA44" i="11"/>
  <c r="AF44" i="11"/>
  <c r="AL44" i="11"/>
  <c r="AQ44" i="11"/>
  <c r="AZ44" i="11"/>
  <c r="X45" i="11"/>
  <c r="AD45" i="11"/>
  <c r="AI45" i="11"/>
  <c r="AN45" i="11"/>
  <c r="AU45" i="11"/>
  <c r="AA46" i="11"/>
  <c r="AF46" i="11"/>
  <c r="AL46" i="11"/>
  <c r="AQ46" i="11"/>
  <c r="AX46" i="11"/>
  <c r="AA47" i="11"/>
  <c r="AF47" i="11"/>
  <c r="AL47" i="11"/>
  <c r="AQ47" i="11"/>
  <c r="AV47" i="11"/>
  <c r="AW48" i="11"/>
  <c r="AC64" i="11"/>
  <c r="AU48" i="11"/>
  <c r="AN48" i="11"/>
  <c r="AI48" i="11"/>
  <c r="AD48" i="11"/>
  <c r="X48" i="11"/>
  <c r="AA48" i="11"/>
  <c r="AH48" i="11"/>
  <c r="AP48" i="11"/>
  <c r="AY48" i="11"/>
  <c r="W49" i="11"/>
  <c r="AD50" i="11"/>
  <c r="AJ50" i="11"/>
  <c r="AQ50" i="11"/>
  <c r="AF61" i="11"/>
  <c r="AF55" i="11"/>
  <c r="AU51" i="11"/>
  <c r="AN51" i="11"/>
  <c r="AI51" i="11"/>
  <c r="AD51" i="11"/>
  <c r="X51" i="11"/>
  <c r="AF58" i="11"/>
  <c r="AF64" i="11"/>
  <c r="AF62" i="11"/>
  <c r="AF59" i="11"/>
  <c r="AA51" i="11"/>
  <c r="AH51" i="11"/>
  <c r="AP51" i="11"/>
  <c r="AY51" i="11"/>
  <c r="W52" i="11"/>
  <c r="AE53" i="11"/>
  <c r="AP53" i="11"/>
  <c r="AF54" i="11"/>
  <c r="AH55" i="11"/>
  <c r="W57" i="11"/>
  <c r="AD58" i="11"/>
  <c r="AA60" i="11"/>
  <c r="AI60" i="11"/>
  <c r="AN60" i="11"/>
  <c r="AY60" i="11"/>
  <c r="AD61" i="11"/>
  <c r="AK61" i="11"/>
  <c r="AJ65" i="11"/>
  <c r="AC66" i="11"/>
  <c r="AK66" i="11"/>
  <c r="AZ66" i="11"/>
  <c r="AF68" i="11"/>
  <c r="AP68" i="11"/>
  <c r="AD70" i="11"/>
  <c r="AN70" i="11"/>
  <c r="AD71" i="11"/>
  <c r="AO71" i="11"/>
  <c r="AD54" i="11"/>
  <c r="AD55" i="11"/>
  <c r="W56" i="11"/>
  <c r="AB56" i="11"/>
  <c r="AH56" i="11"/>
  <c r="AM56" i="11"/>
  <c r="AT56" i="11"/>
  <c r="AZ56" i="11"/>
  <c r="AT58" i="11"/>
  <c r="AA59" i="11"/>
  <c r="AH59" i="11"/>
  <c r="AN59" i="11"/>
  <c r="AX59" i="11"/>
  <c r="AD60" i="11"/>
  <c r="AJ60" i="11"/>
  <c r="AP60" i="11"/>
  <c r="AZ60" i="11"/>
  <c r="X61" i="11"/>
  <c r="AE61" i="11"/>
  <c r="AN61" i="11"/>
  <c r="AZ61" i="11"/>
  <c r="Y62" i="11"/>
  <c r="AJ62" i="11"/>
  <c r="AT62" i="11"/>
  <c r="Y63" i="11"/>
  <c r="AV64" i="11"/>
  <c r="X65" i="11"/>
  <c r="AP65" i="11"/>
  <c r="AD66" i="11"/>
  <c r="AN66" i="11"/>
  <c r="AH68" i="11"/>
  <c r="AX68" i="11"/>
  <c r="AK69" i="11"/>
  <c r="X70" i="11"/>
  <c r="AF70" i="11"/>
  <c r="AP70" i="11"/>
  <c r="AF71" i="11"/>
  <c r="AZ71" i="11"/>
  <c r="Z49" i="11"/>
  <c r="AE49" i="11"/>
  <c r="AJ49" i="11"/>
  <c r="AP49" i="11"/>
  <c r="AY49" i="11"/>
  <c r="Z52" i="11"/>
  <c r="AE52" i="11"/>
  <c r="AJ52" i="11"/>
  <c r="AP52" i="11"/>
  <c r="AY52" i="11"/>
  <c r="Z54" i="11"/>
  <c r="AE54" i="11"/>
  <c r="AJ54" i="11"/>
  <c r="AP54" i="11"/>
  <c r="AU54" i="11"/>
  <c r="Z55" i="11"/>
  <c r="AE55" i="11"/>
  <c r="AJ55" i="11"/>
  <c r="AP55" i="11"/>
  <c r="AU55" i="11"/>
  <c r="AZ55" i="11"/>
  <c r="X56" i="11"/>
  <c r="AD56" i="11"/>
  <c r="AI56" i="11"/>
  <c r="AN56" i="11"/>
  <c r="AU56" i="11"/>
  <c r="Z57" i="11"/>
  <c r="AH57" i="11"/>
  <c r="AM57" i="11"/>
  <c r="AT57" i="11"/>
  <c r="AA58" i="11"/>
  <c r="AH58" i="11"/>
  <c r="AN58" i="11"/>
  <c r="AB59" i="11"/>
  <c r="AJ59" i="11"/>
  <c r="AP59" i="11"/>
  <c r="AY59" i="11"/>
  <c r="X60" i="11"/>
  <c r="AE60" i="11"/>
  <c r="AL60" i="11"/>
  <c r="AQ60" i="11"/>
  <c r="Z61" i="11"/>
  <c r="AH61" i="11"/>
  <c r="AC62" i="11"/>
  <c r="AK62" i="11"/>
  <c r="Z63" i="11"/>
  <c r="Z65" i="11"/>
  <c r="AS65" i="11"/>
  <c r="X66" i="11"/>
  <c r="AF66" i="11"/>
  <c r="AP66" i="11"/>
  <c r="Y68" i="11"/>
  <c r="AJ68" i="11"/>
  <c r="AV69" i="11"/>
  <c r="AS69" i="11"/>
  <c r="Y70" i="11"/>
  <c r="AJ70" i="11"/>
  <c r="AT70" i="11"/>
  <c r="X71" i="11"/>
  <c r="AH71" i="11"/>
  <c r="Z56" i="11"/>
  <c r="AE56" i="11"/>
  <c r="AJ56" i="11"/>
  <c r="AP56" i="11"/>
  <c r="AV56" i="11"/>
  <c r="Z60" i="11"/>
  <c r="AF60" i="11"/>
  <c r="AM60" i="11"/>
  <c r="AU60" i="11"/>
  <c r="AJ61" i="11"/>
  <c r="AD62" i="11"/>
  <c r="AN62" i="11"/>
  <c r="AH65" i="11"/>
  <c r="AZ65" i="11"/>
  <c r="Y66" i="11"/>
  <c r="AJ66" i="11"/>
  <c r="Z68" i="11"/>
  <c r="AC70" i="11"/>
  <c r="AK70" i="11"/>
  <c r="Y71" i="11"/>
  <c r="H34" i="11"/>
  <c r="J33" i="11"/>
  <c r="J34" i="11"/>
  <c r="G34" i="11"/>
  <c r="H35" i="11"/>
  <c r="J35" i="11"/>
  <c r="G33" i="11"/>
  <c r="G35" i="11"/>
  <c r="H33" i="11"/>
  <c r="AY67" i="11"/>
  <c r="AU67" i="11"/>
  <c r="AQ67" i="11"/>
  <c r="AM67" i="11"/>
  <c r="AI67" i="11"/>
  <c r="AE67" i="11"/>
  <c r="AA67" i="11"/>
  <c r="W67" i="11"/>
  <c r="AW67" i="11"/>
  <c r="AR67" i="11"/>
  <c r="AL67" i="11"/>
  <c r="AG67" i="11"/>
  <c r="AB67" i="11"/>
  <c r="AX67" i="11"/>
  <c r="AP67" i="11"/>
  <c r="AJ67" i="11"/>
  <c r="AC67" i="11"/>
  <c r="AV57" i="11"/>
  <c r="AZ67" i="11"/>
  <c r="AO67" i="11"/>
  <c r="AF67" i="11"/>
  <c r="X67" i="11"/>
  <c r="AV53" i="11"/>
  <c r="AV49" i="11"/>
  <c r="AV45" i="11"/>
  <c r="AS67" i="11"/>
  <c r="AH67" i="11"/>
  <c r="Y67" i="11"/>
  <c r="AV61" i="11"/>
  <c r="AV54" i="11"/>
  <c r="AV50" i="11"/>
  <c r="AV46" i="11"/>
  <c r="AV42" i="11"/>
  <c r="AT67" i="11"/>
  <c r="Z67" i="11"/>
  <c r="AV71" i="11"/>
  <c r="AN67" i="11"/>
  <c r="AV58" i="11"/>
  <c r="AV52" i="11"/>
  <c r="AV51" i="11"/>
  <c r="AV44" i="11"/>
  <c r="AV43" i="11"/>
  <c r="AV67" i="11"/>
  <c r="AV59" i="11"/>
  <c r="AV60" i="11"/>
  <c r="AD67" i="11"/>
  <c r="C72" i="11"/>
  <c r="AY63" i="11"/>
  <c r="AU63" i="11"/>
  <c r="AQ63" i="11"/>
  <c r="AM63" i="11"/>
  <c r="AI63" i="11"/>
  <c r="AE63" i="11"/>
  <c r="AA63" i="11"/>
  <c r="W63" i="11"/>
  <c r="AW63" i="11"/>
  <c r="AR63" i="11"/>
  <c r="AL63" i="11"/>
  <c r="AG63" i="11"/>
  <c r="AB63" i="11"/>
  <c r="AX63" i="11"/>
  <c r="AP63" i="11"/>
  <c r="AJ63" i="11"/>
  <c r="AC63" i="11"/>
  <c r="AR60" i="11"/>
  <c r="AV63" i="11"/>
  <c r="AN63" i="11"/>
  <c r="AD63" i="11"/>
  <c r="AR59" i="11"/>
  <c r="AR56" i="11"/>
  <c r="AR52" i="11"/>
  <c r="AR48" i="11"/>
  <c r="AR44" i="11"/>
  <c r="AZ63" i="11"/>
  <c r="AO63" i="11"/>
  <c r="AF63" i="11"/>
  <c r="X63" i="11"/>
  <c r="AR53" i="11"/>
  <c r="AR49" i="11"/>
  <c r="AR45" i="11"/>
  <c r="AH63" i="11"/>
  <c r="AY64" i="11"/>
  <c r="AU64" i="11"/>
  <c r="AQ64" i="11"/>
  <c r="AM64" i="11"/>
  <c r="AI64" i="11"/>
  <c r="AE64" i="11"/>
  <c r="AA64" i="11"/>
  <c r="W64" i="11"/>
  <c r="AW64" i="11"/>
  <c r="AR64" i="11"/>
  <c r="AL64" i="11"/>
  <c r="AG64" i="11"/>
  <c r="AB64" i="11"/>
  <c r="AZ64" i="11"/>
  <c r="AS64" i="11"/>
  <c r="AK64" i="11"/>
  <c r="AD64" i="11"/>
  <c r="X64" i="11"/>
  <c r="AS71" i="11"/>
  <c r="AP64" i="11"/>
  <c r="AH64" i="11"/>
  <c r="Y64" i="11"/>
  <c r="AS61" i="11"/>
  <c r="AS70" i="11"/>
  <c r="AT64" i="11"/>
  <c r="AJ64" i="11"/>
  <c r="Z64" i="11"/>
  <c r="AN64" i="11"/>
  <c r="AS66" i="11"/>
  <c r="AC69" i="11"/>
  <c r="AR42" i="11"/>
  <c r="AR43" i="11"/>
  <c r="AR50" i="11"/>
  <c r="AR51" i="11"/>
  <c r="AR57" i="11"/>
  <c r="AR58" i="11"/>
  <c r="AS62" i="11"/>
  <c r="AK63" i="11"/>
  <c r="AO64" i="11"/>
  <c r="AY69" i="11"/>
  <c r="AU69" i="11"/>
  <c r="AQ69" i="11"/>
  <c r="AM69" i="11"/>
  <c r="AI69" i="11"/>
  <c r="AE69" i="11"/>
  <c r="AA69" i="11"/>
  <c r="W69" i="11"/>
  <c r="AW69" i="11"/>
  <c r="AR69" i="11"/>
  <c r="AL69" i="11"/>
  <c r="AG69" i="11"/>
  <c r="AB69" i="11"/>
  <c r="AT69" i="11"/>
  <c r="AN69" i="11"/>
  <c r="AF69" i="11"/>
  <c r="Y69" i="11"/>
  <c r="AX60" i="11"/>
  <c r="AX69" i="11"/>
  <c r="AO69" i="11"/>
  <c r="AD69" i="11"/>
  <c r="AX66" i="11"/>
  <c r="AX52" i="11"/>
  <c r="AX48" i="11"/>
  <c r="AX44" i="11"/>
  <c r="AZ69" i="11"/>
  <c r="AP69" i="11"/>
  <c r="AH69" i="11"/>
  <c r="X69" i="11"/>
  <c r="AX62" i="11"/>
  <c r="AX57" i="11"/>
  <c r="AX53" i="11"/>
  <c r="AX49" i="11"/>
  <c r="AX45" i="11"/>
  <c r="AJ69" i="11"/>
  <c r="AX70" i="11"/>
  <c r="AT60" i="11"/>
  <c r="AD65" i="11"/>
  <c r="AO65" i="11"/>
  <c r="AY68" i="11"/>
  <c r="AU68" i="11"/>
  <c r="AQ68" i="11"/>
  <c r="AM68" i="11"/>
  <c r="AI68" i="11"/>
  <c r="AE68" i="11"/>
  <c r="AA68" i="11"/>
  <c r="W68" i="11"/>
  <c r="AW68" i="11"/>
  <c r="AR68" i="11"/>
  <c r="AL68" i="11"/>
  <c r="AG68" i="11"/>
  <c r="AB68" i="11"/>
  <c r="AZ68" i="11"/>
  <c r="AS68" i="11"/>
  <c r="AK68" i="11"/>
  <c r="AD68" i="11"/>
  <c r="X68" i="11"/>
  <c r="AC68" i="11"/>
  <c r="AN68" i="11"/>
  <c r="AV68" i="11"/>
  <c r="AY71" i="11"/>
  <c r="AU71" i="11"/>
  <c r="AQ71" i="11"/>
  <c r="AM71" i="11"/>
  <c r="AI71" i="11"/>
  <c r="AE71" i="11"/>
  <c r="AA71" i="11"/>
  <c r="W71" i="11"/>
  <c r="AW71" i="11"/>
  <c r="AR71" i="11"/>
  <c r="AL71" i="11"/>
  <c r="AG71" i="11"/>
  <c r="AB71" i="11"/>
  <c r="AX71" i="11"/>
  <c r="AP71" i="11"/>
  <c r="AJ71" i="11"/>
  <c r="AC71" i="11"/>
  <c r="AZ58" i="11"/>
  <c r="Z71" i="11"/>
  <c r="AK71" i="11"/>
  <c r="AT71" i="11"/>
  <c r="AY65" i="11"/>
  <c r="AU65" i="11"/>
  <c r="AQ65" i="11"/>
  <c r="AM65" i="11"/>
  <c r="AI65" i="11"/>
  <c r="AE65" i="11"/>
  <c r="AA65" i="11"/>
  <c r="W65" i="11"/>
  <c r="AW65" i="11"/>
  <c r="AR65" i="11"/>
  <c r="AL65" i="11"/>
  <c r="AG65" i="11"/>
  <c r="AB65" i="11"/>
  <c r="AT65" i="11"/>
  <c r="AN65" i="11"/>
  <c r="AF65" i="11"/>
  <c r="Y65" i="11"/>
  <c r="AT61" i="11"/>
  <c r="AT59" i="11"/>
  <c r="AC65" i="11"/>
  <c r="AK65" i="11"/>
  <c r="AV65" i="11"/>
  <c r="AT68" i="11"/>
  <c r="Y42" i="11"/>
  <c r="AC42" i="11"/>
  <c r="AG42" i="11"/>
  <c r="AK42" i="11"/>
  <c r="AO42" i="11"/>
  <c r="AS42" i="11"/>
  <c r="AW42" i="11"/>
  <c r="Y43" i="11"/>
  <c r="AC43" i="11"/>
  <c r="AG43" i="11"/>
  <c r="AK43" i="11"/>
  <c r="AO43" i="11"/>
  <c r="AS43" i="11"/>
  <c r="AW43" i="11"/>
  <c r="Y44" i="11"/>
  <c r="AC44" i="11"/>
  <c r="AG44" i="11"/>
  <c r="AK44" i="11"/>
  <c r="AO44" i="11"/>
  <c r="AS44" i="11"/>
  <c r="Y45" i="11"/>
  <c r="AC45" i="11"/>
  <c r="AG45" i="11"/>
  <c r="AK45" i="11"/>
  <c r="AO45" i="11"/>
  <c r="AS45" i="11"/>
  <c r="AW45" i="11"/>
  <c r="Y46" i="11"/>
  <c r="AC46" i="11"/>
  <c r="AG46" i="11"/>
  <c r="AK46" i="11"/>
  <c r="AO46" i="11"/>
  <c r="AS46" i="11"/>
  <c r="AW46" i="11"/>
  <c r="Y47" i="11"/>
  <c r="AC47" i="11"/>
  <c r="AG47" i="11"/>
  <c r="AK47" i="11"/>
  <c r="AO47" i="11"/>
  <c r="AS47" i="11"/>
  <c r="AW47" i="11"/>
  <c r="Y48" i="11"/>
  <c r="AC48" i="11"/>
  <c r="AG48" i="11"/>
  <c r="AK48" i="11"/>
  <c r="AO48" i="11"/>
  <c r="AS48" i="11"/>
  <c r="Y49" i="11"/>
  <c r="AC49" i="11"/>
  <c r="AG49" i="11"/>
  <c r="AK49" i="11"/>
  <c r="AO49" i="11"/>
  <c r="AS49" i="11"/>
  <c r="AW49" i="11"/>
  <c r="Y50" i="11"/>
  <c r="AC50" i="11"/>
  <c r="AG50" i="11"/>
  <c r="AK50" i="11"/>
  <c r="AO50" i="11"/>
  <c r="AS50" i="11"/>
  <c r="AW50" i="11"/>
  <c r="Y51" i="11"/>
  <c r="AC51" i="11"/>
  <c r="AG51" i="11"/>
  <c r="AK51" i="11"/>
  <c r="AO51" i="11"/>
  <c r="AS51" i="11"/>
  <c r="AW51" i="11"/>
  <c r="Y52" i="11"/>
  <c r="AC52" i="11"/>
  <c r="AG52" i="11"/>
  <c r="AK52" i="11"/>
  <c r="AO52" i="11"/>
  <c r="AS52" i="11"/>
  <c r="Y53" i="11"/>
  <c r="AC53" i="11"/>
  <c r="AG53" i="11"/>
  <c r="AK53" i="11"/>
  <c r="AO53" i="11"/>
  <c r="AS53" i="11"/>
  <c r="AW53" i="11"/>
  <c r="Y54" i="11"/>
  <c r="AC54" i="11"/>
  <c r="AG54" i="11"/>
  <c r="AK54" i="11"/>
  <c r="AO54" i="11"/>
  <c r="AS54" i="11"/>
  <c r="AW54" i="11"/>
  <c r="Y55" i="11"/>
  <c r="AC55" i="11"/>
  <c r="AG55" i="11"/>
  <c r="AK55" i="11"/>
  <c r="AO55" i="11"/>
  <c r="AS55" i="11"/>
  <c r="AW55" i="11"/>
  <c r="AW56" i="11"/>
  <c r="Y56" i="11"/>
  <c r="AC56" i="11"/>
  <c r="AG56" i="11"/>
  <c r="AK56" i="11"/>
  <c r="AO56" i="11"/>
  <c r="AS56" i="11"/>
  <c r="AX56" i="11"/>
  <c r="AA57" i="11"/>
  <c r="AF57" i="11"/>
  <c r="AW58" i="11"/>
  <c r="AY62" i="11"/>
  <c r="AU62" i="11"/>
  <c r="AQ62" i="11"/>
  <c r="AM62" i="11"/>
  <c r="AI62" i="11"/>
  <c r="AE62" i="11"/>
  <c r="AA62" i="11"/>
  <c r="W62" i="11"/>
  <c r="AW62" i="11"/>
  <c r="AR62" i="11"/>
  <c r="AL62" i="11"/>
  <c r="AG62" i="11"/>
  <c r="AB62" i="11"/>
  <c r="Z62" i="11"/>
  <c r="AH62" i="11"/>
  <c r="AO62" i="11"/>
  <c r="AV62" i="11"/>
  <c r="AY66" i="11"/>
  <c r="AU66" i="11"/>
  <c r="AQ66" i="11"/>
  <c r="AM66" i="11"/>
  <c r="AI66" i="11"/>
  <c r="AE66" i="11"/>
  <c r="AA66" i="11"/>
  <c r="W66" i="11"/>
  <c r="AW66" i="11"/>
  <c r="AR66" i="11"/>
  <c r="AL66" i="11"/>
  <c r="AG66" i="11"/>
  <c r="AB66" i="11"/>
  <c r="Z66" i="11"/>
  <c r="AH66" i="11"/>
  <c r="AO66" i="11"/>
  <c r="AV66" i="11"/>
  <c r="AY70" i="11"/>
  <c r="AU70" i="11"/>
  <c r="AQ70" i="11"/>
  <c r="AM70" i="11"/>
  <c r="AI70" i="11"/>
  <c r="AE70" i="11"/>
  <c r="AA70" i="11"/>
  <c r="W70" i="11"/>
  <c r="AW70" i="11"/>
  <c r="AR70" i="11"/>
  <c r="AL70" i="11"/>
  <c r="AG70" i="11"/>
  <c r="AB70" i="11"/>
  <c r="Z70" i="11"/>
  <c r="AH70" i="11"/>
  <c r="AO70" i="11"/>
  <c r="AV70" i="11"/>
  <c r="Y57" i="11"/>
  <c r="AC57" i="11"/>
  <c r="AG57" i="11"/>
  <c r="AK57" i="11"/>
  <c r="AO57" i="11"/>
  <c r="AS57" i="11"/>
  <c r="Y58" i="11"/>
  <c r="AC58" i="11"/>
  <c r="AG58" i="11"/>
  <c r="AK58" i="11"/>
  <c r="AO58" i="11"/>
  <c r="AS58" i="11"/>
  <c r="Y59" i="11"/>
  <c r="AC59" i="11"/>
  <c r="AG59" i="11"/>
  <c r="AK59" i="11"/>
  <c r="AO59" i="11"/>
  <c r="AS59" i="11"/>
  <c r="Y60" i="11"/>
  <c r="AC60" i="11"/>
  <c r="AG60" i="11"/>
  <c r="AK60" i="11"/>
  <c r="AO60" i="11"/>
  <c r="AS60" i="11"/>
  <c r="AY61" i="11"/>
  <c r="AU61" i="11"/>
  <c r="AQ61" i="11"/>
  <c r="AM61" i="11"/>
  <c r="AI61" i="11"/>
  <c r="Y61" i="11"/>
  <c r="AC61" i="11"/>
  <c r="AG61" i="11"/>
  <c r="AL61" i="11"/>
  <c r="AR61" i="11"/>
  <c r="AW61" i="11"/>
  <c r="AG33" i="10"/>
  <c r="AG101" i="10" s="1"/>
  <c r="P64" i="1"/>
  <c r="P60" i="1"/>
  <c r="P56" i="1"/>
  <c r="P52" i="1"/>
  <c r="P48" i="1"/>
  <c r="P44" i="1"/>
  <c r="P40" i="1"/>
  <c r="Q36" i="1"/>
  <c r="Q62" i="1"/>
  <c r="Q58" i="1"/>
  <c r="Q54" i="1"/>
  <c r="Q50" i="1"/>
  <c r="Q46" i="1"/>
  <c r="Q42" i="1"/>
  <c r="Q38" i="1"/>
  <c r="R64" i="1"/>
  <c r="R60" i="1"/>
  <c r="R56" i="1"/>
  <c r="R52" i="1"/>
  <c r="R48" i="1"/>
  <c r="R44" i="1"/>
  <c r="R40" i="1"/>
  <c r="P63" i="1"/>
  <c r="P59" i="1"/>
  <c r="P55" i="1"/>
  <c r="P51" i="1"/>
  <c r="P47" i="1"/>
  <c r="P43" i="1"/>
  <c r="P39" i="1"/>
  <c r="Q65" i="1"/>
  <c r="Q61" i="1"/>
  <c r="Q57" i="1"/>
  <c r="Q53" i="1"/>
  <c r="Q49" i="1"/>
  <c r="Q45" i="1"/>
  <c r="Q41" i="1"/>
  <c r="Q37" i="1"/>
  <c r="R63" i="1"/>
  <c r="R59" i="1"/>
  <c r="R55" i="1"/>
  <c r="R51" i="1"/>
  <c r="R47" i="1"/>
  <c r="R43" i="1"/>
  <c r="R39" i="1"/>
  <c r="P36" i="1"/>
  <c r="P62" i="1"/>
  <c r="P58" i="1"/>
  <c r="P54" i="1"/>
  <c r="P50" i="1"/>
  <c r="P46" i="1"/>
  <c r="P42" i="1"/>
  <c r="P38" i="1"/>
  <c r="P65" i="1"/>
  <c r="P61" i="1"/>
  <c r="P57" i="1"/>
  <c r="P53" i="1"/>
  <c r="P49" i="1"/>
  <c r="P45" i="1"/>
  <c r="P41" i="1"/>
  <c r="P37" i="1"/>
  <c r="AG71" i="10"/>
  <c r="I3" i="5" l="1"/>
  <c r="P4" i="11"/>
  <c r="S4" i="11" s="1"/>
  <c r="S35" i="11"/>
  <c r="S33" i="11"/>
  <c r="S34" i="11"/>
  <c r="R67" i="1"/>
  <c r="P67" i="10"/>
  <c r="Q67" i="1"/>
  <c r="Q67" i="10"/>
  <c r="P67" i="1"/>
  <c r="R67" i="10"/>
  <c r="T25" i="11" l="1"/>
  <c r="T8" i="11"/>
  <c r="T9" i="11"/>
  <c r="T4" i="11"/>
  <c r="T10" i="11"/>
  <c r="T28" i="11"/>
  <c r="T29" i="11"/>
  <c r="T13" i="11"/>
  <c r="T5" i="11"/>
  <c r="T18" i="11"/>
  <c r="T30" i="11"/>
  <c r="T26" i="11"/>
  <c r="T20" i="11"/>
  <c r="T19" i="11"/>
  <c r="T24" i="11"/>
  <c r="T6" i="11"/>
  <c r="T17" i="11"/>
  <c r="T14" i="11"/>
  <c r="T32" i="11"/>
  <c r="T16" i="11"/>
  <c r="T15" i="11"/>
  <c r="T3" i="11"/>
  <c r="T7" i="11"/>
  <c r="T21" i="11"/>
  <c r="T27" i="11"/>
  <c r="T22" i="11"/>
  <c r="K38" i="1"/>
  <c r="AH5" i="13"/>
  <c r="AH33" i="13" s="1"/>
  <c r="AH39" i="13"/>
  <c r="K38" i="10"/>
  <c r="T11" i="11"/>
  <c r="T23" i="11"/>
  <c r="T31" i="11"/>
  <c r="T12" i="11"/>
  <c r="AQ30" i="11" l="1"/>
  <c r="AU23" i="11"/>
  <c r="AE23" i="11"/>
  <c r="AH23" i="11"/>
  <c r="AP23" i="11"/>
  <c r="AV23" i="11"/>
  <c r="AR23" i="11"/>
  <c r="AT23" i="11"/>
  <c r="X23" i="11"/>
  <c r="AQ23" i="11"/>
  <c r="AX23" i="11"/>
  <c r="AC23" i="11"/>
  <c r="AJ23" i="11"/>
  <c r="AO23" i="11"/>
  <c r="AD23" i="11"/>
  <c r="AF23" i="11"/>
  <c r="AM23" i="11"/>
  <c r="AS23" i="11"/>
  <c r="Y23" i="11"/>
  <c r="AB23" i="11"/>
  <c r="AG23" i="11"/>
  <c r="AL23" i="11"/>
  <c r="AZ23" i="11"/>
  <c r="AY23" i="11"/>
  <c r="AI23" i="11"/>
  <c r="AN23" i="11"/>
  <c r="AW23" i="11"/>
  <c r="W23" i="11"/>
  <c r="AA23" i="11"/>
  <c r="Z23" i="11"/>
  <c r="AK23" i="11"/>
  <c r="AO22" i="11"/>
  <c r="AS21" i="11"/>
  <c r="AC21" i="11"/>
  <c r="AP21" i="11"/>
  <c r="AY21" i="11"/>
  <c r="AD21" i="11"/>
  <c r="AX21" i="11"/>
  <c r="AH21" i="11"/>
  <c r="AA21" i="11"/>
  <c r="AO21" i="11"/>
  <c r="Y21" i="11"/>
  <c r="AJ21" i="11"/>
  <c r="AT21" i="11"/>
  <c r="X21" i="11"/>
  <c r="AM21" i="11"/>
  <c r="W21" i="11"/>
  <c r="AK21" i="11"/>
  <c r="AZ21" i="11"/>
  <c r="AE21" i="11"/>
  <c r="AN21" i="11"/>
  <c r="AQ21" i="11"/>
  <c r="AB21" i="11"/>
  <c r="AV21" i="11"/>
  <c r="AW21" i="11"/>
  <c r="AG21" i="11"/>
  <c r="AU21" i="11"/>
  <c r="Z21" i="11"/>
  <c r="AI21" i="11"/>
  <c r="AF21" i="11"/>
  <c r="AR21" i="11"/>
  <c r="AL21" i="11"/>
  <c r="AJ14" i="11"/>
  <c r="AK16" i="11"/>
  <c r="AV16" i="11"/>
  <c r="AA16" i="11"/>
  <c r="AJ16" i="11"/>
  <c r="AI16" i="11"/>
  <c r="AH16" i="11"/>
  <c r="AN16" i="11"/>
  <c r="AW16" i="11"/>
  <c r="AG16" i="11"/>
  <c r="AQ16" i="11"/>
  <c r="AZ16" i="11"/>
  <c r="AE16" i="11"/>
  <c r="X16" i="11"/>
  <c r="W16" i="11"/>
  <c r="AD16" i="11"/>
  <c r="AS16" i="11"/>
  <c r="AC16" i="11"/>
  <c r="AL16" i="11"/>
  <c r="AU16" i="11"/>
  <c r="Z16" i="11"/>
  <c r="AB16" i="11"/>
  <c r="AX16" i="11"/>
  <c r="AM16" i="11"/>
  <c r="AO16" i="11"/>
  <c r="Y16" i="11"/>
  <c r="AF16" i="11"/>
  <c r="AP16" i="11"/>
  <c r="AT16" i="11"/>
  <c r="AR16" i="11"/>
  <c r="AY16" i="11"/>
  <c r="AT6" i="11"/>
  <c r="AD6" i="11"/>
  <c r="AW6" i="11"/>
  <c r="AG6" i="11"/>
  <c r="AU6" i="11"/>
  <c r="AV6" i="11"/>
  <c r="AF6" i="11"/>
  <c r="W6" i="11"/>
  <c r="AP6" i="11"/>
  <c r="Z6" i="11"/>
  <c r="AS6" i="11"/>
  <c r="AC6" i="11"/>
  <c r="AM6" i="11"/>
  <c r="AR6" i="11"/>
  <c r="X6" i="11"/>
  <c r="AL6" i="11"/>
  <c r="AQ6" i="11"/>
  <c r="AO6" i="11"/>
  <c r="Y6" i="11"/>
  <c r="AA6" i="11"/>
  <c r="AN6" i="11"/>
  <c r="AY6" i="11"/>
  <c r="AX6" i="11"/>
  <c r="AH6" i="11"/>
  <c r="AE6" i="11"/>
  <c r="AK6" i="11"/>
  <c r="AB6" i="11"/>
  <c r="AZ6" i="11"/>
  <c r="AJ6" i="11"/>
  <c r="AI6" i="11"/>
  <c r="AL26" i="11"/>
  <c r="AQ26" i="11"/>
  <c r="AA26" i="11"/>
  <c r="AJ26" i="11"/>
  <c r="AF26" i="11"/>
  <c r="AD26" i="11"/>
  <c r="Z26" i="11"/>
  <c r="AX26" i="11"/>
  <c r="AH26" i="11"/>
  <c r="M519" i="2" s="1"/>
  <c r="AM26" i="11"/>
  <c r="W26" i="11"/>
  <c r="AC26" i="11"/>
  <c r="Y26" i="11"/>
  <c r="AV26" i="11"/>
  <c r="AG26" i="11"/>
  <c r="AT26" i="11"/>
  <c r="AY26" i="11"/>
  <c r="AI26" i="11"/>
  <c r="AZ26" i="11"/>
  <c r="X26" i="11"/>
  <c r="AW26" i="11"/>
  <c r="AB26" i="11"/>
  <c r="AK26" i="11"/>
  <c r="AP26" i="11"/>
  <c r="AU26" i="11"/>
  <c r="AE26" i="11"/>
  <c r="AR26" i="11"/>
  <c r="AO26" i="11"/>
  <c r="AN26" i="11"/>
  <c r="AS26" i="11"/>
  <c r="AW13" i="11"/>
  <c r="AG13" i="11"/>
  <c r="AU13" i="11"/>
  <c r="Z13" i="11"/>
  <c r="X13" i="11"/>
  <c r="AL13" i="11"/>
  <c r="AX13" i="11"/>
  <c r="AN13" i="11"/>
  <c r="AS13" i="11"/>
  <c r="AC13" i="11"/>
  <c r="AP13" i="11"/>
  <c r="AT13" i="11"/>
  <c r="AV13" i="11"/>
  <c r="AD13" i="11"/>
  <c r="AQ13" i="11"/>
  <c r="AH13" i="11"/>
  <c r="AO13" i="11"/>
  <c r="Y13" i="11"/>
  <c r="AJ13" i="11"/>
  <c r="AM13" i="11"/>
  <c r="AY13" i="11"/>
  <c r="W13" i="11"/>
  <c r="AI13" i="11"/>
  <c r="AK13" i="11"/>
  <c r="AZ13" i="11"/>
  <c r="AE13" i="11"/>
  <c r="AF13" i="11"/>
  <c r="AR13" i="11"/>
  <c r="AA13" i="11"/>
  <c r="AB13" i="11"/>
  <c r="W4" i="11"/>
  <c r="AT4" i="11"/>
  <c r="AD4" i="11"/>
  <c r="AE4" i="11"/>
  <c r="AK4" i="11"/>
  <c r="AP4" i="11"/>
  <c r="Z4" i="11"/>
  <c r="AW4" i="11"/>
  <c r="AL4" i="11"/>
  <c r="AY4" i="11"/>
  <c r="AS4" i="11"/>
  <c r="AC4" i="11"/>
  <c r="AX4" i="11"/>
  <c r="AH4" i="11"/>
  <c r="AQ4" i="11"/>
  <c r="AO4" i="11"/>
  <c r="Y4" i="11"/>
  <c r="AF4" i="11"/>
  <c r="AZ4" i="11"/>
  <c r="AB4" i="11"/>
  <c r="AU4" i="11"/>
  <c r="AV4" i="11"/>
  <c r="X4" i="11"/>
  <c r="AG4" i="11"/>
  <c r="AM4" i="11"/>
  <c r="AN4" i="11"/>
  <c r="AI4" i="11"/>
  <c r="AR4" i="11"/>
  <c r="AA4" i="11"/>
  <c r="AJ4" i="11"/>
  <c r="AS11" i="11"/>
  <c r="AC11" i="11"/>
  <c r="AM11" i="11"/>
  <c r="AY11" i="11"/>
  <c r="AZ11" i="11"/>
  <c r="AI11" i="11"/>
  <c r="AN11" i="11"/>
  <c r="AE11" i="11"/>
  <c r="AO11" i="11"/>
  <c r="Y11" i="11"/>
  <c r="AH11" i="11"/>
  <c r="AQ11" i="11"/>
  <c r="X11" i="11"/>
  <c r="AA11" i="11"/>
  <c r="AF11" i="11"/>
  <c r="AK11" i="11"/>
  <c r="AX11" i="11"/>
  <c r="AB11" i="11"/>
  <c r="AJ11" i="11"/>
  <c r="AV11" i="11"/>
  <c r="AL11" i="11"/>
  <c r="Z11" i="11"/>
  <c r="AW11" i="11"/>
  <c r="AG11" i="11"/>
  <c r="AR11" i="11"/>
  <c r="W11" i="11"/>
  <c r="AD11" i="11"/>
  <c r="AP11" i="11"/>
  <c r="AU11" i="11"/>
  <c r="AT11" i="11"/>
  <c r="AW7" i="11"/>
  <c r="AG7" i="11"/>
  <c r="AP7" i="11"/>
  <c r="AV7" i="11"/>
  <c r="AN7" i="11"/>
  <c r="AQ7" i="11"/>
  <c r="AM7" i="11"/>
  <c r="AL7" i="11"/>
  <c r="AS7" i="11"/>
  <c r="AC7" i="11"/>
  <c r="AJ7" i="11"/>
  <c r="AF7" i="11"/>
  <c r="AI7" i="11"/>
  <c r="W7" i="11"/>
  <c r="AH7" i="11"/>
  <c r="AA7" i="11"/>
  <c r="AO7" i="11"/>
  <c r="AZ7" i="11"/>
  <c r="AE7" i="11"/>
  <c r="AY7" i="11"/>
  <c r="AD7" i="11"/>
  <c r="AX7" i="11"/>
  <c r="AB7" i="11"/>
  <c r="AK7" i="11"/>
  <c r="AU7" i="11"/>
  <c r="Z7" i="11"/>
  <c r="AT7" i="11"/>
  <c r="Y7" i="11"/>
  <c r="AR7" i="11"/>
  <c r="X7" i="11"/>
  <c r="AY32" i="11"/>
  <c r="AL32" i="11"/>
  <c r="AZ32" i="11"/>
  <c r="AI32" i="11"/>
  <c r="AR32" i="11"/>
  <c r="AO32" i="11"/>
  <c r="AF32" i="11"/>
  <c r="AK32" i="11"/>
  <c r="AX32" i="11"/>
  <c r="AH32" i="11"/>
  <c r="AU32" i="11"/>
  <c r="AE32" i="11"/>
  <c r="AJ32" i="11"/>
  <c r="AG32" i="11"/>
  <c r="AS32" i="11"/>
  <c r="X32" i="11"/>
  <c r="AT32" i="11"/>
  <c r="AD32" i="11"/>
  <c r="AQ32" i="11"/>
  <c r="AA32" i="11"/>
  <c r="AB32" i="11"/>
  <c r="Y32" i="11"/>
  <c r="AC32" i="11"/>
  <c r="AP32" i="11"/>
  <c r="Z32" i="11"/>
  <c r="AM32" i="11"/>
  <c r="W32" i="11"/>
  <c r="AW32" i="11"/>
  <c r="AV32" i="11"/>
  <c r="AN32" i="11"/>
  <c r="AR22" i="11"/>
  <c r="AY24" i="11"/>
  <c r="AI24" i="11"/>
  <c r="AX24" i="11"/>
  <c r="AC24" i="11"/>
  <c r="AF24" i="11"/>
  <c r="AK24" i="11"/>
  <c r="AW24" i="11"/>
  <c r="AV24" i="11"/>
  <c r="AU24" i="11"/>
  <c r="AE24" i="11"/>
  <c r="AS24" i="11"/>
  <c r="X24" i="11"/>
  <c r="Y24" i="11"/>
  <c r="AD24" i="11"/>
  <c r="AJ24" i="11"/>
  <c r="AG24" i="11"/>
  <c r="AQ24" i="11"/>
  <c r="AA24" i="11"/>
  <c r="AN24" i="11"/>
  <c r="AT24" i="11"/>
  <c r="AZ24" i="11"/>
  <c r="AO24" i="11"/>
  <c r="AP24" i="11"/>
  <c r="AM24" i="11"/>
  <c r="W24" i="11"/>
  <c r="AH24" i="11"/>
  <c r="AL24" i="11"/>
  <c r="AR24" i="11"/>
  <c r="Z24" i="11"/>
  <c r="AB24" i="11"/>
  <c r="AL30" i="11"/>
  <c r="AZ30" i="11"/>
  <c r="AH30" i="11"/>
  <c r="AX30" i="11"/>
  <c r="X30" i="11"/>
  <c r="AA30" i="11"/>
  <c r="AI30" i="11"/>
  <c r="AB30" i="11"/>
  <c r="AD30" i="11"/>
  <c r="AN30" i="11"/>
  <c r="AG30" i="11"/>
  <c r="AY30" i="11"/>
  <c r="W30" i="11"/>
  <c r="AT30" i="11"/>
  <c r="AF30" i="11"/>
  <c r="AC30" i="11"/>
  <c r="AM30" i="11"/>
  <c r="AW30" i="11"/>
  <c r="AP30" i="11"/>
  <c r="AS30" i="11"/>
  <c r="AV30" i="11"/>
  <c r="Y30" i="11"/>
  <c r="Z30" i="11"/>
  <c r="AJ30" i="11"/>
  <c r="AR30" i="11"/>
  <c r="AE30" i="11"/>
  <c r="AU30" i="11"/>
  <c r="AK30" i="11"/>
  <c r="AO30" i="11"/>
  <c r="AL29" i="11"/>
  <c r="AS29" i="11"/>
  <c r="AH29" i="11"/>
  <c r="AN29" i="11"/>
  <c r="AP29" i="11"/>
  <c r="AK29" i="11"/>
  <c r="AR29" i="11"/>
  <c r="AZ29" i="11"/>
  <c r="AC29" i="11"/>
  <c r="AE29" i="11"/>
  <c r="AW29" i="11"/>
  <c r="AU29" i="11"/>
  <c r="AY29" i="11"/>
  <c r="X29" i="11"/>
  <c r="AB29" i="11"/>
  <c r="AX29" i="11"/>
  <c r="AF29" i="11"/>
  <c r="AO29" i="11"/>
  <c r="W29" i="11"/>
  <c r="AV29" i="11"/>
  <c r="Z29" i="11"/>
  <c r="AA29" i="11"/>
  <c r="AQ29" i="11"/>
  <c r="AG29" i="11"/>
  <c r="AD29" i="11"/>
  <c r="AJ29" i="11"/>
  <c r="AT29" i="11"/>
  <c r="AO9" i="11"/>
  <c r="Y9" i="11"/>
  <c r="AH9" i="11"/>
  <c r="X9" i="11"/>
  <c r="AF9" i="11"/>
  <c r="AZ9" i="11"/>
  <c r="AE9" i="11"/>
  <c r="AK9" i="11"/>
  <c r="AX9" i="11"/>
  <c r="AB9" i="11"/>
  <c r="AV9" i="11"/>
  <c r="AA9" i="11"/>
  <c r="AU9" i="11"/>
  <c r="Z9" i="11"/>
  <c r="AW9" i="11"/>
  <c r="AG9" i="11"/>
  <c r="AR9" i="11"/>
  <c r="W9" i="11"/>
  <c r="AQ9" i="11"/>
  <c r="AT9" i="11"/>
  <c r="AP9" i="11"/>
  <c r="AY9" i="11"/>
  <c r="AS9" i="11"/>
  <c r="AC9" i="11"/>
  <c r="AM9" i="11"/>
  <c r="AN9" i="11"/>
  <c r="AL9" i="11"/>
  <c r="AD9" i="11"/>
  <c r="AJ9" i="11"/>
  <c r="AI9" i="11"/>
  <c r="AF22" i="11"/>
  <c r="AW12" i="11"/>
  <c r="AG12" i="11"/>
  <c r="AQ12" i="11"/>
  <c r="AZ12" i="11"/>
  <c r="X12" i="11"/>
  <c r="AJ12" i="11"/>
  <c r="AX12" i="11"/>
  <c r="AN12" i="11"/>
  <c r="AS12" i="11"/>
  <c r="AC12" i="11"/>
  <c r="AL12" i="11"/>
  <c r="AT12" i="11"/>
  <c r="AU12" i="11"/>
  <c r="AD12" i="11"/>
  <c r="AP12" i="11"/>
  <c r="Z12" i="11"/>
  <c r="AO12" i="11"/>
  <c r="Y12" i="11"/>
  <c r="AF12" i="11"/>
  <c r="AM12" i="11"/>
  <c r="AY12" i="11"/>
  <c r="W12" i="11"/>
  <c r="AI12" i="11"/>
  <c r="AK12" i="11"/>
  <c r="AV12" i="11"/>
  <c r="AA12" i="11"/>
  <c r="AE12" i="11"/>
  <c r="AR12" i="11"/>
  <c r="AH12" i="11"/>
  <c r="AB12" i="11"/>
  <c r="AL22" i="11"/>
  <c r="AM22" i="11"/>
  <c r="AY22" i="11"/>
  <c r="AI22" i="11"/>
  <c r="AB22" i="11"/>
  <c r="AZ22" i="11"/>
  <c r="AT22" i="11"/>
  <c r="AK22" i="11"/>
  <c r="Y22" i="11"/>
  <c r="AE22" i="11"/>
  <c r="AC22" i="11"/>
  <c r="AS22" i="11"/>
  <c r="AH22" i="11"/>
  <c r="AW22" i="11"/>
  <c r="AG22" i="11"/>
  <c r="AA22" i="11"/>
  <c r="Z22" i="11"/>
  <c r="AP22" i="11"/>
  <c r="AX22" i="11"/>
  <c r="AV22" i="11"/>
  <c r="AD22" i="11"/>
  <c r="W22" i="11"/>
  <c r="AJ22" i="11"/>
  <c r="AU22" i="11"/>
  <c r="AQ22" i="11"/>
  <c r="X22" i="11"/>
  <c r="T33" i="11"/>
  <c r="AP3" i="11"/>
  <c r="Z3" i="11"/>
  <c r="AW3" i="11"/>
  <c r="AG3" i="11"/>
  <c r="AN3" i="11"/>
  <c r="AE3" i="11"/>
  <c r="AB3" i="11"/>
  <c r="T34" i="11"/>
  <c r="AL3" i="11"/>
  <c r="AU3" i="11"/>
  <c r="AS3" i="11"/>
  <c r="AC3" i="11"/>
  <c r="AF3" i="11"/>
  <c r="AV3" i="11"/>
  <c r="AY3" i="11"/>
  <c r="AX3" i="11"/>
  <c r="AH3" i="11"/>
  <c r="AI3" i="11"/>
  <c r="AO3" i="11"/>
  <c r="Y3" i="11"/>
  <c r="X3" i="11"/>
  <c r="AR3" i="11"/>
  <c r="AM3" i="11"/>
  <c r="T35" i="11"/>
  <c r="AT3" i="11"/>
  <c r="AD3" i="11"/>
  <c r="W3" i="11"/>
  <c r="AK3" i="11"/>
  <c r="AZ3" i="11"/>
  <c r="AQ3" i="11"/>
  <c r="AJ3" i="11"/>
  <c r="AA3" i="11"/>
  <c r="AZ14" i="11"/>
  <c r="AU14" i="11"/>
  <c r="AY14" i="11"/>
  <c r="AS14" i="11"/>
  <c r="AH14" i="11"/>
  <c r="AX14" i="11"/>
  <c r="AP14" i="11"/>
  <c r="AB14" i="11"/>
  <c r="AC14" i="11"/>
  <c r="AN14" i="11"/>
  <c r="X14" i="11"/>
  <c r="AQ14" i="11"/>
  <c r="AE14" i="11"/>
  <c r="AW14" i="11"/>
  <c r="AG14" i="11"/>
  <c r="AA14" i="11"/>
  <c r="AT14" i="11"/>
  <c r="M518" i="2" s="1"/>
  <c r="AL14" i="11"/>
  <c r="AD14" i="11"/>
  <c r="AK14" i="11"/>
  <c r="AM14" i="11"/>
  <c r="Z14" i="11"/>
  <c r="W14" i="11"/>
  <c r="AO14" i="11"/>
  <c r="AF14" i="11"/>
  <c r="AR14" i="11"/>
  <c r="AI14" i="11"/>
  <c r="Y14" i="11"/>
  <c r="AM29" i="11"/>
  <c r="AS19" i="11"/>
  <c r="AC19" i="11"/>
  <c r="AM19" i="11"/>
  <c r="AV19" i="11"/>
  <c r="AA19" i="11"/>
  <c r="AU19" i="11"/>
  <c r="AT19" i="11"/>
  <c r="AP19" i="11"/>
  <c r="AO19" i="11"/>
  <c r="Y19" i="11"/>
  <c r="AH19" i="11"/>
  <c r="AQ19" i="11"/>
  <c r="AY19" i="11"/>
  <c r="AJ19" i="11"/>
  <c r="AI19" i="11"/>
  <c r="AK19" i="11"/>
  <c r="AX19" i="11"/>
  <c r="AB19" i="11"/>
  <c r="AL19" i="11"/>
  <c r="AN19" i="11"/>
  <c r="Z19" i="11"/>
  <c r="X19" i="11"/>
  <c r="AW19" i="11"/>
  <c r="AG19" i="11"/>
  <c r="AR19" i="11"/>
  <c r="W19" i="11"/>
  <c r="AF19" i="11"/>
  <c r="AD19" i="11"/>
  <c r="AE19" i="11"/>
  <c r="AZ19" i="11"/>
  <c r="AS18" i="11"/>
  <c r="AL18" i="11"/>
  <c r="AH18" i="11"/>
  <c r="AG18" i="11"/>
  <c r="AI18" i="11"/>
  <c r="AC18" i="11"/>
  <c r="AF18" i="11"/>
  <c r="AX18" i="11"/>
  <c r="W18" i="11"/>
  <c r="Y18" i="11"/>
  <c r="AR18" i="11"/>
  <c r="Z18" i="11"/>
  <c r="AA18" i="11"/>
  <c r="AZ18" i="11"/>
  <c r="AO18" i="11"/>
  <c r="AU18" i="11"/>
  <c r="AB18" i="11"/>
  <c r="AQ18" i="11"/>
  <c r="AE18" i="11"/>
  <c r="X18" i="11"/>
  <c r="AW18" i="11"/>
  <c r="AP18" i="11"/>
  <c r="AT18" i="11"/>
  <c r="AN18" i="11"/>
  <c r="AM18" i="11"/>
  <c r="AD18" i="11"/>
  <c r="AV18" i="11"/>
  <c r="AY18" i="11"/>
  <c r="AK18" i="11"/>
  <c r="AJ18" i="11"/>
  <c r="AV14" i="11"/>
  <c r="AL28" i="11"/>
  <c r="AY28" i="11"/>
  <c r="AI28" i="11"/>
  <c r="AZ28" i="11"/>
  <c r="AW28" i="11"/>
  <c r="AF28" i="11"/>
  <c r="AK28" i="11"/>
  <c r="AX28" i="11"/>
  <c r="AH28" i="11"/>
  <c r="AU28" i="11"/>
  <c r="AE28" i="11"/>
  <c r="AR28" i="11"/>
  <c r="AO28" i="11"/>
  <c r="AS28" i="11"/>
  <c r="Y28" i="11"/>
  <c r="AT28" i="11"/>
  <c r="AD28" i="11"/>
  <c r="AQ28" i="11"/>
  <c r="AA28" i="11"/>
  <c r="AJ28" i="11"/>
  <c r="AG28" i="11"/>
  <c r="AC28" i="11"/>
  <c r="X28" i="11"/>
  <c r="AP28" i="11"/>
  <c r="Z28" i="11"/>
  <c r="AM28" i="11"/>
  <c r="W28" i="11"/>
  <c r="AB28" i="11"/>
  <c r="AV28" i="11"/>
  <c r="AN28" i="11"/>
  <c r="AO8" i="11"/>
  <c r="Y8" i="11"/>
  <c r="AI8" i="11"/>
  <c r="AX8" i="11"/>
  <c r="AB8" i="11"/>
  <c r="AV8" i="11"/>
  <c r="AA8" i="11"/>
  <c r="AK8" i="11"/>
  <c r="AY8" i="11"/>
  <c r="AD8" i="11"/>
  <c r="AR8" i="11"/>
  <c r="W8" i="11"/>
  <c r="AQ8" i="11"/>
  <c r="AZ8" i="11"/>
  <c r="AW8" i="11"/>
  <c r="AG8" i="11"/>
  <c r="AT8" i="11"/>
  <c r="X8" i="11"/>
  <c r="AM8" i="11"/>
  <c r="AU8" i="11"/>
  <c r="AL8" i="11"/>
  <c r="AJ8" i="11"/>
  <c r="AS8" i="11"/>
  <c r="AC8" i="11"/>
  <c r="AN8" i="11"/>
  <c r="AP8" i="11"/>
  <c r="AH8" i="11"/>
  <c r="AE8" i="11"/>
  <c r="AF8" i="11"/>
  <c r="Z8" i="11"/>
  <c r="AT31" i="11"/>
  <c r="AD31" i="11"/>
  <c r="AQ31" i="11"/>
  <c r="AA31" i="11"/>
  <c r="AJ31" i="11"/>
  <c r="AG31" i="11"/>
  <c r="AS31" i="11"/>
  <c r="X31" i="11"/>
  <c r="AP31" i="11"/>
  <c r="Z31" i="11"/>
  <c r="AM31" i="11"/>
  <c r="W31" i="11"/>
  <c r="AB31" i="11"/>
  <c r="Y31" i="11"/>
  <c r="AC31" i="11"/>
  <c r="AL31" i="11"/>
  <c r="AY31" i="11"/>
  <c r="AI31" i="11"/>
  <c r="AZ31" i="11"/>
  <c r="AW31" i="11"/>
  <c r="AV31" i="11"/>
  <c r="AN31" i="11"/>
  <c r="AX31" i="11"/>
  <c r="AH31" i="11"/>
  <c r="AU31" i="11"/>
  <c r="AE31" i="11"/>
  <c r="AR31" i="11"/>
  <c r="AO31" i="11"/>
  <c r="AF31" i="11"/>
  <c r="AK31" i="11"/>
  <c r="AT27" i="11"/>
  <c r="AD27" i="11"/>
  <c r="AQ27" i="11"/>
  <c r="AA27" i="11"/>
  <c r="AJ27" i="11"/>
  <c r="AW27" i="11"/>
  <c r="AV27" i="11"/>
  <c r="X27" i="11"/>
  <c r="AP27" i="11"/>
  <c r="Z27" i="11"/>
  <c r="AM27" i="11"/>
  <c r="W27" i="11"/>
  <c r="AB27" i="11"/>
  <c r="AN27" i="11"/>
  <c r="Y27" i="11"/>
  <c r="AL27" i="11"/>
  <c r="AY27" i="11"/>
  <c r="AI27" i="11"/>
  <c r="AZ27" i="11"/>
  <c r="AO27" i="11"/>
  <c r="AC27" i="11"/>
  <c r="AK27" i="11"/>
  <c r="AX27" i="11"/>
  <c r="AH27" i="11"/>
  <c r="AU27" i="11"/>
  <c r="AE27" i="11"/>
  <c r="AR27" i="11"/>
  <c r="AF27" i="11"/>
  <c r="AG27" i="11"/>
  <c r="AS27" i="11"/>
  <c r="AI29" i="11"/>
  <c r="AS15" i="11"/>
  <c r="AC15" i="11"/>
  <c r="AM15" i="11"/>
  <c r="AV15" i="11"/>
  <c r="AA15" i="11"/>
  <c r="AU15" i="11"/>
  <c r="AT15" i="11"/>
  <c r="AE15" i="11"/>
  <c r="AO15" i="11"/>
  <c r="Y15" i="11"/>
  <c r="AH15" i="11"/>
  <c r="AQ15" i="11"/>
  <c r="AY15" i="11"/>
  <c r="AJ15" i="11"/>
  <c r="AI15" i="11"/>
  <c r="AK15" i="11"/>
  <c r="AX15" i="11"/>
  <c r="AB15" i="11"/>
  <c r="AL15" i="11"/>
  <c r="AN15" i="11"/>
  <c r="Z15" i="11"/>
  <c r="X15" i="11"/>
  <c r="AW15" i="11"/>
  <c r="AG15" i="11"/>
  <c r="AR15" i="11"/>
  <c r="W15" i="11"/>
  <c r="AF15" i="11"/>
  <c r="AD15" i="11"/>
  <c r="AP15" i="11"/>
  <c r="AZ15" i="11"/>
  <c r="AK17" i="11"/>
  <c r="AZ17" i="11"/>
  <c r="AE17" i="11"/>
  <c r="AN17" i="11"/>
  <c r="AQ17" i="11"/>
  <c r="AB17" i="11"/>
  <c r="AA17" i="11"/>
  <c r="AW17" i="11"/>
  <c r="AG17" i="11"/>
  <c r="AU17" i="11"/>
  <c r="Z17" i="11"/>
  <c r="AI17" i="11"/>
  <c r="AF17" i="11"/>
  <c r="AH17" i="11"/>
  <c r="AR17" i="11"/>
  <c r="AS17" i="11"/>
  <c r="AC17" i="11"/>
  <c r="AP17" i="11"/>
  <c r="AY17" i="11"/>
  <c r="AD17" i="11"/>
  <c r="AX17" i="11"/>
  <c r="AV17" i="11"/>
  <c r="W17" i="11"/>
  <c r="AO17" i="11"/>
  <c r="Y17" i="11"/>
  <c r="AJ17" i="11"/>
  <c r="AT17" i="11"/>
  <c r="X17" i="11"/>
  <c r="AM17" i="11"/>
  <c r="AL17" i="11"/>
  <c r="AN22" i="11"/>
  <c r="AK20" i="11"/>
  <c r="AV20" i="11"/>
  <c r="AA20" i="11"/>
  <c r="AJ20" i="11"/>
  <c r="AI20" i="11"/>
  <c r="AH20" i="11"/>
  <c r="AN20" i="11"/>
  <c r="AW20" i="11"/>
  <c r="AG20" i="11"/>
  <c r="AQ20" i="11"/>
  <c r="AZ20" i="11"/>
  <c r="AE20" i="11"/>
  <c r="X20" i="11"/>
  <c r="W20" i="11"/>
  <c r="AD20" i="11"/>
  <c r="AS20" i="11"/>
  <c r="AC20" i="11"/>
  <c r="AL20" i="11"/>
  <c r="AU20" i="11"/>
  <c r="Z20" i="11"/>
  <c r="AB20" i="11"/>
  <c r="AM20" i="11"/>
  <c r="AX20" i="11"/>
  <c r="AO20" i="11"/>
  <c r="Y20" i="11"/>
  <c r="AF20" i="11"/>
  <c r="AP20" i="11"/>
  <c r="AT20" i="11"/>
  <c r="AR20" i="11"/>
  <c r="AY20" i="11"/>
  <c r="Y29" i="11"/>
  <c r="AL5" i="11"/>
  <c r="AQ5" i="11"/>
  <c r="AO5" i="11"/>
  <c r="Y5" i="11"/>
  <c r="AI5" i="11"/>
  <c r="AR5" i="11"/>
  <c r="AU5" i="11"/>
  <c r="AX5" i="11"/>
  <c r="AH5" i="11"/>
  <c r="AE5" i="11"/>
  <c r="AK5" i="11"/>
  <c r="AF5" i="11"/>
  <c r="AA5" i="11"/>
  <c r="AN5" i="11"/>
  <c r="AM5" i="11"/>
  <c r="AT5" i="11"/>
  <c r="AD5" i="11"/>
  <c r="AW5" i="11"/>
  <c r="AG5" i="11"/>
  <c r="X5" i="11"/>
  <c r="AZ5" i="11"/>
  <c r="AJ5" i="11"/>
  <c r="W5" i="11"/>
  <c r="AP5" i="11"/>
  <c r="Z5" i="11"/>
  <c r="AS5" i="11"/>
  <c r="AC5" i="11"/>
  <c r="AY5" i="11"/>
  <c r="AV5" i="11"/>
  <c r="AB5" i="11"/>
  <c r="AK10" i="11"/>
  <c r="AY10" i="11"/>
  <c r="AF10" i="11"/>
  <c r="AU10" i="11"/>
  <c r="Z10" i="11"/>
  <c r="AT10" i="11"/>
  <c r="X10" i="11"/>
  <c r="AW10" i="11"/>
  <c r="AG10" i="11"/>
  <c r="AV10" i="11"/>
  <c r="AA10" i="11"/>
  <c r="AP10" i="11"/>
  <c r="AR10" i="11"/>
  <c r="AN10" i="11"/>
  <c r="AX10" i="11"/>
  <c r="AS10" i="11"/>
  <c r="AC10" i="11"/>
  <c r="AQ10" i="11"/>
  <c r="AM10" i="11"/>
  <c r="AJ10" i="11"/>
  <c r="AB10" i="11"/>
  <c r="AI10" i="11"/>
  <c r="AH10" i="11"/>
  <c r="AO10" i="11"/>
  <c r="Y10" i="11"/>
  <c r="AL10" i="11"/>
  <c r="W10" i="11"/>
  <c r="AE10" i="11"/>
  <c r="AZ10" i="11"/>
  <c r="AD10" i="11"/>
  <c r="AW25" i="11"/>
  <c r="AS25" i="11"/>
  <c r="AG25" i="11"/>
  <c r="AC25" i="11"/>
  <c r="AR25" i="11"/>
  <c r="AB25" i="11"/>
  <c r="AF25" i="11"/>
  <c r="AH25" i="11"/>
  <c r="AE25" i="11"/>
  <c r="X25" i="11"/>
  <c r="AJ25" i="11"/>
  <c r="AK25" i="11"/>
  <c r="AP25" i="11"/>
  <c r="AX25" i="11"/>
  <c r="AL25" i="11"/>
  <c r="AQ25" i="11"/>
  <c r="AU25" i="11"/>
  <c r="AZ25" i="11"/>
  <c r="AD25" i="11"/>
  <c r="AI25" i="11"/>
  <c r="Y25" i="11"/>
  <c r="AV25" i="11"/>
  <c r="AT25" i="11"/>
  <c r="Z25" i="11"/>
  <c r="AA25" i="11"/>
  <c r="AN25" i="11"/>
  <c r="AY25" i="11"/>
  <c r="W25" i="11"/>
  <c r="AM25" i="11"/>
  <c r="AO25" i="11"/>
  <c r="M898" i="2" l="1"/>
  <c r="M1822" i="2"/>
  <c r="N1822" i="2" s="1"/>
  <c r="M980" i="2"/>
  <c r="M346" i="2"/>
  <c r="N346" i="2" s="1"/>
  <c r="M2133" i="2"/>
  <c r="M1447" i="2"/>
  <c r="N1447" i="2" s="1"/>
  <c r="M61" i="2"/>
  <c r="N61" i="2" s="1"/>
  <c r="M843" i="2"/>
  <c r="M2447" i="2"/>
  <c r="N2447" i="2" s="1"/>
  <c r="M1655" i="2"/>
  <c r="N1655" i="2" s="1"/>
  <c r="M2089" i="2"/>
  <c r="M2199" i="2"/>
  <c r="N2199" i="2" s="1"/>
  <c r="M1545" i="2"/>
  <c r="N1545" i="2" s="1"/>
  <c r="M947" i="2"/>
  <c r="M87" i="2"/>
  <c r="N87" i="2" s="1"/>
  <c r="M255" i="2"/>
  <c r="M554" i="2"/>
  <c r="M1330" i="2"/>
  <c r="N1330" i="2" s="1"/>
  <c r="M1663" i="2"/>
  <c r="N1663" i="2" s="1"/>
  <c r="M841" i="2"/>
  <c r="M163" i="2"/>
  <c r="N163" i="2" s="1"/>
  <c r="M295" i="2"/>
  <c r="M1161" i="2"/>
  <c r="N1161" i="2" s="1"/>
  <c r="M1187" i="2"/>
  <c r="M2363" i="2"/>
  <c r="N2363" i="2" s="1"/>
  <c r="M1058" i="2"/>
  <c r="N1058" i="2" s="1"/>
  <c r="M2082" i="2"/>
  <c r="M2028" i="2"/>
  <c r="N2028" i="2" s="1"/>
  <c r="M1854" i="2"/>
  <c r="N1854" i="2" s="1"/>
  <c r="M690" i="2"/>
  <c r="M754" i="2"/>
  <c r="N754" i="2" s="1"/>
  <c r="M1421" i="2"/>
  <c r="N1421" i="2" s="1"/>
  <c r="M817" i="2"/>
  <c r="M1380" i="2"/>
  <c r="M998" i="2"/>
  <c r="N998" i="2" s="1"/>
  <c r="M1980" i="2"/>
  <c r="N1980" i="2" s="1"/>
  <c r="M1020" i="2"/>
  <c r="N1020" i="2" s="1"/>
  <c r="M1742" i="2"/>
  <c r="M559" i="2"/>
  <c r="N559" i="2" s="1"/>
  <c r="M1361" i="2"/>
  <c r="M2271" i="2"/>
  <c r="N2271" i="2" s="1"/>
  <c r="M2321" i="2"/>
  <c r="N2321" i="2" s="1"/>
  <c r="M1126" i="2"/>
  <c r="N1126" i="2" s="1"/>
  <c r="M1720" i="2"/>
  <c r="M1550" i="2"/>
  <c r="M2038" i="2"/>
  <c r="N2038" i="2" s="1"/>
  <c r="M2378" i="2"/>
  <c r="N2378" i="2" s="1"/>
  <c r="M328" i="2"/>
  <c r="N328" i="2" s="1"/>
  <c r="M1566" i="2"/>
  <c r="M1150" i="2"/>
  <c r="N1150" i="2" s="1"/>
  <c r="M276" i="2"/>
  <c r="M2456" i="2"/>
  <c r="N2456" i="2" s="1"/>
  <c r="M1692" i="2"/>
  <c r="M1888" i="2"/>
  <c r="N1888" i="2" s="1"/>
  <c r="M942" i="2"/>
  <c r="M994" i="2"/>
  <c r="N994" i="2" s="1"/>
  <c r="M2098" i="2"/>
  <c r="N2098" i="2" s="1"/>
  <c r="M2206" i="2"/>
  <c r="N2206" i="2" s="1"/>
  <c r="M609" i="2"/>
  <c r="N609" i="2" s="1"/>
  <c r="M903" i="2"/>
  <c r="M1581" i="2"/>
  <c r="N1581" i="2" s="1"/>
  <c r="M2377" i="2"/>
  <c r="N2377" i="2" s="1"/>
  <c r="M435" i="2"/>
  <c r="N435" i="2" s="1"/>
  <c r="M1087" i="2"/>
  <c r="M171" i="2"/>
  <c r="M1469" i="2"/>
  <c r="N1469" i="2" s="1"/>
  <c r="M1553" i="2"/>
  <c r="N1553" i="2" s="1"/>
  <c r="M1321" i="2"/>
  <c r="M1338" i="2"/>
  <c r="M1936" i="2"/>
  <c r="N1936" i="2" s="1"/>
  <c r="M2436" i="2"/>
  <c r="N2436" i="2" s="1"/>
  <c r="M668" i="2"/>
  <c r="N668" i="2" s="1"/>
  <c r="M813" i="2"/>
  <c r="N813" i="2" s="1"/>
  <c r="M1133" i="2"/>
  <c r="M376" i="2"/>
  <c r="N376" i="2" s="1"/>
  <c r="M964" i="2"/>
  <c r="N964" i="2" s="1"/>
  <c r="M2310" i="2"/>
  <c r="M176" i="2"/>
  <c r="M1952" i="2"/>
  <c r="N1952" i="2" s="1"/>
  <c r="M1151" i="2"/>
  <c r="M1567" i="2"/>
  <c r="N1567" i="2" s="1"/>
  <c r="M332" i="2"/>
  <c r="M1258" i="2"/>
  <c r="N1258" i="2" s="1"/>
  <c r="M2049" i="2"/>
  <c r="N2049" i="2" s="1"/>
  <c r="M619" i="2"/>
  <c r="N619" i="2" s="1"/>
  <c r="M1231" i="2"/>
  <c r="N1231" i="2" s="1"/>
  <c r="M1351" i="2"/>
  <c r="M2159" i="2"/>
  <c r="N2159" i="2" s="1"/>
  <c r="M2417" i="2"/>
  <c r="M729" i="2"/>
  <c r="N729" i="2" s="1"/>
  <c r="M303" i="2"/>
  <c r="N303" i="2" s="1"/>
  <c r="M535" i="2"/>
  <c r="M871" i="2"/>
  <c r="N871" i="2" s="1"/>
  <c r="M1797" i="2"/>
  <c r="N1797" i="2" s="1"/>
  <c r="M2258" i="2"/>
  <c r="N2258" i="2" s="1"/>
  <c r="M156" i="2"/>
  <c r="M1414" i="2"/>
  <c r="N1414" i="2" s="1"/>
  <c r="M1584" i="2"/>
  <c r="N1584" i="2" s="1"/>
  <c r="M2217" i="2"/>
  <c r="N2217" i="2" s="1"/>
  <c r="M1859" i="2"/>
  <c r="N1859" i="2" s="1"/>
  <c r="M137" i="2"/>
  <c r="M861" i="2"/>
  <c r="N861" i="2" s="1"/>
  <c r="M1422" i="2"/>
  <c r="N1422" i="2" s="1"/>
  <c r="M1598" i="2"/>
  <c r="N1598" i="2" s="1"/>
  <c r="M826" i="2"/>
  <c r="M204" i="2"/>
  <c r="N204" i="2" s="1"/>
  <c r="M340" i="2"/>
  <c r="M1116" i="2"/>
  <c r="N1116" i="2" s="1"/>
  <c r="M633" i="2"/>
  <c r="M753" i="2"/>
  <c r="N753" i="2" s="1"/>
  <c r="M612" i="2"/>
  <c r="N612" i="2" s="1"/>
  <c r="M1316" i="2"/>
  <c r="M2424" i="2"/>
  <c r="N2424" i="2" s="1"/>
  <c r="M282" i="2"/>
  <c r="N282" i="2" s="1"/>
  <c r="M686" i="2"/>
  <c r="M796" i="2"/>
  <c r="N796" i="2" s="1"/>
  <c r="M399" i="2"/>
  <c r="M881" i="2"/>
  <c r="N881" i="2" s="1"/>
  <c r="M1945" i="2"/>
  <c r="N1945" i="2" s="1"/>
  <c r="M617" i="2"/>
  <c r="M1207" i="2"/>
  <c r="M2065" i="2"/>
  <c r="N2065" i="2" s="1"/>
  <c r="M1651" i="2"/>
  <c r="N1651" i="2" s="1"/>
  <c r="M465" i="2"/>
  <c r="N465" i="2" s="1"/>
  <c r="M165" i="2"/>
  <c r="M1165" i="2"/>
  <c r="N1165" i="2" s="1"/>
  <c r="M1811" i="2"/>
  <c r="N1811" i="2" s="1"/>
  <c r="M2239" i="2"/>
  <c r="N2239" i="2" s="1"/>
  <c r="M641" i="2"/>
  <c r="M2339" i="2"/>
  <c r="N2339" i="2" s="1"/>
  <c r="M1851" i="2"/>
  <c r="N1851" i="2" s="1"/>
  <c r="M493" i="2"/>
  <c r="N493" i="2" s="1"/>
  <c r="M215" i="2"/>
  <c r="N215" i="2" s="1"/>
  <c r="M419" i="2"/>
  <c r="M720" i="2"/>
  <c r="N720" i="2" s="1"/>
  <c r="M1188" i="2"/>
  <c r="N1188" i="2" s="1"/>
  <c r="M1700" i="2"/>
  <c r="N1700" i="2" s="1"/>
  <c r="M778" i="2"/>
  <c r="M2177" i="2"/>
  <c r="N2177" i="2" s="1"/>
  <c r="M193" i="2"/>
  <c r="N193" i="2" s="1"/>
  <c r="M231" i="2"/>
  <c r="M517" i="2"/>
  <c r="N517" i="2" s="1"/>
  <c r="M383" i="2"/>
  <c r="N383" i="2" s="1"/>
  <c r="M731" i="2"/>
  <c r="M1555" i="2"/>
  <c r="N1555" i="2" s="1"/>
  <c r="M199" i="2"/>
  <c r="M1031" i="2"/>
  <c r="N1031" i="2" s="1"/>
  <c r="M627" i="2"/>
  <c r="N627" i="2" s="1"/>
  <c r="M1219" i="2"/>
  <c r="M1667" i="2"/>
  <c r="N1667" i="2" s="1"/>
  <c r="M675" i="2"/>
  <c r="N675" i="2" s="1"/>
  <c r="M745" i="2"/>
  <c r="M221" i="2"/>
  <c r="M983" i="2"/>
  <c r="N983" i="2" s="1"/>
  <c r="M1341" i="2"/>
  <c r="N1341" i="2" s="1"/>
  <c r="M1791" i="2"/>
  <c r="M407" i="2"/>
  <c r="N407" i="2" s="1"/>
  <c r="M1055" i="2"/>
  <c r="M1285" i="2"/>
  <c r="N1285" i="2" s="1"/>
  <c r="M967" i="2"/>
  <c r="M709" i="2"/>
  <c r="N709" i="2" s="1"/>
  <c r="M1636" i="2"/>
  <c r="N1636" i="2" s="1"/>
  <c r="M36" i="2"/>
  <c r="N36" i="2" s="1"/>
  <c r="M544" i="2"/>
  <c r="M1170" i="2"/>
  <c r="M1526" i="2"/>
  <c r="N1526" i="2" s="1"/>
  <c r="M2381" i="2"/>
  <c r="N2381" i="2" s="1"/>
  <c r="M251" i="2"/>
  <c r="M1777" i="2"/>
  <c r="N1777" i="2" s="1"/>
  <c r="M2351" i="2"/>
  <c r="N2351" i="2" s="1"/>
  <c r="M358" i="2"/>
  <c r="M420" i="2"/>
  <c r="N420" i="2" s="1"/>
  <c r="M1612" i="2"/>
  <c r="N1612" i="2" s="1"/>
  <c r="M2442" i="2"/>
  <c r="N2442" i="2" s="1"/>
  <c r="M294" i="2"/>
  <c r="N294" i="2" s="1"/>
  <c r="M162" i="2"/>
  <c r="M1120" i="2"/>
  <c r="M1394" i="2"/>
  <c r="N1394" i="2" s="1"/>
  <c r="M2151" i="2"/>
  <c r="N2151" i="2" s="1"/>
  <c r="M771" i="2"/>
  <c r="N771" i="2" s="1"/>
  <c r="M605" i="2"/>
  <c r="M2005" i="2"/>
  <c r="N2005" i="2" s="1"/>
  <c r="M1121" i="2"/>
  <c r="N1121" i="2" s="1"/>
  <c r="M1395" i="2"/>
  <c r="M901" i="2"/>
  <c r="N901" i="2" s="1"/>
  <c r="M2455" i="2"/>
  <c r="M2453" i="2"/>
  <c r="N2453" i="2" s="1"/>
  <c r="M803" i="2"/>
  <c r="N803" i="2" s="1"/>
  <c r="M629" i="2"/>
  <c r="M2415" i="2"/>
  <c r="N2415" i="2" s="1"/>
  <c r="M2139" i="2"/>
  <c r="N2139" i="2" s="1"/>
  <c r="M159" i="2"/>
  <c r="M883" i="2"/>
  <c r="N883" i="2" s="1"/>
  <c r="M1541" i="2"/>
  <c r="N1541" i="2" s="1"/>
  <c r="M1821" i="2"/>
  <c r="M583" i="2"/>
  <c r="N583" i="2" s="1"/>
  <c r="M520" i="2"/>
  <c r="N520" i="2" s="1"/>
  <c r="M1362" i="2"/>
  <c r="M1948" i="2"/>
  <c r="M2078" i="2"/>
  <c r="N2078" i="2" s="1"/>
  <c r="M572" i="2"/>
  <c r="M1404" i="2"/>
  <c r="N1404" i="2" s="1"/>
  <c r="M1194" i="2"/>
  <c r="M1844" i="2"/>
  <c r="N1844" i="2" s="1"/>
  <c r="M1768" i="2"/>
  <c r="N1768" i="2" s="1"/>
  <c r="M624" i="2"/>
  <c r="M1449" i="2"/>
  <c r="M2187" i="2"/>
  <c r="N2187" i="2" s="1"/>
  <c r="M2273" i="2"/>
  <c r="N2273" i="2" s="1"/>
  <c r="M1628" i="2"/>
  <c r="N1628" i="2" s="1"/>
  <c r="M1724" i="2"/>
  <c r="M2406" i="2"/>
  <c r="N2406" i="2" s="1"/>
  <c r="M368" i="2"/>
  <c r="M922" i="2"/>
  <c r="N922" i="2" s="1"/>
  <c r="M1678" i="2"/>
  <c r="N1678" i="2" s="1"/>
  <c r="M411" i="2"/>
  <c r="N411" i="2" s="1"/>
  <c r="M1163" i="2"/>
  <c r="M951" i="2"/>
  <c r="M1287" i="2"/>
  <c r="N1287" i="2" s="1"/>
  <c r="M2293" i="2"/>
  <c r="N2293" i="2" s="1"/>
  <c r="M225" i="2"/>
  <c r="N225" i="2" s="1"/>
  <c r="M1305" i="2"/>
  <c r="N1305" i="2" s="1"/>
  <c r="M153" i="2"/>
  <c r="M451" i="2"/>
  <c r="N451" i="2" s="1"/>
  <c r="M413" i="2"/>
  <c r="N413" i="2" s="1"/>
  <c r="M2280" i="2"/>
  <c r="N2280" i="2" s="1"/>
  <c r="M246" i="2"/>
  <c r="M1378" i="2"/>
  <c r="N1378" i="2" s="1"/>
  <c r="M1906" i="2"/>
  <c r="N1906" i="2" s="1"/>
  <c r="M9" i="2"/>
  <c r="M917" i="2"/>
  <c r="N917" i="2" s="1"/>
  <c r="M845" i="2"/>
  <c r="N845" i="2" s="1"/>
  <c r="M1236" i="2"/>
  <c r="N1236" i="2" s="1"/>
  <c r="M1436" i="2"/>
  <c r="N1436" i="2" s="1"/>
  <c r="M350" i="2"/>
  <c r="M1746" i="2"/>
  <c r="M1274" i="2"/>
  <c r="N1274" i="2" s="1"/>
  <c r="M1878" i="2"/>
  <c r="N1878" i="2" s="1"/>
  <c r="M2000" i="2"/>
  <c r="M1657" i="2"/>
  <c r="N1657" i="2" s="1"/>
  <c r="M2231" i="2"/>
  <c r="N2231" i="2" s="1"/>
  <c r="M125" i="2"/>
  <c r="N125" i="2" s="1"/>
  <c r="M1107" i="2"/>
  <c r="M46" i="2"/>
  <c r="N46" i="2" s="1"/>
  <c r="M1046" i="2"/>
  <c r="M1688" i="2"/>
  <c r="N1688" i="2" s="1"/>
  <c r="M2400" i="2"/>
  <c r="N2400" i="2" s="1"/>
  <c r="M1886" i="2"/>
  <c r="N1886" i="2" s="1"/>
  <c r="M458" i="2"/>
  <c r="N458" i="2" s="1"/>
  <c r="M1322" i="2"/>
  <c r="M2249" i="2"/>
  <c r="N2249" i="2" s="1"/>
  <c r="M321" i="2"/>
  <c r="N321" i="2" s="1"/>
  <c r="M1199" i="2"/>
  <c r="M1531" i="2"/>
  <c r="N1531" i="2" s="1"/>
  <c r="M1286" i="2"/>
  <c r="N1286" i="2" s="1"/>
  <c r="M2292" i="2"/>
  <c r="N2292" i="2" s="1"/>
  <c r="M224" i="2"/>
  <c r="M950" i="2"/>
  <c r="N950" i="2" s="1"/>
  <c r="M438" i="2"/>
  <c r="M1542" i="2"/>
  <c r="N1542" i="2" s="1"/>
  <c r="M812" i="2"/>
  <c r="M1132" i="2"/>
  <c r="N1132" i="2" s="1"/>
  <c r="M664" i="2"/>
  <c r="M1344" i="2"/>
  <c r="N1344" i="2" s="1"/>
  <c r="M1974" i="2"/>
  <c r="N1974" i="2" s="1"/>
  <c r="M682" i="2"/>
  <c r="N682" i="2" s="1"/>
  <c r="M546" i="2"/>
  <c r="M2046" i="2"/>
  <c r="M1282" i="2"/>
  <c r="N1282" i="2" s="1"/>
  <c r="M1910" i="2"/>
  <c r="M588" i="2"/>
  <c r="N588" i="2" s="1"/>
  <c r="M684" i="2"/>
  <c r="M1710" i="2"/>
  <c r="N1710" i="2" s="1"/>
  <c r="M2118" i="2"/>
  <c r="N2118" i="2" s="1"/>
  <c r="M658" i="2"/>
  <c r="N658" i="2" s="1"/>
  <c r="M838" i="2"/>
  <c r="N838" i="2" s="1"/>
  <c r="M1036" i="2"/>
  <c r="M1872" i="2"/>
  <c r="N1872" i="2" s="1"/>
  <c r="M1990" i="2"/>
  <c r="M1000" i="2"/>
  <c r="M1388" i="2"/>
  <c r="N1388" i="2" s="1"/>
  <c r="M1078" i="2"/>
  <c r="M2212" i="2"/>
  <c r="N2212" i="2" s="1"/>
  <c r="M348" i="2"/>
  <c r="N348" i="2" s="1"/>
  <c r="M1224" i="2"/>
  <c r="N1224" i="2" s="1"/>
  <c r="M142" i="2"/>
  <c r="M472" i="2"/>
  <c r="N472" i="2" s="1"/>
  <c r="M2168" i="2"/>
  <c r="N2168" i="2" s="1"/>
  <c r="M2346" i="2"/>
  <c r="N2346" i="2" s="1"/>
  <c r="M456" i="2"/>
  <c r="M1370" i="2"/>
  <c r="N1370" i="2" s="1"/>
  <c r="M1881" i="2"/>
  <c r="M285" i="2"/>
  <c r="N285" i="2" s="1"/>
  <c r="M83" i="2"/>
  <c r="N83" i="2" s="1"/>
  <c r="M551" i="2"/>
  <c r="M1097" i="2"/>
  <c r="N1097" i="2" s="1"/>
  <c r="M1303" i="2"/>
  <c r="N1303" i="2" s="1"/>
  <c r="M1787" i="2"/>
  <c r="N1787" i="2" s="1"/>
  <c r="M2325" i="2"/>
  <c r="N2325" i="2" s="1"/>
  <c r="M1383" i="2"/>
  <c r="M1847" i="2"/>
  <c r="N1847" i="2" s="1"/>
  <c r="M2227" i="2"/>
  <c r="N2227" i="2" s="1"/>
  <c r="M151" i="2"/>
  <c r="M511" i="2"/>
  <c r="N511" i="2" s="1"/>
  <c r="M1487" i="2"/>
  <c r="N1487" i="2" s="1"/>
  <c r="M37" i="2"/>
  <c r="M545" i="2"/>
  <c r="N545" i="2" s="1"/>
  <c r="M1637" i="2"/>
  <c r="N1637" i="2" s="1"/>
  <c r="M489" i="2"/>
  <c r="N489" i="2" s="1"/>
  <c r="M1549" i="2"/>
  <c r="M1609" i="2"/>
  <c r="N1609" i="2" s="1"/>
  <c r="M1915" i="2"/>
  <c r="N1915" i="2" s="1"/>
  <c r="M485" i="2"/>
  <c r="M860" i="2"/>
  <c r="M2216" i="2"/>
  <c r="N2216" i="2" s="1"/>
  <c r="M1858" i="2"/>
  <c r="N1858" i="2" s="1"/>
  <c r="M136" i="2"/>
  <c r="N136" i="2" s="1"/>
  <c r="M1514" i="2"/>
  <c r="M1956" i="2"/>
  <c r="N1956" i="2" s="1"/>
  <c r="M410" i="2"/>
  <c r="M1162" i="2"/>
  <c r="N1162" i="2" s="1"/>
  <c r="M984" i="2"/>
  <c r="N984" i="2" s="1"/>
  <c r="M1716" i="2"/>
  <c r="M1184" i="2"/>
  <c r="N1184" i="2" s="1"/>
  <c r="M1034" i="2"/>
  <c r="N1034" i="2" s="1"/>
  <c r="M390" i="2"/>
  <c r="M762" i="2"/>
  <c r="N762" i="2" s="1"/>
  <c r="M1098" i="2"/>
  <c r="M1938" i="2"/>
  <c r="N1938" i="2" s="1"/>
  <c r="M1556" i="2"/>
  <c r="N1556" i="2" s="1"/>
  <c r="M274" i="2"/>
  <c r="N274" i="2" s="1"/>
  <c r="M1260" i="2"/>
  <c r="M1442" i="2"/>
  <c r="N1442" i="2" s="1"/>
  <c r="M2412" i="2"/>
  <c r="N2412" i="2" s="1"/>
  <c r="M38" i="2"/>
  <c r="N38" i="2" s="1"/>
  <c r="M160" i="2"/>
  <c r="M1588" i="2"/>
  <c r="N1588" i="2" s="1"/>
  <c r="M1681" i="2"/>
  <c r="M825" i="2"/>
  <c r="N825" i="2" s="1"/>
  <c r="M293" i="2"/>
  <c r="M1649" i="2"/>
  <c r="N1649" i="2" s="1"/>
  <c r="M1891" i="2"/>
  <c r="N1891" i="2" s="1"/>
  <c r="M1005" i="2"/>
  <c r="M938" i="2"/>
  <c r="N938" i="2" s="1"/>
  <c r="M326" i="2"/>
  <c r="M1021" i="2"/>
  <c r="M1743" i="2"/>
  <c r="N1743" i="2" s="1"/>
  <c r="M707" i="2"/>
  <c r="M1247" i="2"/>
  <c r="N1247" i="2" s="1"/>
  <c r="M1837" i="2"/>
  <c r="N1837" i="2" s="1"/>
  <c r="M2263" i="2"/>
  <c r="N2263" i="2" s="1"/>
  <c r="M1373" i="2"/>
  <c r="N1373" i="2" s="1"/>
  <c r="M1147" i="2"/>
  <c r="M1623" i="2"/>
  <c r="N1623" i="2" s="1"/>
  <c r="M217" i="2"/>
  <c r="M2295" i="2"/>
  <c r="N2295" i="2" s="1"/>
  <c r="M1218" i="2"/>
  <c r="N1218" i="2" s="1"/>
  <c r="M1666" i="2"/>
  <c r="N1666" i="2" s="1"/>
  <c r="M626" i="2"/>
  <c r="M2109" i="2"/>
  <c r="N2109" i="2" s="1"/>
  <c r="M2163" i="2"/>
  <c r="N2163" i="2" s="1"/>
  <c r="M5" i="2"/>
  <c r="N5" i="2" s="1"/>
  <c r="M793" i="2"/>
  <c r="M643" i="2"/>
  <c r="N643" i="2" s="1"/>
  <c r="M1997" i="2"/>
  <c r="M2215" i="2"/>
  <c r="M1509" i="2"/>
  <c r="N1509" i="2" s="1"/>
  <c r="M1129" i="2"/>
  <c r="N1129" i="2" s="1"/>
  <c r="M1327" i="2"/>
  <c r="N1327" i="2" s="1"/>
  <c r="M2103" i="2"/>
  <c r="N2103" i="2" s="1"/>
  <c r="M773" i="2"/>
  <c r="M2255" i="2"/>
  <c r="N2255" i="2" s="1"/>
  <c r="M747" i="2"/>
  <c r="N747" i="2" s="1"/>
  <c r="M1393" i="2"/>
  <c r="M1463" i="2"/>
  <c r="N1463" i="2" s="1"/>
  <c r="M1893" i="2"/>
  <c r="M1539" i="2"/>
  <c r="N1539" i="2" s="1"/>
  <c r="M401" i="2"/>
  <c r="N401" i="2" s="1"/>
  <c r="M1013" i="2"/>
  <c r="M2233" i="2"/>
  <c r="M2011" i="2"/>
  <c r="N2011" i="2" s="1"/>
  <c r="M819" i="2"/>
  <c r="M2045" i="2"/>
  <c r="N2045" i="2" s="1"/>
  <c r="M2125" i="2"/>
  <c r="N2125" i="2" s="1"/>
  <c r="M239" i="2"/>
  <c r="N239" i="2" s="1"/>
  <c r="M154" i="2"/>
  <c r="N154" i="2" s="1"/>
  <c r="M1408" i="2"/>
  <c r="M1576" i="2"/>
  <c r="N1576" i="2" s="1"/>
  <c r="M1379" i="2"/>
  <c r="N1379" i="2" s="1"/>
  <c r="M1907" i="2"/>
  <c r="M2281" i="2"/>
  <c r="N2281" i="2" s="1"/>
  <c r="M247" i="2"/>
  <c r="N247" i="2" s="1"/>
  <c r="M490" i="2"/>
  <c r="M1788" i="2"/>
  <c r="N1788" i="2" s="1"/>
  <c r="M1149" i="2"/>
  <c r="N1149" i="2" s="1"/>
  <c r="M1999" i="2"/>
  <c r="M1865" i="2"/>
  <c r="N1865" i="2" s="1"/>
  <c r="M1933" i="2"/>
  <c r="N1933" i="2" s="1"/>
  <c r="M835" i="2"/>
  <c r="N835" i="2" s="1"/>
  <c r="M741" i="2"/>
  <c r="M582" i="2"/>
  <c r="M1820" i="2"/>
  <c r="N1820" i="2" s="1"/>
  <c r="M1407" i="2"/>
  <c r="N1407" i="2" s="1"/>
  <c r="M2019" i="2"/>
  <c r="M226" i="2"/>
  <c r="N226" i="2" s="1"/>
  <c r="M1288" i="2"/>
  <c r="N1288" i="2" s="1"/>
  <c r="M1570" i="2"/>
  <c r="M2368" i="2"/>
  <c r="N2368" i="2" s="1"/>
  <c r="M1459" i="2"/>
  <c r="N1459" i="2" s="1"/>
  <c r="M2389" i="2"/>
  <c r="N2389" i="2" s="1"/>
  <c r="M409" i="2"/>
  <c r="N409" i="2" s="1"/>
  <c r="M1115" i="2"/>
  <c r="M327" i="2"/>
  <c r="N327" i="2" s="1"/>
  <c r="M939" i="2"/>
  <c r="M977" i="2"/>
  <c r="M1265" i="2"/>
  <c r="N1265" i="2" s="1"/>
  <c r="M1223" i="2"/>
  <c r="N1223" i="2" s="1"/>
  <c r="M1709" i="2"/>
  <c r="M2223" i="2"/>
  <c r="N2223" i="2" s="1"/>
  <c r="M2319" i="2"/>
  <c r="N2319" i="2" s="1"/>
  <c r="M1311" i="2"/>
  <c r="M1977" i="2"/>
  <c r="N1977" i="2" s="1"/>
  <c r="M2101" i="2"/>
  <c r="M1671" i="2"/>
  <c r="N1671" i="2" s="1"/>
  <c r="M2316" i="2"/>
  <c r="N2316" i="2" s="1"/>
  <c r="M106" i="2"/>
  <c r="N106" i="2" s="1"/>
  <c r="M1130" i="2"/>
  <c r="N1130" i="2" s="1"/>
  <c r="M1534" i="2"/>
  <c r="M366" i="2"/>
  <c r="M654" i="2"/>
  <c r="N654" i="2" s="1"/>
  <c r="M416" i="2"/>
  <c r="M962" i="2"/>
  <c r="N962" i="2" s="1"/>
  <c r="M892" i="2"/>
  <c r="N892" i="2" s="1"/>
  <c r="M1510" i="2"/>
  <c r="M308" i="2"/>
  <c r="M1748" i="2"/>
  <c r="N1748" i="2" s="1"/>
  <c r="M146" i="2"/>
  <c r="M1900" i="2"/>
  <c r="N1900" i="2" s="1"/>
  <c r="M2370" i="2"/>
  <c r="N2370" i="2" s="1"/>
  <c r="M70" i="2"/>
  <c r="M1718" i="2"/>
  <c r="N1718" i="2" s="1"/>
  <c r="M1272" i="2"/>
  <c r="N1272" i="2" s="1"/>
  <c r="M1856" i="2"/>
  <c r="M23" i="2"/>
  <c r="M1497" i="2"/>
  <c r="N1497" i="2" s="1"/>
  <c r="M1040" i="2"/>
  <c r="M1574" i="2"/>
  <c r="N1574" i="2" s="1"/>
  <c r="M508" i="2"/>
  <c r="N508" i="2" s="1"/>
  <c r="M1896" i="2"/>
  <c r="M1914" i="2"/>
  <c r="M484" i="2"/>
  <c r="N484" i="2" s="1"/>
  <c r="M1456" i="2"/>
  <c r="N1456" i="2" s="1"/>
  <c r="M2352" i="2"/>
  <c r="N2352" i="2" s="1"/>
  <c r="M868" i="2"/>
  <c r="N868" i="2" s="1"/>
  <c r="M1172" i="2"/>
  <c r="M1532" i="2"/>
  <c r="N1532" i="2" s="1"/>
  <c r="M34" i="2"/>
  <c r="M1304" i="2"/>
  <c r="N1304" i="2" s="1"/>
  <c r="M152" i="2"/>
  <c r="N152" i="2" s="1"/>
  <c r="M450" i="2"/>
  <c r="N450" i="2" s="1"/>
  <c r="M412" i="2"/>
  <c r="M1180" i="2"/>
  <c r="N1180" i="2" s="1"/>
  <c r="M990" i="2"/>
  <c r="N990" i="2" s="1"/>
  <c r="M172" i="2"/>
  <c r="M444" i="2"/>
  <c r="N444" i="2" s="1"/>
  <c r="M1520" i="2"/>
  <c r="M2434" i="2"/>
  <c r="N2434" i="2" s="1"/>
  <c r="M2252" i="2"/>
  <c r="N2252" i="2" s="1"/>
  <c r="M386" i="2"/>
  <c r="N386" i="2" s="1"/>
  <c r="M1276" i="2"/>
  <c r="M2092" i="2"/>
  <c r="N2092" i="2" s="1"/>
  <c r="M12" i="2"/>
  <c r="N12" i="2" s="1"/>
  <c r="M1052" i="2"/>
  <c r="M862" i="2"/>
  <c r="N862" i="2" s="1"/>
  <c r="M1104" i="2"/>
  <c r="M2274" i="2"/>
  <c r="N2274" i="2" s="1"/>
  <c r="M2420" i="2"/>
  <c r="N2420" i="2" s="1"/>
  <c r="M118" i="2"/>
  <c r="N118" i="2" s="1"/>
  <c r="M1426" i="2"/>
  <c r="N1426" i="2" s="1"/>
  <c r="M1874" i="2"/>
  <c r="N1874" i="2" s="1"/>
  <c r="M2122" i="2"/>
  <c r="N2122" i="2" s="1"/>
  <c r="M806" i="2"/>
  <c r="M352" i="2"/>
  <c r="M1902" i="2"/>
  <c r="N1902" i="2" s="1"/>
  <c r="M507" i="2"/>
  <c r="M1159" i="2"/>
  <c r="N1159" i="2" s="1"/>
  <c r="M1573" i="2"/>
  <c r="N1573" i="2" s="1"/>
  <c r="M1205" i="2"/>
  <c r="N1205" i="2" s="1"/>
  <c r="M1271" i="2"/>
  <c r="N1271" i="2" s="1"/>
  <c r="M175" i="2"/>
  <c r="N175" i="2" s="1"/>
  <c r="M647" i="2"/>
  <c r="M454" i="2"/>
  <c r="N454" i="2" s="1"/>
  <c r="M1592" i="2"/>
  <c r="M1960" i="2"/>
  <c r="N1960" i="2" s="1"/>
  <c r="M1686" i="2"/>
  <c r="N1686" i="2" s="1"/>
  <c r="M6" i="2"/>
  <c r="M338" i="2"/>
  <c r="N338" i="2" s="1"/>
  <c r="M1332" i="2"/>
  <c r="N1332" i="2" s="1"/>
  <c r="M288" i="2"/>
  <c r="M1166" i="2"/>
  <c r="N1166" i="2" s="1"/>
  <c r="M2288" i="2"/>
  <c r="N2288" i="2" s="1"/>
  <c r="M402" i="2"/>
  <c r="N402" i="2" s="1"/>
  <c r="M1070" i="2"/>
  <c r="M2202" i="2"/>
  <c r="M1632" i="2"/>
  <c r="N1632" i="2" s="1"/>
  <c r="M820" i="2"/>
  <c r="N820" i="2" s="1"/>
  <c r="M1536" i="2"/>
  <c r="N1536" i="2" s="1"/>
  <c r="M1916" i="2"/>
  <c r="M1913" i="2"/>
  <c r="N1913" i="2" s="1"/>
  <c r="M1611" i="2"/>
  <c r="N1611" i="2" s="1"/>
  <c r="M1061" i="2"/>
  <c r="M1191" i="2"/>
  <c r="N1191" i="2" s="1"/>
  <c r="M2166" i="2"/>
  <c r="N2166" i="2" s="1"/>
  <c r="M1484" i="2"/>
  <c r="M1266" i="2"/>
  <c r="N1266" i="2" s="1"/>
  <c r="M2208" i="2"/>
  <c r="N2208" i="2" s="1"/>
  <c r="M1088" i="2"/>
  <c r="M1744" i="2"/>
  <c r="N1744" i="2" s="1"/>
  <c r="M48" i="2"/>
  <c r="N48" i="2" s="1"/>
  <c r="M2392" i="2"/>
  <c r="N2392" i="2" s="1"/>
  <c r="M1506" i="2"/>
  <c r="N1506" i="2" s="1"/>
  <c r="M2284" i="2"/>
  <c r="N2284" i="2" s="1"/>
  <c r="M74" i="2"/>
  <c r="M233" i="2"/>
  <c r="N233" i="2" s="1"/>
  <c r="M1827" i="2"/>
  <c r="M26" i="13"/>
  <c r="N519" i="2"/>
  <c r="M60" i="13" s="1"/>
  <c r="M1425" i="2"/>
  <c r="M2247" i="2"/>
  <c r="N2247" i="2" s="1"/>
  <c r="M1883" i="2"/>
  <c r="N1883" i="2" s="1"/>
  <c r="M191" i="2"/>
  <c r="N191" i="2" s="1"/>
  <c r="M625" i="2"/>
  <c r="N625" i="2" s="1"/>
  <c r="M1769" i="2"/>
  <c r="M966" i="2"/>
  <c r="N966" i="2" s="1"/>
  <c r="M708" i="2"/>
  <c r="M1284" i="2"/>
  <c r="N1284" i="2" s="1"/>
  <c r="M2448" i="2"/>
  <c r="N2448" i="2" s="1"/>
  <c r="M1068" i="2"/>
  <c r="M1816" i="2"/>
  <c r="N1816" i="2" s="1"/>
  <c r="M2314" i="2"/>
  <c r="N2314" i="2" s="1"/>
  <c r="M681" i="2"/>
  <c r="N681" i="2" s="1"/>
  <c r="M1793" i="2"/>
  <c r="M2115" i="2"/>
  <c r="N2115" i="2" s="1"/>
  <c r="M1713" i="2"/>
  <c r="N1713" i="2" s="1"/>
  <c r="M2197" i="2"/>
  <c r="N2197" i="2" s="1"/>
  <c r="M631" i="2"/>
  <c r="N631" i="2" s="1"/>
  <c r="M1019" i="2"/>
  <c r="M766" i="2"/>
  <c r="M1516" i="2"/>
  <c r="N1516" i="2" s="1"/>
  <c r="M2268" i="2"/>
  <c r="N2268" i="2" s="1"/>
  <c r="M446" i="2"/>
  <c r="N446" i="2" s="1"/>
  <c r="M280" i="2"/>
  <c r="M1372" i="2"/>
  <c r="M1146" i="2"/>
  <c r="N1146" i="2" s="1"/>
  <c r="M1094" i="2"/>
  <c r="N1094" i="2" s="1"/>
  <c r="M1490" i="2"/>
  <c r="M2181" i="2"/>
  <c r="M1625" i="2"/>
  <c r="N1625" i="2" s="1"/>
  <c r="M1171" i="2"/>
  <c r="N1171" i="2" s="1"/>
  <c r="M1527" i="2"/>
  <c r="M361" i="2"/>
  <c r="M877" i="2"/>
  <c r="N877" i="2" s="1"/>
  <c r="M1869" i="2"/>
  <c r="N1869" i="2" s="1"/>
  <c r="M2395" i="2"/>
  <c r="N2395" i="2" s="1"/>
  <c r="M557" i="2"/>
  <c r="M1653" i="2"/>
  <c r="N1653" i="2" s="1"/>
  <c r="M1333" i="2"/>
  <c r="N1333" i="2" s="1"/>
  <c r="M7" i="2"/>
  <c r="N7" i="2" s="1"/>
  <c r="M339" i="2"/>
  <c r="M1067" i="2"/>
  <c r="M2301" i="2"/>
  <c r="N2301" i="2" s="1"/>
  <c r="M2313" i="2"/>
  <c r="N2313" i="2" s="1"/>
  <c r="M53" i="2"/>
  <c r="N53" i="2" s="1"/>
  <c r="M1830" i="2"/>
  <c r="N1830" i="2" s="1"/>
  <c r="M442" i="2"/>
  <c r="N442" i="2" s="1"/>
  <c r="M208" i="2"/>
  <c r="M986" i="2"/>
  <c r="N986" i="2" s="1"/>
  <c r="M549" i="2"/>
  <c r="M2307" i="2"/>
  <c r="N2307" i="2" s="1"/>
  <c r="M2055" i="2"/>
  <c r="N2055" i="2" s="1"/>
  <c r="M695" i="2"/>
  <c r="N695" i="2" s="1"/>
  <c r="M975" i="2"/>
  <c r="N975" i="2" s="1"/>
  <c r="M2131" i="2"/>
  <c r="N2131" i="2" s="1"/>
  <c r="M2391" i="2"/>
  <c r="N2391" i="2" s="1"/>
  <c r="M759" i="2"/>
  <c r="M1470" i="2"/>
  <c r="N1470" i="2" s="1"/>
  <c r="M514" i="2"/>
  <c r="N514" i="2" s="1"/>
  <c r="M814" i="2"/>
  <c r="M1504" i="2"/>
  <c r="N1504" i="2" s="1"/>
  <c r="M2327" i="2"/>
  <c r="N2327" i="2" s="1"/>
  <c r="M91" i="2"/>
  <c r="M1081" i="2"/>
  <c r="N1081" i="2" s="1"/>
  <c r="M1841" i="2"/>
  <c r="N1841" i="2" s="1"/>
  <c r="M2358" i="2"/>
  <c r="N2358" i="2" s="1"/>
  <c r="M936" i="2"/>
  <c r="N936" i="2" s="1"/>
  <c r="M2030" i="2"/>
  <c r="M893" i="2"/>
  <c r="M1511" i="2"/>
  <c r="N1511" i="2" s="1"/>
  <c r="M1554" i="2"/>
  <c r="N1554" i="2" s="1"/>
  <c r="M382" i="2"/>
  <c r="M730" i="2"/>
  <c r="N730" i="2" s="1"/>
  <c r="M1235" i="2"/>
  <c r="N1235" i="2" s="1"/>
  <c r="M621" i="2"/>
  <c r="M1283" i="2"/>
  <c r="M2047" i="2"/>
  <c r="N2047" i="2" s="1"/>
  <c r="M314" i="2"/>
  <c r="M436" i="2"/>
  <c r="N436" i="2" s="1"/>
  <c r="M1082" i="2"/>
  <c r="N1082" i="2" s="1"/>
  <c r="M2174" i="2"/>
  <c r="N2174" i="2" s="1"/>
  <c r="M651" i="2"/>
  <c r="N651" i="2" s="1"/>
  <c r="M1315" i="2"/>
  <c r="M1185" i="2"/>
  <c r="N1185" i="2" s="1"/>
  <c r="M1035" i="2"/>
  <c r="N1035" i="2" s="1"/>
  <c r="M391" i="2"/>
  <c r="N391" i="2" s="1"/>
  <c r="M763" i="2"/>
  <c r="M2235" i="2"/>
  <c r="N2235" i="2" s="1"/>
  <c r="M909" i="2"/>
  <c r="M1597" i="2"/>
  <c r="N1597" i="2" s="1"/>
  <c r="M1987" i="2"/>
  <c r="N1987" i="2" s="1"/>
  <c r="M702" i="2"/>
  <c r="N702" i="2" s="1"/>
  <c r="M958" i="2"/>
  <c r="N958" i="2" s="1"/>
  <c r="M1704" i="2"/>
  <c r="M2194" i="2"/>
  <c r="N2194" i="2" s="1"/>
  <c r="M2387" i="2"/>
  <c r="M1675" i="2"/>
  <c r="N1675" i="2" s="1"/>
  <c r="M1177" i="2"/>
  <c r="N1177" i="2" s="1"/>
  <c r="M1337" i="2"/>
  <c r="M539" i="2"/>
  <c r="M1387" i="2"/>
  <c r="N1387" i="2" s="1"/>
  <c r="M1930" i="2"/>
  <c r="N1930" i="2" s="1"/>
  <c r="M2110" i="2"/>
  <c r="M1222" i="2"/>
  <c r="M1708" i="2"/>
  <c r="N1708" i="2" s="1"/>
  <c r="M2222" i="2"/>
  <c r="N2222" i="2" s="1"/>
  <c r="M2318" i="2"/>
  <c r="N2318" i="2" s="1"/>
  <c r="M1154" i="2"/>
  <c r="N1154" i="2" s="1"/>
  <c r="M1764" i="2"/>
  <c r="N1764" i="2" s="1"/>
  <c r="M186" i="2"/>
  <c r="M1280" i="2"/>
  <c r="N1280" i="2" s="1"/>
  <c r="M325" i="2"/>
  <c r="N325" i="2" s="1"/>
  <c r="M713" i="2"/>
  <c r="N713" i="2" s="1"/>
  <c r="M1495" i="2"/>
  <c r="M1979" i="2"/>
  <c r="N1979" i="2" s="1"/>
  <c r="M1017" i="2"/>
  <c r="N1017" i="2" s="1"/>
  <c r="M1431" i="2"/>
  <c r="M2179" i="2"/>
  <c r="N2179" i="2" s="1"/>
  <c r="M22" i="2"/>
  <c r="N22" i="2" s="1"/>
  <c r="M1496" i="2"/>
  <c r="M362" i="2"/>
  <c r="N362" i="2" s="1"/>
  <c r="M1368" i="2"/>
  <c r="M1762" i="2"/>
  <c r="N1762" i="2" s="1"/>
  <c r="M1962" i="2"/>
  <c r="N1962" i="2" s="1"/>
  <c r="M940" i="2"/>
  <c r="N940" i="2" s="1"/>
  <c r="M1568" i="2"/>
  <c r="N1568" i="2" s="1"/>
  <c r="M2332" i="2"/>
  <c r="N2332" i="2" s="1"/>
  <c r="M392" i="2"/>
  <c r="M1446" i="2"/>
  <c r="M2132" i="2"/>
  <c r="N2132" i="2" s="1"/>
  <c r="M284" i="2"/>
  <c r="M1880" i="2"/>
  <c r="N1880" i="2" s="1"/>
  <c r="M706" i="2"/>
  <c r="N706" i="2" s="1"/>
  <c r="M1246" i="2"/>
  <c r="N1246" i="2" s="1"/>
  <c r="M1836" i="2"/>
  <c r="M2262" i="2"/>
  <c r="N2262" i="2" s="1"/>
  <c r="M516" i="2"/>
  <c r="N516" i="2" s="1"/>
  <c r="M2176" i="2"/>
  <c r="N2176" i="2" s="1"/>
  <c r="M192" i="2"/>
  <c r="M230" i="2"/>
  <c r="N230" i="2" s="1"/>
  <c r="M2150" i="2"/>
  <c r="N2150" i="2" s="1"/>
  <c r="M770" i="2"/>
  <c r="M604" i="2"/>
  <c r="N604" i="2" s="1"/>
  <c r="M2004" i="2"/>
  <c r="N2004" i="2" s="1"/>
  <c r="M424" i="2"/>
  <c r="M1076" i="2"/>
  <c r="N1076" i="2" s="1"/>
  <c r="M1950" i="2"/>
  <c r="N1950" i="2" s="1"/>
  <c r="M662" i="2"/>
  <c r="N662" i="2" s="1"/>
  <c r="M1624" i="2"/>
  <c r="M2180" i="2"/>
  <c r="N2180" i="2" s="1"/>
  <c r="M530" i="2"/>
  <c r="N530" i="2" s="1"/>
  <c r="M380" i="2"/>
  <c r="M1982" i="2"/>
  <c r="M120" i="2"/>
  <c r="N120" i="2" s="1"/>
  <c r="M66" i="2"/>
  <c r="M804" i="2"/>
  <c r="N804" i="2" s="1"/>
  <c r="M1100" i="2"/>
  <c r="N1100" i="2" s="1"/>
  <c r="M2440" i="2"/>
  <c r="N2440" i="2" s="1"/>
  <c r="M180" i="2"/>
  <c r="N180" i="2" s="1"/>
  <c r="M968" i="2"/>
  <c r="M88" i="2"/>
  <c r="N88" i="2" s="1"/>
  <c r="M356" i="2"/>
  <c r="M144" i="2"/>
  <c r="M2260" i="2"/>
  <c r="N2260" i="2" s="1"/>
  <c r="M121" i="2"/>
  <c r="M1983" i="2"/>
  <c r="N1983" i="2" s="1"/>
  <c r="M831" i="2"/>
  <c r="M1417" i="2"/>
  <c r="N1417" i="2" s="1"/>
  <c r="M1443" i="2"/>
  <c r="N1443" i="2" s="1"/>
  <c r="M275" i="2"/>
  <c r="M1261" i="2"/>
  <c r="N1261" i="2" s="1"/>
  <c r="M769" i="2"/>
  <c r="M1367" i="2"/>
  <c r="N1367" i="2" s="1"/>
  <c r="M565" i="2"/>
  <c r="N565" i="2" s="1"/>
  <c r="M2157" i="2"/>
  <c r="N2157" i="2" s="1"/>
  <c r="M1659" i="2"/>
  <c r="M235" i="2"/>
  <c r="N235" i="2" s="1"/>
  <c r="M503" i="2"/>
  <c r="M1885" i="2"/>
  <c r="N1885" i="2" s="1"/>
  <c r="M1771" i="2"/>
  <c r="N1771" i="2" s="1"/>
  <c r="M19" i="2"/>
  <c r="M1741" i="2"/>
  <c r="N1741" i="2" s="1"/>
  <c r="M1503" i="2"/>
  <c r="N1503" i="2" s="1"/>
  <c r="M353" i="2"/>
  <c r="N353" i="2" s="1"/>
  <c r="M1903" i="2"/>
  <c r="M1080" i="2"/>
  <c r="M1840" i="2"/>
  <c r="N1840" i="2" s="1"/>
  <c r="M2326" i="2"/>
  <c r="N2326" i="2" s="1"/>
  <c r="M90" i="2"/>
  <c r="N90" i="2" s="1"/>
  <c r="M1981" i="2"/>
  <c r="N1981" i="2" s="1"/>
  <c r="M1381" i="2"/>
  <c r="N1381" i="2" s="1"/>
  <c r="M999" i="2"/>
  <c r="M1306" i="2"/>
  <c r="N1306" i="2" s="1"/>
  <c r="M688" i="2"/>
  <c r="M1723" i="2"/>
  <c r="N1723" i="2" s="1"/>
  <c r="M2373" i="2"/>
  <c r="N2373" i="2" s="1"/>
  <c r="M385" i="2"/>
  <c r="N385" i="2" s="1"/>
  <c r="M1669" i="2"/>
  <c r="M562" i="2"/>
  <c r="N562" i="2" s="1"/>
  <c r="M748" i="2"/>
  <c r="M934" i="2"/>
  <c r="N934" i="2" s="1"/>
  <c r="M2190" i="2"/>
  <c r="N2190" i="2" s="1"/>
  <c r="M1502" i="2"/>
  <c r="M1740" i="2"/>
  <c r="N1740" i="2" s="1"/>
  <c r="M18" i="2"/>
  <c r="N18" i="2" s="1"/>
  <c r="M2056" i="2"/>
  <c r="N2056" i="2" s="1"/>
  <c r="M656" i="2"/>
  <c r="M1037" i="2"/>
  <c r="N1037" i="2" s="1"/>
  <c r="M839" i="2"/>
  <c r="M1227" i="2"/>
  <c r="N1227" i="2" s="1"/>
  <c r="M2185" i="2"/>
  <c r="M1481" i="2"/>
  <c r="M1197" i="2"/>
  <c r="N1197" i="2" s="1"/>
  <c r="M2300" i="2"/>
  <c r="N2300" i="2" s="1"/>
  <c r="M2312" i="2"/>
  <c r="N2312" i="2" s="1"/>
  <c r="M52" i="2"/>
  <c r="M1066" i="2"/>
  <c r="N1066" i="2" s="1"/>
  <c r="M1279" i="2"/>
  <c r="N1279" i="2" s="1"/>
  <c r="M1435" i="2"/>
  <c r="M1164" i="2"/>
  <c r="M1810" i="2"/>
  <c r="N1810" i="2" s="1"/>
  <c r="M2238" i="2"/>
  <c r="N2238" i="2" s="1"/>
  <c r="M164" i="2"/>
  <c r="N164" i="2" s="1"/>
  <c r="M1557" i="2"/>
  <c r="M1939" i="2"/>
  <c r="N1939" i="2" s="1"/>
  <c r="M1099" i="2"/>
  <c r="N1099" i="2" s="1"/>
  <c r="M821" i="2"/>
  <c r="M1537" i="2"/>
  <c r="N1537" i="2" s="1"/>
  <c r="M1917" i="2"/>
  <c r="N1917" i="2" s="1"/>
  <c r="M1519" i="2"/>
  <c r="M1815" i="2"/>
  <c r="N1815" i="2" s="1"/>
  <c r="M2429" i="2"/>
  <c r="N2429" i="2" s="1"/>
  <c r="M141" i="2"/>
  <c r="N141" i="2" s="1"/>
  <c r="M1452" i="2"/>
  <c r="N1452" i="2" s="1"/>
  <c r="M1618" i="2"/>
  <c r="M2134" i="2"/>
  <c r="N2134" i="2" s="1"/>
  <c r="M2374" i="2"/>
  <c r="N2374" i="2" s="1"/>
  <c r="M111" i="2"/>
  <c r="N111" i="2" s="1"/>
  <c r="M1357" i="2"/>
  <c r="M597" i="2"/>
  <c r="M911" i="2"/>
  <c r="N911" i="2" s="1"/>
  <c r="M1123" i="2"/>
  <c r="M2267" i="2"/>
  <c r="N2267" i="2" s="1"/>
  <c r="M1591" i="2"/>
  <c r="N1591" i="2" s="1"/>
  <c r="M1033" i="2"/>
  <c r="N1033" i="2" s="1"/>
  <c r="M2167" i="2"/>
  <c r="N2167" i="2" s="1"/>
  <c r="M1485" i="2"/>
  <c r="N1485" i="2" s="1"/>
  <c r="M1267" i="2"/>
  <c r="M2209" i="2"/>
  <c r="N2209" i="2" s="1"/>
  <c r="M571" i="2"/>
  <c r="N571" i="2" s="1"/>
  <c r="M765" i="2"/>
  <c r="M269" i="2"/>
  <c r="M541" i="2"/>
  <c r="N541" i="2" s="1"/>
  <c r="M698" i="2"/>
  <c r="M2024" i="2"/>
  <c r="N2024" i="2" s="1"/>
  <c r="M2413" i="2"/>
  <c r="N2413" i="2" s="1"/>
  <c r="M39" i="2"/>
  <c r="M161" i="2"/>
  <c r="N161" i="2" s="1"/>
  <c r="M1589" i="2"/>
  <c r="N1589" i="2" s="1"/>
  <c r="M1747" i="2"/>
  <c r="N1747" i="2" s="1"/>
  <c r="M1275" i="2"/>
  <c r="M1823" i="2"/>
  <c r="M899" i="2"/>
  <c r="N899" i="2" s="1"/>
  <c r="M1083" i="2"/>
  <c r="N1083" i="2" s="1"/>
  <c r="M2175" i="2"/>
  <c r="N2175" i="2" s="1"/>
  <c r="M315" i="2"/>
  <c r="N315" i="2" s="1"/>
  <c r="M437" i="2"/>
  <c r="M1092" i="2"/>
  <c r="M1702" i="2"/>
  <c r="N1702" i="2" s="1"/>
  <c r="M1416" i="2"/>
  <c r="M830" i="2"/>
  <c r="N830" i="2" s="1"/>
  <c r="M1984" i="2"/>
  <c r="N1984" i="2" s="1"/>
  <c r="M1586" i="2"/>
  <c r="N1586" i="2" s="1"/>
  <c r="M2242" i="2"/>
  <c r="N2242" i="2" s="1"/>
  <c r="M856" i="2"/>
  <c r="M1138" i="2"/>
  <c r="M1842" i="2"/>
  <c r="N1842" i="2" s="1"/>
  <c r="M650" i="2"/>
  <c r="M1314" i="2"/>
  <c r="N1314" i="2" s="1"/>
  <c r="M1250" i="2"/>
  <c r="N1250" i="2" s="1"/>
  <c r="M132" i="2"/>
  <c r="M196" i="2"/>
  <c r="N196" i="2" s="1"/>
  <c r="M670" i="2"/>
  <c r="M1873" i="2"/>
  <c r="M1991" i="2"/>
  <c r="N1991" i="2" s="1"/>
  <c r="M949" i="2"/>
  <c r="M1621" i="2"/>
  <c r="N1621" i="2" s="1"/>
  <c r="M343" i="2"/>
  <c r="N343" i="2" s="1"/>
  <c r="M1565" i="2"/>
  <c r="M1269" i="2"/>
  <c r="N1269" i="2" s="1"/>
  <c r="M921" i="2"/>
  <c r="M693" i="2"/>
  <c r="N693" i="2" s="1"/>
  <c r="M1007" i="2"/>
  <c r="M1699" i="2"/>
  <c r="N1699" i="2" s="1"/>
  <c r="M487" i="2"/>
  <c r="N487" i="2" s="1"/>
  <c r="M237" i="2"/>
  <c r="M2205" i="2"/>
  <c r="N2205" i="2" s="1"/>
  <c r="M1635" i="2"/>
  <c r="N1635" i="2" s="1"/>
  <c r="M79" i="2"/>
  <c r="M1213" i="2"/>
  <c r="N1213" i="2" s="1"/>
  <c r="M2021" i="2"/>
  <c r="N2021" i="2" s="1"/>
  <c r="M1145" i="2"/>
  <c r="M1805" i="2"/>
  <c r="N1805" i="2" s="1"/>
  <c r="M649" i="2"/>
  <c r="M2043" i="2"/>
  <c r="N2043" i="2" s="1"/>
  <c r="M1608" i="2"/>
  <c r="N1608" i="2" s="1"/>
  <c r="M488" i="2"/>
  <c r="M1548" i="2"/>
  <c r="N1548" i="2" s="1"/>
  <c r="M1244" i="2"/>
  <c r="N1244" i="2" s="1"/>
  <c r="M2070" i="2"/>
  <c r="M774" i="2"/>
  <c r="N774" i="2" s="1"/>
  <c r="M1834" i="2"/>
  <c r="N1834" i="2" s="1"/>
  <c r="M14" i="2"/>
  <c r="N14" i="2" s="1"/>
  <c r="M498" i="2"/>
  <c r="M1905" i="2"/>
  <c r="N1905" i="2" s="1"/>
  <c r="M299" i="2"/>
  <c r="M727" i="2"/>
  <c r="N727" i="2" s="1"/>
  <c r="M1009" i="2"/>
  <c r="N1009" i="2" s="1"/>
  <c r="M189" i="2"/>
  <c r="M1399" i="2"/>
  <c r="N1399" i="2" s="1"/>
  <c r="M1617" i="2"/>
  <c r="N1617" i="2" s="1"/>
  <c r="M1785" i="2"/>
  <c r="M479" i="2"/>
  <c r="N479" i="2" s="1"/>
  <c r="M1501" i="2"/>
  <c r="M1086" i="2"/>
  <c r="N1086" i="2" s="1"/>
  <c r="M434" i="2"/>
  <c r="M177" i="2"/>
  <c r="N177" i="2" s="1"/>
  <c r="M1953" i="2"/>
  <c r="M210" i="2"/>
  <c r="N210" i="2" s="1"/>
  <c r="M622" i="2"/>
  <c r="M312" i="2"/>
  <c r="N312" i="2" s="1"/>
  <c r="M1168" i="2"/>
  <c r="N1168" i="2" s="1"/>
  <c r="M1010" i="2"/>
  <c r="M2354" i="2"/>
  <c r="N2354" i="2" s="1"/>
  <c r="M760" i="2"/>
  <c r="M1578" i="2"/>
  <c r="N1578" i="2" s="1"/>
  <c r="M1325" i="2"/>
  <c r="N1325" i="2" s="1"/>
  <c r="M2015" i="2"/>
  <c r="M1065" i="2"/>
  <c r="M1643" i="2"/>
  <c r="N1643" i="2" s="1"/>
  <c r="M98" i="2"/>
  <c r="N98" i="2" s="1"/>
  <c r="M978" i="2"/>
  <c r="M2140" i="2"/>
  <c r="N2140" i="2" s="1"/>
  <c r="M1918" i="2"/>
  <c r="N1918" i="2" s="1"/>
  <c r="Y14" i="13"/>
  <c r="N518" i="2"/>
  <c r="Y48" i="13" s="1"/>
  <c r="M869" i="2"/>
  <c r="M1173" i="2"/>
  <c r="N1173" i="2" s="1"/>
  <c r="M1457" i="2"/>
  <c r="N1457" i="2" s="1"/>
  <c r="M2353" i="2"/>
  <c r="N2353" i="2" s="1"/>
  <c r="M405" i="2"/>
  <c r="M2193" i="2"/>
  <c r="N2193" i="2" s="1"/>
  <c r="M2120" i="2"/>
  <c r="N2120" i="2" s="1"/>
  <c r="M2422" i="2"/>
  <c r="N2422" i="2" s="1"/>
  <c r="M126" i="2"/>
  <c r="M166" i="2"/>
  <c r="N166" i="2" s="1"/>
  <c r="M1114" i="2"/>
  <c r="N1114" i="2" s="1"/>
  <c r="M1458" i="2"/>
  <c r="N1458" i="2" s="1"/>
  <c r="M2388" i="2"/>
  <c r="N2388" i="2" s="1"/>
  <c r="M408" i="2"/>
  <c r="M2302" i="2"/>
  <c r="N2302" i="2" s="1"/>
  <c r="M1942" i="2"/>
  <c r="M1158" i="2"/>
  <c r="M1572" i="2"/>
  <c r="N1572" i="2" s="1"/>
  <c r="M506" i="2"/>
  <c r="N506" i="2" s="1"/>
  <c r="M1254" i="2"/>
  <c r="N1254" i="2" s="1"/>
  <c r="M64" i="2"/>
  <c r="N64" i="2" s="1"/>
  <c r="M600" i="2"/>
  <c r="M2022" i="2"/>
  <c r="M1492" i="2"/>
  <c r="N1492" i="2" s="1"/>
  <c r="M2148" i="2"/>
  <c r="N2148" i="2" s="1"/>
  <c r="M248" i="2"/>
  <c r="N248" i="2" s="1"/>
  <c r="M532" i="2"/>
  <c r="M1736" i="2"/>
  <c r="N1736" i="2" s="1"/>
  <c r="M1320" i="2"/>
  <c r="N1320" i="2" s="1"/>
  <c r="M1552" i="2"/>
  <c r="M168" i="2"/>
  <c r="N168" i="2" s="1"/>
  <c r="M200" i="2"/>
  <c r="M2402" i="2"/>
  <c r="N2402" i="2" s="1"/>
  <c r="M596" i="2"/>
  <c r="N596" i="2" s="1"/>
  <c r="M910" i="2"/>
  <c r="M900" i="2"/>
  <c r="M2454" i="2"/>
  <c r="N2454" i="2" s="1"/>
  <c r="M757" i="2"/>
  <c r="M2171" i="2"/>
  <c r="N2171" i="2" s="1"/>
  <c r="M21" i="2"/>
  <c r="N21" i="2" s="1"/>
  <c r="M2036" i="2"/>
  <c r="N2036" i="2" s="1"/>
  <c r="M2296" i="2"/>
  <c r="N2296" i="2" s="1"/>
  <c r="M372" i="2"/>
  <c r="N372" i="2" s="1"/>
  <c r="M1252" i="2"/>
  <c r="M2095" i="2"/>
  <c r="N2095" i="2" s="1"/>
  <c r="M1025" i="2"/>
  <c r="M2117" i="2"/>
  <c r="N2117" i="2" s="1"/>
  <c r="M953" i="2"/>
  <c r="M1093" i="2"/>
  <c r="N1093" i="2" s="1"/>
  <c r="M1703" i="2"/>
  <c r="M577" i="2"/>
  <c r="M1353" i="2"/>
  <c r="N1353" i="2" s="1"/>
  <c r="M2023" i="2"/>
  <c r="N2023" i="2" s="1"/>
  <c r="M1493" i="2"/>
  <c r="M1767" i="2"/>
  <c r="M243" i="2"/>
  <c r="N243" i="2" s="1"/>
  <c r="M2451" i="2"/>
  <c r="N2451" i="2" s="1"/>
  <c r="M1229" i="2"/>
  <c r="N1229" i="2" s="1"/>
  <c r="M1941" i="2"/>
  <c r="M2279" i="2"/>
  <c r="N2279" i="2" s="1"/>
  <c r="M679" i="2"/>
  <c r="M1477" i="2"/>
  <c r="N1477" i="2" s="1"/>
  <c r="M1839" i="2"/>
  <c r="N1839" i="2" s="1"/>
  <c r="M850" i="2"/>
  <c r="N850" i="2" s="1"/>
  <c r="M1992" i="2"/>
  <c r="N1992" i="2" s="1"/>
  <c r="M76" i="2"/>
  <c r="N76" i="2" s="1"/>
  <c r="M290" i="2"/>
  <c r="M1204" i="2"/>
  <c r="N1204" i="2" s="1"/>
  <c r="M1270" i="2"/>
  <c r="N1270" i="2" s="1"/>
  <c r="M174" i="2"/>
  <c r="M646" i="2"/>
  <c r="N646" i="2" s="1"/>
  <c r="M2394" i="2"/>
  <c r="N2394" i="2" s="1"/>
  <c r="M360" i="2"/>
  <c r="N360" i="2" s="1"/>
  <c r="M876" i="2"/>
  <c r="N876" i="2" s="1"/>
  <c r="M1868" i="2"/>
  <c r="M594" i="2"/>
  <c r="N594" i="2" s="1"/>
  <c r="M536" i="2"/>
  <c r="M426" i="2"/>
  <c r="N426" i="2" s="1"/>
  <c r="M732" i="2"/>
  <c r="M1406" i="2"/>
  <c r="M2018" i="2"/>
  <c r="N2018" i="2" s="1"/>
  <c r="M2428" i="2"/>
  <c r="N2428" i="2" s="1"/>
  <c r="M140" i="2"/>
  <c r="M1518" i="2"/>
  <c r="N1518" i="2" s="1"/>
  <c r="M1814" i="2"/>
  <c r="N1814" i="2" s="1"/>
  <c r="M1676" i="2"/>
  <c r="N1676" i="2" s="1"/>
  <c r="M452" i="2"/>
  <c r="M2278" i="2"/>
  <c r="N2278" i="2" s="1"/>
  <c r="M678" i="2"/>
  <c r="N678" i="2" s="1"/>
  <c r="M1476" i="2"/>
  <c r="M1838" i="2"/>
  <c r="N1838" i="2" s="1"/>
  <c r="M644" i="2"/>
  <c r="N644" i="2" s="1"/>
  <c r="M1318" i="2"/>
  <c r="N1318" i="2" s="1"/>
  <c r="M1772" i="2"/>
  <c r="N1772" i="2" s="1"/>
  <c r="M54" i="2"/>
  <c r="M139" i="2"/>
  <c r="M907" i="2"/>
  <c r="N907" i="2" s="1"/>
  <c r="M2331" i="2"/>
  <c r="N2331" i="2" s="1"/>
  <c r="M2357" i="2"/>
  <c r="N2357" i="2" s="1"/>
  <c r="M461" i="2"/>
  <c r="N461" i="2" s="1"/>
  <c r="M1729" i="2"/>
  <c r="N1729" i="2" s="1"/>
  <c r="M1807" i="2"/>
  <c r="N1807" i="2" s="1"/>
  <c r="M279" i="2"/>
  <c r="M1892" i="2"/>
  <c r="N1892" i="2" s="1"/>
  <c r="M1538" i="2"/>
  <c r="M1701" i="2"/>
  <c r="N1701" i="2" s="1"/>
  <c r="M779" i="2"/>
  <c r="N779" i="2" s="1"/>
  <c r="M721" i="2"/>
  <c r="M1189" i="2"/>
  <c r="N1189" i="2" s="1"/>
  <c r="M996" i="2"/>
  <c r="N996" i="2" s="1"/>
  <c r="M1136" i="2"/>
  <c r="M1967" i="2"/>
  <c r="N1967" i="2" s="1"/>
  <c r="M355" i="2"/>
  <c r="M581" i="2"/>
  <c r="N581" i="2" s="1"/>
  <c r="M1111" i="2"/>
  <c r="N1111" i="2" s="1"/>
  <c r="M1215" i="2"/>
  <c r="N1215" i="2" s="1"/>
  <c r="M1661" i="2"/>
  <c r="M207" i="2"/>
  <c r="N207" i="2" s="1"/>
  <c r="M717" i="2"/>
  <c r="N717" i="2" s="1"/>
  <c r="M2345" i="2"/>
  <c r="N2345" i="2" s="1"/>
  <c r="M59" i="2"/>
  <c r="M521" i="2"/>
  <c r="M1363" i="2"/>
  <c r="N1363" i="2" s="1"/>
  <c r="M1437" i="2"/>
  <c r="N1437" i="2" s="1"/>
  <c r="M351" i="2"/>
  <c r="N351" i="2" s="1"/>
  <c r="M1237" i="2"/>
  <c r="M1605" i="2"/>
  <c r="N1605" i="2" s="1"/>
  <c r="M17" i="2"/>
  <c r="N17" i="2" s="1"/>
  <c r="M429" i="2"/>
  <c r="M1183" i="2"/>
  <c r="N1183" i="2" s="1"/>
  <c r="M913" i="2"/>
  <c r="M607" i="2"/>
  <c r="N607" i="2" s="1"/>
  <c r="M1105" i="2"/>
  <c r="N1105" i="2" s="1"/>
  <c r="M2275" i="2"/>
  <c r="N2275" i="2" s="1"/>
  <c r="M2421" i="2"/>
  <c r="N2421" i="2" s="1"/>
  <c r="M119" i="2"/>
  <c r="M1935" i="2"/>
  <c r="N1935" i="2" s="1"/>
  <c r="M81" i="2"/>
  <c r="M369" i="2"/>
  <c r="N369" i="2" s="1"/>
  <c r="M923" i="2"/>
  <c r="M1679" i="2"/>
  <c r="N1679" i="2" s="1"/>
  <c r="M2407" i="2"/>
  <c r="N2407" i="2" s="1"/>
  <c r="M227" i="2"/>
  <c r="M1289" i="2"/>
  <c r="N1289" i="2" s="1"/>
  <c r="M1571" i="2"/>
  <c r="N1571" i="2" s="1"/>
  <c r="M2369" i="2"/>
  <c r="N2369" i="2" s="1"/>
  <c r="M145" i="2"/>
  <c r="N145" i="2" s="1"/>
  <c r="M2261" i="2"/>
  <c r="M1491" i="2"/>
  <c r="N1491" i="2" s="1"/>
  <c r="M1095" i="2"/>
  <c r="M1644" i="2"/>
  <c r="N1644" i="2" s="1"/>
  <c r="M116" i="2"/>
  <c r="M808" i="2"/>
  <c r="N808" i="2" s="1"/>
  <c r="M1472" i="2"/>
  <c r="M2220" i="2"/>
  <c r="N2220" i="2" s="1"/>
  <c r="M58" i="2"/>
  <c r="N58" i="2" s="1"/>
  <c r="M206" i="2"/>
  <c r="M716" i="2"/>
  <c r="N716" i="2" s="1"/>
  <c r="M2344" i="2"/>
  <c r="N2344" i="2" s="1"/>
  <c r="M725" i="2"/>
  <c r="N725" i="2" s="1"/>
  <c r="M1691" i="2"/>
  <c r="M379" i="2"/>
  <c r="M1853" i="2"/>
  <c r="N1853" i="2" s="1"/>
  <c r="M63" i="2"/>
  <c r="N63" i="2" s="1"/>
  <c r="M1179" i="2"/>
  <c r="N1179" i="2" s="1"/>
  <c r="M2349" i="2"/>
  <c r="N2349" i="2" s="1"/>
  <c r="M1209" i="2"/>
  <c r="M1513" i="2"/>
  <c r="N1513" i="2" s="1"/>
  <c r="M555" i="2"/>
  <c r="N555" i="2" s="1"/>
  <c r="M1331" i="2"/>
  <c r="M925" i="2"/>
  <c r="M2189" i="2"/>
  <c r="N2189" i="2" s="1"/>
  <c r="M127" i="2"/>
  <c r="N127" i="2" s="1"/>
  <c r="M167" i="2"/>
  <c r="M2121" i="2"/>
  <c r="N2121" i="2" s="1"/>
  <c r="M2423" i="2"/>
  <c r="N2423" i="2" s="1"/>
  <c r="M1029" i="2"/>
  <c r="M471" i="2"/>
  <c r="N471" i="2" s="1"/>
  <c r="M499" i="2"/>
  <c r="N499" i="2" s="1"/>
  <c r="M775" i="2"/>
  <c r="N775" i="2" s="1"/>
  <c r="M1835" i="2"/>
  <c r="N1835" i="2" s="1"/>
  <c r="M15" i="2"/>
  <c r="M2405" i="2"/>
  <c r="N2405" i="2" s="1"/>
  <c r="M483" i="2"/>
  <c r="M639" i="2"/>
  <c r="N639" i="2" s="1"/>
  <c r="M933" i="2"/>
  <c r="N933" i="2" s="1"/>
  <c r="M1876" i="2"/>
  <c r="N1876" i="2" s="1"/>
  <c r="M776" i="2"/>
  <c r="M1054" i="2"/>
  <c r="N1054" i="2" s="1"/>
  <c r="M406" i="2"/>
  <c r="M576" i="2"/>
  <c r="N576" i="2" s="1"/>
  <c r="M1352" i="2"/>
  <c r="M1312" i="2"/>
  <c r="N1312" i="2" s="1"/>
  <c r="M2340" i="2"/>
  <c r="N2340" i="2" s="1"/>
  <c r="M696" i="2"/>
  <c r="M342" i="2"/>
  <c r="M1564" i="2"/>
  <c r="N1564" i="2" s="1"/>
  <c r="M330" i="2"/>
  <c r="N330" i="2" s="1"/>
  <c r="M672" i="2"/>
  <c r="M349" i="2"/>
  <c r="M1225" i="2"/>
  <c r="N1225" i="2" s="1"/>
  <c r="M1079" i="2"/>
  <c r="N1079" i="2" s="1"/>
  <c r="M2213" i="2"/>
  <c r="N2213" i="2" s="1"/>
  <c r="M2383" i="2"/>
  <c r="N2383" i="2" s="1"/>
  <c r="M1863" i="2"/>
  <c r="N1863" i="2" s="1"/>
  <c r="M2219" i="2"/>
  <c r="N2219" i="2" s="1"/>
  <c r="M1561" i="2"/>
  <c r="M1347" i="2"/>
  <c r="N1347" i="2" s="1"/>
  <c r="M1673" i="2"/>
  <c r="N1673" i="2" s="1"/>
  <c r="M2399" i="2"/>
  <c r="N2399" i="2" s="1"/>
  <c r="M905" i="2"/>
  <c r="M2257" i="2"/>
  <c r="N2257" i="2" s="1"/>
  <c r="M203" i="2"/>
  <c r="M2061" i="2"/>
  <c r="N2061" i="2" s="1"/>
  <c r="M1607" i="2"/>
  <c r="N1607" i="2" s="1"/>
  <c r="M1101" i="2"/>
  <c r="N1101" i="2" s="1"/>
  <c r="M67" i="2"/>
  <c r="N67" i="2" s="1"/>
  <c r="M805" i="2"/>
  <c r="M430" i="2"/>
  <c r="N430" i="2" s="1"/>
  <c r="M722" i="2"/>
  <c r="M743" i="2"/>
  <c r="N743" i="2" s="1"/>
  <c r="M1057" i="2"/>
  <c r="M1864" i="2"/>
  <c r="N1864" i="2" s="1"/>
  <c r="M1932" i="2"/>
  <c r="N1932" i="2" s="1"/>
  <c r="M834" i="2"/>
  <c r="M740" i="2"/>
  <c r="N740" i="2" s="1"/>
  <c r="M68" i="2"/>
  <c r="M1390" i="2"/>
  <c r="N1390" i="2" s="1"/>
  <c r="M250" i="2"/>
  <c r="N250" i="2" s="1"/>
  <c r="M1776" i="2"/>
  <c r="M2350" i="2"/>
  <c r="N2350" i="2" s="1"/>
  <c r="M2380" i="2"/>
  <c r="N2380" i="2" s="1"/>
  <c r="M1124" i="2"/>
  <c r="N1124" i="2" s="1"/>
  <c r="M1832" i="2"/>
  <c r="M970" i="2"/>
  <c r="N970" i="2" s="1"/>
  <c r="M92" i="2"/>
  <c r="M480" i="2"/>
  <c r="N480" i="2" s="1"/>
  <c r="M2050" i="2"/>
  <c r="M528" i="2"/>
  <c r="N528" i="2" s="1"/>
  <c r="M2080" i="2"/>
  <c r="N2080" i="2" s="1"/>
  <c r="M2322" i="2"/>
  <c r="M1045" i="2"/>
  <c r="M1761" i="2"/>
  <c r="N1761" i="2" s="1"/>
  <c r="M1413" i="2"/>
  <c r="M1829" i="2"/>
  <c r="N1829" i="2" s="1"/>
  <c r="M791" i="2"/>
  <c r="N791" i="2" s="1"/>
  <c r="M1779" i="2"/>
  <c r="M1127" i="2"/>
  <c r="M1721" i="2"/>
  <c r="N1721" i="2" s="1"/>
  <c r="M755" i="2"/>
  <c r="M2029" i="2"/>
  <c r="N2029" i="2" s="1"/>
  <c r="M1855" i="2"/>
  <c r="N1855" i="2" s="1"/>
  <c r="M691" i="2"/>
  <c r="N691" i="2" s="1"/>
  <c r="M375" i="2"/>
  <c r="N375" i="2" s="1"/>
  <c r="M1365" i="2"/>
  <c r="N1365" i="2" s="1"/>
  <c r="M1615" i="2"/>
  <c r="M2245" i="2"/>
  <c r="N2245" i="2" s="1"/>
  <c r="M992" i="2"/>
  <c r="N992" i="2" s="1"/>
  <c r="M100" i="2"/>
  <c r="M2359" i="2"/>
  <c r="N2359" i="2" s="1"/>
  <c r="M937" i="2"/>
  <c r="M2031" i="2"/>
  <c r="N2031" i="2" s="1"/>
  <c r="M785" i="2"/>
  <c r="M1971" i="2"/>
  <c r="N1971" i="2" s="1"/>
  <c r="M297" i="2"/>
  <c r="M1665" i="2"/>
  <c r="N1665" i="2" s="1"/>
  <c r="M567" i="2"/>
  <c r="M849" i="2"/>
  <c r="N849" i="2" s="1"/>
  <c r="M2087" i="2"/>
  <c r="N2087" i="2" s="1"/>
  <c r="M2337" i="2"/>
  <c r="N2337" i="2" s="1"/>
  <c r="M400" i="2"/>
  <c r="M1012" i="2"/>
  <c r="N1012" i="2" s="1"/>
  <c r="M113" i="2"/>
  <c r="M915" i="2"/>
  <c r="N915" i="2" s="1"/>
  <c r="M1243" i="2"/>
  <c r="N1243" i="2" s="1"/>
  <c r="M27" i="2"/>
  <c r="N27" i="2" s="1"/>
  <c r="M394" i="2"/>
  <c r="N394" i="2" s="1"/>
  <c r="M2002" i="2"/>
  <c r="M56" i="2"/>
  <c r="N56" i="2" s="1"/>
  <c r="M666" i="2"/>
  <c r="M788" i="2"/>
  <c r="N788" i="2" s="1"/>
  <c r="M1988" i="2"/>
  <c r="M108" i="2"/>
  <c r="M1042" i="2"/>
  <c r="N1042" i="2" s="1"/>
  <c r="M1758" i="2"/>
  <c r="N1758" i="2" s="1"/>
  <c r="M344" i="2"/>
  <c r="N344" i="2" s="1"/>
  <c r="M988" i="2"/>
  <c r="M886" i="2"/>
  <c r="N886" i="2" s="1"/>
  <c r="M2052" i="2"/>
  <c r="M1898" i="2"/>
  <c r="N1898" i="2" s="1"/>
  <c r="M816" i="2"/>
  <c r="N816" i="2" s="1"/>
  <c r="M1420" i="2"/>
  <c r="M112" i="2"/>
  <c r="N112" i="2" s="1"/>
  <c r="M914" i="2"/>
  <c r="N914" i="2" s="1"/>
  <c r="M1242" i="2"/>
  <c r="N1242" i="2" s="1"/>
  <c r="M26" i="2"/>
  <c r="M1262" i="2"/>
  <c r="N1262" i="2" s="1"/>
  <c r="M2240" i="2"/>
  <c r="N2240" i="2" s="1"/>
  <c r="M598" i="2"/>
  <c r="N598" i="2" s="1"/>
  <c r="M228" i="2"/>
  <c r="M195" i="2"/>
  <c r="N195" i="2" s="1"/>
  <c r="M1775" i="2"/>
  <c r="M2088" i="2"/>
  <c r="N2088" i="2" s="1"/>
  <c r="M2198" i="2"/>
  <c r="M509" i="2"/>
  <c r="M1897" i="2"/>
  <c r="N1897" i="2" s="1"/>
  <c r="M676" i="2"/>
  <c r="M1294" i="2"/>
  <c r="N1294" i="2" s="1"/>
  <c r="M262" i="2"/>
  <c r="N262" i="2" s="1"/>
  <c r="M710" i="2"/>
  <c r="N710" i="2" s="1"/>
  <c r="M1014" i="2"/>
  <c r="M1397" i="2"/>
  <c r="N1397" i="2" s="1"/>
  <c r="M2075" i="2"/>
  <c r="N2075" i="2" s="1"/>
  <c r="M585" i="2"/>
  <c r="M872" i="2"/>
  <c r="N872" i="2" s="1"/>
  <c r="M960" i="2"/>
  <c r="N960" i="2" s="1"/>
  <c r="M2438" i="2"/>
  <c r="N2438" i="2" s="1"/>
  <c r="M178" i="2"/>
  <c r="M2409" i="2"/>
  <c r="N2409" i="2" s="1"/>
  <c r="M257" i="2"/>
  <c r="N257" i="2" s="1"/>
  <c r="M1293" i="2"/>
  <c r="M2183" i="2"/>
  <c r="N2183" i="2" s="1"/>
  <c r="M449" i="2"/>
  <c r="M1439" i="2"/>
  <c r="N1439" i="2" s="1"/>
  <c r="M2241" i="2"/>
  <c r="N2241" i="2" s="1"/>
  <c r="M599" i="2"/>
  <c r="M229" i="2"/>
  <c r="N229" i="2" s="1"/>
  <c r="M1263" i="2"/>
  <c r="N1263" i="2" s="1"/>
  <c r="M833" i="2"/>
  <c r="M1583" i="2"/>
  <c r="N1583" i="2" s="1"/>
  <c r="M620" i="2"/>
  <c r="N620" i="2" s="1"/>
  <c r="M1234" i="2"/>
  <c r="M157" i="2"/>
  <c r="N157" i="2" s="1"/>
  <c r="M1415" i="2"/>
  <c r="M1585" i="2"/>
  <c r="N1585" i="2" s="1"/>
  <c r="M2259" i="2"/>
  <c r="N2259" i="2" s="1"/>
  <c r="M2308" i="2"/>
  <c r="N2308" i="2" s="1"/>
  <c r="M854" i="2"/>
  <c r="M2136" i="2"/>
  <c r="N2136" i="2" s="1"/>
  <c r="M976" i="2"/>
  <c r="N976" i="2" s="1"/>
  <c r="M1264" i="2"/>
  <c r="M89" i="2"/>
  <c r="M357" i="2"/>
  <c r="N357" i="2" s="1"/>
  <c r="M1647" i="2"/>
  <c r="N1647" i="2" s="1"/>
  <c r="M1559" i="2"/>
  <c r="N1559" i="2" s="1"/>
  <c r="M73" i="2"/>
  <c r="N73" i="2" s="1"/>
  <c r="M337" i="2"/>
  <c r="M104" i="2"/>
  <c r="M1866" i="2"/>
  <c r="N1866" i="2" s="1"/>
  <c r="M1216" i="2"/>
  <c r="M1440" i="2"/>
  <c r="N1440" i="2" s="1"/>
  <c r="M259" i="2"/>
  <c r="N259" i="2" s="1"/>
  <c r="M593" i="2"/>
  <c r="M1047" i="2"/>
  <c r="N1047" i="2" s="1"/>
  <c r="M1689" i="2"/>
  <c r="N1689" i="2" s="1"/>
  <c r="M2401" i="2"/>
  <c r="N2401" i="2" s="1"/>
  <c r="M47" i="2"/>
  <c r="M147" i="2"/>
  <c r="N147" i="2" s="1"/>
  <c r="M1901" i="2"/>
  <c r="N1901" i="2" s="1"/>
  <c r="M2371" i="2"/>
  <c r="M663" i="2"/>
  <c r="M425" i="2"/>
  <c r="N425" i="2" s="1"/>
  <c r="M1077" i="2"/>
  <c r="N1077" i="2" s="1"/>
  <c r="M1951" i="2"/>
  <c r="N1951" i="2" s="1"/>
  <c r="M398" i="2"/>
  <c r="N398" i="2" s="1"/>
  <c r="M880" i="2"/>
  <c r="M2297" i="2"/>
  <c r="N2297" i="2" s="1"/>
  <c r="M373" i="2"/>
  <c r="M1253" i="2"/>
  <c r="N1253" i="2" s="1"/>
  <c r="M2037" i="2"/>
  <c r="N2037" i="2" s="1"/>
  <c r="M2007" i="2"/>
  <c r="N2007" i="2" s="1"/>
  <c r="M575" i="2"/>
  <c r="M1201" i="2"/>
  <c r="N1201" i="2" s="1"/>
  <c r="M1359" i="2"/>
  <c r="N1359" i="2" s="1"/>
  <c r="M809" i="2"/>
  <c r="M1645" i="2"/>
  <c r="N1645" i="2" s="1"/>
  <c r="M117" i="2"/>
  <c r="N117" i="2" s="1"/>
  <c r="M304" i="2"/>
  <c r="M496" i="2"/>
  <c r="N496" i="2" s="1"/>
  <c r="M1911" i="2"/>
  <c r="N1911" i="2" s="1"/>
  <c r="M589" i="2"/>
  <c r="M244" i="2"/>
  <c r="M794" i="2"/>
  <c r="N794" i="2" s="1"/>
  <c r="M1784" i="2"/>
  <c r="N1784" i="2" s="1"/>
  <c r="M1616" i="2"/>
  <c r="M606" i="2"/>
  <c r="M912" i="2"/>
  <c r="N912" i="2" s="1"/>
  <c r="M417" i="2"/>
  <c r="N417" i="2" s="1"/>
  <c r="M963" i="2"/>
  <c r="M1461" i="2"/>
  <c r="M1297" i="2"/>
  <c r="N1297" i="2" s="1"/>
  <c r="M2450" i="2"/>
  <c r="N2450" i="2" s="1"/>
  <c r="M1228" i="2"/>
  <c r="M1940" i="2"/>
  <c r="N1940" i="2" s="1"/>
  <c r="M920" i="2"/>
  <c r="N920" i="2" s="1"/>
  <c r="M1268" i="2"/>
  <c r="M1792" i="2"/>
  <c r="N1792" i="2" s="1"/>
  <c r="M2114" i="2"/>
  <c r="N2114" i="2" s="1"/>
  <c r="M680" i="2"/>
  <c r="M1178" i="2"/>
  <c r="M2348" i="2"/>
  <c r="N2348" i="2" s="1"/>
  <c r="M1208" i="2"/>
  <c r="N1208" i="2" s="1"/>
  <c r="M1512" i="2"/>
  <c r="N1512" i="2" s="1"/>
  <c r="M840" i="2"/>
  <c r="N840" i="2" s="1"/>
  <c r="M1662" i="2"/>
  <c r="M2404" i="2"/>
  <c r="N2404" i="2" s="1"/>
  <c r="M482" i="2"/>
  <c r="N482" i="2" s="1"/>
  <c r="M638" i="2"/>
  <c r="M932" i="2"/>
  <c r="N932" i="2" s="1"/>
  <c r="M894" i="2"/>
  <c r="N894" i="2" s="1"/>
  <c r="M2058" i="2"/>
  <c r="M2210" i="2"/>
  <c r="N2210" i="2" s="1"/>
  <c r="M1278" i="2"/>
  <c r="M1434" i="2"/>
  <c r="N1434" i="2" s="1"/>
  <c r="M726" i="2"/>
  <c r="N726" i="2" s="1"/>
  <c r="M1008" i="2"/>
  <c r="M1904" i="2"/>
  <c r="N1904" i="2" s="1"/>
  <c r="M298" i="2"/>
  <c r="N298" i="2" s="1"/>
  <c r="M1912" i="2"/>
  <c r="N1912" i="2" s="1"/>
  <c r="M1610" i="2"/>
  <c r="N1610" i="2" s="1"/>
  <c r="M1060" i="2"/>
  <c r="N1060" i="2" s="1"/>
  <c r="M1190" i="2"/>
  <c r="M2182" i="2"/>
  <c r="N2182" i="2" s="1"/>
  <c r="M2408" i="2"/>
  <c r="N2408" i="2" s="1"/>
  <c r="M256" i="2"/>
  <c r="M1292" i="2"/>
  <c r="N1292" i="2" s="1"/>
  <c r="M1221" i="2"/>
  <c r="M2085" i="2"/>
  <c r="N2085" i="2" s="1"/>
  <c r="M538" i="2"/>
  <c r="N538" i="2" s="1"/>
  <c r="M1386" i="2"/>
  <c r="M1533" i="2"/>
  <c r="M35" i="2"/>
  <c r="N35" i="2" s="1"/>
  <c r="M580" i="2"/>
  <c r="M1110" i="2"/>
  <c r="N1110" i="2" s="1"/>
  <c r="M1966" i="2"/>
  <c r="N1966" i="2" s="1"/>
  <c r="M354" i="2"/>
  <c r="N354" i="2" s="1"/>
  <c r="M2367" i="2"/>
  <c r="N2367" i="2" s="1"/>
  <c r="M467" i="2"/>
  <c r="M701" i="2"/>
  <c r="N701" i="2" s="1"/>
  <c r="M2129" i="2"/>
  <c r="N2129" i="2" s="1"/>
  <c r="M335" i="2"/>
  <c r="M2027" i="2"/>
  <c r="N2027" i="2" s="1"/>
  <c r="M1118" i="2"/>
  <c r="N1118" i="2" s="1"/>
  <c r="M130" i="2"/>
  <c r="M1444" i="2"/>
  <c r="N1444" i="2" s="1"/>
  <c r="M1051" i="2"/>
  <c r="M1529" i="2"/>
  <c r="N1529" i="2" s="1"/>
  <c r="M822" i="2"/>
  <c r="N822" i="2" s="1"/>
  <c r="M1474" i="2"/>
  <c r="M1782" i="2"/>
  <c r="N1782" i="2" s="1"/>
  <c r="M2364" i="2"/>
  <c r="N2364" i="2" s="1"/>
  <c r="M1334" i="2"/>
  <c r="N1334" i="2" s="1"/>
  <c r="M1174" i="2"/>
  <c r="M57" i="2"/>
  <c r="M667" i="2"/>
  <c r="N667" i="2" s="1"/>
  <c r="M1877" i="2"/>
  <c r="M777" i="2"/>
  <c r="N777" i="2" s="1"/>
  <c r="M273" i="2"/>
  <c r="N273" i="2" s="1"/>
  <c r="M1995" i="2"/>
  <c r="M952" i="2"/>
  <c r="N952" i="2" s="1"/>
  <c r="M2116" i="2"/>
  <c r="M322" i="2"/>
  <c r="M542" i="2"/>
  <c r="N542" i="2" s="1"/>
  <c r="M395" i="2"/>
  <c r="M2003" i="2"/>
  <c r="N2003" i="2" s="1"/>
  <c r="M884" i="2"/>
  <c r="N884" i="2" s="1"/>
  <c r="M1498" i="2"/>
  <c r="M1374" i="2"/>
  <c r="N1374" i="2" s="1"/>
  <c r="M96" i="2"/>
  <c r="N96" i="2" s="1"/>
  <c r="M476" i="2"/>
  <c r="M926" i="2"/>
  <c r="N926" i="2" s="1"/>
  <c r="M1396" i="2"/>
  <c r="M2074" i="2"/>
  <c r="N2074" i="2" s="1"/>
  <c r="M584" i="2"/>
  <c r="N584" i="2" s="1"/>
  <c r="M1749" i="2"/>
  <c r="M309" i="2"/>
  <c r="N309" i="2" s="1"/>
  <c r="M1002" i="2"/>
  <c r="N1002" i="2" s="1"/>
  <c r="M2144" i="2"/>
  <c r="M85" i="2"/>
  <c r="N85" i="2" s="1"/>
  <c r="M2113" i="2"/>
  <c r="N2113" i="2" s="1"/>
  <c r="M2343" i="2"/>
  <c r="M547" i="2"/>
  <c r="N547" i="2" s="1"/>
  <c r="M683" i="2"/>
  <c r="M787" i="2"/>
  <c r="M2287" i="2"/>
  <c r="N2287" i="2" s="1"/>
  <c r="M307" i="2"/>
  <c r="N307" i="2" s="1"/>
  <c r="M1073" i="2"/>
  <c r="N1073" i="2" s="1"/>
  <c r="M2009" i="2"/>
  <c r="M1389" i="2"/>
  <c r="M1001" i="2"/>
  <c r="N1001" i="2" s="1"/>
  <c r="M387" i="2"/>
  <c r="M1277" i="2"/>
  <c r="N1277" i="2" s="1"/>
  <c r="M655" i="2"/>
  <c r="M367" i="2"/>
  <c r="N367" i="2" s="1"/>
  <c r="M823" i="2"/>
  <c r="M1475" i="2"/>
  <c r="N1475" i="2" s="1"/>
  <c r="M1783" i="2"/>
  <c r="N1783" i="2" s="1"/>
  <c r="M2365" i="2"/>
  <c r="N2365" i="2" s="1"/>
  <c r="M183" i="2"/>
  <c r="M1955" i="2"/>
  <c r="N1955" i="2" s="1"/>
  <c r="M2099" i="2"/>
  <c r="N2099" i="2" s="1"/>
  <c r="M943" i="2"/>
  <c r="N943" i="2" s="1"/>
  <c r="M995" i="2"/>
  <c r="M2207" i="2"/>
  <c r="N2207" i="2" s="1"/>
  <c r="M927" i="2"/>
  <c r="N927" i="2" s="1"/>
  <c r="M1375" i="2"/>
  <c r="N1375" i="2" s="1"/>
  <c r="M97" i="2"/>
  <c r="M477" i="2"/>
  <c r="N477" i="2" s="1"/>
  <c r="M1309" i="2"/>
  <c r="N1309" i="2" s="1"/>
  <c r="M1861" i="2"/>
  <c r="M789" i="2"/>
  <c r="M1989" i="2"/>
  <c r="N1989" i="2" s="1"/>
  <c r="M2431" i="2"/>
  <c r="N2431" i="2" s="1"/>
  <c r="M25" i="2"/>
  <c r="N25" i="2" s="1"/>
  <c r="M1109" i="2"/>
  <c r="M1925" i="2"/>
  <c r="N1925" i="2" s="1"/>
  <c r="M1727" i="2"/>
  <c r="M2237" i="2"/>
  <c r="N2237" i="2" s="1"/>
  <c r="M501" i="2"/>
  <c r="N501" i="2" s="1"/>
  <c r="M2165" i="2"/>
  <c r="N2165" i="2" s="1"/>
  <c r="M1672" i="2"/>
  <c r="N1672" i="2" s="1"/>
  <c r="M2398" i="2"/>
  <c r="N2398" i="2" s="1"/>
  <c r="M904" i="2"/>
  <c r="N904" i="2" s="1"/>
  <c r="M1346" i="2"/>
  <c r="M1004" i="2"/>
  <c r="N1004" i="2" s="1"/>
  <c r="M1890" i="2"/>
  <c r="M1356" i="2"/>
  <c r="N1356" i="2" s="1"/>
  <c r="M110" i="2"/>
  <c r="M1760" i="2"/>
  <c r="M1044" i="2"/>
  <c r="N1044" i="2" s="1"/>
  <c r="M267" i="2"/>
  <c r="N267" i="2" s="1"/>
  <c r="M739" i="2"/>
  <c r="N739" i="2" s="1"/>
  <c r="M931" i="2"/>
  <c r="M1825" i="2"/>
  <c r="N1825" i="2" s="1"/>
  <c r="M800" i="2"/>
  <c r="N800" i="2" s="1"/>
  <c r="M2126" i="2"/>
  <c r="M614" i="2"/>
  <c r="N614" i="2" s="1"/>
  <c r="M560" i="2"/>
  <c r="M1794" i="2"/>
  <c r="N1794" i="2" s="1"/>
  <c r="M370" i="2"/>
  <c r="N370" i="2" s="1"/>
  <c r="M965" i="2"/>
  <c r="N965" i="2" s="1"/>
  <c r="M2311" i="2"/>
  <c r="N2311" i="2" s="1"/>
  <c r="M377" i="2"/>
  <c r="M761" i="2"/>
  <c r="N761" i="2" s="1"/>
  <c r="M1579" i="2"/>
  <c r="M213" i="2"/>
  <c r="M1143" i="2"/>
  <c r="N1143" i="2" s="1"/>
  <c r="M1483" i="2"/>
  <c r="N1483" i="2" s="1"/>
  <c r="M735" i="2"/>
  <c r="N735" i="2" s="1"/>
  <c r="M185" i="2"/>
  <c r="M1063" i="2"/>
  <c r="N1063" i="2" s="1"/>
  <c r="M2361" i="2"/>
  <c r="N2361" i="2" s="1"/>
  <c r="M2111" i="2"/>
  <c r="N2111" i="2" s="1"/>
  <c r="M1931" i="2"/>
  <c r="M1241" i="2"/>
  <c r="M1753" i="2"/>
  <c r="N1753" i="2" s="1"/>
  <c r="M51" i="2"/>
  <c r="N51" i="2" s="1"/>
  <c r="M829" i="2"/>
  <c r="M1455" i="2"/>
  <c r="N1455" i="2" s="1"/>
  <c r="M29" i="2"/>
  <c r="N29" i="2" s="1"/>
  <c r="M1301" i="2"/>
  <c r="N1301" i="2" s="1"/>
  <c r="M610" i="2"/>
  <c r="N610" i="2" s="1"/>
  <c r="M1522" i="2"/>
  <c r="M2298" i="2"/>
  <c r="N2298" i="2" s="1"/>
  <c r="M2334" i="2"/>
  <c r="N2334" i="2" s="1"/>
  <c r="M591" i="2"/>
  <c r="M891" i="2"/>
  <c r="N891" i="2" s="1"/>
  <c r="M568" i="2"/>
  <c r="M1348" i="2"/>
  <c r="N1348" i="2" s="1"/>
  <c r="M2104" i="2"/>
  <c r="N2104" i="2" s="1"/>
  <c r="M286" i="2"/>
  <c r="N286" i="2" s="1"/>
  <c r="M1508" i="2"/>
  <c r="M2214" i="2"/>
  <c r="N2214" i="2" s="1"/>
  <c r="M857" i="2"/>
  <c r="N857" i="2" s="1"/>
  <c r="M1985" i="2"/>
  <c r="N1985" i="2" s="1"/>
  <c r="M1587" i="2"/>
  <c r="M2243" i="2"/>
  <c r="N2243" i="2" s="1"/>
  <c r="M697" i="2"/>
  <c r="N697" i="2" s="1"/>
  <c r="M1313" i="2"/>
  <c r="M2341" i="2"/>
  <c r="N2341" i="2" s="1"/>
  <c r="M533" i="2"/>
  <c r="N533" i="2" s="1"/>
  <c r="M1737" i="2"/>
  <c r="N1737" i="2" s="1"/>
  <c r="M2149" i="2"/>
  <c r="N2149" i="2" s="1"/>
  <c r="M249" i="2"/>
  <c r="M1117" i="2"/>
  <c r="M341" i="2"/>
  <c r="N341" i="2" s="1"/>
  <c r="M1654" i="2"/>
  <c r="N1654" i="2" s="1"/>
  <c r="M2446" i="2"/>
  <c r="N2446" i="2" s="1"/>
  <c r="M60" i="2"/>
  <c r="M842" i="2"/>
  <c r="N842" i="2" s="1"/>
  <c r="M2173" i="2"/>
  <c r="N2173" i="2" s="1"/>
  <c r="M1809" i="2"/>
  <c r="M2014" i="2"/>
  <c r="N2014" i="2" s="1"/>
  <c r="M1324" i="2"/>
  <c r="M1349" i="2"/>
  <c r="N1349" i="2" s="1"/>
  <c r="M2105" i="2"/>
  <c r="N2105" i="2" s="1"/>
  <c r="M287" i="2"/>
  <c r="M569" i="2"/>
  <c r="N569" i="2" s="1"/>
  <c r="M797" i="2"/>
  <c r="M687" i="2"/>
  <c r="N687" i="2" s="1"/>
  <c r="M979" i="2"/>
  <c r="N979" i="2" s="1"/>
  <c r="M2141" i="2"/>
  <c r="N2141" i="2" s="1"/>
  <c r="M1919" i="2"/>
  <c r="N1919" i="2" s="1"/>
  <c r="M99" i="2"/>
  <c r="M718" i="2"/>
  <c r="M1038" i="2"/>
  <c r="N1038" i="2" s="1"/>
  <c r="M2211" i="2"/>
  <c r="N2211" i="2" s="1"/>
  <c r="M2059" i="2"/>
  <c r="N2059" i="2" s="1"/>
  <c r="M895" i="2"/>
  <c r="M1582" i="2"/>
  <c r="M832" i="2"/>
  <c r="N832" i="2" s="1"/>
  <c r="M2432" i="2"/>
  <c r="M42" i="2"/>
  <c r="N42" i="2" s="1"/>
  <c r="M1819" i="2"/>
  <c r="N1819" i="2" s="1"/>
  <c r="M271" i="2"/>
  <c r="M919" i="2"/>
  <c r="N919" i="2" s="1"/>
  <c r="M2013" i="2"/>
  <c r="N2013" i="2" s="1"/>
  <c r="M2386" i="2"/>
  <c r="N2386" i="2" s="1"/>
  <c r="M1674" i="2"/>
  <c r="M2041" i="2"/>
  <c r="N2041" i="2" s="1"/>
  <c r="M1707" i="2"/>
  <c r="N1707" i="2" s="1"/>
  <c r="M475" i="2"/>
  <c r="M1489" i="2"/>
  <c r="N1489" i="2" s="1"/>
  <c r="M1102" i="2"/>
  <c r="M1756" i="2"/>
  <c r="N1756" i="2" s="1"/>
  <c r="M1602" i="2"/>
  <c r="N1602" i="2" s="1"/>
  <c r="M10" i="2"/>
  <c r="N10" i="2" s="1"/>
  <c r="M714" i="2"/>
  <c r="N714" i="2" s="1"/>
  <c r="M1202" i="2"/>
  <c r="M2426" i="2"/>
  <c r="N2426" i="2" s="1"/>
  <c r="M1050" i="2"/>
  <c r="N1050" i="2" s="1"/>
  <c r="M1528" i="2"/>
  <c r="M2270" i="2"/>
  <c r="N2270" i="2" s="1"/>
  <c r="M2320" i="2"/>
  <c r="N2320" i="2" s="1"/>
  <c r="M558" i="2"/>
  <c r="M1360" i="2"/>
  <c r="N1360" i="2" s="1"/>
  <c r="M1604" i="2"/>
  <c r="N1604" i="2" s="1"/>
  <c r="M16" i="2"/>
  <c r="M428" i="2"/>
  <c r="N428" i="2" s="1"/>
  <c r="M1182" i="2"/>
  <c r="N1182" i="2" s="1"/>
  <c r="M824" i="2"/>
  <c r="M1680" i="2"/>
  <c r="N1680" i="2" s="1"/>
  <c r="M790" i="2"/>
  <c r="M1778" i="2"/>
  <c r="N1778" i="2" s="1"/>
  <c r="M1927" i="2"/>
  <c r="M1429" i="2"/>
  <c r="N1429" i="2" s="1"/>
  <c r="M704" i="2"/>
  <c r="N704" i="2" s="1"/>
  <c r="M2076" i="2"/>
  <c r="N2076" i="2" s="1"/>
  <c r="M1738" i="2"/>
  <c r="N1738" i="2" s="1"/>
  <c r="M798" i="2"/>
  <c r="M403" i="2"/>
  <c r="M1071" i="2"/>
  <c r="N1071" i="2" s="1"/>
  <c r="M427" i="2"/>
  <c r="M733" i="2"/>
  <c r="N733" i="2" s="1"/>
  <c r="M1970" i="2"/>
  <c r="M784" i="2"/>
  <c r="N784" i="2" s="1"/>
  <c r="M1894" i="2"/>
  <c r="M252" i="2"/>
  <c r="N252" i="2" s="1"/>
  <c r="M1064" i="2"/>
  <c r="N1064" i="2" s="1"/>
  <c r="M1642" i="2"/>
  <c r="M1454" i="2"/>
  <c r="N1454" i="2" s="1"/>
  <c r="M28" i="2"/>
  <c r="M828" i="2"/>
  <c r="N828" i="2" s="1"/>
  <c r="M1300" i="2"/>
  <c r="N1300" i="2" s="1"/>
  <c r="M2066" i="2"/>
  <c r="N2066" i="2" s="1"/>
  <c r="M364" i="2"/>
  <c r="N364" i="2" s="1"/>
  <c r="M1140" i="2"/>
  <c r="M1400" i="2"/>
  <c r="N1400" i="2" s="1"/>
  <c r="M2306" i="2"/>
  <c r="N2306" i="2" s="1"/>
  <c r="M694" i="2"/>
  <c r="M548" i="2"/>
  <c r="N548" i="2" s="1"/>
  <c r="M2054" i="2"/>
  <c r="N2054" i="2" s="1"/>
  <c r="M2112" i="2"/>
  <c r="N2112" i="2" s="1"/>
  <c r="M2342" i="2"/>
  <c r="N2342" i="2" s="1"/>
  <c r="M84" i="2"/>
  <c r="M946" i="2"/>
  <c r="N946" i="2" s="1"/>
  <c r="M1544" i="2"/>
  <c r="M1329" i="2"/>
  <c r="N1329" i="2" s="1"/>
  <c r="M1755" i="2"/>
  <c r="M2294" i="2"/>
  <c r="M216" i="2"/>
  <c r="N216" i="2" s="1"/>
  <c r="M1622" i="2"/>
  <c r="N1622" i="2" s="1"/>
  <c r="M1160" i="2"/>
  <c r="M1186" i="2"/>
  <c r="N1186" i="2" s="1"/>
  <c r="M2362" i="2"/>
  <c r="N2362" i="2" s="1"/>
  <c r="M848" i="2"/>
  <c r="M2086" i="2"/>
  <c r="N2086" i="2" s="1"/>
  <c r="M2336" i="2"/>
  <c r="N2336" i="2" s="1"/>
  <c r="M566" i="2"/>
  <c r="N566" i="2" s="1"/>
  <c r="M1364" i="2"/>
  <c r="N1364" i="2" s="1"/>
  <c r="M1614" i="2"/>
  <c r="N1614" i="2" s="1"/>
  <c r="M2244" i="2"/>
  <c r="N2244" i="2" s="1"/>
  <c r="M374" i="2"/>
  <c r="M513" i="2"/>
  <c r="M1291" i="2"/>
  <c r="N1291" i="2" s="1"/>
  <c r="M2048" i="2"/>
  <c r="N2048" i="2" s="1"/>
  <c r="M618" i="2"/>
  <c r="M1230" i="2"/>
  <c r="N1230" i="2" s="1"/>
  <c r="M1350" i="2"/>
  <c r="N1350" i="2" s="1"/>
  <c r="M93" i="2"/>
  <c r="N93" i="2" s="1"/>
  <c r="M971" i="2"/>
  <c r="M2393" i="2"/>
  <c r="N2393" i="2" s="1"/>
  <c r="M49" i="2"/>
  <c r="M1089" i="2"/>
  <c r="N1089" i="2" s="1"/>
  <c r="M1745" i="2"/>
  <c r="N1745" i="2" s="1"/>
  <c r="M2137" i="2"/>
  <c r="N2137" i="2" s="1"/>
  <c r="M2309" i="2"/>
  <c r="M855" i="2"/>
  <c r="N855" i="2" s="1"/>
  <c r="M129" i="2"/>
  <c r="N129" i="2" s="1"/>
  <c r="M2073" i="2"/>
  <c r="M319" i="2"/>
  <c r="M1923" i="2"/>
  <c r="N1923" i="2" s="1"/>
  <c r="M2221" i="2"/>
  <c r="M1473" i="2"/>
  <c r="N1473" i="2" s="1"/>
  <c r="M439" i="2"/>
  <c r="N439" i="2" s="1"/>
  <c r="M1543" i="2"/>
  <c r="M1259" i="2"/>
  <c r="M333" i="2"/>
  <c r="N333" i="2" s="1"/>
  <c r="M2155" i="2"/>
  <c r="N2155" i="2" s="1"/>
  <c r="M495" i="2"/>
  <c r="M1765" i="2"/>
  <c r="N1765" i="2" s="1"/>
  <c r="M187" i="2"/>
  <c r="N187" i="2" s="1"/>
  <c r="M1281" i="2"/>
  <c r="M1155" i="2"/>
  <c r="N1155" i="2" s="1"/>
  <c r="M453" i="2"/>
  <c r="N453" i="2" s="1"/>
  <c r="M1677" i="2"/>
  <c r="M540" i="2"/>
  <c r="M268" i="2"/>
  <c r="N268" i="2" s="1"/>
  <c r="M371" i="2"/>
  <c r="M615" i="2"/>
  <c r="N615" i="2" s="1"/>
  <c r="M561" i="2"/>
  <c r="N561" i="2" s="1"/>
  <c r="M1795" i="2"/>
  <c r="N1795" i="2" s="1"/>
  <c r="M397" i="2"/>
  <c r="M865" i="2"/>
  <c r="N865" i="2" s="1"/>
  <c r="M1965" i="2"/>
  <c r="N1965" i="2" s="1"/>
  <c r="M459" i="2"/>
  <c r="M1323" i="2"/>
  <c r="N1323" i="2" s="1"/>
  <c r="M1887" i="2"/>
  <c r="N1887" i="2" s="1"/>
  <c r="M1601" i="2"/>
  <c r="N1601" i="2" s="1"/>
  <c r="M3" i="2"/>
  <c r="M107" i="2"/>
  <c r="M1131" i="2"/>
  <c r="N1131" i="2" s="1"/>
  <c r="M1535" i="2"/>
  <c r="N1535" i="2" s="1"/>
  <c r="M2317" i="2"/>
  <c r="N2317" i="2" s="1"/>
  <c r="M1059" i="2"/>
  <c r="M2083" i="2"/>
  <c r="N2083" i="2" s="1"/>
  <c r="M2143" i="2"/>
  <c r="N2143" i="2" s="1"/>
  <c r="M301" i="2"/>
  <c r="M929" i="2"/>
  <c r="N929" i="2" s="1"/>
  <c r="M1257" i="2"/>
  <c r="N1257" i="2" s="1"/>
  <c r="M1175" i="2"/>
  <c r="N1175" i="2" s="1"/>
  <c r="M1335" i="2"/>
  <c r="M323" i="2"/>
  <c r="N323" i="2" s="1"/>
  <c r="M543" i="2"/>
  <c r="M1949" i="2"/>
  <c r="N1949" i="2" s="1"/>
  <c r="M2079" i="2"/>
  <c r="M1479" i="2"/>
  <c r="M1871" i="2"/>
  <c r="N1871" i="2" s="1"/>
  <c r="M2147" i="2"/>
  <c r="N2147" i="2" s="1"/>
  <c r="M1433" i="2"/>
  <c r="N1433" i="2" s="1"/>
  <c r="M1613" i="2"/>
  <c r="N1613" i="2" s="1"/>
  <c r="M2443" i="2"/>
  <c r="N2443" i="2" s="1"/>
  <c r="M359" i="2"/>
  <c r="N359" i="2" s="1"/>
  <c r="M421" i="2"/>
  <c r="M811" i="2"/>
  <c r="N811" i="2" s="1"/>
  <c r="M1377" i="2"/>
  <c r="M527" i="2"/>
  <c r="N527" i="2" s="1"/>
  <c r="M1355" i="2"/>
  <c r="M1577" i="2"/>
  <c r="N1577" i="2" s="1"/>
  <c r="M155" i="2"/>
  <c r="M1409" i="2"/>
  <c r="N1409" i="2" s="1"/>
  <c r="M1547" i="2"/>
  <c r="N1547" i="2" s="1"/>
  <c r="M33" i="2"/>
  <c r="M635" i="2"/>
  <c r="N635" i="2" s="1"/>
  <c r="M265" i="2"/>
  <c r="N265" i="2" s="1"/>
  <c r="M2025" i="2"/>
  <c r="M699" i="2"/>
  <c r="N699" i="2" s="1"/>
  <c r="M1402" i="2"/>
  <c r="M1630" i="2"/>
  <c r="N1630" i="2" s="1"/>
  <c r="M2290" i="2"/>
  <c r="N2290" i="2" s="1"/>
  <c r="M44" i="2"/>
  <c r="N44" i="2" s="1"/>
  <c r="M1238" i="2"/>
  <c r="M1594" i="2"/>
  <c r="N1594" i="2" s="1"/>
  <c r="M2256" i="2"/>
  <c r="N2256" i="2" s="1"/>
  <c r="M202" i="2"/>
  <c r="N202" i="2" s="1"/>
  <c r="M2060" i="2"/>
  <c r="N2060" i="2" s="1"/>
  <c r="M1606" i="2"/>
  <c r="M1818" i="2"/>
  <c r="N1818" i="2" s="1"/>
  <c r="M270" i="2"/>
  <c r="N270" i="2" s="1"/>
  <c r="M918" i="2"/>
  <c r="M2012" i="2"/>
  <c r="N2012" i="2" s="1"/>
  <c r="M858" i="2"/>
  <c r="N858" i="2" s="1"/>
  <c r="M1384" i="2"/>
  <c r="M1656" i="2"/>
  <c r="N1656" i="2" s="1"/>
  <c r="M2230" i="2"/>
  <c r="N2230" i="2" s="1"/>
  <c r="M124" i="2"/>
  <c r="M1106" i="2"/>
  <c r="N1106" i="2" s="1"/>
  <c r="M20" i="2"/>
  <c r="M756" i="2"/>
  <c r="N756" i="2" s="1"/>
  <c r="M2170" i="2"/>
  <c r="N2170" i="2" s="1"/>
  <c r="M616" i="2"/>
  <c r="N616" i="2" s="1"/>
  <c r="M1944" i="2"/>
  <c r="M300" i="2"/>
  <c r="N300" i="2" s="1"/>
  <c r="M928" i="2"/>
  <c r="M1256" i="2"/>
  <c r="N1256" i="2" s="1"/>
  <c r="M2142" i="2"/>
  <c r="N2142" i="2" s="1"/>
  <c r="M2272" i="2"/>
  <c r="N2272" i="2" s="1"/>
  <c r="M1448" i="2"/>
  <c r="N1448" i="2" s="1"/>
  <c r="M2186" i="2"/>
  <c r="M2102" i="2"/>
  <c r="N2102" i="2" s="1"/>
  <c r="M772" i="2"/>
  <c r="N772" i="2" s="1"/>
  <c r="M1128" i="2"/>
  <c r="M1326" i="2"/>
  <c r="N1326" i="2" s="1"/>
  <c r="M529" i="2"/>
  <c r="M2081" i="2"/>
  <c r="N2081" i="2" s="1"/>
  <c r="M2323" i="2"/>
  <c r="N2323" i="2" s="1"/>
  <c r="M1152" i="2"/>
  <c r="N1152" i="2" s="1"/>
  <c r="M1800" i="2"/>
  <c r="M1734" i="2"/>
  <c r="N1734" i="2" s="1"/>
  <c r="M218" i="2"/>
  <c r="M1640" i="2"/>
  <c r="N1640" i="2" s="1"/>
  <c r="M2006" i="2"/>
  <c r="N2006" i="2" s="1"/>
  <c r="M574" i="2"/>
  <c r="N574" i="2" s="1"/>
  <c r="M1200" i="2"/>
  <c r="N1200" i="2" s="1"/>
  <c r="M1358" i="2"/>
  <c r="M1226" i="2"/>
  <c r="M2184" i="2"/>
  <c r="N2184" i="2" s="1"/>
  <c r="M586" i="2"/>
  <c r="N586" i="2" s="1"/>
  <c r="M602" i="2"/>
  <c r="M888" i="2"/>
  <c r="N888" i="2" s="1"/>
  <c r="M222" i="2"/>
  <c r="N222" i="2" s="1"/>
  <c r="M2016" i="2"/>
  <c r="M1978" i="2"/>
  <c r="N1978" i="2" s="1"/>
  <c r="M324" i="2"/>
  <c r="M712" i="2"/>
  <c r="N712" i="2" s="1"/>
  <c r="M1494" i="2"/>
  <c r="N1494" i="2" s="1"/>
  <c r="M630" i="2"/>
  <c r="M1018" i="2"/>
  <c r="N1018" i="2" s="1"/>
  <c r="M1712" i="2"/>
  <c r="N1712" i="2" s="1"/>
  <c r="M2196" i="2"/>
  <c r="N2196" i="2" s="1"/>
  <c r="M1460" i="2"/>
  <c r="N1460" i="2" s="1"/>
  <c r="M1296" i="2"/>
  <c r="M1465" i="2"/>
  <c r="N1465" i="2" s="1"/>
  <c r="M1023" i="2"/>
  <c r="M924" i="2"/>
  <c r="N924" i="2" s="1"/>
  <c r="M2188" i="2"/>
  <c r="M1924" i="2"/>
  <c r="N1924" i="2" s="1"/>
  <c r="M2430" i="2"/>
  <c r="N2430" i="2" s="1"/>
  <c r="M24" i="2"/>
  <c r="M1108" i="2"/>
  <c r="N1108" i="2" s="1"/>
  <c r="M2130" i="2"/>
  <c r="N2130" i="2" s="1"/>
  <c r="M2390" i="2"/>
  <c r="N2390" i="2" s="1"/>
  <c r="M758" i="2"/>
  <c r="N758" i="2" s="1"/>
  <c r="M974" i="2"/>
  <c r="M652" i="2"/>
  <c r="M2228" i="2"/>
  <c r="N2228" i="2" s="1"/>
  <c r="M432" i="2"/>
  <c r="N432" i="2" s="1"/>
  <c r="M86" i="2"/>
  <c r="M254" i="2"/>
  <c r="N254" i="2" s="1"/>
  <c r="M69" i="2"/>
  <c r="N69" i="2" s="1"/>
  <c r="M1391" i="2"/>
  <c r="M2356" i="2"/>
  <c r="N2356" i="2" s="1"/>
  <c r="M138" i="2"/>
  <c r="N138" i="2" s="1"/>
  <c r="M906" i="2"/>
  <c r="M2330" i="2"/>
  <c r="N2330" i="2" s="1"/>
  <c r="M491" i="2"/>
  <c r="N491" i="2" s="1"/>
  <c r="M1789" i="2"/>
  <c r="M1119" i="2"/>
  <c r="M131" i="2"/>
  <c r="N131" i="2" s="1"/>
  <c r="M1445" i="2"/>
  <c r="N1445" i="2" s="1"/>
  <c r="M810" i="2"/>
  <c r="M1376" i="2"/>
  <c r="N1376" i="2" s="1"/>
  <c r="M2063" i="2"/>
  <c r="N2063" i="2" s="1"/>
  <c r="M1563" i="2"/>
  <c r="N1563" i="2" s="1"/>
  <c r="M579" i="2"/>
  <c r="M1299" i="2"/>
  <c r="N1299" i="2" s="1"/>
  <c r="M2303" i="2"/>
  <c r="M1943" i="2"/>
  <c r="N1943" i="2" s="1"/>
  <c r="M261" i="2"/>
  <c r="N261" i="2" s="1"/>
  <c r="M737" i="2"/>
  <c r="M1631" i="2"/>
  <c r="M1403" i="2"/>
  <c r="N1403" i="2" s="1"/>
  <c r="M1774" i="2"/>
  <c r="N1774" i="2" s="1"/>
  <c r="M194" i="2"/>
  <c r="M2218" i="2"/>
  <c r="N2218" i="2" s="1"/>
  <c r="M1560" i="2"/>
  <c r="N1560" i="2" s="1"/>
  <c r="M1862" i="2"/>
  <c r="M2382" i="2"/>
  <c r="N2382" i="2" s="1"/>
  <c r="M2084" i="2"/>
  <c r="M1220" i="2"/>
  <c r="N1220" i="2" s="1"/>
  <c r="M874" i="2"/>
  <c r="M1626" i="2"/>
  <c r="N1626" i="2" s="1"/>
  <c r="M916" i="2"/>
  <c r="N916" i="2" s="1"/>
  <c r="M8" i="2"/>
  <c r="N8" i="2" s="1"/>
  <c r="M844" i="2"/>
  <c r="M82" i="2"/>
  <c r="M550" i="2"/>
  <c r="N550" i="2" s="1"/>
  <c r="M1096" i="2"/>
  <c r="N1096" i="2" s="1"/>
  <c r="M1302" i="2"/>
  <c r="N1302" i="2" s="1"/>
  <c r="M214" i="2"/>
  <c r="M418" i="2"/>
  <c r="N418" i="2" s="1"/>
  <c r="M260" i="2"/>
  <c r="M736" i="2"/>
  <c r="N736" i="2" s="1"/>
  <c r="M1428" i="2"/>
  <c r="M1926" i="2"/>
  <c r="N1926" i="2" s="1"/>
  <c r="M1466" i="2"/>
  <c r="M1730" i="2"/>
  <c r="N1730" i="2" s="1"/>
  <c r="M1590" i="2"/>
  <c r="N1590" i="2" s="1"/>
  <c r="M2266" i="2"/>
  <c r="N2266" i="2" s="1"/>
  <c r="M1032" i="2"/>
  <c r="M1122" i="2"/>
  <c r="N1122" i="2" s="1"/>
  <c r="M1569" i="2"/>
  <c r="N1569" i="2" s="1"/>
  <c r="M2333" i="2"/>
  <c r="N2333" i="2" s="1"/>
  <c r="M393" i="2"/>
  <c r="N393" i="2" s="1"/>
  <c r="M941" i="2"/>
  <c r="M526" i="2"/>
  <c r="M1354" i="2"/>
  <c r="N1354" i="2" s="1"/>
  <c r="M2366" i="2"/>
  <c r="N2366" i="2" s="1"/>
  <c r="M466" i="2"/>
  <c r="N466" i="2" s="1"/>
  <c r="M700" i="2"/>
  <c r="M2128" i="2"/>
  <c r="N2128" i="2" s="1"/>
  <c r="M859" i="2"/>
  <c r="M1385" i="2"/>
  <c r="N1385" i="2" s="1"/>
  <c r="M1725" i="2"/>
  <c r="N1725" i="2" s="1"/>
  <c r="M1629" i="2"/>
  <c r="M109" i="2"/>
  <c r="N109" i="2" s="1"/>
  <c r="M1043" i="2"/>
  <c r="M414" i="2"/>
  <c r="N414" i="2" s="1"/>
  <c r="M316" i="2"/>
  <c r="M2160" i="2"/>
  <c r="N2160" i="2" s="1"/>
  <c r="M2264" i="2"/>
  <c r="N2264" i="2" s="1"/>
  <c r="M1153" i="2"/>
  <c r="M1801" i="2"/>
  <c r="N1801" i="2" s="1"/>
  <c r="M2001" i="2"/>
  <c r="N2001" i="2" s="1"/>
  <c r="M1879" i="2"/>
  <c r="M1693" i="2"/>
  <c r="N1693" i="2" s="1"/>
  <c r="M1889" i="2"/>
  <c r="M1214" i="2"/>
  <c r="M1660" i="2"/>
  <c r="N1660" i="2" s="1"/>
  <c r="M1773" i="2"/>
  <c r="N1773" i="2" s="1"/>
  <c r="M55" i="2"/>
  <c r="N55" i="2" s="1"/>
  <c r="M645" i="2"/>
  <c r="M1319" i="2"/>
  <c r="N1319" i="2" s="1"/>
  <c r="M875" i="2"/>
  <c r="N875" i="2" s="1"/>
  <c r="M1627" i="2"/>
  <c r="M2437" i="2"/>
  <c r="N2437" i="2" s="1"/>
  <c r="M669" i="2"/>
  <c r="M1339" i="2"/>
  <c r="N1339" i="2" s="1"/>
  <c r="M1937" i="2"/>
  <c r="N1937" i="2" s="1"/>
  <c r="M1245" i="2"/>
  <c r="M2071" i="2"/>
  <c r="N2071" i="2" s="1"/>
  <c r="M552" i="2"/>
  <c r="M1802" i="2"/>
  <c r="N1802" i="2" s="1"/>
  <c r="M1505" i="2"/>
  <c r="N1505" i="2" s="1"/>
  <c r="M1471" i="2"/>
  <c r="N1471" i="2" s="1"/>
  <c r="M515" i="2"/>
  <c r="M815" i="2"/>
  <c r="N815" i="2" s="1"/>
  <c r="M184" i="2"/>
  <c r="N184" i="2" s="1"/>
  <c r="M734" i="2"/>
  <c r="M1062" i="2"/>
  <c r="N1062" i="2" s="1"/>
  <c r="M2360" i="2"/>
  <c r="N2360" i="2" s="1"/>
  <c r="M2410" i="2"/>
  <c r="N2410" i="2" s="1"/>
  <c r="M30" i="2"/>
  <c r="M846" i="2"/>
  <c r="N846" i="2" s="1"/>
  <c r="M1732" i="2"/>
  <c r="N1732" i="2" s="1"/>
  <c r="M637" i="2"/>
  <c r="M1135" i="2"/>
  <c r="N1135" i="2" s="1"/>
  <c r="M1411" i="2"/>
  <c r="N1411" i="2" s="1"/>
  <c r="M1849" i="2"/>
  <c r="N1849" i="2" s="1"/>
  <c r="M2269" i="2"/>
  <c r="M767" i="2"/>
  <c r="N767" i="2" s="1"/>
  <c r="M1517" i="2"/>
  <c r="N1517" i="2" s="1"/>
  <c r="M1003" i="2"/>
  <c r="M2145" i="2"/>
  <c r="N2145" i="2" s="1"/>
  <c r="M1803" i="2"/>
  <c r="M553" i="2"/>
  <c r="N553" i="2" s="1"/>
  <c r="M689" i="2"/>
  <c r="N689" i="2" s="1"/>
  <c r="M1307" i="2"/>
  <c r="M1103" i="2"/>
  <c r="N1103" i="2" s="1"/>
  <c r="M1757" i="2"/>
  <c r="N1757" i="2" s="1"/>
  <c r="M1603" i="2"/>
  <c r="N1603" i="2" s="1"/>
  <c r="M11" i="2"/>
  <c r="M241" i="2"/>
  <c r="M469" i="2"/>
  <c r="N469" i="2" s="1"/>
  <c r="M2042" i="2"/>
  <c r="M648" i="2"/>
  <c r="N648" i="2" s="1"/>
  <c r="M2418" i="2"/>
  <c r="N2418" i="2" s="1"/>
  <c r="M780" i="2"/>
  <c r="N780" i="2" s="1"/>
  <c r="M1342" i="2"/>
  <c r="M2282" i="2"/>
  <c r="N2282" i="2" s="1"/>
  <c r="M1646" i="2"/>
  <c r="N1646" i="2" s="1"/>
  <c r="M72" i="2"/>
  <c r="M336" i="2"/>
  <c r="N336" i="2" s="1"/>
  <c r="M1558" i="2"/>
  <c r="N1558" i="2" s="1"/>
  <c r="M1210" i="2"/>
  <c r="N1210" i="2" s="1"/>
  <c r="M1798" i="2"/>
  <c r="N1798" i="2" s="1"/>
  <c r="M878" i="2"/>
  <c r="N878" i="2" s="1"/>
  <c r="M1026" i="2"/>
  <c r="M94" i="2"/>
  <c r="N94" i="2" s="1"/>
  <c r="M134" i="2"/>
  <c r="M1090" i="2"/>
  <c r="N1090" i="2" s="1"/>
  <c r="M2384" i="2"/>
  <c r="N2384" i="2" s="1"/>
  <c r="M462" i="2"/>
  <c r="N462" i="2" s="1"/>
  <c r="M440" i="2"/>
  <c r="M1694" i="2"/>
  <c r="N1694" i="2" s="1"/>
  <c r="M2236" i="2"/>
  <c r="N2236" i="2" s="1"/>
  <c r="M500" i="2"/>
  <c r="M2164" i="2"/>
  <c r="N2164" i="2" s="1"/>
  <c r="M1726" i="2"/>
  <c r="N1726" i="2" s="1"/>
  <c r="M1860" i="2"/>
  <c r="N1860" i="2" s="1"/>
  <c r="M1308" i="2"/>
  <c r="M1486" i="2"/>
  <c r="N1486" i="2" s="1"/>
  <c r="M2226" i="2"/>
  <c r="N2226" i="2" s="1"/>
  <c r="M150" i="2"/>
  <c r="N150" i="2" s="1"/>
  <c r="M510" i="2"/>
  <c r="M13" i="2"/>
  <c r="M1053" i="2"/>
  <c r="N1053" i="2" s="1"/>
  <c r="M863" i="2"/>
  <c r="N863" i="2" s="1"/>
  <c r="M2093" i="2"/>
  <c r="N2093" i="2" s="1"/>
  <c r="M232" i="2"/>
  <c r="M1826" i="2"/>
  <c r="N1826" i="2" s="1"/>
  <c r="M242" i="2"/>
  <c r="M1766" i="2"/>
  <c r="N1766" i="2" s="1"/>
  <c r="M1392" i="2"/>
  <c r="N1392" i="2" s="1"/>
  <c r="M1462" i="2"/>
  <c r="N1462" i="2" s="1"/>
  <c r="M2254" i="2"/>
  <c r="N2254" i="2" s="1"/>
  <c r="M746" i="2"/>
  <c r="M381" i="2"/>
  <c r="N381" i="2" s="1"/>
  <c r="M531" i="2"/>
  <c r="M334" i="2"/>
  <c r="N334" i="2" s="1"/>
  <c r="M2026" i="2"/>
  <c r="M2010" i="2"/>
  <c r="M2232" i="2"/>
  <c r="N2232" i="2" s="1"/>
  <c r="M640" i="2"/>
  <c r="N640" i="2" s="1"/>
  <c r="M1850" i="2"/>
  <c r="N1850" i="2" s="1"/>
  <c r="M2338" i="2"/>
  <c r="N2338" i="2" s="1"/>
  <c r="M492" i="2"/>
  <c r="M1027" i="2"/>
  <c r="N1027" i="2" s="1"/>
  <c r="M1211" i="2"/>
  <c r="N1211" i="2" s="1"/>
  <c r="M1799" i="2"/>
  <c r="N1799" i="2" s="1"/>
  <c r="M879" i="2"/>
  <c r="M724" i="2"/>
  <c r="M1690" i="2"/>
  <c r="N1690" i="2" s="1"/>
  <c r="M1719" i="2"/>
  <c r="M71" i="2"/>
  <c r="N71" i="2" s="1"/>
  <c r="M590" i="2"/>
  <c r="N590" i="2" s="1"/>
  <c r="M890" i="2"/>
  <c r="M1831" i="2"/>
  <c r="N1831" i="2" s="1"/>
  <c r="M443" i="2"/>
  <c r="M209" i="2"/>
  <c r="N209" i="2" s="1"/>
  <c r="M987" i="2"/>
  <c r="N987" i="2" s="1"/>
  <c r="M236" i="2"/>
  <c r="N236" i="2" s="1"/>
  <c r="M2204" i="2"/>
  <c r="N2204" i="2" s="1"/>
  <c r="M1698" i="2"/>
  <c r="N1698" i="2" s="1"/>
  <c r="M486" i="2"/>
  <c r="M2094" i="2"/>
  <c r="M1024" i="2"/>
  <c r="N1024" i="2" s="1"/>
  <c r="M43" i="2"/>
  <c r="M2433" i="2"/>
  <c r="N2433" i="2" s="1"/>
  <c r="M464" i="2"/>
  <c r="M1206" i="2"/>
  <c r="N1206" i="2" s="1"/>
  <c r="M2064" i="2"/>
  <c r="N2064" i="2" s="1"/>
  <c r="M1650" i="2"/>
  <c r="N1650" i="2" s="1"/>
  <c r="M801" i="2"/>
  <c r="M2127" i="2"/>
  <c r="N2127" i="2" s="1"/>
  <c r="M1920" i="2"/>
  <c r="M2276" i="2"/>
  <c r="N2276" i="2" s="1"/>
  <c r="M2419" i="2"/>
  <c r="N2419" i="2" s="1"/>
  <c r="M781" i="2"/>
  <c r="M1343" i="2"/>
  <c r="N1343" i="2" s="1"/>
  <c r="M2283" i="2"/>
  <c r="N2283" i="2" s="1"/>
  <c r="M1687" i="2"/>
  <c r="N1687" i="2" s="1"/>
  <c r="M455" i="2"/>
  <c r="M1593" i="2"/>
  <c r="N1593" i="2" s="1"/>
  <c r="M1961" i="2"/>
  <c r="N1961" i="2" s="1"/>
  <c r="M1770" i="2"/>
  <c r="M502" i="2"/>
  <c r="N502" i="2" s="1"/>
  <c r="M1884" i="2"/>
  <c r="N1884" i="2" s="1"/>
  <c r="M1668" i="2"/>
  <c r="N1668" i="2" s="1"/>
  <c r="M1722" i="2"/>
  <c r="N1722" i="2" s="1"/>
  <c r="M2372" i="2"/>
  <c r="N2372" i="2" s="1"/>
  <c r="M384" i="2"/>
  <c r="M1908" i="2"/>
  <c r="N1908" i="2" s="1"/>
  <c r="M40" i="2"/>
  <c r="N40" i="2" s="1"/>
  <c r="M1524" i="2"/>
  <c r="M431" i="2"/>
  <c r="M723" i="2"/>
  <c r="N723" i="2" s="1"/>
  <c r="M1634" i="2"/>
  <c r="N1634" i="2" s="1"/>
  <c r="M78" i="2"/>
  <c r="N78" i="2" s="1"/>
  <c r="M1212" i="2"/>
  <c r="M2020" i="2"/>
  <c r="N2020" i="2" s="1"/>
  <c r="M1599" i="2"/>
  <c r="N1599" i="2" s="1"/>
  <c r="M827" i="2"/>
  <c r="N827" i="2" s="1"/>
  <c r="M205" i="2"/>
  <c r="M1423" i="2"/>
  <c r="N1423" i="2" s="1"/>
  <c r="M1113" i="2"/>
  <c r="N1113" i="2" s="1"/>
  <c r="M2035" i="2"/>
  <c r="M1968" i="2"/>
  <c r="M944" i="2"/>
  <c r="N944" i="2" s="1"/>
  <c r="M1310" i="2"/>
  <c r="N1310" i="2" s="1"/>
  <c r="M1976" i="2"/>
  <c r="M277" i="2"/>
  <c r="N277" i="2" s="1"/>
  <c r="M2457" i="2"/>
  <c r="M751" i="2"/>
  <c r="N751" i="2" s="1"/>
  <c r="M1419" i="2"/>
  <c r="M50" i="2"/>
  <c r="M1240" i="2"/>
  <c r="N1240" i="2" s="1"/>
  <c r="M1752" i="2"/>
  <c r="N1752" i="2" s="1"/>
  <c r="M2411" i="2"/>
  <c r="N2411" i="2" s="1"/>
  <c r="M31" i="2"/>
  <c r="N31" i="2" s="1"/>
  <c r="M847" i="2"/>
  <c r="M1733" i="2"/>
  <c r="N1733" i="2" s="1"/>
  <c r="M2067" i="2"/>
  <c r="N2067" i="2" s="1"/>
  <c r="M365" i="2"/>
  <c r="M1141" i="2"/>
  <c r="N1141" i="2" s="1"/>
  <c r="M1401" i="2"/>
  <c r="N1401" i="2" s="1"/>
  <c r="M1453" i="2"/>
  <c r="M1619" i="2"/>
  <c r="N1619" i="2" s="1"/>
  <c r="M2375" i="2"/>
  <c r="N2375" i="2" s="1"/>
  <c r="M2135" i="2"/>
  <c r="N2135" i="2" s="1"/>
  <c r="M2335" i="2"/>
  <c r="N2335" i="2" s="1"/>
  <c r="M611" i="2"/>
  <c r="M1523" i="2"/>
  <c r="N1523" i="2" s="1"/>
  <c r="M2299" i="2"/>
  <c r="N2299" i="2" s="1"/>
  <c r="M1251" i="2"/>
  <c r="M133" i="2"/>
  <c r="N133" i="2" s="1"/>
  <c r="M1895" i="2"/>
  <c r="N1895" i="2" s="1"/>
  <c r="M253" i="2"/>
  <c r="M1193" i="2"/>
  <c r="N1193" i="2" s="1"/>
  <c r="M1697" i="2"/>
  <c r="N1697" i="2" s="1"/>
  <c r="M2033" i="2"/>
  <c r="M2285" i="2"/>
  <c r="N2285" i="2" s="1"/>
  <c r="M75" i="2"/>
  <c r="N75" i="2" s="1"/>
  <c r="M1507" i="2"/>
  <c r="M1488" i="2"/>
  <c r="M474" i="2"/>
  <c r="N474" i="2" s="1"/>
  <c r="M2040" i="2"/>
  <c r="N2040" i="2" s="1"/>
  <c r="M1706" i="2"/>
  <c r="N1706" i="2" s="1"/>
  <c r="M1016" i="2"/>
  <c r="M2178" i="2"/>
  <c r="N2178" i="2" s="1"/>
  <c r="M1430" i="2"/>
  <c r="N1430" i="2" s="1"/>
  <c r="M2328" i="2"/>
  <c r="N2328" i="2" s="1"/>
  <c r="M504" i="2"/>
  <c r="N504" i="2" s="1"/>
  <c r="M956" i="2"/>
  <c r="N956" i="2" s="1"/>
  <c r="M2068" i="2"/>
  <c r="M318" i="2"/>
  <c r="N318" i="2" s="1"/>
  <c r="M1922" i="2"/>
  <c r="M396" i="2"/>
  <c r="N396" i="2" s="1"/>
  <c r="M864" i="2"/>
  <c r="M1964" i="2"/>
  <c r="N1964" i="2" s="1"/>
  <c r="M1595" i="2"/>
  <c r="N1595" i="2" s="1"/>
  <c r="M45" i="2"/>
  <c r="M1239" i="2"/>
  <c r="N1239" i="2" s="1"/>
  <c r="M2291" i="2"/>
  <c r="N2291" i="2" s="1"/>
  <c r="M1480" i="2"/>
  <c r="N1480" i="2" s="1"/>
  <c r="M1196" i="2"/>
  <c r="M2053" i="2"/>
  <c r="N2053" i="2" s="1"/>
  <c r="M1899" i="2"/>
  <c r="M433" i="2"/>
  <c r="M653" i="2"/>
  <c r="N653" i="2" s="1"/>
  <c r="M2229" i="2"/>
  <c r="N2229" i="2" s="1"/>
  <c r="M95" i="2"/>
  <c r="M135" i="2"/>
  <c r="N135" i="2" s="1"/>
  <c r="M1091" i="2"/>
  <c r="N1091" i="2" s="1"/>
  <c r="M2385" i="2"/>
  <c r="N2385" i="2" s="1"/>
  <c r="M317" i="2"/>
  <c r="N317" i="2" s="1"/>
  <c r="M2161" i="2"/>
  <c r="N2161" i="2" s="1"/>
  <c r="M2265" i="2"/>
  <c r="N2265" i="2" s="1"/>
  <c r="M415" i="2"/>
  <c r="M573" i="2"/>
  <c r="N573" i="2" s="1"/>
  <c r="M1405" i="2"/>
  <c r="M1806" i="2"/>
  <c r="N1806" i="2" s="1"/>
  <c r="M278" i="2"/>
  <c r="N278" i="2" s="1"/>
  <c r="M460" i="2"/>
  <c r="M1728" i="2"/>
  <c r="N1728" i="2" s="1"/>
  <c r="M1195" i="2"/>
  <c r="N1195" i="2" s="1"/>
  <c r="M1845" i="2"/>
  <c r="M674" i="2"/>
  <c r="M744" i="2"/>
  <c r="N744" i="2" s="1"/>
  <c r="M170" i="2"/>
  <c r="N170" i="2" s="1"/>
  <c r="M1468" i="2"/>
  <c r="M807" i="2"/>
  <c r="N807" i="2" s="1"/>
  <c r="M1427" i="2"/>
  <c r="M1875" i="2"/>
  <c r="N1875" i="2" s="1"/>
  <c r="M2123" i="2"/>
  <c r="N2123" i="2" s="1"/>
  <c r="M2008" i="2"/>
  <c r="N2008" i="2" s="1"/>
  <c r="M1072" i="2"/>
  <c r="M389" i="2"/>
  <c r="N389" i="2" s="1"/>
  <c r="M1249" i="2"/>
  <c r="N1249" i="2" s="1"/>
  <c r="M2305" i="2"/>
  <c r="N2305" i="2" s="1"/>
  <c r="M115" i="2"/>
  <c r="M80" i="2"/>
  <c r="N80" i="2" s="1"/>
  <c r="M1934" i="2"/>
  <c r="M101" i="2"/>
  <c r="N101" i="2" s="1"/>
  <c r="M993" i="2"/>
  <c r="M1852" i="2"/>
  <c r="N1852" i="2" s="1"/>
  <c r="M62" i="2"/>
  <c r="M378" i="2"/>
  <c r="N378" i="2" s="1"/>
  <c r="M1639" i="2"/>
  <c r="N1639" i="2" s="1"/>
  <c r="M897" i="2"/>
  <c r="N897" i="2" s="1"/>
  <c r="M867" i="2"/>
  <c r="M2201" i="2"/>
  <c r="N2201" i="2" s="1"/>
  <c r="M1521" i="2"/>
  <c r="N1521" i="2" s="1"/>
  <c r="M2435" i="2"/>
  <c r="N2435" i="2" s="1"/>
  <c r="M2253" i="2"/>
  <c r="M505" i="2"/>
  <c r="M957" i="2"/>
  <c r="N957" i="2" s="1"/>
  <c r="M2069" i="2"/>
  <c r="N2069" i="2" s="1"/>
  <c r="M2329" i="2"/>
  <c r="N2329" i="2" s="1"/>
  <c r="M1467" i="2"/>
  <c r="N1467" i="2" s="1"/>
  <c r="M1731" i="2"/>
  <c r="M1551" i="2"/>
  <c r="N1551" i="2" s="1"/>
  <c r="M2379" i="2"/>
  <c r="N2379" i="2" s="1"/>
  <c r="M2039" i="2"/>
  <c r="N2039" i="2" s="1"/>
  <c r="M329" i="2"/>
  <c r="M750" i="2"/>
  <c r="M1418" i="2"/>
  <c r="N1418" i="2" s="1"/>
  <c r="M595" i="2"/>
  <c r="M537" i="2"/>
  <c r="N537" i="2" s="1"/>
  <c r="M752" i="2"/>
  <c r="M632" i="2"/>
  <c r="N632" i="2" s="1"/>
  <c r="M65" i="2"/>
  <c r="M601" i="2"/>
  <c r="N601" i="2" s="1"/>
  <c r="M1255" i="2"/>
  <c r="N1255" i="2" s="1"/>
  <c r="M245" i="2"/>
  <c r="N245" i="2" s="1"/>
  <c r="M795" i="2"/>
  <c r="M1233" i="2"/>
  <c r="M2091" i="2"/>
  <c r="N2091" i="2" s="1"/>
  <c r="M149" i="2"/>
  <c r="M1075" i="2"/>
  <c r="N1075" i="2" s="1"/>
  <c r="M1947" i="2"/>
  <c r="N1947" i="2" s="1"/>
  <c r="M2225" i="2"/>
  <c r="N2225" i="2" s="1"/>
  <c r="M1846" i="2"/>
  <c r="M2324" i="2"/>
  <c r="N2324" i="2" s="1"/>
  <c r="M1382" i="2"/>
  <c r="N1382" i="2" s="1"/>
  <c r="M1786" i="2"/>
  <c r="N1786" i="2" s="1"/>
  <c r="M198" i="2"/>
  <c r="N198" i="2" s="1"/>
  <c r="M1030" i="2"/>
  <c r="M310" i="2"/>
  <c r="N310" i="2" s="1"/>
  <c r="M1972" i="2"/>
  <c r="M866" i="2"/>
  <c r="N866" i="2" s="1"/>
  <c r="M2200" i="2"/>
  <c r="N2200" i="2" s="1"/>
  <c r="M1638" i="2"/>
  <c r="N1638" i="2" s="1"/>
  <c r="M896" i="2"/>
  <c r="M448" i="2"/>
  <c r="N448" i="2" s="1"/>
  <c r="M1438" i="2"/>
  <c r="M220" i="2"/>
  <c r="N220" i="2" s="1"/>
  <c r="M982" i="2"/>
  <c r="M1848" i="2"/>
  <c r="N1848" i="2" s="1"/>
  <c r="M636" i="2"/>
  <c r="N636" i="2" s="1"/>
  <c r="M1134" i="2"/>
  <c r="M1410" i="2"/>
  <c r="N1410" i="2" s="1"/>
  <c r="M930" i="2"/>
  <c r="N930" i="2" s="1"/>
  <c r="M1824" i="2"/>
  <c r="N1824" i="2" s="1"/>
  <c r="M266" i="2"/>
  <c r="M738" i="2"/>
  <c r="N738" i="2" s="1"/>
  <c r="M128" i="2"/>
  <c r="M2072" i="2"/>
  <c r="N2072" i="2" s="1"/>
  <c r="M661" i="2"/>
  <c r="M1451" i="2"/>
  <c r="N1451" i="2" s="1"/>
  <c r="M2153" i="2"/>
  <c r="N2153" i="2" s="1"/>
  <c r="M1683" i="2"/>
  <c r="N1683" i="2" s="1"/>
  <c r="M2403" i="2"/>
  <c r="N2403" i="2" s="1"/>
  <c r="M169" i="2"/>
  <c r="M201" i="2"/>
  <c r="N201" i="2" s="1"/>
  <c r="M642" i="2"/>
  <c r="M1996" i="2"/>
  <c r="N1996" i="2" s="1"/>
  <c r="M973" i="2"/>
  <c r="N973" i="2" s="1"/>
  <c r="M1715" i="2"/>
  <c r="N1715" i="2" s="1"/>
  <c r="M2445" i="2"/>
  <c r="N2445" i="2" s="1"/>
  <c r="M123" i="2"/>
  <c r="M1048" i="2"/>
  <c r="M2250" i="2"/>
  <c r="N2250" i="2" s="1"/>
  <c r="M102" i="2"/>
  <c r="N102" i="2" s="1"/>
  <c r="M852" i="2"/>
  <c r="N852" i="2" s="1"/>
  <c r="M2355" i="2"/>
  <c r="N2355" i="2" s="1"/>
  <c r="M313" i="2"/>
  <c r="M1169" i="2"/>
  <c r="N1169" i="2" s="1"/>
  <c r="M1011" i="2"/>
  <c r="N1011" i="2" s="1"/>
  <c r="M422" i="2"/>
  <c r="M522" i="2"/>
  <c r="N522" i="2" s="1"/>
  <c r="M2416" i="2"/>
  <c r="N2416" i="2" s="1"/>
  <c r="M728" i="2"/>
  <c r="M2158" i="2"/>
  <c r="N2158" i="2" s="1"/>
  <c r="M1808" i="2"/>
  <c r="N1808" i="2" s="1"/>
  <c r="M2172" i="2"/>
  <c r="M447" i="2"/>
  <c r="M281" i="2"/>
  <c r="N281" i="2" s="1"/>
  <c r="M2246" i="2"/>
  <c r="N2246" i="2" s="1"/>
  <c r="M190" i="2"/>
  <c r="M1424" i="2"/>
  <c r="N1424" i="2" s="1"/>
  <c r="M1882" i="2"/>
  <c r="N1882" i="2" s="1"/>
  <c r="M608" i="2"/>
  <c r="M902" i="2"/>
  <c r="N902" i="2" s="1"/>
  <c r="M1580" i="2"/>
  <c r="N1580" i="2" s="1"/>
  <c r="M2376" i="2"/>
  <c r="N2376" i="2" s="1"/>
  <c r="M2100" i="2"/>
  <c r="N2100" i="2" s="1"/>
  <c r="M1670" i="2"/>
  <c r="M1515" i="2"/>
  <c r="N1515" i="2" s="1"/>
  <c r="M1957" i="2"/>
  <c r="M188" i="2"/>
  <c r="N188" i="2" s="1"/>
  <c r="M1398" i="2"/>
  <c r="M468" i="2"/>
  <c r="M240" i="2"/>
  <c r="N240" i="2" s="1"/>
  <c r="M1596" i="2"/>
  <c r="M1986" i="2"/>
  <c r="N1986" i="2" s="1"/>
  <c r="M2234" i="2"/>
  <c r="N2234" i="2" s="1"/>
  <c r="M908" i="2"/>
  <c r="N908" i="2" s="1"/>
  <c r="M2108" i="2"/>
  <c r="N2108" i="2" s="1"/>
  <c r="M2162" i="2"/>
  <c r="N2162" i="2" s="1"/>
  <c r="M4" i="2"/>
  <c r="M792" i="2"/>
  <c r="N792" i="2" s="1"/>
  <c r="M212" i="2"/>
  <c r="N212" i="2" s="1"/>
  <c r="M1142" i="2"/>
  <c r="M1482" i="2"/>
  <c r="N1482" i="2" s="1"/>
  <c r="M742" i="2"/>
  <c r="M1056" i="2"/>
  <c r="N1056" i="2" s="1"/>
  <c r="M2192" i="2"/>
  <c r="M404" i="2"/>
  <c r="N404" i="2" s="1"/>
  <c r="M263" i="2"/>
  <c r="M677" i="2"/>
  <c r="N677" i="2" s="1"/>
  <c r="M1295" i="2"/>
  <c r="N1295" i="2" s="1"/>
  <c r="M1273" i="2"/>
  <c r="M1857" i="2"/>
  <c r="N1857" i="2" s="1"/>
  <c r="M961" i="2"/>
  <c r="N961" i="2" s="1"/>
  <c r="M2439" i="2"/>
  <c r="N2439" i="2" s="1"/>
  <c r="M179" i="2"/>
  <c r="N179" i="2" s="1"/>
  <c r="M873" i="2"/>
  <c r="M481" i="2"/>
  <c r="M2051" i="2"/>
  <c r="N2051" i="2" s="1"/>
  <c r="M1041" i="2"/>
  <c r="N1041" i="2" s="1"/>
  <c r="M1575" i="2"/>
  <c r="M2191" i="2"/>
  <c r="N2191" i="2" s="1"/>
  <c r="M563" i="2"/>
  <c r="M749" i="2"/>
  <c r="N749" i="2" s="1"/>
  <c r="M935" i="2"/>
  <c r="N935" i="2" s="1"/>
  <c r="M305" i="2"/>
  <c r="N305" i="2" s="1"/>
  <c r="M497" i="2"/>
  <c r="M945" i="2"/>
  <c r="M1969" i="2"/>
  <c r="N1969" i="2" s="1"/>
  <c r="M2449" i="2"/>
  <c r="N2449" i="2" s="1"/>
  <c r="M1069" i="2"/>
  <c r="N1069" i="2" s="1"/>
  <c r="M1817" i="2"/>
  <c r="M2315" i="2"/>
  <c r="N2315" i="2" s="1"/>
  <c r="M2077" i="2"/>
  <c r="N2077" i="2" s="1"/>
  <c r="M1739" i="2"/>
  <c r="N1739" i="2" s="1"/>
  <c r="M799" i="2"/>
  <c r="N799" i="2" s="1"/>
  <c r="M705" i="2"/>
  <c r="M985" i="2"/>
  <c r="M1717" i="2"/>
  <c r="N1717" i="2" s="1"/>
  <c r="M1633" i="2"/>
  <c r="M2203" i="2"/>
  <c r="N2203" i="2" s="1"/>
  <c r="M885" i="2"/>
  <c r="M1499" i="2"/>
  <c r="N1499" i="2" s="1"/>
  <c r="M665" i="2"/>
  <c r="N665" i="2" s="1"/>
  <c r="M1345" i="2"/>
  <c r="M1975" i="2"/>
  <c r="N1975" i="2" s="1"/>
  <c r="M345" i="2"/>
  <c r="M989" i="2"/>
  <c r="N989" i="2" s="1"/>
  <c r="M887" i="2"/>
  <c r="N887" i="2" s="1"/>
  <c r="M1759" i="2"/>
  <c r="N1759" i="2" s="1"/>
  <c r="M685" i="2"/>
  <c r="N685" i="2" s="1"/>
  <c r="M1711" i="2"/>
  <c r="N1711" i="2" s="1"/>
  <c r="M2119" i="2"/>
  <c r="N2119" i="2" s="1"/>
  <c r="M659" i="2"/>
  <c r="M634" i="2"/>
  <c r="N634" i="2" s="1"/>
  <c r="M264" i="2"/>
  <c r="M1546" i="2"/>
  <c r="N1546" i="2" s="1"/>
  <c r="M32" i="2"/>
  <c r="N32" i="2" s="1"/>
  <c r="M1441" i="2"/>
  <c r="M1217" i="2"/>
  <c r="N1217" i="2" s="1"/>
  <c r="M969" i="2"/>
  <c r="N969" i="2" s="1"/>
  <c r="M2441" i="2"/>
  <c r="N2441" i="2" s="1"/>
  <c r="M181" i="2"/>
  <c r="M1112" i="2"/>
  <c r="M2034" i="2"/>
  <c r="N2034" i="2" s="1"/>
  <c r="M423" i="2"/>
  <c r="N423" i="2" s="1"/>
  <c r="M523" i="2"/>
  <c r="M570" i="2"/>
  <c r="M764" i="2"/>
  <c r="N764" i="2" s="1"/>
  <c r="M1137" i="2"/>
  <c r="N1137" i="2" s="1"/>
  <c r="M997" i="2"/>
  <c r="M1049" i="2"/>
  <c r="N1049" i="2" s="1"/>
  <c r="M2251" i="2"/>
  <c r="N2251" i="2" s="1"/>
  <c r="M103" i="2"/>
  <c r="M853" i="2"/>
  <c r="N853" i="2" s="1"/>
  <c r="M1157" i="2"/>
  <c r="M1781" i="2"/>
  <c r="N1781" i="2" s="1"/>
  <c r="M837" i="2"/>
  <c r="N837" i="2" s="1"/>
  <c r="M1085" i="2"/>
  <c r="N1085" i="2" s="1"/>
  <c r="M889" i="2"/>
  <c r="N889" i="2" s="1"/>
  <c r="M587" i="2"/>
  <c r="M603" i="2"/>
  <c r="N603" i="2" s="1"/>
  <c r="M1641" i="2"/>
  <c r="M1735" i="2"/>
  <c r="N1735" i="2" s="1"/>
  <c r="M219" i="2"/>
  <c r="N219" i="2" s="1"/>
  <c r="M2277" i="2"/>
  <c r="M1921" i="2"/>
  <c r="N1921" i="2" s="1"/>
  <c r="M657" i="2"/>
  <c r="N657" i="2" s="1"/>
  <c r="M2057" i="2"/>
  <c r="M991" i="2"/>
  <c r="N991" i="2" s="1"/>
  <c r="M173" i="2"/>
  <c r="N173" i="2" s="1"/>
  <c r="M445" i="2"/>
  <c r="M1181" i="2"/>
  <c r="N1181" i="2" s="1"/>
  <c r="M1685" i="2"/>
  <c r="N1685" i="2" s="1"/>
  <c r="M1929" i="2"/>
  <c r="N1929" i="2" s="1"/>
  <c r="M2097" i="2"/>
  <c r="N2097" i="2" s="1"/>
  <c r="M525" i="2"/>
  <c r="M2124" i="2"/>
  <c r="N2124" i="2" s="1"/>
  <c r="M238" i="2"/>
  <c r="M818" i="2"/>
  <c r="N818" i="2" s="1"/>
  <c r="M2044" i="2"/>
  <c r="N2044" i="2" s="1"/>
  <c r="M1780" i="2"/>
  <c r="N1780" i="2" s="1"/>
  <c r="M836" i="2"/>
  <c r="M1084" i="2"/>
  <c r="N1084" i="2" s="1"/>
  <c r="M1156" i="2"/>
  <c r="N1156" i="2" s="1"/>
  <c r="M2427" i="2"/>
  <c r="N2427" i="2" s="1"/>
  <c r="M715" i="2"/>
  <c r="M1203" i="2"/>
  <c r="N1203" i="2" s="1"/>
  <c r="M1290" i="2"/>
  <c r="M512" i="2"/>
  <c r="N512" i="2" s="1"/>
  <c r="M1812" i="2"/>
  <c r="N1812" i="2" s="1"/>
  <c r="M1958" i="2"/>
  <c r="M1022" i="2"/>
  <c r="N1022" i="2" s="1"/>
  <c r="M1464" i="2"/>
  <c r="M1714" i="2"/>
  <c r="N1714" i="2" s="1"/>
  <c r="M2444" i="2"/>
  <c r="N2444" i="2" s="1"/>
  <c r="M122" i="2"/>
  <c r="N122" i="2" s="1"/>
  <c r="M972" i="2"/>
  <c r="M1412" i="2"/>
  <c r="N1412" i="2" s="1"/>
  <c r="M1828" i="2"/>
  <c r="M692" i="2"/>
  <c r="M1006" i="2"/>
  <c r="N1006" i="2" s="1"/>
  <c r="M272" i="2"/>
  <c r="M1994" i="2"/>
  <c r="N1994" i="2" s="1"/>
  <c r="M258" i="2"/>
  <c r="M592" i="2"/>
  <c r="N592" i="2" s="1"/>
  <c r="M1954" i="2"/>
  <c r="M182" i="2"/>
  <c r="N182" i="2" s="1"/>
  <c r="M556" i="2"/>
  <c r="N556" i="2" s="1"/>
  <c r="M1652" i="2"/>
  <c r="M1366" i="2"/>
  <c r="M768" i="2"/>
  <c r="N768" i="2" s="1"/>
  <c r="M1620" i="2"/>
  <c r="M948" i="2"/>
  <c r="N948" i="2" s="1"/>
  <c r="M1328" i="2"/>
  <c r="M1754" i="2"/>
  <c r="N1754" i="2" s="1"/>
  <c r="M2224" i="2"/>
  <c r="N2224" i="2" s="1"/>
  <c r="M148" i="2"/>
  <c r="N148" i="2" s="1"/>
  <c r="M1074" i="2"/>
  <c r="M1946" i="2"/>
  <c r="N1946" i="2" s="1"/>
  <c r="M1340" i="2"/>
  <c r="M1790" i="2"/>
  <c r="N1790" i="2" s="1"/>
  <c r="M2152" i="2"/>
  <c r="N2152" i="2" s="1"/>
  <c r="M1682" i="2"/>
  <c r="N1682" i="2" s="1"/>
  <c r="M660" i="2"/>
  <c r="N660" i="2" s="1"/>
  <c r="M1450" i="2"/>
  <c r="M296" i="2"/>
  <c r="N296" i="2" s="1"/>
  <c r="M1664" i="2"/>
  <c r="M1148" i="2"/>
  <c r="M1998" i="2"/>
  <c r="N1998" i="2" s="1"/>
  <c r="M870" i="2"/>
  <c r="N870" i="2" s="1"/>
  <c r="M1796" i="2"/>
  <c r="N1796" i="2" s="1"/>
  <c r="M302" i="2"/>
  <c r="M534" i="2"/>
  <c r="N534" i="2" s="1"/>
  <c r="M478" i="2"/>
  <c r="M1500" i="2"/>
  <c r="N1500" i="2" s="1"/>
  <c r="M1232" i="2"/>
  <c r="N1232" i="2" s="1"/>
  <c r="M2090" i="2"/>
  <c r="M1562" i="2"/>
  <c r="N1562" i="2" s="1"/>
  <c r="M2062" i="2"/>
  <c r="N2062" i="2" s="1"/>
  <c r="M578" i="2"/>
  <c r="N578" i="2" s="1"/>
  <c r="M1298" i="2"/>
  <c r="M564" i="2"/>
  <c r="N564" i="2" s="1"/>
  <c r="M2156" i="2"/>
  <c r="N2156" i="2" s="1"/>
  <c r="M1658" i="2"/>
  <c r="N1658" i="2" s="1"/>
  <c r="M234" i="2"/>
  <c r="M2397" i="2"/>
  <c r="M955" i="2"/>
  <c r="N955" i="2" s="1"/>
  <c r="M347" i="2"/>
  <c r="M981" i="2"/>
  <c r="N981" i="2" s="1"/>
  <c r="M673" i="2"/>
  <c r="N673" i="2" s="1"/>
  <c r="M331" i="2"/>
  <c r="M1139" i="2"/>
  <c r="N1139" i="2" s="1"/>
  <c r="M1843" i="2"/>
  <c r="M1317" i="2"/>
  <c r="N1317" i="2" s="1"/>
  <c r="M2425" i="2"/>
  <c r="N2425" i="2" s="1"/>
  <c r="M283" i="2"/>
  <c r="M613" i="2"/>
  <c r="N613" i="2" s="1"/>
  <c r="M1540" i="2"/>
  <c r="N1540" i="2" s="1"/>
  <c r="M2138" i="2"/>
  <c r="N2138" i="2" s="1"/>
  <c r="M158" i="2"/>
  <c r="N158" i="2" s="1"/>
  <c r="M882" i="2"/>
  <c r="M719" i="2"/>
  <c r="N719" i="2" s="1"/>
  <c r="M1039" i="2"/>
  <c r="M463" i="2"/>
  <c r="M441" i="2"/>
  <c r="N441" i="2" s="1"/>
  <c r="M1695" i="2"/>
  <c r="N1695" i="2" s="1"/>
  <c r="M959" i="2"/>
  <c r="N959" i="2" s="1"/>
  <c r="M1705" i="2"/>
  <c r="N1705" i="2" s="1"/>
  <c r="M703" i="2"/>
  <c r="M2195" i="2"/>
  <c r="N2195" i="2" s="1"/>
  <c r="M2146" i="2"/>
  <c r="N2146" i="2" s="1"/>
  <c r="M1432" i="2"/>
  <c r="M1478" i="2"/>
  <c r="N1478" i="2" s="1"/>
  <c r="M1870" i="2"/>
  <c r="N1870" i="2" s="1"/>
  <c r="M320" i="2"/>
  <c r="M1198" i="2"/>
  <c r="N1198" i="2" s="1"/>
  <c r="M1530" i="2"/>
  <c r="N1530" i="2" s="1"/>
  <c r="M2248" i="2"/>
  <c r="N2248" i="2" s="1"/>
  <c r="M2096" i="2"/>
  <c r="N2096" i="2" s="1"/>
  <c r="M524" i="2"/>
  <c r="N524" i="2" s="1"/>
  <c r="M1684" i="2"/>
  <c r="M1928" i="2"/>
  <c r="N1928" i="2" s="1"/>
  <c r="M114" i="2"/>
  <c r="N114" i="2" s="1"/>
  <c r="M388" i="2"/>
  <c r="M1248" i="2"/>
  <c r="N1248" i="2" s="1"/>
  <c r="M2304" i="2"/>
  <c r="N2304" i="2" s="1"/>
  <c r="M292" i="2"/>
  <c r="N292" i="2" s="1"/>
  <c r="M1648" i="2"/>
  <c r="M143" i="2"/>
  <c r="N143" i="2" s="1"/>
  <c r="M473" i="2"/>
  <c r="M2169" i="2"/>
  <c r="N2169" i="2" s="1"/>
  <c r="M2347" i="2"/>
  <c r="N2347" i="2" s="1"/>
  <c r="M954" i="2"/>
  <c r="M2396" i="2"/>
  <c r="N2396" i="2" s="1"/>
  <c r="M1192" i="2"/>
  <c r="M1696" i="2"/>
  <c r="N1696" i="2" s="1"/>
  <c r="M2032" i="2"/>
  <c r="N2032" i="2" s="1"/>
  <c r="M77" i="2"/>
  <c r="M291" i="2"/>
  <c r="N291" i="2" s="1"/>
  <c r="M851" i="2"/>
  <c r="N851" i="2" s="1"/>
  <c r="M1993" i="2"/>
  <c r="N1993" i="2" s="1"/>
  <c r="M494" i="2"/>
  <c r="N494" i="2" s="1"/>
  <c r="M2154" i="2"/>
  <c r="M1144" i="2"/>
  <c r="N1144" i="2" s="1"/>
  <c r="M1804" i="2"/>
  <c r="M311" i="2"/>
  <c r="M1973" i="2"/>
  <c r="N1973" i="2" s="1"/>
  <c r="M782" i="2"/>
  <c r="N782" i="2" s="1"/>
  <c r="M1750" i="2"/>
  <c r="N1750" i="2" s="1"/>
  <c r="M2106" i="2"/>
  <c r="M711" i="2"/>
  <c r="M1015" i="2"/>
  <c r="N1015" i="2" s="1"/>
  <c r="M2452" i="2"/>
  <c r="N2452" i="2" s="1"/>
  <c r="M802" i="2"/>
  <c r="M628" i="2"/>
  <c r="N628" i="2" s="1"/>
  <c r="M2414" i="2"/>
  <c r="N2414" i="2" s="1"/>
  <c r="M1600" i="2"/>
  <c r="M2" i="2"/>
  <c r="M306" i="2"/>
  <c r="M786" i="2"/>
  <c r="N786" i="2" s="1"/>
  <c r="M2286" i="2"/>
  <c r="N2286" i="2" s="1"/>
  <c r="M671" i="2"/>
  <c r="N671" i="2" s="1"/>
  <c r="M197" i="2"/>
  <c r="M1028" i="2"/>
  <c r="N1028" i="2" s="1"/>
  <c r="M470" i="2"/>
  <c r="M1125" i="2"/>
  <c r="M1833" i="2"/>
  <c r="N1833" i="2" s="1"/>
  <c r="M1763" i="2"/>
  <c r="N1763" i="2" s="1"/>
  <c r="M1963" i="2"/>
  <c r="N1963" i="2" s="1"/>
  <c r="M363" i="2"/>
  <c r="M1369" i="2"/>
  <c r="N1369" i="2" s="1"/>
  <c r="M1176" i="2"/>
  <c r="M1336" i="2"/>
  <c r="N1336" i="2" s="1"/>
  <c r="M1813" i="2"/>
  <c r="M1959" i="2"/>
  <c r="N1959" i="2" s="1"/>
  <c r="M41" i="2"/>
  <c r="M1525" i="2"/>
  <c r="N1525" i="2" s="1"/>
  <c r="M1909" i="2"/>
  <c r="N1909" i="2" s="1"/>
  <c r="M289" i="2"/>
  <c r="N289" i="2" s="1"/>
  <c r="M1167" i="2"/>
  <c r="M2289" i="2"/>
  <c r="N2289" i="2" s="1"/>
  <c r="M623" i="2"/>
  <c r="N623" i="2" s="1"/>
  <c r="M211" i="2"/>
  <c r="M2107" i="2"/>
  <c r="N2107" i="2" s="1"/>
  <c r="M783" i="2"/>
  <c r="M1751" i="2"/>
  <c r="N1751" i="2" s="1"/>
  <c r="M2017" i="2"/>
  <c r="N2017" i="2" s="1"/>
  <c r="M223" i="2"/>
  <c r="M1371" i="2"/>
  <c r="M457" i="2"/>
  <c r="N457" i="2" s="1"/>
  <c r="M105" i="2"/>
  <c r="N105" i="2" s="1"/>
  <c r="M1867" i="2"/>
  <c r="N2" i="2"/>
  <c r="N470" i="2" l="1"/>
  <c r="AE55" i="13" s="1"/>
  <c r="AE21" i="13"/>
  <c r="N954" i="2"/>
  <c r="L40" i="13" s="1"/>
  <c r="L6" i="13"/>
  <c r="N1684" i="2"/>
  <c r="F40" i="13" s="1"/>
  <c r="F6" i="13"/>
  <c r="N1843" i="2"/>
  <c r="G60" i="13" s="1"/>
  <c r="G26" i="13"/>
  <c r="O5" i="13"/>
  <c r="N1652" i="2"/>
  <c r="O39" i="13" s="1"/>
  <c r="L7" i="13"/>
  <c r="N1464" i="2"/>
  <c r="L41" i="13" s="1"/>
  <c r="N481" i="2"/>
  <c r="D62" i="13" s="1"/>
  <c r="D28" i="13"/>
  <c r="N223" i="2"/>
  <c r="D57" i="13" s="1"/>
  <c r="D23" i="13"/>
  <c r="N1167" i="2"/>
  <c r="L57" i="13" s="1"/>
  <c r="L23" i="13"/>
  <c r="N1648" i="2"/>
  <c r="H40" i="13" s="1"/>
  <c r="H6" i="13"/>
  <c r="I26" i="13"/>
  <c r="N463" i="2"/>
  <c r="I60" i="13" s="1"/>
  <c r="N283" i="2"/>
  <c r="N60" i="13" s="1"/>
  <c r="N26" i="13"/>
  <c r="N302" i="2"/>
  <c r="P47" i="13" s="1"/>
  <c r="P13" i="13"/>
  <c r="AD5" i="13"/>
  <c r="N1340" i="2"/>
  <c r="AD39" i="13" s="1"/>
  <c r="N2057" i="2"/>
  <c r="N66" i="13" s="1"/>
  <c r="N32" i="13"/>
  <c r="N873" i="2"/>
  <c r="T62" i="13" s="1"/>
  <c r="T28" i="13"/>
  <c r="AE22" i="13"/>
  <c r="N1048" i="2"/>
  <c r="AE56" i="13" s="1"/>
  <c r="B22" i="13"/>
  <c r="N169" i="2"/>
  <c r="B56" i="13" s="1"/>
  <c r="N896" i="2"/>
  <c r="R37" i="13" s="1"/>
  <c r="R3" i="13"/>
  <c r="Z19" i="13"/>
  <c r="N750" i="2"/>
  <c r="Z53" i="13" s="1"/>
  <c r="N8" i="13"/>
  <c r="N1196" i="2"/>
  <c r="N42" i="13" s="1"/>
  <c r="F8" i="13"/>
  <c r="N45" i="2"/>
  <c r="F42" i="13" s="1"/>
  <c r="U6" i="13"/>
  <c r="N82" i="2"/>
  <c r="U40" i="13" s="1"/>
  <c r="O6" i="13"/>
  <c r="N194" i="2"/>
  <c r="O40" i="13" s="1"/>
  <c r="AA13" i="13"/>
  <c r="N906" i="2"/>
  <c r="AA47" i="13" s="1"/>
  <c r="V5" i="13"/>
  <c r="N2016" i="2"/>
  <c r="V39" i="13" s="1"/>
  <c r="AE11" i="13"/>
  <c r="N218" i="2"/>
  <c r="AE45" i="13" s="1"/>
  <c r="N124" i="2"/>
  <c r="R41" i="13" s="1"/>
  <c r="R7" i="13"/>
  <c r="N421" i="2"/>
  <c r="G66" i="13" s="1"/>
  <c r="G32" i="13"/>
  <c r="G21" i="13"/>
  <c r="N197" i="2"/>
  <c r="G55" i="13" s="1"/>
  <c r="N306" i="2"/>
  <c r="Z55" i="13" s="1"/>
  <c r="Z21" i="13"/>
  <c r="M16" i="13"/>
  <c r="N711" i="2"/>
  <c r="M50" i="13" s="1"/>
  <c r="AC16" i="13"/>
  <c r="N2154" i="2"/>
  <c r="AC50" i="13" s="1"/>
  <c r="N1192" i="2"/>
  <c r="AD50" i="13" s="1"/>
  <c r="AD16" i="13"/>
  <c r="R26" i="13"/>
  <c r="N1039" i="2"/>
  <c r="R60" i="13" s="1"/>
  <c r="L11" i="13"/>
  <c r="N1828" i="2"/>
  <c r="L45" i="13" s="1"/>
  <c r="V7" i="13"/>
  <c r="N1958" i="2"/>
  <c r="V41" i="13" s="1"/>
  <c r="N445" i="2"/>
  <c r="D41" i="13" s="1"/>
  <c r="D7" i="13"/>
  <c r="N1157" i="2"/>
  <c r="F66" i="13" s="1"/>
  <c r="F32" i="13"/>
  <c r="AD24" i="13"/>
  <c r="N570" i="2"/>
  <c r="AD58" i="13" s="1"/>
  <c r="L30" i="13"/>
  <c r="N1633" i="2"/>
  <c r="L64" i="13" s="1"/>
  <c r="N1817" i="2"/>
  <c r="E64" i="13" s="1"/>
  <c r="E30" i="13"/>
  <c r="N468" i="2"/>
  <c r="X43" i="13" s="1"/>
  <c r="X9" i="13"/>
  <c r="N728" i="2"/>
  <c r="P46" i="13" s="1"/>
  <c r="P12" i="13"/>
  <c r="N123" i="2"/>
  <c r="J56" i="13" s="1"/>
  <c r="J22" i="13"/>
  <c r="N1134" i="2"/>
  <c r="X37" i="13" s="1"/>
  <c r="X3" i="13"/>
  <c r="N1813" i="2"/>
  <c r="F57" i="13" s="1"/>
  <c r="F23" i="13"/>
  <c r="N363" i="2"/>
  <c r="I55" i="13" s="1"/>
  <c r="I21" i="13"/>
  <c r="N1125" i="2"/>
  <c r="D55" i="13" s="1"/>
  <c r="D21" i="13"/>
  <c r="AB16" i="13"/>
  <c r="N802" i="2"/>
  <c r="AB50" i="13" s="1"/>
  <c r="N2106" i="2"/>
  <c r="V50" i="13" s="1"/>
  <c r="V16" i="13"/>
  <c r="N311" i="2"/>
  <c r="B50" i="13" s="1"/>
  <c r="B16" i="13"/>
  <c r="K16" i="13"/>
  <c r="N77" i="2"/>
  <c r="K50" i="13" s="1"/>
  <c r="B6" i="13"/>
  <c r="N473" i="2"/>
  <c r="B40" i="13" s="1"/>
  <c r="E13" i="13"/>
  <c r="N2397" i="2"/>
  <c r="E47" i="13" s="1"/>
  <c r="R13" i="13"/>
  <c r="N478" i="2"/>
  <c r="R47" i="13" s="1"/>
  <c r="N1074" i="2"/>
  <c r="M39" i="13" s="1"/>
  <c r="M5" i="13"/>
  <c r="N1328" i="2"/>
  <c r="K39" i="13" s="1"/>
  <c r="K5" i="13"/>
  <c r="S5" i="13"/>
  <c r="N1366" i="2"/>
  <c r="S39" i="13" s="1"/>
  <c r="AD11" i="13"/>
  <c r="N1954" i="2"/>
  <c r="AD45" i="13" s="1"/>
  <c r="P11" i="13"/>
  <c r="N272" i="2"/>
  <c r="P45" i="13" s="1"/>
  <c r="N715" i="2"/>
  <c r="B41" i="13" s="1"/>
  <c r="B7" i="13"/>
  <c r="N836" i="2"/>
  <c r="AE41" i="13" s="1"/>
  <c r="AE7" i="13"/>
  <c r="N238" i="2"/>
  <c r="AC41" i="13" s="1"/>
  <c r="AC7" i="13"/>
  <c r="N1641" i="2"/>
  <c r="J66" i="13" s="1"/>
  <c r="J32" i="13"/>
  <c r="N997" i="2"/>
  <c r="AA66" i="13" s="1"/>
  <c r="AA32" i="13"/>
  <c r="N523" i="2"/>
  <c r="K58" i="13" s="1"/>
  <c r="K24" i="13"/>
  <c r="N181" i="2"/>
  <c r="C58" i="13" s="1"/>
  <c r="C24" i="13"/>
  <c r="V24" i="13"/>
  <c r="N1441" i="2"/>
  <c r="V58" i="13" s="1"/>
  <c r="N345" i="2"/>
  <c r="E58" i="13" s="1"/>
  <c r="E24" i="13"/>
  <c r="N497" i="2"/>
  <c r="X62" i="13" s="1"/>
  <c r="X28" i="13"/>
  <c r="P28" i="13"/>
  <c r="N563" i="2"/>
  <c r="P62" i="13" s="1"/>
  <c r="N2192" i="2"/>
  <c r="M43" i="13" s="1"/>
  <c r="M9" i="13"/>
  <c r="AB9" i="13"/>
  <c r="N1142" i="2"/>
  <c r="AB43" i="13" s="1"/>
  <c r="N1398" i="2"/>
  <c r="Q43" i="13" s="1"/>
  <c r="Q9" i="13"/>
  <c r="AE12" i="13"/>
  <c r="N1670" i="2"/>
  <c r="AE46" i="13" s="1"/>
  <c r="N190" i="2"/>
  <c r="Y46" i="13" s="1"/>
  <c r="Y12" i="13"/>
  <c r="R12" i="13"/>
  <c r="N2172" i="2"/>
  <c r="R46" i="13" s="1"/>
  <c r="AA22" i="13"/>
  <c r="N642" i="2"/>
  <c r="AA56" i="13" s="1"/>
  <c r="N1438" i="2"/>
  <c r="T37" i="13" s="1"/>
  <c r="T3" i="13"/>
  <c r="AD14" i="13"/>
  <c r="N1030" i="2"/>
  <c r="AD48" i="13" s="1"/>
  <c r="N795" i="2"/>
  <c r="I48" i="13" s="1"/>
  <c r="I14" i="13"/>
  <c r="N65" i="2"/>
  <c r="B48" i="13" s="1"/>
  <c r="B14" i="13"/>
  <c r="H19" i="13"/>
  <c r="N595" i="2"/>
  <c r="H53" i="13" s="1"/>
  <c r="N505" i="2"/>
  <c r="G53" i="13" s="1"/>
  <c r="G19" i="13"/>
  <c r="AD18" i="13"/>
  <c r="N674" i="2"/>
  <c r="AD52" i="13" s="1"/>
  <c r="N460" i="2"/>
  <c r="AA63" i="13" s="1"/>
  <c r="AA29" i="13"/>
  <c r="I29" i="13"/>
  <c r="N95" i="2"/>
  <c r="I63" i="13" s="1"/>
  <c r="E29" i="13"/>
  <c r="N1899" i="2"/>
  <c r="E63" i="13" s="1"/>
  <c r="Y31" i="13"/>
  <c r="N1507" i="2"/>
  <c r="Y65" i="13" s="1"/>
  <c r="N611" i="2"/>
  <c r="AB65" i="13" s="1"/>
  <c r="AB31" i="13"/>
  <c r="N365" i="2"/>
  <c r="K65" i="13" s="1"/>
  <c r="K31" i="13"/>
  <c r="N50" i="2"/>
  <c r="AB61" i="13" s="1"/>
  <c r="AB27" i="13"/>
  <c r="AC27" i="13"/>
  <c r="N1968" i="2"/>
  <c r="AC61" i="13" s="1"/>
  <c r="N28" i="13"/>
  <c r="N205" i="2"/>
  <c r="N62" i="13" s="1"/>
  <c r="N1212" i="2"/>
  <c r="AB49" i="13" s="1"/>
  <c r="AB15" i="13"/>
  <c r="J15" i="13"/>
  <c r="N431" i="2"/>
  <c r="J49" i="13" s="1"/>
  <c r="N384" i="2"/>
  <c r="P49" i="13" s="1"/>
  <c r="P15" i="13"/>
  <c r="N1920" i="2"/>
  <c r="AE51" i="13" s="1"/>
  <c r="AE17" i="13"/>
  <c r="M17" i="13"/>
  <c r="N43" i="2"/>
  <c r="M51" i="13" s="1"/>
  <c r="AE20" i="13"/>
  <c r="N724" i="2"/>
  <c r="AE54" i="13" s="1"/>
  <c r="K4" i="13"/>
  <c r="N242" i="2"/>
  <c r="K38" i="13" s="1"/>
  <c r="N1026" i="2"/>
  <c r="S44" i="13" s="1"/>
  <c r="S10" i="13"/>
  <c r="N11" i="2"/>
  <c r="M59" i="13" s="1"/>
  <c r="M25" i="13"/>
  <c r="N1307" i="2"/>
  <c r="P59" i="13" s="1"/>
  <c r="P25" i="13"/>
  <c r="E25" i="13"/>
  <c r="N2269" i="2"/>
  <c r="E59" i="13" s="1"/>
  <c r="N637" i="2"/>
  <c r="B59" i="13" s="1"/>
  <c r="B25" i="13"/>
  <c r="Q23" i="13"/>
  <c r="N1245" i="2"/>
  <c r="Q57" i="13" s="1"/>
  <c r="N645" i="2"/>
  <c r="H55" i="13" s="1"/>
  <c r="H21" i="13"/>
  <c r="AC21" i="13"/>
  <c r="N1214" i="2"/>
  <c r="AC55" i="13" s="1"/>
  <c r="N859" i="2"/>
  <c r="F50" i="13" s="1"/>
  <c r="F16" i="13"/>
  <c r="N1032" i="2"/>
  <c r="Z50" i="13" s="1"/>
  <c r="Z16" i="13"/>
  <c r="N1466" i="2"/>
  <c r="R50" i="13" s="1"/>
  <c r="R16" i="13"/>
  <c r="N260" i="2"/>
  <c r="Y40" i="13" s="1"/>
  <c r="Y6" i="13"/>
  <c r="N86" i="2"/>
  <c r="X47" i="13" s="1"/>
  <c r="X13" i="13"/>
  <c r="N974" i="2"/>
  <c r="T47" i="13" s="1"/>
  <c r="T13" i="13"/>
  <c r="AE13" i="13"/>
  <c r="N2188" i="2"/>
  <c r="AE47" i="13" s="1"/>
  <c r="I5" i="13"/>
  <c r="N1296" i="2"/>
  <c r="I39" i="13" s="1"/>
  <c r="X5" i="13"/>
  <c r="N324" i="2"/>
  <c r="X39" i="13" s="1"/>
  <c r="N5" i="13"/>
  <c r="N1226" i="2"/>
  <c r="N39" i="13" s="1"/>
  <c r="N1800" i="2"/>
  <c r="T45" i="13" s="1"/>
  <c r="T11" i="13"/>
  <c r="D11" i="13"/>
  <c r="N529" i="2"/>
  <c r="D45" i="13" s="1"/>
  <c r="Z11" i="13"/>
  <c r="N1944" i="2"/>
  <c r="Z45" i="13" s="1"/>
  <c r="N20" i="2"/>
  <c r="U41" i="13" s="1"/>
  <c r="U7" i="13"/>
  <c r="N918" i="2"/>
  <c r="M41" i="13" s="1"/>
  <c r="M7" i="13"/>
  <c r="N1238" i="2"/>
  <c r="G41" i="13" s="1"/>
  <c r="G7" i="13"/>
  <c r="N1402" i="2"/>
  <c r="Y41" i="13" s="1"/>
  <c r="Y7" i="13"/>
  <c r="N155" i="2"/>
  <c r="AC66" i="13" s="1"/>
  <c r="AC32" i="13"/>
  <c r="Y32" i="13"/>
  <c r="N1377" i="2"/>
  <c r="Y66" i="13" s="1"/>
  <c r="N543" i="2"/>
  <c r="N58" i="13" s="1"/>
  <c r="N24" i="13"/>
  <c r="H30" i="13"/>
  <c r="N1677" i="2"/>
  <c r="H64" i="13" s="1"/>
  <c r="B28" i="13"/>
  <c r="N2073" i="2"/>
  <c r="B62" i="13" s="1"/>
  <c r="N513" i="2"/>
  <c r="F43" i="13" s="1"/>
  <c r="F9" i="13"/>
  <c r="Y9" i="13"/>
  <c r="N848" i="2"/>
  <c r="Y43" i="13" s="1"/>
  <c r="N694" i="2"/>
  <c r="T46" i="13" s="1"/>
  <c r="T12" i="13"/>
  <c r="N28" i="2"/>
  <c r="AB46" i="13" s="1"/>
  <c r="AB12" i="13"/>
  <c r="AC22" i="13"/>
  <c r="N798" i="2"/>
  <c r="AC56" i="13" s="1"/>
  <c r="N16" i="2"/>
  <c r="AC37" i="13" s="1"/>
  <c r="AC3" i="13"/>
  <c r="G14" i="13"/>
  <c r="N475" i="2"/>
  <c r="G48" i="13" s="1"/>
  <c r="T14" i="13"/>
  <c r="N1582" i="2"/>
  <c r="T48" i="13" s="1"/>
  <c r="AA19" i="13"/>
  <c r="N1324" i="2"/>
  <c r="AA53" i="13" s="1"/>
  <c r="N591" i="2"/>
  <c r="P52" i="13" s="1"/>
  <c r="P18" i="13"/>
  <c r="N829" i="2"/>
  <c r="K63" i="13" s="1"/>
  <c r="K29" i="13"/>
  <c r="N1931" i="2"/>
  <c r="X63" i="13" s="1"/>
  <c r="X29" i="13"/>
  <c r="N185" i="2"/>
  <c r="V63" i="13" s="1"/>
  <c r="V29" i="13"/>
  <c r="N213" i="2"/>
  <c r="H63" i="13" s="1"/>
  <c r="H29" i="13"/>
  <c r="AC8" i="13"/>
  <c r="N560" i="2"/>
  <c r="AC42" i="13" s="1"/>
  <c r="H8" i="13"/>
  <c r="N1890" i="2"/>
  <c r="H42" i="13" s="1"/>
  <c r="N1861" i="2"/>
  <c r="C65" i="13" s="1"/>
  <c r="C31" i="13"/>
  <c r="X15" i="13"/>
  <c r="N2144" i="2"/>
  <c r="X49" i="13" s="1"/>
  <c r="N476" i="2"/>
  <c r="AD49" i="13" s="1"/>
  <c r="AD15" i="13"/>
  <c r="N322" i="2"/>
  <c r="W49" i="13" s="1"/>
  <c r="W15" i="13"/>
  <c r="N57" i="2"/>
  <c r="E51" i="13" s="1"/>
  <c r="E17" i="13"/>
  <c r="B17" i="13"/>
  <c r="N1051" i="2"/>
  <c r="B51" i="13" s="1"/>
  <c r="N467" i="2"/>
  <c r="O54" i="13" s="1"/>
  <c r="O20" i="13"/>
  <c r="N1386" i="2"/>
  <c r="X54" i="13" s="1"/>
  <c r="X20" i="13"/>
  <c r="N1190" i="2"/>
  <c r="Y54" i="13" s="1"/>
  <c r="Y20" i="13"/>
  <c r="N1461" i="2"/>
  <c r="D44" i="13" s="1"/>
  <c r="D10" i="13"/>
  <c r="N606" i="2"/>
  <c r="AC44" i="13" s="1"/>
  <c r="AC10" i="13"/>
  <c r="M10" i="13"/>
  <c r="N244" i="2"/>
  <c r="M44" i="13" s="1"/>
  <c r="AA25" i="13"/>
  <c r="N304" i="2"/>
  <c r="AA59" i="13" s="1"/>
  <c r="N880" i="2"/>
  <c r="Z59" i="13" s="1"/>
  <c r="Z25" i="13"/>
  <c r="N1216" i="2"/>
  <c r="W57" i="13" s="1"/>
  <c r="W23" i="13"/>
  <c r="C23" i="13"/>
  <c r="N89" i="2"/>
  <c r="C57" i="13" s="1"/>
  <c r="N854" i="2"/>
  <c r="AA57" i="13" s="1"/>
  <c r="AA23" i="13"/>
  <c r="P23" i="13"/>
  <c r="N1415" i="2"/>
  <c r="P57" i="13" s="1"/>
  <c r="O21" i="13"/>
  <c r="N599" i="2"/>
  <c r="O55" i="13" s="1"/>
  <c r="N178" i="2"/>
  <c r="AA55" i="13" s="1"/>
  <c r="AA21" i="13"/>
  <c r="N585" i="2"/>
  <c r="N55" i="13" s="1"/>
  <c r="N21" i="13"/>
  <c r="E16" i="13"/>
  <c r="N1775" i="2"/>
  <c r="E50" i="13" s="1"/>
  <c r="N1988" i="2"/>
  <c r="AD40" i="13" s="1"/>
  <c r="AD6" i="13"/>
  <c r="N2002" i="2"/>
  <c r="N40" i="13" s="1"/>
  <c r="N6" i="13"/>
  <c r="N755" i="2"/>
  <c r="I47" i="13" s="1"/>
  <c r="I13" i="13"/>
  <c r="N1045" i="2"/>
  <c r="G47" i="13" s="1"/>
  <c r="G13" i="13"/>
  <c r="N2050" i="2"/>
  <c r="AA39" i="13" s="1"/>
  <c r="AA5" i="13"/>
  <c r="N1832" i="2"/>
  <c r="T39" i="13" s="1"/>
  <c r="T5" i="13"/>
  <c r="G5" i="13"/>
  <c r="N1776" i="2"/>
  <c r="G39" i="13" s="1"/>
  <c r="H11" i="13"/>
  <c r="N1057" i="2"/>
  <c r="H45" i="13" s="1"/>
  <c r="N805" i="2"/>
  <c r="C45" i="13" s="1"/>
  <c r="C11" i="13"/>
  <c r="N406" i="2"/>
  <c r="AD41" i="13" s="1"/>
  <c r="AD7" i="13"/>
  <c r="N15" i="2"/>
  <c r="Q66" i="13" s="1"/>
  <c r="Q32" i="13"/>
  <c r="N167" i="2"/>
  <c r="M66" i="13" s="1"/>
  <c r="M32" i="13"/>
  <c r="I32" i="13"/>
  <c r="N1331" i="2"/>
  <c r="I66" i="13" s="1"/>
  <c r="R32" i="13"/>
  <c r="N379" i="2"/>
  <c r="R66" i="13" s="1"/>
  <c r="AA24" i="13"/>
  <c r="N1472" i="2"/>
  <c r="AA58" i="13" s="1"/>
  <c r="N1095" i="2"/>
  <c r="O58" i="13" s="1"/>
  <c r="O24" i="13"/>
  <c r="N81" i="2"/>
  <c r="Q64" i="13" s="1"/>
  <c r="Q30" i="13"/>
  <c r="N1237" i="2"/>
  <c r="R64" i="13" s="1"/>
  <c r="R30" i="13"/>
  <c r="AB30" i="13"/>
  <c r="N521" i="2"/>
  <c r="AB64" i="13" s="1"/>
  <c r="N1476" i="2"/>
  <c r="K43" i="13" s="1"/>
  <c r="K9" i="13"/>
  <c r="N174" i="2"/>
  <c r="L46" i="13" s="1"/>
  <c r="L12" i="13"/>
  <c r="N1493" i="2"/>
  <c r="B46" i="13" s="1"/>
  <c r="B12" i="13"/>
  <c r="G12" i="13"/>
  <c r="N1703" i="2"/>
  <c r="G46" i="13" s="1"/>
  <c r="P22" i="13"/>
  <c r="N1025" i="2"/>
  <c r="P56" i="13" s="1"/>
  <c r="F22" i="13"/>
  <c r="N757" i="2"/>
  <c r="F56" i="13" s="1"/>
  <c r="S3" i="13"/>
  <c r="N1552" i="2"/>
  <c r="S37" i="13" s="1"/>
  <c r="N600" i="2"/>
  <c r="M37" i="13" s="1"/>
  <c r="M3" i="13"/>
  <c r="AE3" i="13"/>
  <c r="N408" i="2"/>
  <c r="AE37" i="13" s="1"/>
  <c r="P19" i="13"/>
  <c r="N1953" i="2"/>
  <c r="P53" i="13" s="1"/>
  <c r="N1501" i="2"/>
  <c r="L53" i="13" s="1"/>
  <c r="L19" i="13"/>
  <c r="C18" i="13"/>
  <c r="N299" i="2"/>
  <c r="C52" i="13" s="1"/>
  <c r="I18" i="13"/>
  <c r="N649" i="2"/>
  <c r="I52" i="13" s="1"/>
  <c r="N237" i="2"/>
  <c r="P63" i="13" s="1"/>
  <c r="P29" i="13"/>
  <c r="N1873" i="2"/>
  <c r="B63" i="13" s="1"/>
  <c r="B29" i="13"/>
  <c r="N1138" i="2"/>
  <c r="Y42" i="13" s="1"/>
  <c r="Y8" i="13"/>
  <c r="N1092" i="2"/>
  <c r="K42" i="13" s="1"/>
  <c r="K8" i="13"/>
  <c r="AC31" i="13"/>
  <c r="N269" i="2"/>
  <c r="AC65" i="13" s="1"/>
  <c r="N1267" i="2"/>
  <c r="Y61" i="13" s="1"/>
  <c r="Y27" i="13"/>
  <c r="U27" i="13"/>
  <c r="N597" i="2"/>
  <c r="U61" i="13" s="1"/>
  <c r="N1557" i="2"/>
  <c r="H49" i="13" s="1"/>
  <c r="H15" i="13"/>
  <c r="N1164" i="2"/>
  <c r="Z49" i="13" s="1"/>
  <c r="Z15" i="13"/>
  <c r="N52" i="2"/>
  <c r="O49" i="13" s="1"/>
  <c r="O15" i="13"/>
  <c r="G15" i="13"/>
  <c r="N1481" i="2"/>
  <c r="G49" i="13" s="1"/>
  <c r="AA17" i="13"/>
  <c r="N748" i="2"/>
  <c r="AA51" i="13" s="1"/>
  <c r="N999" i="2"/>
  <c r="I51" i="13" s="1"/>
  <c r="I17" i="13"/>
  <c r="N1659" i="2"/>
  <c r="L54" i="13" s="1"/>
  <c r="L20" i="13"/>
  <c r="D20" i="13"/>
  <c r="N769" i="2"/>
  <c r="D54" i="13" s="1"/>
  <c r="N968" i="2"/>
  <c r="W38" i="13" s="1"/>
  <c r="W4" i="13"/>
  <c r="AA4" i="13"/>
  <c r="N380" i="2"/>
  <c r="AA38" i="13" s="1"/>
  <c r="N392" i="2"/>
  <c r="O44" i="13" s="1"/>
  <c r="O10" i="13"/>
  <c r="J10" i="13"/>
  <c r="N1496" i="2"/>
  <c r="J44" i="13" s="1"/>
  <c r="N1222" i="2"/>
  <c r="AE59" i="13" s="1"/>
  <c r="AE25" i="13"/>
  <c r="N539" i="2"/>
  <c r="S59" i="13" s="1"/>
  <c r="S25" i="13"/>
  <c r="N2387" i="2"/>
  <c r="M57" i="13" s="1"/>
  <c r="M23" i="13"/>
  <c r="N1283" i="2"/>
  <c r="B57" i="13" s="1"/>
  <c r="B23" i="13"/>
  <c r="N382" i="2"/>
  <c r="AD55" i="13" s="1"/>
  <c r="AD21" i="13"/>
  <c r="N2030" i="2"/>
  <c r="Y55" i="13" s="1"/>
  <c r="Y21" i="13"/>
  <c r="N814" i="2"/>
  <c r="V55" i="13" s="1"/>
  <c r="V21" i="13"/>
  <c r="N208" i="2"/>
  <c r="P50" i="13" s="1"/>
  <c r="P16" i="13"/>
  <c r="G16" i="13"/>
  <c r="N1527" i="2"/>
  <c r="G50" i="13" s="1"/>
  <c r="N1490" i="2"/>
  <c r="W50" i="13" s="1"/>
  <c r="W16" i="13"/>
  <c r="K6" i="13"/>
  <c r="N280" i="2"/>
  <c r="K40" i="13" s="1"/>
  <c r="N766" i="2"/>
  <c r="X40" i="13" s="1"/>
  <c r="X6" i="13"/>
  <c r="K26" i="13"/>
  <c r="N1425" i="2"/>
  <c r="K60" i="13" s="1"/>
  <c r="N1916" i="2"/>
  <c r="Z47" i="13" s="1"/>
  <c r="Z13" i="13"/>
  <c r="AC13" i="13"/>
  <c r="N2202" i="2"/>
  <c r="AC47" i="13" s="1"/>
  <c r="N6" i="2"/>
  <c r="O47" i="13" s="1"/>
  <c r="O13" i="13"/>
  <c r="N172" i="2"/>
  <c r="F39" i="13" s="1"/>
  <c r="F5" i="13"/>
  <c r="N23" i="2"/>
  <c r="I45" i="13" s="1"/>
  <c r="I11" i="13"/>
  <c r="N70" i="2"/>
  <c r="S41" i="13" s="1"/>
  <c r="S7" i="13"/>
  <c r="W7" i="13"/>
  <c r="N1534" i="2"/>
  <c r="W41" i="13" s="1"/>
  <c r="B32" i="13"/>
  <c r="N1115" i="2"/>
  <c r="B66" i="13" s="1"/>
  <c r="N2019" i="2"/>
  <c r="H58" i="13" s="1"/>
  <c r="H24" i="13"/>
  <c r="N741" i="2"/>
  <c r="D58" i="13" s="1"/>
  <c r="D24" i="13"/>
  <c r="N1999" i="2"/>
  <c r="L58" i="13" s="1"/>
  <c r="L24" i="13"/>
  <c r="S30" i="13"/>
  <c r="N2233" i="2"/>
  <c r="S64" i="13" s="1"/>
  <c r="AA30" i="13"/>
  <c r="N1893" i="2"/>
  <c r="AA64" i="13" s="1"/>
  <c r="I28" i="13"/>
  <c r="N707" i="2"/>
  <c r="I62" i="13" s="1"/>
  <c r="N293" i="2"/>
  <c r="E43" i="13" s="1"/>
  <c r="E9" i="13"/>
  <c r="N160" i="2"/>
  <c r="AD43" i="13" s="1"/>
  <c r="AD9" i="13"/>
  <c r="N1260" i="2"/>
  <c r="S43" i="13" s="1"/>
  <c r="S9" i="13"/>
  <c r="N1098" i="2"/>
  <c r="N43" i="13" s="1"/>
  <c r="N9" i="13"/>
  <c r="N410" i="2"/>
  <c r="Q46" i="13" s="1"/>
  <c r="Q12" i="13"/>
  <c r="N1383" i="2"/>
  <c r="M56" i="13" s="1"/>
  <c r="M22" i="13"/>
  <c r="N1881" i="2"/>
  <c r="I56" i="13" s="1"/>
  <c r="I22" i="13"/>
  <c r="N1000" i="2"/>
  <c r="Z37" i="13" s="1"/>
  <c r="Z3" i="13"/>
  <c r="W3" i="13"/>
  <c r="N684" i="2"/>
  <c r="W37" i="13" s="1"/>
  <c r="V3" i="13"/>
  <c r="N2046" i="2"/>
  <c r="V37" i="13" s="1"/>
  <c r="AD19" i="13"/>
  <c r="N1746" i="2"/>
  <c r="AD53" i="13" s="1"/>
  <c r="N159" i="2"/>
  <c r="Y63" i="13" s="1"/>
  <c r="Y29" i="13"/>
  <c r="G29" i="13"/>
  <c r="N1395" i="2"/>
  <c r="G63" i="13" s="1"/>
  <c r="N162" i="2"/>
  <c r="I42" i="13" s="1"/>
  <c r="I8" i="13"/>
  <c r="N251" i="2"/>
  <c r="D42" i="13" s="1"/>
  <c r="D8" i="13"/>
  <c r="U8" i="13"/>
  <c r="N544" i="2"/>
  <c r="U42" i="13" s="1"/>
  <c r="N967" i="2"/>
  <c r="E42" i="13" s="1"/>
  <c r="E8" i="13"/>
  <c r="N1791" i="2"/>
  <c r="D65" i="13" s="1"/>
  <c r="D31" i="13"/>
  <c r="N745" i="2"/>
  <c r="Q65" i="13" s="1"/>
  <c r="Q31" i="13"/>
  <c r="N731" i="2"/>
  <c r="T65" i="13" s="1"/>
  <c r="T31" i="13"/>
  <c r="N617" i="2"/>
  <c r="J61" i="13" s="1"/>
  <c r="J27" i="13"/>
  <c r="Y15" i="13"/>
  <c r="N1316" i="2"/>
  <c r="Y49" i="13" s="1"/>
  <c r="N156" i="2"/>
  <c r="V51" i="13" s="1"/>
  <c r="V17" i="13"/>
  <c r="L17" i="13"/>
  <c r="N535" i="2"/>
  <c r="L51" i="13" s="1"/>
  <c r="C17" i="13"/>
  <c r="N1151" i="2"/>
  <c r="C51" i="13" s="1"/>
  <c r="N1321" i="2"/>
  <c r="B54" i="13" s="1"/>
  <c r="B20" i="13"/>
  <c r="N1087" i="2"/>
  <c r="R54" i="13" s="1"/>
  <c r="R20" i="13"/>
  <c r="K20" i="13"/>
  <c r="N903" i="2"/>
  <c r="K54" i="13" s="1"/>
  <c r="N1720" i="2"/>
  <c r="L38" i="13" s="1"/>
  <c r="L4" i="13"/>
  <c r="N1361" i="2"/>
  <c r="B38" i="13" s="1"/>
  <c r="B4" i="13"/>
  <c r="N1187" i="2"/>
  <c r="H44" i="13" s="1"/>
  <c r="H10" i="13"/>
  <c r="N841" i="2"/>
  <c r="C44" i="13" s="1"/>
  <c r="C10" i="13"/>
  <c r="L25" i="13"/>
  <c r="N255" i="2"/>
  <c r="L59" i="13" s="1"/>
  <c r="N843" i="2"/>
  <c r="Q59" i="13" s="1"/>
  <c r="Q25" i="13"/>
  <c r="Q16" i="13"/>
  <c r="N1804" i="2"/>
  <c r="Q50" i="13" s="1"/>
  <c r="N703" i="2"/>
  <c r="V60" i="13" s="1"/>
  <c r="V26" i="13"/>
  <c r="N972" i="2"/>
  <c r="U45" i="13" s="1"/>
  <c r="U11" i="13"/>
  <c r="N103" i="2"/>
  <c r="U66" i="13" s="1"/>
  <c r="U32" i="13"/>
  <c r="N30" i="13"/>
  <c r="N885" i="2"/>
  <c r="N64" i="13" s="1"/>
  <c r="V9" i="13"/>
  <c r="N1596" i="2"/>
  <c r="V43" i="13" s="1"/>
  <c r="N128" i="2"/>
  <c r="AA37" i="13" s="1"/>
  <c r="AA3" i="13"/>
  <c r="U14" i="13"/>
  <c r="N1846" i="2"/>
  <c r="U48" i="13" s="1"/>
  <c r="D14" i="13"/>
  <c r="N149" i="2"/>
  <c r="D48" i="13" s="1"/>
  <c r="N2253" i="2"/>
  <c r="D53" i="13" s="1"/>
  <c r="D19" i="13"/>
  <c r="N867" i="2"/>
  <c r="B53" i="13" s="1"/>
  <c r="B19" i="13"/>
  <c r="N62" i="2"/>
  <c r="AE53" i="13" s="1"/>
  <c r="AE19" i="13"/>
  <c r="N1934" i="2"/>
  <c r="AC52" i="13" s="1"/>
  <c r="AC18" i="13"/>
  <c r="S18" i="13"/>
  <c r="N1468" i="2"/>
  <c r="S52" i="13" s="1"/>
  <c r="Q29" i="13"/>
  <c r="N1845" i="2"/>
  <c r="Q63" i="13" s="1"/>
  <c r="N415" i="2"/>
  <c r="T63" i="13" s="1"/>
  <c r="T29" i="13"/>
  <c r="W8" i="13"/>
  <c r="N864" i="2"/>
  <c r="W42" i="13" s="1"/>
  <c r="N2068" i="2"/>
  <c r="R42" i="13" s="1"/>
  <c r="R8" i="13"/>
  <c r="N1251" i="2"/>
  <c r="G65" i="13" s="1"/>
  <c r="G31" i="13"/>
  <c r="N1453" i="2"/>
  <c r="Z65" i="13" s="1"/>
  <c r="Z31" i="13"/>
  <c r="N1419" i="2"/>
  <c r="R61" i="13" s="1"/>
  <c r="R27" i="13"/>
  <c r="AE27" i="13"/>
  <c r="N1976" i="2"/>
  <c r="AE61" i="13" s="1"/>
  <c r="W27" i="13"/>
  <c r="N2035" i="2"/>
  <c r="W61" i="13" s="1"/>
  <c r="V15" i="13"/>
  <c r="N1524" i="2"/>
  <c r="V49" i="13" s="1"/>
  <c r="N455" i="2"/>
  <c r="L49" i="13" s="1"/>
  <c r="L15" i="13"/>
  <c r="N781" i="2"/>
  <c r="I49" i="13" s="1"/>
  <c r="I15" i="13"/>
  <c r="O17" i="13"/>
  <c r="N443" i="2"/>
  <c r="O51" i="13" s="1"/>
  <c r="N879" i="2"/>
  <c r="I54" i="13" s="1"/>
  <c r="I20" i="13"/>
  <c r="N492" i="2"/>
  <c r="Z54" i="13" s="1"/>
  <c r="Z20" i="13"/>
  <c r="N531" i="2"/>
  <c r="C62" i="13" s="1"/>
  <c r="C28" i="13"/>
  <c r="N1342" i="2"/>
  <c r="N44" i="13" s="1"/>
  <c r="N10" i="13"/>
  <c r="Q10" i="13"/>
  <c r="N2042" i="2"/>
  <c r="Q44" i="13" s="1"/>
  <c r="N1003" i="2"/>
  <c r="N59" i="13" s="1"/>
  <c r="N25" i="13"/>
  <c r="E23" i="13"/>
  <c r="N1627" i="2"/>
  <c r="E57" i="13" s="1"/>
  <c r="N1889" i="2"/>
  <c r="C55" i="13" s="1"/>
  <c r="C21" i="13"/>
  <c r="N316" i="2"/>
  <c r="AB55" i="13" s="1"/>
  <c r="AB21" i="13"/>
  <c r="Q21" i="13"/>
  <c r="N1629" i="2"/>
  <c r="Q55" i="13" s="1"/>
  <c r="S6" i="13"/>
  <c r="N2084" i="2"/>
  <c r="S40" i="13" s="1"/>
  <c r="F26" i="13"/>
  <c r="N1631" i="2"/>
  <c r="F60" i="13" s="1"/>
  <c r="N2303" i="2"/>
  <c r="B60" i="13" s="1"/>
  <c r="B26" i="13"/>
  <c r="D13" i="13"/>
  <c r="N1391" i="2"/>
  <c r="D47" i="13" s="1"/>
  <c r="N24" i="2"/>
  <c r="AD47" i="13" s="1"/>
  <c r="AD13" i="13"/>
  <c r="N630" i="2"/>
  <c r="E39" i="13" s="1"/>
  <c r="E5" i="13"/>
  <c r="AE5" i="13"/>
  <c r="N602" i="2"/>
  <c r="AE39" i="13" s="1"/>
  <c r="N1358" i="2"/>
  <c r="X45" i="13" s="1"/>
  <c r="X11" i="13"/>
  <c r="N2186" i="2"/>
  <c r="Q45" i="13" s="1"/>
  <c r="Q11" i="13"/>
  <c r="N1384" i="2"/>
  <c r="O41" i="13" s="1"/>
  <c r="O7" i="13"/>
  <c r="W32" i="13"/>
  <c r="N33" i="2"/>
  <c r="W66" i="13" s="1"/>
  <c r="E32" i="13"/>
  <c r="N1479" i="2"/>
  <c r="E66" i="13" s="1"/>
  <c r="I24" i="13"/>
  <c r="N1059" i="2"/>
  <c r="I58" i="13" s="1"/>
  <c r="F24" i="13"/>
  <c r="N107" i="2"/>
  <c r="F58" i="13" s="1"/>
  <c r="G24" i="13"/>
  <c r="N397" i="2"/>
  <c r="G58" i="13" s="1"/>
  <c r="N371" i="2"/>
  <c r="G64" i="13" s="1"/>
  <c r="G30" i="13"/>
  <c r="N1259" i="2"/>
  <c r="P64" i="13" s="1"/>
  <c r="P30" i="13"/>
  <c r="N2221" i="2"/>
  <c r="W62" i="13" s="1"/>
  <c r="W28" i="13"/>
  <c r="N971" i="2"/>
  <c r="D43" i="13" s="1"/>
  <c r="D9" i="13"/>
  <c r="N618" i="2"/>
  <c r="P43" i="13" s="1"/>
  <c r="P9" i="13"/>
  <c r="N374" i="2"/>
  <c r="L43" i="13" s="1"/>
  <c r="L9" i="13"/>
  <c r="X12" i="13"/>
  <c r="N1544" i="2"/>
  <c r="X46" i="13" s="1"/>
  <c r="N1894" i="2"/>
  <c r="AD56" i="13" s="1"/>
  <c r="AD22" i="13"/>
  <c r="H22" i="13"/>
  <c r="N427" i="2"/>
  <c r="H56" i="13" s="1"/>
  <c r="O22" i="13"/>
  <c r="N1927" i="2"/>
  <c r="O56" i="13" s="1"/>
  <c r="N824" i="2"/>
  <c r="H37" i="13" s="1"/>
  <c r="H3" i="13"/>
  <c r="N1202" i="2"/>
  <c r="F37" i="13" s="1"/>
  <c r="F3" i="13"/>
  <c r="N895" i="2"/>
  <c r="C48" i="13" s="1"/>
  <c r="C14" i="13"/>
  <c r="Y19" i="13"/>
  <c r="N718" i="2"/>
  <c r="Y53" i="13" s="1"/>
  <c r="N287" i="2"/>
  <c r="Q53" i="13" s="1"/>
  <c r="Q19" i="13"/>
  <c r="N60" i="2"/>
  <c r="X52" i="13" s="1"/>
  <c r="X18" i="13"/>
  <c r="N1117" i="2"/>
  <c r="N52" i="13" s="1"/>
  <c r="N18" i="13"/>
  <c r="R29" i="13"/>
  <c r="N1579" i="2"/>
  <c r="R63" i="13" s="1"/>
  <c r="N931" i="2"/>
  <c r="B42" i="13" s="1"/>
  <c r="B8" i="13"/>
  <c r="L8" i="13"/>
  <c r="N1760" i="2"/>
  <c r="L42" i="13" s="1"/>
  <c r="N1727" i="2"/>
  <c r="I65" i="13" s="1"/>
  <c r="I31" i="13"/>
  <c r="N655" i="2"/>
  <c r="F61" i="13" s="1"/>
  <c r="F27" i="13"/>
  <c r="N1389" i="2"/>
  <c r="B61" i="13" s="1"/>
  <c r="B27" i="13"/>
  <c r="N2343" i="2"/>
  <c r="K61" i="13" s="1"/>
  <c r="K27" i="13"/>
  <c r="N2116" i="2"/>
  <c r="U49" i="13" s="1"/>
  <c r="U15" i="13"/>
  <c r="N1174" i="2"/>
  <c r="W51" i="13" s="1"/>
  <c r="W17" i="13"/>
  <c r="N1474" i="2"/>
  <c r="AD51" i="13" s="1"/>
  <c r="AD17" i="13"/>
  <c r="S22" i="13"/>
  <c r="N335" i="2"/>
  <c r="S56" i="13" s="1"/>
  <c r="N580" i="2"/>
  <c r="AA54" i="13" s="1"/>
  <c r="AA20" i="13"/>
  <c r="N256" i="2"/>
  <c r="T54" i="13" s="1"/>
  <c r="T20" i="13"/>
  <c r="N4" i="13"/>
  <c r="N1278" i="2"/>
  <c r="N38" i="13" s="1"/>
  <c r="N1662" i="2"/>
  <c r="I38" i="13" s="1"/>
  <c r="I4" i="13"/>
  <c r="N1228" i="2"/>
  <c r="K44" i="13" s="1"/>
  <c r="K10" i="13"/>
  <c r="N963" i="2"/>
  <c r="F44" i="13" s="1"/>
  <c r="F10" i="13"/>
  <c r="N1616" i="2"/>
  <c r="R44" i="13" s="1"/>
  <c r="R10" i="13"/>
  <c r="N589" i="2"/>
  <c r="B44" i="13" s="1"/>
  <c r="B10" i="13"/>
  <c r="N663" i="2"/>
  <c r="C59" i="13" s="1"/>
  <c r="C25" i="13"/>
  <c r="N47" i="2"/>
  <c r="R59" i="13" s="1"/>
  <c r="R25" i="13"/>
  <c r="J23" i="13"/>
  <c r="N593" i="2"/>
  <c r="J57" i="13" s="1"/>
  <c r="N1264" i="2"/>
  <c r="AE57" i="13" s="1"/>
  <c r="AE23" i="13"/>
  <c r="N833" i="2"/>
  <c r="M55" i="13" s="1"/>
  <c r="M21" i="13"/>
  <c r="S21" i="13"/>
  <c r="N1293" i="2"/>
  <c r="S55" i="13" s="1"/>
  <c r="N509" i="2"/>
  <c r="J50" i="13" s="1"/>
  <c r="J16" i="13"/>
  <c r="N2052" i="2"/>
  <c r="AB40" i="13" s="1"/>
  <c r="AB6" i="13"/>
  <c r="N113" i="2"/>
  <c r="O60" i="13" s="1"/>
  <c r="O26" i="13"/>
  <c r="D26" i="13"/>
  <c r="N297" i="2"/>
  <c r="D60" i="13" s="1"/>
  <c r="N937" i="2"/>
  <c r="T60" i="13" s="1"/>
  <c r="T26" i="13"/>
  <c r="N2322" i="2"/>
  <c r="J39" i="13" s="1"/>
  <c r="J5" i="13"/>
  <c r="N834" i="2"/>
  <c r="W39" i="13" s="1"/>
  <c r="W5" i="13"/>
  <c r="F11" i="13"/>
  <c r="N203" i="2"/>
  <c r="F45" i="13" s="1"/>
  <c r="N1029" i="2"/>
  <c r="T66" i="13" s="1"/>
  <c r="T32" i="13"/>
  <c r="N1691" i="2"/>
  <c r="S66" i="13" s="1"/>
  <c r="S32" i="13"/>
  <c r="N206" i="2"/>
  <c r="AC58" i="13" s="1"/>
  <c r="AC24" i="13"/>
  <c r="N429" i="2"/>
  <c r="B64" i="13" s="1"/>
  <c r="B30" i="13"/>
  <c r="N59" i="2"/>
  <c r="W64" i="13" s="1"/>
  <c r="W30" i="13"/>
  <c r="T30" i="13"/>
  <c r="N1661" i="2"/>
  <c r="T64" i="13" s="1"/>
  <c r="N355" i="2"/>
  <c r="S62" i="13" s="1"/>
  <c r="S28" i="13"/>
  <c r="N1538" i="2"/>
  <c r="AC62" i="13" s="1"/>
  <c r="AC28" i="13"/>
  <c r="N536" i="2"/>
  <c r="R43" i="13" s="1"/>
  <c r="R9" i="13"/>
  <c r="N679" i="2"/>
  <c r="H46" i="13" s="1"/>
  <c r="H12" i="13"/>
  <c r="D3" i="13"/>
  <c r="N1158" i="2"/>
  <c r="D37" i="13" s="1"/>
  <c r="N126" i="2"/>
  <c r="AE48" i="13" s="1"/>
  <c r="AE14" i="13"/>
  <c r="H14" i="13"/>
  <c r="N405" i="2"/>
  <c r="H48" i="13" s="1"/>
  <c r="N869" i="2"/>
  <c r="J48" i="13" s="1"/>
  <c r="J14" i="13"/>
  <c r="N1065" i="2"/>
  <c r="K48" i="13" s="1"/>
  <c r="K14" i="13"/>
  <c r="AB19" i="13"/>
  <c r="N760" i="2"/>
  <c r="AB53" i="13" s="1"/>
  <c r="H18" i="13"/>
  <c r="N189" i="2"/>
  <c r="H52" i="13" s="1"/>
  <c r="N488" i="2"/>
  <c r="U52" i="13" s="1"/>
  <c r="U18" i="13"/>
  <c r="N79" i="2"/>
  <c r="N63" i="13" s="1"/>
  <c r="N29" i="13"/>
  <c r="N921" i="2"/>
  <c r="C63" i="13" s="1"/>
  <c r="C29" i="13"/>
  <c r="N670" i="2"/>
  <c r="T42" i="13" s="1"/>
  <c r="T8" i="13"/>
  <c r="N856" i="2"/>
  <c r="Q42" i="13" s="1"/>
  <c r="Q8" i="13"/>
  <c r="N437" i="2"/>
  <c r="V65" i="13" s="1"/>
  <c r="V31" i="13"/>
  <c r="N765" i="2"/>
  <c r="W65" i="13" s="1"/>
  <c r="W31" i="13"/>
  <c r="N1357" i="2"/>
  <c r="G61" i="13" s="1"/>
  <c r="G27" i="13"/>
  <c r="AD27" i="13"/>
  <c r="N1618" i="2"/>
  <c r="AD61" i="13" s="1"/>
  <c r="N821" i="2"/>
  <c r="L61" i="13" s="1"/>
  <c r="L27" i="13"/>
  <c r="N1435" i="2"/>
  <c r="C49" i="13" s="1"/>
  <c r="C15" i="13"/>
  <c r="D15" i="13"/>
  <c r="N2185" i="2"/>
  <c r="D49" i="13" s="1"/>
  <c r="N656" i="2"/>
  <c r="AE49" i="13" s="1"/>
  <c r="AE15" i="13"/>
  <c r="S17" i="13"/>
  <c r="N1502" i="2"/>
  <c r="S51" i="13" s="1"/>
  <c r="G20" i="13"/>
  <c r="N831" i="2"/>
  <c r="G54" i="13" s="1"/>
  <c r="N144" i="2"/>
  <c r="W54" i="13" s="1"/>
  <c r="W20" i="13"/>
  <c r="J4" i="13"/>
  <c r="N66" i="2"/>
  <c r="J38" i="13" s="1"/>
  <c r="N192" i="2"/>
  <c r="Z44" i="13" s="1"/>
  <c r="Z10" i="13"/>
  <c r="N1836" i="2"/>
  <c r="AA44" i="13" s="1"/>
  <c r="AA10" i="13"/>
  <c r="U10" i="13"/>
  <c r="N284" i="2"/>
  <c r="U44" i="13" s="1"/>
  <c r="N2110" i="2"/>
  <c r="AB59" i="13" s="1"/>
  <c r="AB25" i="13"/>
  <c r="T25" i="13"/>
  <c r="N1337" i="2"/>
  <c r="T59" i="13" s="1"/>
  <c r="N763" i="2"/>
  <c r="K57" i="13" s="1"/>
  <c r="K23" i="13"/>
  <c r="G23" i="13"/>
  <c r="N1315" i="2"/>
  <c r="G57" i="13" s="1"/>
  <c r="N621" i="2"/>
  <c r="T56" i="13" s="1"/>
  <c r="T22" i="13"/>
  <c r="N91" i="2"/>
  <c r="P55" i="13" s="1"/>
  <c r="P21" i="13"/>
  <c r="N1019" i="2"/>
  <c r="D40" i="13" s="1"/>
  <c r="D6" i="13"/>
  <c r="G6" i="13"/>
  <c r="N708" i="2"/>
  <c r="G40" i="13" s="1"/>
  <c r="N74" i="2"/>
  <c r="AD60" i="13" s="1"/>
  <c r="AD26" i="13"/>
  <c r="N1061" i="2"/>
  <c r="S60" i="13" s="1"/>
  <c r="S26" i="13"/>
  <c r="U13" i="13"/>
  <c r="N1070" i="2"/>
  <c r="U47" i="13" s="1"/>
  <c r="N288" i="2"/>
  <c r="V47" i="13" s="1"/>
  <c r="V13" i="13"/>
  <c r="N647" i="2"/>
  <c r="K47" i="13" s="1"/>
  <c r="K13" i="13"/>
  <c r="N352" i="2"/>
  <c r="P39" i="13" s="1"/>
  <c r="P5" i="13"/>
  <c r="N1104" i="2"/>
  <c r="AC39" i="13" s="1"/>
  <c r="AC5" i="13"/>
  <c r="N1172" i="2"/>
  <c r="M45" i="13" s="1"/>
  <c r="M11" i="13"/>
  <c r="N1856" i="2"/>
  <c r="AA41" i="13" s="1"/>
  <c r="AA7" i="13"/>
  <c r="N308" i="2"/>
  <c r="N41" i="13" s="1"/>
  <c r="N7" i="13"/>
  <c r="N416" i="2"/>
  <c r="I41" i="13" s="1"/>
  <c r="I7" i="13"/>
  <c r="K32" i="13"/>
  <c r="N2101" i="2"/>
  <c r="K66" i="13" s="1"/>
  <c r="N977" i="2"/>
  <c r="V66" i="13" s="1"/>
  <c r="V32" i="13"/>
  <c r="W22" i="13"/>
  <c r="N1570" i="2"/>
  <c r="W56" i="13" s="1"/>
  <c r="AE30" i="13"/>
  <c r="N1408" i="2"/>
  <c r="AE64" i="13" s="1"/>
  <c r="N1013" i="2"/>
  <c r="Y64" i="13" s="1"/>
  <c r="Y30" i="13"/>
  <c r="N773" i="2"/>
  <c r="J64" i="13" s="1"/>
  <c r="J30" i="13"/>
  <c r="N793" i="2"/>
  <c r="H62" i="13" s="1"/>
  <c r="H28" i="13"/>
  <c r="N626" i="2"/>
  <c r="AD62" i="13" s="1"/>
  <c r="AD28" i="13"/>
  <c r="N217" i="2"/>
  <c r="K62" i="13" s="1"/>
  <c r="K28" i="13"/>
  <c r="N1005" i="2"/>
  <c r="G43" i="13" s="1"/>
  <c r="G9" i="13"/>
  <c r="AC12" i="13"/>
  <c r="N1716" i="2"/>
  <c r="AC46" i="13" s="1"/>
  <c r="C22" i="13"/>
  <c r="N151" i="2"/>
  <c r="C56" i="13" s="1"/>
  <c r="E22" i="13"/>
  <c r="N551" i="2"/>
  <c r="E56" i="13" s="1"/>
  <c r="AB3" i="13"/>
  <c r="N1990" i="2"/>
  <c r="AB37" i="13" s="1"/>
  <c r="Z14" i="13"/>
  <c r="N546" i="2"/>
  <c r="Z48" i="13" s="1"/>
  <c r="AC14" i="13"/>
  <c r="N664" i="2"/>
  <c r="AC48" i="13" s="1"/>
  <c r="AA14" i="13"/>
  <c r="N438" i="2"/>
  <c r="AA48" i="13" s="1"/>
  <c r="N1107" i="2"/>
  <c r="F53" i="13" s="1"/>
  <c r="F19" i="13"/>
  <c r="N2000" i="2"/>
  <c r="T53" i="13" s="1"/>
  <c r="T19" i="13"/>
  <c r="N350" i="2"/>
  <c r="AC53" i="13" s="1"/>
  <c r="AC19" i="13"/>
  <c r="W19" i="13"/>
  <c r="N246" i="2"/>
  <c r="W53" i="13" s="1"/>
  <c r="J19" i="13"/>
  <c r="N153" i="2"/>
  <c r="J53" i="13" s="1"/>
  <c r="N1724" i="2"/>
  <c r="T52" i="13" s="1"/>
  <c r="T18" i="13"/>
  <c r="N1449" i="2"/>
  <c r="J52" i="13" s="1"/>
  <c r="J18" i="13"/>
  <c r="AB18" i="13"/>
  <c r="N1194" i="2"/>
  <c r="AB52" i="13" s="1"/>
  <c r="N1948" i="2"/>
  <c r="AE63" i="13" s="1"/>
  <c r="AE29" i="13"/>
  <c r="W29" i="13"/>
  <c r="N1821" i="2"/>
  <c r="W63" i="13" s="1"/>
  <c r="N358" i="2"/>
  <c r="AE42" i="13" s="1"/>
  <c r="AE8" i="13"/>
  <c r="R15" i="13"/>
  <c r="N686" i="2"/>
  <c r="R49" i="13" s="1"/>
  <c r="Q15" i="13"/>
  <c r="N340" i="2"/>
  <c r="Q49" i="13" s="1"/>
  <c r="N1351" i="2"/>
  <c r="H51" i="13" s="1"/>
  <c r="H17" i="13"/>
  <c r="N942" i="2"/>
  <c r="AD54" i="13" s="1"/>
  <c r="AD20" i="13"/>
  <c r="Z4" i="13"/>
  <c r="N276" i="2"/>
  <c r="Z38" i="13" s="1"/>
  <c r="W10" i="13"/>
  <c r="N2082" i="2"/>
  <c r="W44" i="13" s="1"/>
  <c r="N2089" i="2"/>
  <c r="O59" i="13" s="1"/>
  <c r="O25" i="13"/>
  <c r="Y25" i="13"/>
  <c r="N980" i="2"/>
  <c r="Y59" i="13" s="1"/>
  <c r="N783" i="2"/>
  <c r="O57" i="13" s="1"/>
  <c r="O23" i="13"/>
  <c r="N882" i="2"/>
  <c r="AB60" i="13" s="1"/>
  <c r="AB26" i="13"/>
  <c r="N234" i="2"/>
  <c r="S47" i="13" s="1"/>
  <c r="S13" i="13"/>
  <c r="M13" i="13"/>
  <c r="N2090" i="2"/>
  <c r="M47" i="13" s="1"/>
  <c r="N1450" i="2"/>
  <c r="U39" i="13" s="1"/>
  <c r="U5" i="13"/>
  <c r="N2277" i="2"/>
  <c r="P66" i="13" s="1"/>
  <c r="P32" i="13"/>
  <c r="N985" i="2"/>
  <c r="K64" i="13" s="1"/>
  <c r="K30" i="13"/>
  <c r="N23" i="13"/>
  <c r="N41" i="2"/>
  <c r="N57" i="13" s="1"/>
  <c r="N1148" i="2"/>
  <c r="W47" i="13" s="1"/>
  <c r="W13" i="13"/>
  <c r="N258" i="2"/>
  <c r="V45" i="13" s="1"/>
  <c r="V11" i="13"/>
  <c r="N1290" i="2"/>
  <c r="H41" i="13" s="1"/>
  <c r="H7" i="13"/>
  <c r="N525" i="2"/>
  <c r="E41" i="13" s="1"/>
  <c r="E7" i="13"/>
  <c r="N705" i="2"/>
  <c r="U64" i="13" s="1"/>
  <c r="U30" i="13"/>
  <c r="J9" i="13"/>
  <c r="N742" i="2"/>
  <c r="J43" i="13" s="1"/>
  <c r="N422" i="2"/>
  <c r="W46" i="13" s="1"/>
  <c r="W12" i="13"/>
  <c r="O3" i="13"/>
  <c r="N1972" i="2"/>
  <c r="O37" i="13" s="1"/>
  <c r="N14" i="13"/>
  <c r="N752" i="2"/>
  <c r="N48" i="13" s="1"/>
  <c r="N801" i="2"/>
  <c r="G51" i="13" s="1"/>
  <c r="G17" i="13"/>
  <c r="N440" i="2"/>
  <c r="Y44" i="13" s="1"/>
  <c r="Y10" i="13"/>
  <c r="V10" i="13"/>
  <c r="N72" i="2"/>
  <c r="V44" i="13" s="1"/>
  <c r="N515" i="2"/>
  <c r="T57" i="13" s="1"/>
  <c r="T23" i="13"/>
  <c r="J21" i="13"/>
  <c r="N1153" i="2"/>
  <c r="J55" i="13" s="1"/>
  <c r="N700" i="2"/>
  <c r="S50" i="13" s="1"/>
  <c r="S16" i="13"/>
  <c r="N214" i="2"/>
  <c r="Z40" i="13" s="1"/>
  <c r="Z6" i="13"/>
  <c r="F13" i="13"/>
  <c r="N1023" i="2"/>
  <c r="F47" i="13" s="1"/>
  <c r="AC11" i="13"/>
  <c r="N1128" i="2"/>
  <c r="AC45" i="13" s="1"/>
  <c r="W11" i="13"/>
  <c r="N928" i="2"/>
  <c r="W45" i="13" s="1"/>
  <c r="N2025" i="2"/>
  <c r="AD66" i="13" s="1"/>
  <c r="AD32" i="13"/>
  <c r="N1355" i="2"/>
  <c r="O66" i="13" s="1"/>
  <c r="O32" i="13"/>
  <c r="AB32" i="13"/>
  <c r="N2079" i="2"/>
  <c r="AB66" i="13" s="1"/>
  <c r="N1335" i="2"/>
  <c r="P58" i="13" s="1"/>
  <c r="P24" i="13"/>
  <c r="J24" i="13"/>
  <c r="N301" i="2"/>
  <c r="J58" i="13" s="1"/>
  <c r="N3" i="2"/>
  <c r="T58" i="13" s="1"/>
  <c r="T24" i="13"/>
  <c r="N459" i="2"/>
  <c r="M58" i="13" s="1"/>
  <c r="M24" i="13"/>
  <c r="N495" i="2"/>
  <c r="O64" i="13" s="1"/>
  <c r="O30" i="13"/>
  <c r="N1543" i="2"/>
  <c r="M62" i="13" s="1"/>
  <c r="M28" i="13"/>
  <c r="N2294" i="2"/>
  <c r="AA46" i="13" s="1"/>
  <c r="AA12" i="13"/>
  <c r="M12" i="13"/>
  <c r="N1642" i="2"/>
  <c r="M46" i="13" s="1"/>
  <c r="P3" i="13"/>
  <c r="N1528" i="2"/>
  <c r="P37" i="13" s="1"/>
  <c r="N1102" i="2"/>
  <c r="X48" i="13" s="1"/>
  <c r="X14" i="13"/>
  <c r="P14" i="13"/>
  <c r="N2432" i="2"/>
  <c r="P48" i="13" s="1"/>
  <c r="N99" i="2"/>
  <c r="M53" i="13" s="1"/>
  <c r="M19" i="13"/>
  <c r="K19" i="13"/>
  <c r="N1809" i="2"/>
  <c r="K53" i="13" s="1"/>
  <c r="N249" i="2"/>
  <c r="B52" i="13" s="1"/>
  <c r="B18" i="13"/>
  <c r="N1587" i="2"/>
  <c r="G52" i="13" s="1"/>
  <c r="G18" i="13"/>
  <c r="AA18" i="13"/>
  <c r="N1508" i="2"/>
  <c r="AA52" i="13" s="1"/>
  <c r="R18" i="13"/>
  <c r="N568" i="2"/>
  <c r="R52" i="13" s="1"/>
  <c r="N2126" i="2"/>
  <c r="P42" i="13" s="1"/>
  <c r="P8" i="13"/>
  <c r="N110" i="2"/>
  <c r="Z42" i="13" s="1"/>
  <c r="Z8" i="13"/>
  <c r="J8" i="13"/>
  <c r="N1346" i="2"/>
  <c r="J42" i="13" s="1"/>
  <c r="Q27" i="13"/>
  <c r="N2009" i="2"/>
  <c r="Q61" i="13" s="1"/>
  <c r="N787" i="2"/>
  <c r="T61" i="13" s="1"/>
  <c r="T27" i="13"/>
  <c r="T15" i="13"/>
  <c r="N1396" i="2"/>
  <c r="T49" i="13" s="1"/>
  <c r="N395" i="2"/>
  <c r="E49" i="13" s="1"/>
  <c r="E15" i="13"/>
  <c r="F17" i="13"/>
  <c r="N1877" i="2"/>
  <c r="F51" i="13" s="1"/>
  <c r="N130" i="2"/>
  <c r="Y51" i="13" s="1"/>
  <c r="Y17" i="13"/>
  <c r="N1008" i="2"/>
  <c r="Q38" i="13" s="1"/>
  <c r="Q4" i="13"/>
  <c r="N638" i="2"/>
  <c r="F38" i="13" s="1"/>
  <c r="F4" i="13"/>
  <c r="N1178" i="2"/>
  <c r="AE38" i="13" s="1"/>
  <c r="AE4" i="13"/>
  <c r="N1268" i="2"/>
  <c r="AB38" i="13" s="1"/>
  <c r="AB4" i="13"/>
  <c r="J25" i="13"/>
  <c r="N575" i="2"/>
  <c r="J59" i="13" s="1"/>
  <c r="N373" i="2"/>
  <c r="U59" i="13" s="1"/>
  <c r="U25" i="13"/>
  <c r="F25" i="13"/>
  <c r="N2371" i="2"/>
  <c r="F59" i="13" s="1"/>
  <c r="AC23" i="13"/>
  <c r="N104" i="2"/>
  <c r="AC57" i="13" s="1"/>
  <c r="U21" i="13"/>
  <c r="N1234" i="2"/>
  <c r="U55" i="13" s="1"/>
  <c r="X16" i="13"/>
  <c r="N2198" i="2"/>
  <c r="X50" i="13" s="1"/>
  <c r="N228" i="2"/>
  <c r="T50" i="13" s="1"/>
  <c r="T16" i="13"/>
  <c r="N26" i="2"/>
  <c r="Y50" i="13" s="1"/>
  <c r="Y16" i="13"/>
  <c r="I6" i="13"/>
  <c r="N1420" i="2"/>
  <c r="I40" i="13" s="1"/>
  <c r="N666" i="2"/>
  <c r="P40" i="13" s="1"/>
  <c r="P6" i="13"/>
  <c r="N1615" i="2"/>
  <c r="H47" i="13" s="1"/>
  <c r="H13" i="13"/>
  <c r="C13" i="13"/>
  <c r="N1127" i="2"/>
  <c r="C47" i="13" s="1"/>
  <c r="N1413" i="2"/>
  <c r="J47" i="13" s="1"/>
  <c r="J13" i="13"/>
  <c r="N92" i="2"/>
  <c r="H39" i="13" s="1"/>
  <c r="H5" i="13"/>
  <c r="N11" i="13"/>
  <c r="N722" i="2"/>
  <c r="N45" i="13" s="1"/>
  <c r="N349" i="2"/>
  <c r="B45" i="13" s="1"/>
  <c r="B11" i="13"/>
  <c r="N342" i="2"/>
  <c r="AB41" i="13" s="1"/>
  <c r="AB7" i="13"/>
  <c r="N1352" i="2"/>
  <c r="K41" i="13" s="1"/>
  <c r="K7" i="13"/>
  <c r="N776" i="2"/>
  <c r="P41" i="13" s="1"/>
  <c r="P7" i="13"/>
  <c r="N483" i="2"/>
  <c r="C41" i="13" s="1"/>
  <c r="C7" i="13"/>
  <c r="N116" i="2"/>
  <c r="X58" i="13" s="1"/>
  <c r="X24" i="13"/>
  <c r="N2261" i="2"/>
  <c r="S58" i="13" s="1"/>
  <c r="S24" i="13"/>
  <c r="Q24" i="13"/>
  <c r="N923" i="2"/>
  <c r="Q58" i="13" s="1"/>
  <c r="N119" i="2"/>
  <c r="D64" i="13" s="1"/>
  <c r="D30" i="13"/>
  <c r="N721" i="2"/>
  <c r="Z62" i="13" s="1"/>
  <c r="Z28" i="13"/>
  <c r="L28" i="13"/>
  <c r="N139" i="2"/>
  <c r="L62" i="13" s="1"/>
  <c r="N1406" i="2"/>
  <c r="W43" i="13" s="1"/>
  <c r="W9" i="13"/>
  <c r="N22" i="13"/>
  <c r="N953" i="2"/>
  <c r="N56" i="13" s="1"/>
  <c r="N1252" i="2"/>
  <c r="X56" i="13" s="1"/>
  <c r="X22" i="13"/>
  <c r="AB22" i="13"/>
  <c r="N900" i="2"/>
  <c r="AB56" i="13" s="1"/>
  <c r="U3" i="13"/>
  <c r="N200" i="2"/>
  <c r="U37" i="13" s="1"/>
  <c r="N1942" i="2"/>
  <c r="Y37" i="13" s="1"/>
  <c r="Y3" i="13"/>
  <c r="N978" i="2"/>
  <c r="R48" i="13" s="1"/>
  <c r="R14" i="13"/>
  <c r="R28" i="13"/>
  <c r="N2015" i="2"/>
  <c r="R62" i="13" s="1"/>
  <c r="N622" i="2"/>
  <c r="V53" i="13" s="1"/>
  <c r="V19" i="13"/>
  <c r="N434" i="2"/>
  <c r="S53" i="13" s="1"/>
  <c r="S19" i="13"/>
  <c r="N1785" i="2"/>
  <c r="I53" i="13" s="1"/>
  <c r="I19" i="13"/>
  <c r="N498" i="2"/>
  <c r="AE52" i="13" s="1"/>
  <c r="AE18" i="13"/>
  <c r="V18" i="13"/>
  <c r="N2070" i="2"/>
  <c r="V52" i="13" s="1"/>
  <c r="N1145" i="2"/>
  <c r="O52" i="13" s="1"/>
  <c r="O18" i="13"/>
  <c r="D29" i="13"/>
  <c r="N949" i="2"/>
  <c r="D63" i="13" s="1"/>
  <c r="N650" i="2"/>
  <c r="V42" i="13" s="1"/>
  <c r="V8" i="13"/>
  <c r="S8" i="13"/>
  <c r="N1416" i="2"/>
  <c r="S42" i="13" s="1"/>
  <c r="N1823" i="2"/>
  <c r="X65" i="13" s="1"/>
  <c r="X31" i="13"/>
  <c r="AE31" i="13"/>
  <c r="N698" i="2"/>
  <c r="AE65" i="13" s="1"/>
  <c r="N1123" i="2"/>
  <c r="O61" i="13" s="1"/>
  <c r="O27" i="13"/>
  <c r="N1519" i="2"/>
  <c r="H61" i="13" s="1"/>
  <c r="H27" i="13"/>
  <c r="N1669" i="2"/>
  <c r="N51" i="13" s="1"/>
  <c r="N17" i="13"/>
  <c r="N688" i="2"/>
  <c r="X51" i="13" s="1"/>
  <c r="X17" i="13"/>
  <c r="N1080" i="2"/>
  <c r="T51" i="13" s="1"/>
  <c r="T17" i="13"/>
  <c r="N503" i="2"/>
  <c r="N54" i="13" s="1"/>
  <c r="N20" i="13"/>
  <c r="H20" i="13"/>
  <c r="N275" i="2"/>
  <c r="H54" i="13" s="1"/>
  <c r="N356" i="2"/>
  <c r="V38" i="13" s="1"/>
  <c r="V4" i="13"/>
  <c r="G4" i="13"/>
  <c r="N770" i="2"/>
  <c r="G38" i="13" s="1"/>
  <c r="N1368" i="2"/>
  <c r="T44" i="13" s="1"/>
  <c r="T10" i="13"/>
  <c r="N1495" i="2"/>
  <c r="D59" i="13" s="1"/>
  <c r="D25" i="13"/>
  <c r="N186" i="2"/>
  <c r="AC59" i="13" s="1"/>
  <c r="AC25" i="13"/>
  <c r="N1704" i="2"/>
  <c r="Y57" i="13" s="1"/>
  <c r="Y23" i="13"/>
  <c r="N314" i="2"/>
  <c r="AD57" i="13" s="1"/>
  <c r="AD23" i="13"/>
  <c r="N549" i="2"/>
  <c r="K55" i="13" s="1"/>
  <c r="K21" i="13"/>
  <c r="N1067" i="2"/>
  <c r="N50" i="13" s="1"/>
  <c r="N16" i="13"/>
  <c r="N1793" i="2"/>
  <c r="C40" i="13" s="1"/>
  <c r="C6" i="13"/>
  <c r="N1068" i="2"/>
  <c r="AC40" i="13" s="1"/>
  <c r="AC6" i="13"/>
  <c r="Z26" i="13"/>
  <c r="N1484" i="2"/>
  <c r="Z60" i="13" s="1"/>
  <c r="N806" i="2"/>
  <c r="Q39" i="13" s="1"/>
  <c r="Q5" i="13"/>
  <c r="N1276" i="2"/>
  <c r="Z39" i="13" s="1"/>
  <c r="Z5" i="13"/>
  <c r="N1520" i="2"/>
  <c r="R39" i="13" s="1"/>
  <c r="R5" i="13"/>
  <c r="K11" i="13"/>
  <c r="N1914" i="2"/>
  <c r="K45" i="13" s="1"/>
  <c r="N1040" i="2"/>
  <c r="AA45" i="13" s="1"/>
  <c r="AA11" i="13"/>
  <c r="T7" i="13"/>
  <c r="N1510" i="2"/>
  <c r="T41" i="13" s="1"/>
  <c r="N1709" i="2"/>
  <c r="X66" i="13" s="1"/>
  <c r="X32" i="13"/>
  <c r="H32" i="13"/>
  <c r="N939" i="2"/>
  <c r="H66" i="13" s="1"/>
  <c r="R24" i="13"/>
  <c r="N1907" i="2"/>
  <c r="R58" i="13" s="1"/>
  <c r="N819" i="2"/>
  <c r="F64" i="13" s="1"/>
  <c r="F30" i="13"/>
  <c r="N1393" i="2"/>
  <c r="C64" i="13" s="1"/>
  <c r="C30" i="13"/>
  <c r="Q28" i="13"/>
  <c r="N2215" i="2"/>
  <c r="Q62" i="13" s="1"/>
  <c r="C9" i="13"/>
  <c r="N1021" i="2"/>
  <c r="C43" i="13" s="1"/>
  <c r="B9" i="13"/>
  <c r="N1681" i="2"/>
  <c r="B43" i="13" s="1"/>
  <c r="N390" i="2"/>
  <c r="V46" i="13" s="1"/>
  <c r="V12" i="13"/>
  <c r="U12" i="13"/>
  <c r="N1514" i="2"/>
  <c r="U46" i="13" s="1"/>
  <c r="N12" i="13"/>
  <c r="N860" i="2"/>
  <c r="N46" i="13" s="1"/>
  <c r="N1549" i="2"/>
  <c r="Q56" i="13" s="1"/>
  <c r="Q22" i="13"/>
  <c r="N37" i="2"/>
  <c r="G56" i="13" s="1"/>
  <c r="G22" i="13"/>
  <c r="V22" i="13"/>
  <c r="N456" i="2"/>
  <c r="V56" i="13" s="1"/>
  <c r="N142" i="2"/>
  <c r="E37" i="13" s="1"/>
  <c r="E3" i="13"/>
  <c r="N1078" i="2"/>
  <c r="J37" i="13" s="1"/>
  <c r="J3" i="13"/>
  <c r="N1910" i="2"/>
  <c r="I37" i="13" s="1"/>
  <c r="I3" i="13"/>
  <c r="N1322" i="2"/>
  <c r="W48" i="13" s="1"/>
  <c r="W14" i="13"/>
  <c r="N9" i="2"/>
  <c r="E53" i="13" s="1"/>
  <c r="E19" i="13"/>
  <c r="N951" i="2"/>
  <c r="M52" i="13" s="1"/>
  <c r="M18" i="13"/>
  <c r="Y18" i="13"/>
  <c r="N624" i="2"/>
  <c r="Y52" i="13" s="1"/>
  <c r="AC29" i="13"/>
  <c r="N1362" i="2"/>
  <c r="AC63" i="13" s="1"/>
  <c r="U29" i="13"/>
  <c r="N2455" i="2"/>
  <c r="U63" i="13" s="1"/>
  <c r="F31" i="13"/>
  <c r="N1055" i="2"/>
  <c r="F65" i="13" s="1"/>
  <c r="N199" i="2"/>
  <c r="M65" i="13" s="1"/>
  <c r="M31" i="13"/>
  <c r="N778" i="2"/>
  <c r="AA61" i="13" s="1"/>
  <c r="AA27" i="13"/>
  <c r="N419" i="2"/>
  <c r="E61" i="13" s="1"/>
  <c r="E27" i="13"/>
  <c r="N332" i="2"/>
  <c r="AC51" i="13" s="1"/>
  <c r="AC17" i="13"/>
  <c r="N176" i="2"/>
  <c r="R51" i="13" s="1"/>
  <c r="R17" i="13"/>
  <c r="N1133" i="2"/>
  <c r="M54" i="13" s="1"/>
  <c r="M20" i="13"/>
  <c r="N1742" i="2"/>
  <c r="H38" i="13" s="1"/>
  <c r="H4" i="13"/>
  <c r="P10" i="13"/>
  <c r="N1380" i="2"/>
  <c r="P44" i="13" s="1"/>
  <c r="N690" i="2"/>
  <c r="L44" i="13" s="1"/>
  <c r="L10" i="13"/>
  <c r="N295" i="2"/>
  <c r="G44" i="13" s="1"/>
  <c r="G10" i="13"/>
  <c r="K25" i="13"/>
  <c r="N947" i="2"/>
  <c r="K59" i="13" s="1"/>
  <c r="U23" i="13"/>
  <c r="N1371" i="2"/>
  <c r="U57" i="13" s="1"/>
  <c r="W21" i="13"/>
  <c r="N1600" i="2"/>
  <c r="W55" i="13" s="1"/>
  <c r="N1298" i="2"/>
  <c r="Y47" i="13" s="1"/>
  <c r="Y13" i="13"/>
  <c r="N659" i="2"/>
  <c r="B58" i="13" s="1"/>
  <c r="B24" i="13"/>
  <c r="N608" i="2"/>
  <c r="S46" i="13" s="1"/>
  <c r="S12" i="13"/>
  <c r="R22" i="13"/>
  <c r="N313" i="2"/>
  <c r="R56" i="13" s="1"/>
  <c r="V30" i="13"/>
  <c r="N1867" i="2"/>
  <c r="V64" i="13" s="1"/>
  <c r="N1176" i="2"/>
  <c r="X55" i="13" s="1"/>
  <c r="X21" i="13"/>
  <c r="Q6" i="13"/>
  <c r="N388" i="2"/>
  <c r="Q40" i="13" s="1"/>
  <c r="N1432" i="2"/>
  <c r="AE40" i="13" s="1"/>
  <c r="AE6" i="13"/>
  <c r="N347" i="2"/>
  <c r="X60" i="13" s="1"/>
  <c r="X26" i="13"/>
  <c r="AB5" i="13"/>
  <c r="N1620" i="2"/>
  <c r="AB39" i="13" s="1"/>
  <c r="AB11" i="13"/>
  <c r="N692" i="2"/>
  <c r="AB45" i="13" s="1"/>
  <c r="N587" i="2"/>
  <c r="D66" i="13" s="1"/>
  <c r="D32" i="13"/>
  <c r="M30" i="13"/>
  <c r="N1345" i="2"/>
  <c r="M64" i="13" s="1"/>
  <c r="J28" i="13"/>
  <c r="N1575" i="2"/>
  <c r="J62" i="13" s="1"/>
  <c r="O28" i="13"/>
  <c r="N263" i="2"/>
  <c r="O62" i="13" s="1"/>
  <c r="N1957" i="2"/>
  <c r="K56" i="13" s="1"/>
  <c r="K22" i="13"/>
  <c r="AD3" i="13"/>
  <c r="N982" i="2"/>
  <c r="AD37" i="13" s="1"/>
  <c r="U31" i="13"/>
  <c r="N253" i="2"/>
  <c r="U65" i="13" s="1"/>
  <c r="S15" i="13"/>
  <c r="N1770" i="2"/>
  <c r="S49" i="13" s="1"/>
  <c r="N464" i="2"/>
  <c r="Z51" i="13" s="1"/>
  <c r="Z17" i="13"/>
  <c r="U17" i="13"/>
  <c r="N2094" i="2"/>
  <c r="U51" i="13" s="1"/>
  <c r="F20" i="13"/>
  <c r="N1719" i="2"/>
  <c r="F54" i="13" s="1"/>
  <c r="N2010" i="2"/>
  <c r="AC54" i="13" s="1"/>
  <c r="AC20" i="13"/>
  <c r="Y4" i="13"/>
  <c r="N232" i="2"/>
  <c r="Y38" i="13" s="1"/>
  <c r="D4" i="13"/>
  <c r="N13" i="2"/>
  <c r="D38" i="13" s="1"/>
  <c r="AB10" i="13"/>
  <c r="N134" i="2"/>
  <c r="AB44" i="13" s="1"/>
  <c r="X23" i="13"/>
  <c r="N552" i="2"/>
  <c r="X57" i="13" s="1"/>
  <c r="AE16" i="13"/>
  <c r="N526" i="2"/>
  <c r="AE50" i="13" s="1"/>
  <c r="N1428" i="2"/>
  <c r="U50" i="13" s="1"/>
  <c r="U16" i="13"/>
  <c r="E26" i="13"/>
  <c r="N737" i="2"/>
  <c r="E60" i="13" s="1"/>
  <c r="P26" i="13"/>
  <c r="N1119" i="2"/>
  <c r="P60" i="13" s="1"/>
  <c r="N211" i="2"/>
  <c r="R57" i="13" s="1"/>
  <c r="R23" i="13"/>
  <c r="M6" i="13"/>
  <c r="N320" i="2"/>
  <c r="M40" i="13" s="1"/>
  <c r="J26" i="13"/>
  <c r="N331" i="2"/>
  <c r="J60" i="13" s="1"/>
  <c r="N1664" i="2"/>
  <c r="Y39" i="13" s="1"/>
  <c r="Y5" i="13"/>
  <c r="Z24" i="13"/>
  <c r="N1112" i="2"/>
  <c r="Z58" i="13" s="1"/>
  <c r="N264" i="2"/>
  <c r="AE58" i="13" s="1"/>
  <c r="AE24" i="13"/>
  <c r="Z30" i="13"/>
  <c r="N945" i="2"/>
  <c r="Z64" i="13" s="1"/>
  <c r="N1273" i="2"/>
  <c r="F62" i="13" s="1"/>
  <c r="F28" i="13"/>
  <c r="N4" i="2"/>
  <c r="AA43" i="13" s="1"/>
  <c r="AA9" i="13"/>
  <c r="E12" i="13"/>
  <c r="N447" i="2"/>
  <c r="E46" i="13" s="1"/>
  <c r="N661" i="2"/>
  <c r="D56" i="13" s="1"/>
  <c r="D22" i="13"/>
  <c r="N266" i="2"/>
  <c r="G37" i="13" s="1"/>
  <c r="G3" i="13"/>
  <c r="L14" i="13"/>
  <c r="N1233" i="2"/>
  <c r="L48" i="13" s="1"/>
  <c r="N329" i="2"/>
  <c r="C53" i="13" s="1"/>
  <c r="C19" i="13"/>
  <c r="N1731" i="2"/>
  <c r="O53" i="13" s="1"/>
  <c r="O19" i="13"/>
  <c r="N993" i="2"/>
  <c r="L52" i="13" s="1"/>
  <c r="L18" i="13"/>
  <c r="N115" i="2"/>
  <c r="E52" i="13" s="1"/>
  <c r="E18" i="13"/>
  <c r="N1072" i="2"/>
  <c r="Z52" i="13" s="1"/>
  <c r="Z18" i="13"/>
  <c r="D18" i="13"/>
  <c r="N1427" i="2"/>
  <c r="D52" i="13" s="1"/>
  <c r="M29" i="13"/>
  <c r="N1405" i="2"/>
  <c r="M63" i="13" s="1"/>
  <c r="N433" i="2"/>
  <c r="L63" i="13" s="1"/>
  <c r="L29" i="13"/>
  <c r="AA8" i="13"/>
  <c r="N1922" i="2"/>
  <c r="AA42" i="13" s="1"/>
  <c r="N1016" i="2"/>
  <c r="X42" i="13" s="1"/>
  <c r="X8" i="13"/>
  <c r="M8" i="13"/>
  <c r="N1488" i="2"/>
  <c r="M42" i="13" s="1"/>
  <c r="N2033" i="2"/>
  <c r="O65" i="13" s="1"/>
  <c r="O31" i="13"/>
  <c r="N847" i="2"/>
  <c r="V61" i="13" s="1"/>
  <c r="V27" i="13"/>
  <c r="N2457" i="2"/>
  <c r="C61" i="13" s="1"/>
  <c r="C27" i="13"/>
  <c r="N486" i="2"/>
  <c r="AB51" i="13" s="1"/>
  <c r="AB17" i="13"/>
  <c r="Q17" i="13"/>
  <c r="N890" i="2"/>
  <c r="Q51" i="13" s="1"/>
  <c r="U20" i="13"/>
  <c r="N2026" i="2"/>
  <c r="U54" i="13" s="1"/>
  <c r="N746" i="2"/>
  <c r="AC38" i="13" s="1"/>
  <c r="AC4" i="13"/>
  <c r="N510" i="2"/>
  <c r="U38" i="13" s="1"/>
  <c r="U4" i="13"/>
  <c r="AD4" i="13"/>
  <c r="N1308" i="2"/>
  <c r="AD38" i="13" s="1"/>
  <c r="AD10" i="13"/>
  <c r="N500" i="2"/>
  <c r="AD44" i="13" s="1"/>
  <c r="H25" i="13"/>
  <c r="N241" i="2"/>
  <c r="H59" i="13" s="1"/>
  <c r="V25" i="13"/>
  <c r="N1803" i="2"/>
  <c r="V59" i="13" s="1"/>
  <c r="N30" i="2"/>
  <c r="Z57" i="13" s="1"/>
  <c r="Z23" i="13"/>
  <c r="AB23" i="13"/>
  <c r="N734" i="2"/>
  <c r="AB57" i="13" s="1"/>
  <c r="S23" i="13"/>
  <c r="N669" i="2"/>
  <c r="S57" i="13" s="1"/>
  <c r="R21" i="13"/>
  <c r="N1879" i="2"/>
  <c r="R55" i="13" s="1"/>
  <c r="E21" i="13"/>
  <c r="N1043" i="2"/>
  <c r="E55" i="13" s="1"/>
  <c r="N941" i="2"/>
  <c r="I50" i="13" s="1"/>
  <c r="I16" i="13"/>
  <c r="N844" i="2"/>
  <c r="R40" i="13" s="1"/>
  <c r="R6" i="13"/>
  <c r="N874" i="2"/>
  <c r="V40" i="13" s="1"/>
  <c r="V6" i="13"/>
  <c r="N1862" i="2"/>
  <c r="J40" i="13" s="1"/>
  <c r="J6" i="13"/>
  <c r="N579" i="2"/>
  <c r="L60" i="13" s="1"/>
  <c r="L26" i="13"/>
  <c r="N810" i="2"/>
  <c r="AE60" i="13" s="1"/>
  <c r="AE26" i="13"/>
  <c r="N1789" i="2"/>
  <c r="W60" i="13" s="1"/>
  <c r="W26" i="13"/>
  <c r="N652" i="2"/>
  <c r="AB47" i="13" s="1"/>
  <c r="AB13" i="13"/>
  <c r="N1606" i="2"/>
  <c r="J41" i="13" s="1"/>
  <c r="J7" i="13"/>
  <c r="N540" i="2"/>
  <c r="AD64" i="13" s="1"/>
  <c r="AD30" i="13"/>
  <c r="N1281" i="2"/>
  <c r="X64" i="13" s="1"/>
  <c r="X30" i="13"/>
  <c r="G28" i="13"/>
  <c r="N319" i="2"/>
  <c r="G62" i="13" s="1"/>
  <c r="V28" i="13"/>
  <c r="N2309" i="2"/>
  <c r="V62" i="13" s="1"/>
  <c r="Y28" i="13"/>
  <c r="N49" i="2"/>
  <c r="Y62" i="13" s="1"/>
  <c r="N1160" i="2"/>
  <c r="I43" i="13" s="1"/>
  <c r="I9" i="13"/>
  <c r="D12" i="13"/>
  <c r="N1755" i="2"/>
  <c r="D46" i="13" s="1"/>
  <c r="N84" i="2"/>
  <c r="Z46" i="13" s="1"/>
  <c r="Z12" i="13"/>
  <c r="N1140" i="2"/>
  <c r="AD46" i="13" s="1"/>
  <c r="AD12" i="13"/>
  <c r="N1970" i="2"/>
  <c r="Y56" i="13" s="1"/>
  <c r="Y22" i="13"/>
  <c r="L22" i="13"/>
  <c r="N403" i="2"/>
  <c r="L56" i="13" s="1"/>
  <c r="N790" i="2"/>
  <c r="L37" i="13" s="1"/>
  <c r="L3" i="13"/>
  <c r="N558" i="2"/>
  <c r="C37" i="13" s="1"/>
  <c r="C3" i="13"/>
  <c r="V14" i="13"/>
  <c r="N1674" i="2"/>
  <c r="V48" i="13" s="1"/>
  <c r="N271" i="2"/>
  <c r="F48" i="13" s="1"/>
  <c r="F14" i="13"/>
  <c r="N19" i="13"/>
  <c r="N797" i="2"/>
  <c r="N53" i="13" s="1"/>
  <c r="N1313" i="2"/>
  <c r="F52" i="13" s="1"/>
  <c r="F18" i="13"/>
  <c r="AD29" i="13"/>
  <c r="N1522" i="2"/>
  <c r="AD63" i="13" s="1"/>
  <c r="N1241" i="2"/>
  <c r="Z63" i="13" s="1"/>
  <c r="Z29" i="13"/>
  <c r="N377" i="2"/>
  <c r="S63" i="13" s="1"/>
  <c r="S29" i="13"/>
  <c r="N1109" i="2"/>
  <c r="L65" i="13" s="1"/>
  <c r="L31" i="13"/>
  <c r="E31" i="13"/>
  <c r="N789" i="2"/>
  <c r="E65" i="13" s="1"/>
  <c r="N97" i="2"/>
  <c r="N65" i="13" s="1"/>
  <c r="N31" i="13"/>
  <c r="N995" i="2"/>
  <c r="S65" i="13" s="1"/>
  <c r="S31" i="13"/>
  <c r="J31" i="13"/>
  <c r="N183" i="2"/>
  <c r="J65" i="13" s="1"/>
  <c r="P31" i="13"/>
  <c r="N823" i="2"/>
  <c r="P65" i="13" s="1"/>
  <c r="N387" i="2"/>
  <c r="D61" i="13" s="1"/>
  <c r="D27" i="13"/>
  <c r="M27" i="13"/>
  <c r="N683" i="2"/>
  <c r="M61" i="13" s="1"/>
  <c r="N1749" i="2"/>
  <c r="F49" i="13" s="1"/>
  <c r="F15" i="13"/>
  <c r="N1498" i="2"/>
  <c r="AC49" i="13" s="1"/>
  <c r="AC15" i="13"/>
  <c r="N1995" i="2"/>
  <c r="J51" i="13" s="1"/>
  <c r="J17" i="13"/>
  <c r="J20" i="13"/>
  <c r="N1533" i="2"/>
  <c r="J54" i="13" s="1"/>
  <c r="E20" i="13"/>
  <c r="N1221" i="2"/>
  <c r="E54" i="13" s="1"/>
  <c r="M4" i="13"/>
  <c r="N2058" i="2"/>
  <c r="M38" i="13" s="1"/>
  <c r="N680" i="2"/>
  <c r="E38" i="13" s="1"/>
  <c r="E4" i="13"/>
  <c r="N809" i="2"/>
  <c r="W59" i="13" s="1"/>
  <c r="W25" i="13"/>
  <c r="N337" i="2"/>
  <c r="I57" i="13" s="1"/>
  <c r="I23" i="13"/>
  <c r="N449" i="2"/>
  <c r="B55" i="13" s="1"/>
  <c r="B21" i="13"/>
  <c r="O14" i="13"/>
  <c r="N1014" i="2"/>
  <c r="O48" i="13" s="1"/>
  <c r="N676" i="2"/>
  <c r="AA50" i="13" s="1"/>
  <c r="AA16" i="13"/>
  <c r="N988" i="2"/>
  <c r="W40" i="13" s="1"/>
  <c r="W6" i="13"/>
  <c r="N108" i="2"/>
  <c r="T40" i="13" s="1"/>
  <c r="T6" i="13"/>
  <c r="N400" i="2"/>
  <c r="AC60" i="13" s="1"/>
  <c r="AC26" i="13"/>
  <c r="N567" i="2"/>
  <c r="H60" i="13" s="1"/>
  <c r="H26" i="13"/>
  <c r="U26" i="13"/>
  <c r="N785" i="2"/>
  <c r="U60" i="13" s="1"/>
  <c r="N100" i="2"/>
  <c r="Q47" i="13" s="1"/>
  <c r="Q13" i="13"/>
  <c r="N1779" i="2"/>
  <c r="B47" i="13" s="1"/>
  <c r="B13" i="13"/>
  <c r="N68" i="2"/>
  <c r="L39" i="13" s="1"/>
  <c r="L5" i="13"/>
  <c r="N905" i="2"/>
  <c r="G45" i="13" s="1"/>
  <c r="G11" i="13"/>
  <c r="N1561" i="2"/>
  <c r="E45" i="13" s="1"/>
  <c r="E11" i="13"/>
  <c r="Y11" i="13"/>
  <c r="N672" i="2"/>
  <c r="Y45" i="13" s="1"/>
  <c r="N696" i="2"/>
  <c r="Q41" i="13" s="1"/>
  <c r="Q7" i="13"/>
  <c r="L32" i="13"/>
  <c r="N925" i="2"/>
  <c r="L66" i="13" s="1"/>
  <c r="N1209" i="2"/>
  <c r="C66" i="13" s="1"/>
  <c r="C32" i="13"/>
  <c r="N227" i="2"/>
  <c r="U58" i="13" s="1"/>
  <c r="U24" i="13"/>
  <c r="N913" i="2"/>
  <c r="I64" i="13" s="1"/>
  <c r="I30" i="13"/>
  <c r="N1136" i="2"/>
  <c r="AE62" i="13" s="1"/>
  <c r="AE28" i="13"/>
  <c r="N279" i="2"/>
  <c r="AB62" i="13" s="1"/>
  <c r="AB28" i="13"/>
  <c r="N54" i="2"/>
  <c r="T43" i="13" s="1"/>
  <c r="T9" i="13"/>
  <c r="AC9" i="13"/>
  <c r="N452" i="2"/>
  <c r="AC43" i="13" s="1"/>
  <c r="N140" i="2"/>
  <c r="Z43" i="13" s="1"/>
  <c r="Z9" i="13"/>
  <c r="U9" i="13"/>
  <c r="N732" i="2"/>
  <c r="U43" i="13" s="1"/>
  <c r="O9" i="13"/>
  <c r="N1868" i="2"/>
  <c r="O43" i="13" s="1"/>
  <c r="N290" i="2"/>
  <c r="O46" i="13" s="1"/>
  <c r="O12" i="13"/>
  <c r="N1941" i="2"/>
  <c r="I46" i="13" s="1"/>
  <c r="I12" i="13"/>
  <c r="C12" i="13"/>
  <c r="N1767" i="2"/>
  <c r="C46" i="13" s="1"/>
  <c r="F12" i="13"/>
  <c r="N577" i="2"/>
  <c r="F46" i="13" s="1"/>
  <c r="N910" i="2"/>
  <c r="Z56" i="13" s="1"/>
  <c r="Z22" i="13"/>
  <c r="N532" i="2"/>
  <c r="Q37" i="13" s="1"/>
  <c r="Q3" i="13"/>
  <c r="K3" i="13"/>
  <c r="N2022" i="2"/>
  <c r="K37" i="13" s="1"/>
  <c r="N1010" i="2"/>
  <c r="U53" i="13" s="1"/>
  <c r="U19" i="13"/>
  <c r="N1007" i="2"/>
  <c r="J63" i="13" s="1"/>
  <c r="J29" i="13"/>
  <c r="N1565" i="2"/>
  <c r="F63" i="13" s="1"/>
  <c r="F29" i="13"/>
  <c r="AD8" i="13"/>
  <c r="N132" i="2"/>
  <c r="AD42" i="13" s="1"/>
  <c r="R31" i="13"/>
  <c r="N1275" i="2"/>
  <c r="R65" i="13" s="1"/>
  <c r="H31" i="13"/>
  <c r="N39" i="2"/>
  <c r="H65" i="13" s="1"/>
  <c r="B15" i="13"/>
  <c r="N839" i="2"/>
  <c r="B49" i="13" s="1"/>
  <c r="D17" i="13"/>
  <c r="N1903" i="2"/>
  <c r="D51" i="13" s="1"/>
  <c r="N19" i="2"/>
  <c r="P54" i="13" s="1"/>
  <c r="P20" i="13"/>
  <c r="N121" i="2"/>
  <c r="C54" i="13" s="1"/>
  <c r="C20" i="13"/>
  <c r="S4" i="13"/>
  <c r="N1982" i="2"/>
  <c r="S38" i="13" s="1"/>
  <c r="O4" i="13"/>
  <c r="N1624" i="2"/>
  <c r="O38" i="13" s="1"/>
  <c r="N424" i="2"/>
  <c r="X38" i="13" s="1"/>
  <c r="X4" i="13"/>
  <c r="N1446" i="2"/>
  <c r="X44" i="13" s="1"/>
  <c r="X10" i="13"/>
  <c r="N1431" i="2"/>
  <c r="G59" i="13" s="1"/>
  <c r="G25" i="13"/>
  <c r="H23" i="13"/>
  <c r="N909" i="2"/>
  <c r="H57" i="13" s="1"/>
  <c r="N893" i="2"/>
  <c r="F55" i="13" s="1"/>
  <c r="F21" i="13"/>
  <c r="N759" i="2"/>
  <c r="L55" i="13" s="1"/>
  <c r="L21" i="13"/>
  <c r="N339" i="2"/>
  <c r="L50" i="13" s="1"/>
  <c r="L16" i="13"/>
  <c r="D16" i="13"/>
  <c r="N557" i="2"/>
  <c r="D50" i="13" s="1"/>
  <c r="N361" i="2"/>
  <c r="H50" i="13" s="1"/>
  <c r="H16" i="13"/>
  <c r="C16" i="13"/>
  <c r="N2181" i="2"/>
  <c r="C50" i="13" s="1"/>
  <c r="N1372" i="2"/>
  <c r="AA40" i="13" s="1"/>
  <c r="AA6" i="13"/>
  <c r="Q26" i="13"/>
  <c r="N1769" i="2"/>
  <c r="Q60" i="13" s="1"/>
  <c r="C26" i="13"/>
  <c r="N1827" i="2"/>
  <c r="C60" i="13" s="1"/>
  <c r="N1088" i="2"/>
  <c r="AA60" i="13" s="1"/>
  <c r="AA26" i="13"/>
  <c r="N1592" i="2"/>
  <c r="N47" i="13" s="1"/>
  <c r="N13" i="13"/>
  <c r="B5" i="13"/>
  <c r="AG5" i="13" s="1"/>
  <c r="N507" i="2"/>
  <c r="B39" i="13" s="1"/>
  <c r="N1052" i="2"/>
  <c r="C39" i="13" s="1"/>
  <c r="C5" i="13"/>
  <c r="N412" i="2"/>
  <c r="R45" i="13" s="1"/>
  <c r="R11" i="13"/>
  <c r="N34" i="2"/>
  <c r="S45" i="13" s="1"/>
  <c r="S11" i="13"/>
  <c r="N1896" i="2"/>
  <c r="O45" i="13" s="1"/>
  <c r="O11" i="13"/>
  <c r="X7" i="13"/>
  <c r="N146" i="2"/>
  <c r="X41" i="13" s="1"/>
  <c r="N366" i="2"/>
  <c r="Z41" i="13" s="1"/>
  <c r="Z7" i="13"/>
  <c r="Z32" i="13"/>
  <c r="N1311" i="2"/>
  <c r="Z66" i="13" s="1"/>
  <c r="AB24" i="13"/>
  <c r="N582" i="2"/>
  <c r="AB58" i="13" s="1"/>
  <c r="Y24" i="13"/>
  <c r="N490" i="2"/>
  <c r="Y58" i="13" s="1"/>
  <c r="U28" i="13"/>
  <c r="N1997" i="2"/>
  <c r="U62" i="13" s="1"/>
  <c r="E28" i="13"/>
  <c r="N1147" i="2"/>
  <c r="E62" i="13" s="1"/>
  <c r="AE9" i="13"/>
  <c r="N326" i="2"/>
  <c r="AE43" i="13" s="1"/>
  <c r="N485" i="2"/>
  <c r="J46" i="13" s="1"/>
  <c r="J12" i="13"/>
  <c r="N1036" i="2"/>
  <c r="N37" i="13" s="1"/>
  <c r="N3" i="13"/>
  <c r="S14" i="13"/>
  <c r="N812" i="2"/>
  <c r="S48" i="13" s="1"/>
  <c r="N224" i="2"/>
  <c r="Q48" i="13" s="1"/>
  <c r="Q14" i="13"/>
  <c r="N1199" i="2"/>
  <c r="E48" i="13" s="1"/>
  <c r="E14" i="13"/>
  <c r="N1046" i="2"/>
  <c r="X53" i="13" s="1"/>
  <c r="X19" i="13"/>
  <c r="K18" i="13"/>
  <c r="N1163" i="2"/>
  <c r="K52" i="13" s="1"/>
  <c r="W18" i="13"/>
  <c r="N368" i="2"/>
  <c r="W52" i="13" s="1"/>
  <c r="AB14" i="13"/>
  <c r="N572" i="2"/>
  <c r="AB48" i="13" s="1"/>
  <c r="N629" i="2"/>
  <c r="O63" i="13" s="1"/>
  <c r="O29" i="13"/>
  <c r="N605" i="2"/>
  <c r="C42" i="13" s="1"/>
  <c r="C8" i="13"/>
  <c r="AB8" i="13"/>
  <c r="N1120" i="2"/>
  <c r="AB42" i="13" s="1"/>
  <c r="N1170" i="2"/>
  <c r="O42" i="13" s="1"/>
  <c r="O8" i="13"/>
  <c r="B31" i="13"/>
  <c r="AG31" i="13" s="1"/>
  <c r="N221" i="2"/>
  <c r="B65" i="13" s="1"/>
  <c r="AA31" i="13"/>
  <c r="N1219" i="2"/>
  <c r="AA65" i="13" s="1"/>
  <c r="N231" i="2"/>
  <c r="I61" i="13" s="1"/>
  <c r="I27" i="13"/>
  <c r="N641" i="2"/>
  <c r="S61" i="13" s="1"/>
  <c r="S27" i="13"/>
  <c r="N165" i="2"/>
  <c r="N61" i="13" s="1"/>
  <c r="N27" i="13"/>
  <c r="N1207" i="2"/>
  <c r="P61" i="13" s="1"/>
  <c r="P27" i="13"/>
  <c r="N399" i="2"/>
  <c r="X61" i="13" s="1"/>
  <c r="X27" i="13"/>
  <c r="N633" i="2"/>
  <c r="M49" i="13" s="1"/>
  <c r="M15" i="13"/>
  <c r="AA15" i="13"/>
  <c r="N826" i="2"/>
  <c r="AA49" i="13" s="1"/>
  <c r="K15" i="13"/>
  <c r="N137" i="2"/>
  <c r="K49" i="13" s="1"/>
  <c r="K17" i="13"/>
  <c r="N2417" i="2"/>
  <c r="K51" i="13" s="1"/>
  <c r="N2310" i="2"/>
  <c r="AB54" i="13" s="1"/>
  <c r="AB20" i="13"/>
  <c r="N1338" i="2"/>
  <c r="V54" i="13" s="1"/>
  <c r="V20" i="13"/>
  <c r="Q20" i="13"/>
  <c r="N171" i="2"/>
  <c r="Q54" i="13" s="1"/>
  <c r="N1692" i="2"/>
  <c r="T38" i="13" s="1"/>
  <c r="T4" i="13"/>
  <c r="P4" i="13"/>
  <c r="N1566" i="2"/>
  <c r="P38" i="13" s="1"/>
  <c r="N1550" i="2"/>
  <c r="R38" i="13" s="1"/>
  <c r="R4" i="13"/>
  <c r="E10" i="13"/>
  <c r="N817" i="2"/>
  <c r="E44" i="13" s="1"/>
  <c r="AE10" i="13"/>
  <c r="N554" i="2"/>
  <c r="AE44" i="13" s="1"/>
  <c r="I25" i="13"/>
  <c r="N2133" i="2"/>
  <c r="I59" i="13" s="1"/>
  <c r="N898" i="2"/>
  <c r="AD59" i="13" s="1"/>
  <c r="AD25" i="13"/>
  <c r="AG39" i="13" l="1"/>
  <c r="AG65" i="13"/>
  <c r="AG21" i="13"/>
  <c r="AG43" i="13"/>
  <c r="AG11" i="13"/>
  <c r="AG18" i="13"/>
  <c r="AG30" i="13"/>
  <c r="AG10" i="13"/>
  <c r="AG26" i="13"/>
  <c r="AG4" i="13"/>
  <c r="AG20" i="13"/>
  <c r="AG66" i="13"/>
  <c r="AG29" i="13"/>
  <c r="AG12" i="13"/>
  <c r="AG51" i="13"/>
  <c r="AG62" i="13"/>
  <c r="AG7" i="13"/>
  <c r="AG40" i="13"/>
  <c r="AG16" i="13"/>
  <c r="AG56" i="13"/>
  <c r="AG55" i="13"/>
  <c r="AG9" i="13"/>
  <c r="AG45" i="13"/>
  <c r="AG52" i="13"/>
  <c r="AG64" i="13"/>
  <c r="AG44" i="13"/>
  <c r="AG60" i="13"/>
  <c r="AG38" i="13"/>
  <c r="AG54" i="13"/>
  <c r="AG32" i="13"/>
  <c r="AG63" i="13"/>
  <c r="AG46" i="13"/>
  <c r="AG17" i="13"/>
  <c r="AG28" i="13"/>
  <c r="AG41" i="13"/>
  <c r="AG6" i="13"/>
  <c r="AG50" i="13"/>
  <c r="AG22" i="13"/>
  <c r="AG49" i="13"/>
  <c r="AG13" i="13"/>
  <c r="AG3" i="13"/>
  <c r="AG24" i="13"/>
  <c r="AG27" i="13"/>
  <c r="AG8" i="13"/>
  <c r="AG19" i="13"/>
  <c r="AG23" i="13"/>
  <c r="AG25" i="13"/>
  <c r="AG14" i="13"/>
  <c r="AJ14" i="13" s="1"/>
  <c r="AO14" i="13" s="1"/>
  <c r="AG15" i="13"/>
  <c r="AG47" i="13"/>
  <c r="AG58" i="13"/>
  <c r="AG37" i="13"/>
  <c r="AG61" i="13"/>
  <c r="AG42" i="13"/>
  <c r="AG53" i="13"/>
  <c r="AG57" i="13"/>
  <c r="AG59" i="13"/>
  <c r="AG48" i="13"/>
  <c r="AN14" i="13"/>
  <c r="AJ57" i="13" l="1"/>
  <c r="AO57" i="13" s="1"/>
  <c r="AJ37" i="13"/>
  <c r="AG67" i="13"/>
  <c r="AJ8" i="13"/>
  <c r="AJ46" i="13"/>
  <c r="AJ56" i="13"/>
  <c r="AJ66" i="13"/>
  <c r="AJ43" i="13"/>
  <c r="AM14" i="13"/>
  <c r="AM57" i="13"/>
  <c r="AJ53" i="13"/>
  <c r="AJ58" i="13"/>
  <c r="AJ25" i="13"/>
  <c r="AJ27" i="13"/>
  <c r="AJ49" i="13"/>
  <c r="AJ41" i="13"/>
  <c r="AJ63" i="13"/>
  <c r="AJ60" i="13"/>
  <c r="AJ45" i="13"/>
  <c r="AJ16" i="13"/>
  <c r="AJ51" i="13"/>
  <c r="AJ20" i="13"/>
  <c r="AJ30" i="13"/>
  <c r="AJ21" i="13"/>
  <c r="AJ13" i="13"/>
  <c r="AJ38" i="13"/>
  <c r="AJ62" i="13"/>
  <c r="AN57" i="13"/>
  <c r="AJ48" i="13"/>
  <c r="AJ42" i="13"/>
  <c r="AJ47" i="13"/>
  <c r="AJ23" i="13"/>
  <c r="AJ24" i="13"/>
  <c r="AJ22" i="13"/>
  <c r="AJ28" i="13"/>
  <c r="AJ32" i="13"/>
  <c r="AJ44" i="13"/>
  <c r="AJ9" i="13"/>
  <c r="AJ40" i="13"/>
  <c r="AJ12" i="13"/>
  <c r="AJ4" i="13"/>
  <c r="AJ18" i="13"/>
  <c r="AJ39" i="13"/>
  <c r="AJ6" i="13"/>
  <c r="AJ52" i="13"/>
  <c r="AJ10" i="13"/>
  <c r="AJ59" i="13"/>
  <c r="AJ61" i="13"/>
  <c r="AJ15" i="13"/>
  <c r="AJ19" i="13"/>
  <c r="AJ5" i="13"/>
  <c r="AG33" i="13"/>
  <c r="AJ3" i="13"/>
  <c r="AJ31" i="13"/>
  <c r="AJ50" i="13"/>
  <c r="AJ17" i="13"/>
  <c r="AJ54" i="13"/>
  <c r="AJ64" i="13"/>
  <c r="AJ55" i="13"/>
  <c r="AJ7" i="13"/>
  <c r="AJ29" i="13"/>
  <c r="AJ26" i="13"/>
  <c r="AJ11" i="13"/>
  <c r="AJ65" i="13"/>
  <c r="AN29" i="13" l="1"/>
  <c r="AO29" i="13"/>
  <c r="AM29" i="13"/>
  <c r="AN3" i="13"/>
  <c r="AO3" i="13"/>
  <c r="AJ33" i="13"/>
  <c r="AM3" i="13"/>
  <c r="AO52" i="13"/>
  <c r="AN52" i="13"/>
  <c r="AM52" i="13"/>
  <c r="AO44" i="13"/>
  <c r="AN44" i="13"/>
  <c r="AM44" i="13"/>
  <c r="AO13" i="13"/>
  <c r="AN13" i="13"/>
  <c r="AM13" i="13"/>
  <c r="AM25" i="13"/>
  <c r="AO25" i="13"/>
  <c r="AN25" i="13"/>
  <c r="AO46" i="13"/>
  <c r="AN46" i="13"/>
  <c r="AM46" i="13"/>
  <c r="AN65" i="13"/>
  <c r="AM65" i="13"/>
  <c r="AO65" i="13"/>
  <c r="AO7" i="13"/>
  <c r="AN7" i="13"/>
  <c r="AM7" i="13"/>
  <c r="AM17" i="13"/>
  <c r="AO17" i="13"/>
  <c r="AN17" i="13"/>
  <c r="AM61" i="13"/>
  <c r="AO61" i="13"/>
  <c r="AN61" i="13"/>
  <c r="AO6" i="13"/>
  <c r="AM6" i="13"/>
  <c r="AN6" i="13"/>
  <c r="AO12" i="13"/>
  <c r="AN12" i="13"/>
  <c r="AM12" i="13"/>
  <c r="AM32" i="13"/>
  <c r="AN32" i="13"/>
  <c r="AO32" i="13"/>
  <c r="AM23" i="13"/>
  <c r="AN23" i="13"/>
  <c r="AO23" i="13"/>
  <c r="AN21" i="13"/>
  <c r="AO21" i="13"/>
  <c r="AM21" i="13"/>
  <c r="AM16" i="13"/>
  <c r="AO16" i="13"/>
  <c r="AN16" i="13"/>
  <c r="AN41" i="13"/>
  <c r="AM41" i="13"/>
  <c r="AO41" i="13"/>
  <c r="AO58" i="13"/>
  <c r="AN58" i="13"/>
  <c r="AM58" i="13"/>
  <c r="AO43" i="13"/>
  <c r="AN43" i="13"/>
  <c r="AM43" i="13"/>
  <c r="AM8" i="13"/>
  <c r="AN8" i="13"/>
  <c r="AO8" i="13"/>
  <c r="AO54" i="13"/>
  <c r="AN54" i="13"/>
  <c r="AM54" i="13"/>
  <c r="AN15" i="13"/>
  <c r="AO15" i="13"/>
  <c r="AM15" i="13"/>
  <c r="AN4" i="13"/>
  <c r="AM4" i="13"/>
  <c r="AO4" i="13"/>
  <c r="AN24" i="13"/>
  <c r="AO24" i="13"/>
  <c r="AM24" i="13"/>
  <c r="AO51" i="13"/>
  <c r="AN51" i="13"/>
  <c r="AM51" i="13"/>
  <c r="AO11" i="13"/>
  <c r="AM11" i="13"/>
  <c r="AN11" i="13"/>
  <c r="AM50" i="13"/>
  <c r="AO50" i="13"/>
  <c r="AN50" i="13"/>
  <c r="AM5" i="13"/>
  <c r="AO5" i="13"/>
  <c r="AN5" i="13"/>
  <c r="AO59" i="13"/>
  <c r="AN59" i="13"/>
  <c r="AM59" i="13"/>
  <c r="AN39" i="13"/>
  <c r="AO39" i="13"/>
  <c r="AM39" i="13"/>
  <c r="AM40" i="13"/>
  <c r="AN40" i="13"/>
  <c r="AO40" i="13"/>
  <c r="AM28" i="13"/>
  <c r="AO28" i="13"/>
  <c r="AN28" i="13"/>
  <c r="AN47" i="13"/>
  <c r="AM47" i="13"/>
  <c r="AO47" i="13"/>
  <c r="AM62" i="13"/>
  <c r="AN62" i="13"/>
  <c r="AO62" i="13"/>
  <c r="AN30" i="13"/>
  <c r="AM30" i="13"/>
  <c r="AO30" i="13"/>
  <c r="AM45" i="13"/>
  <c r="AO45" i="13"/>
  <c r="AN45" i="13"/>
  <c r="AM49" i="13"/>
  <c r="AO49" i="13"/>
  <c r="AN49" i="13"/>
  <c r="AM53" i="13"/>
  <c r="AO53" i="13"/>
  <c r="AN53" i="13"/>
  <c r="AO66" i="13"/>
  <c r="AN66" i="13"/>
  <c r="AM66" i="13"/>
  <c r="AM48" i="13"/>
  <c r="AO48" i="13"/>
  <c r="AN48" i="13"/>
  <c r="AO63" i="13"/>
  <c r="AN63" i="13"/>
  <c r="AM63" i="13"/>
  <c r="AM55" i="13"/>
  <c r="AO55" i="13"/>
  <c r="AN55" i="13"/>
  <c r="AM26" i="13"/>
  <c r="AO26" i="13"/>
  <c r="AN26" i="13"/>
  <c r="AO64" i="13"/>
  <c r="AN64" i="13"/>
  <c r="AM64" i="13"/>
  <c r="AO31" i="13"/>
  <c r="AN31" i="13"/>
  <c r="AM31" i="13"/>
  <c r="AO19" i="13"/>
  <c r="AN19" i="13"/>
  <c r="AM19" i="13"/>
  <c r="AN10" i="13"/>
  <c r="AM10" i="13"/>
  <c r="AO10" i="13"/>
  <c r="AN18" i="13"/>
  <c r="AO18" i="13"/>
  <c r="AM18" i="13"/>
  <c r="AO9" i="13"/>
  <c r="AM9" i="13"/>
  <c r="AN9" i="13"/>
  <c r="AO22" i="13"/>
  <c r="AN22" i="13"/>
  <c r="AM22" i="13"/>
  <c r="AN42" i="13"/>
  <c r="AO42" i="13"/>
  <c r="AM42" i="13"/>
  <c r="AM38" i="13"/>
  <c r="AN38" i="13"/>
  <c r="AO38" i="13"/>
  <c r="AN20" i="13"/>
  <c r="AO20" i="13"/>
  <c r="AM20" i="13"/>
  <c r="AN60" i="13"/>
  <c r="AO60" i="13"/>
  <c r="AM60" i="13"/>
  <c r="AM27" i="13"/>
  <c r="AO27" i="13"/>
  <c r="AN27" i="13"/>
  <c r="AN56" i="13"/>
  <c r="AM56" i="13"/>
  <c r="AO56" i="13"/>
  <c r="AJ67" i="13"/>
  <c r="AO37" i="13"/>
  <c r="AN37" i="13"/>
  <c r="AM37" i="13"/>
  <c r="AG32" i="1"/>
  <c r="AG100" i="1" s="1"/>
  <c r="AG31" i="1"/>
  <c r="AG99" i="1" s="1"/>
  <c r="AG30" i="1"/>
  <c r="AG98" i="1" s="1"/>
  <c r="AG29" i="1"/>
  <c r="AG97" i="1" s="1"/>
  <c r="AG28" i="1"/>
  <c r="AG96" i="1" s="1"/>
  <c r="AG27" i="1"/>
  <c r="AG95" i="1" s="1"/>
  <c r="AG26" i="1"/>
  <c r="AG94" i="1" s="1"/>
  <c r="AG25" i="1"/>
  <c r="AG93" i="1" s="1"/>
  <c r="AG24" i="1"/>
  <c r="AG92" i="1" s="1"/>
  <c r="AG23" i="1"/>
  <c r="AG91" i="1" s="1"/>
  <c r="AG22" i="1"/>
  <c r="AG90" i="1" s="1"/>
  <c r="AG21" i="1"/>
  <c r="AG89" i="1" s="1"/>
  <c r="AG20" i="1"/>
  <c r="AG88" i="1" s="1"/>
  <c r="AG19" i="1"/>
  <c r="AG87" i="1" s="1"/>
  <c r="AG18" i="1"/>
  <c r="AG86" i="1" s="1"/>
  <c r="AG17" i="1"/>
  <c r="AG85" i="1" s="1"/>
  <c r="AG16" i="1"/>
  <c r="AG84" i="1" s="1"/>
  <c r="AG15" i="1"/>
  <c r="AG83" i="1" s="1"/>
  <c r="AG14" i="1"/>
  <c r="AG82" i="1" s="1"/>
  <c r="AG13" i="1"/>
  <c r="AG81" i="1" s="1"/>
  <c r="AG12" i="1"/>
  <c r="AG80" i="1" s="1"/>
  <c r="AG11" i="1"/>
  <c r="AG79" i="1" s="1"/>
  <c r="AG10" i="1"/>
  <c r="AG78" i="1" s="1"/>
  <c r="AG9" i="1"/>
  <c r="AG77" i="1" s="1"/>
  <c r="AG8" i="1"/>
  <c r="AG76" i="1" s="1"/>
  <c r="AG7" i="1"/>
  <c r="AG75" i="1" s="1"/>
  <c r="AG6" i="1"/>
  <c r="AG74" i="1" s="1"/>
  <c r="AG5" i="1"/>
  <c r="AG73" i="1" s="1"/>
  <c r="AG4" i="1"/>
  <c r="AG72" i="1" s="1"/>
  <c r="AG3" i="1"/>
  <c r="AG71" i="1" s="1"/>
  <c r="B72" i="10"/>
  <c r="C72" i="10"/>
  <c r="D72" i="10"/>
  <c r="E72" i="10"/>
  <c r="F72" i="10"/>
  <c r="G72" i="10"/>
  <c r="H72" i="10"/>
  <c r="I72" i="10"/>
  <c r="J72" i="10"/>
  <c r="K72" i="10"/>
  <c r="L72" i="10"/>
  <c r="M72" i="10"/>
  <c r="N72" i="10"/>
  <c r="O72" i="10"/>
  <c r="P72" i="10"/>
  <c r="Q72" i="10"/>
  <c r="R72" i="10"/>
  <c r="S72" i="10"/>
  <c r="T72" i="10"/>
  <c r="U72" i="10"/>
  <c r="V72" i="10"/>
  <c r="W72" i="10"/>
  <c r="X72" i="10"/>
  <c r="Y72" i="10"/>
  <c r="Z72" i="10"/>
  <c r="AA72" i="10"/>
  <c r="AB72" i="10"/>
  <c r="AC72" i="10"/>
  <c r="AD72" i="10"/>
  <c r="AE72" i="10"/>
  <c r="B73" i="10"/>
  <c r="C73" i="10"/>
  <c r="D73" i="10"/>
  <c r="E73" i="10"/>
  <c r="F73" i="10"/>
  <c r="G73" i="10"/>
  <c r="H73" i="10"/>
  <c r="I73" i="10"/>
  <c r="J73" i="10"/>
  <c r="K73" i="10"/>
  <c r="L73" i="10"/>
  <c r="M73" i="10"/>
  <c r="N73" i="10"/>
  <c r="O73" i="10"/>
  <c r="P73" i="10"/>
  <c r="Q73" i="10"/>
  <c r="R73" i="10"/>
  <c r="S73" i="10"/>
  <c r="T73" i="10"/>
  <c r="U73" i="10"/>
  <c r="V73" i="10"/>
  <c r="W73" i="10"/>
  <c r="X73" i="10"/>
  <c r="Y73" i="10"/>
  <c r="Z73" i="10"/>
  <c r="AA73" i="10"/>
  <c r="AB73" i="10"/>
  <c r="AC73" i="10"/>
  <c r="AD73" i="10"/>
  <c r="AE73" i="10"/>
  <c r="B74" i="10"/>
  <c r="C74" i="10"/>
  <c r="D74" i="10"/>
  <c r="E74" i="10"/>
  <c r="F74" i="10"/>
  <c r="G74" i="10"/>
  <c r="H74" i="10"/>
  <c r="I74" i="10"/>
  <c r="J74" i="10"/>
  <c r="K74" i="10"/>
  <c r="L74" i="10"/>
  <c r="M74" i="10"/>
  <c r="N74" i="10"/>
  <c r="O74" i="10"/>
  <c r="P74" i="10"/>
  <c r="Q74" i="10"/>
  <c r="R74" i="10"/>
  <c r="S74" i="10"/>
  <c r="T74" i="10"/>
  <c r="U74" i="10"/>
  <c r="V74" i="10"/>
  <c r="W74" i="10"/>
  <c r="X74" i="10"/>
  <c r="Y74" i="10"/>
  <c r="Z74" i="10"/>
  <c r="AA74" i="10"/>
  <c r="AB74" i="10"/>
  <c r="AC74" i="10"/>
  <c r="AD74" i="10"/>
  <c r="AE74" i="10"/>
  <c r="B75" i="10"/>
  <c r="C75" i="10"/>
  <c r="D75" i="10"/>
  <c r="E75" i="10"/>
  <c r="F75" i="10"/>
  <c r="G75" i="10"/>
  <c r="H75" i="10"/>
  <c r="I75" i="10"/>
  <c r="J75" i="10"/>
  <c r="K75" i="10"/>
  <c r="L75" i="10"/>
  <c r="M75" i="10"/>
  <c r="N75" i="10"/>
  <c r="O75" i="10"/>
  <c r="P75" i="10"/>
  <c r="Q75" i="10"/>
  <c r="R75" i="10"/>
  <c r="S75" i="10"/>
  <c r="T75" i="10"/>
  <c r="U75" i="10"/>
  <c r="V75" i="10"/>
  <c r="W75" i="10"/>
  <c r="X75" i="10"/>
  <c r="Y75" i="10"/>
  <c r="Z75" i="10"/>
  <c r="AA75" i="10"/>
  <c r="AB75" i="10"/>
  <c r="AC75" i="10"/>
  <c r="AD75" i="10"/>
  <c r="AE75" i="10"/>
  <c r="B76" i="10"/>
  <c r="C76" i="10"/>
  <c r="D76" i="10"/>
  <c r="E76" i="10"/>
  <c r="F76" i="10"/>
  <c r="G76" i="10"/>
  <c r="H76" i="10"/>
  <c r="I76" i="10"/>
  <c r="J76" i="10"/>
  <c r="K76" i="10"/>
  <c r="L76" i="10"/>
  <c r="M76" i="10"/>
  <c r="N76" i="10"/>
  <c r="O76" i="10"/>
  <c r="P76" i="10"/>
  <c r="Q76" i="10"/>
  <c r="R76" i="10"/>
  <c r="S76" i="10"/>
  <c r="T76" i="10"/>
  <c r="U76" i="10"/>
  <c r="V76" i="10"/>
  <c r="W76" i="10"/>
  <c r="X76" i="10"/>
  <c r="Y76" i="10"/>
  <c r="Z76" i="10"/>
  <c r="AA76" i="10"/>
  <c r="AB76" i="10"/>
  <c r="AC76" i="10"/>
  <c r="AD76" i="10"/>
  <c r="AE76" i="10"/>
  <c r="B77" i="10"/>
  <c r="C77" i="10"/>
  <c r="D77" i="10"/>
  <c r="E77" i="10"/>
  <c r="F77" i="10"/>
  <c r="G77" i="10"/>
  <c r="H77" i="10"/>
  <c r="I77" i="10"/>
  <c r="J77" i="10"/>
  <c r="K77" i="10"/>
  <c r="L77" i="10"/>
  <c r="M77" i="10"/>
  <c r="N77" i="10"/>
  <c r="O77" i="10"/>
  <c r="P77" i="10"/>
  <c r="Q77" i="10"/>
  <c r="R77" i="10"/>
  <c r="S77" i="10"/>
  <c r="T77" i="10"/>
  <c r="U77" i="10"/>
  <c r="V77" i="10"/>
  <c r="W77" i="10"/>
  <c r="X77" i="10"/>
  <c r="Y77" i="10"/>
  <c r="Z77" i="10"/>
  <c r="AA77" i="10"/>
  <c r="AB77" i="10"/>
  <c r="AC77" i="10"/>
  <c r="AD77" i="10"/>
  <c r="AE77" i="10"/>
  <c r="B78" i="10"/>
  <c r="C78" i="10"/>
  <c r="D78" i="10"/>
  <c r="E78" i="10"/>
  <c r="F78" i="10"/>
  <c r="G78" i="10"/>
  <c r="H78" i="10"/>
  <c r="I78" i="10"/>
  <c r="J78" i="10"/>
  <c r="K78" i="10"/>
  <c r="L78" i="10"/>
  <c r="M78" i="10"/>
  <c r="N78" i="10"/>
  <c r="O78" i="10"/>
  <c r="P78" i="10"/>
  <c r="Q78" i="10"/>
  <c r="R78" i="10"/>
  <c r="S78" i="10"/>
  <c r="T78" i="10"/>
  <c r="U78" i="10"/>
  <c r="V78" i="10"/>
  <c r="W78" i="10"/>
  <c r="X78" i="10"/>
  <c r="Y78" i="10"/>
  <c r="Z78" i="10"/>
  <c r="AA78" i="10"/>
  <c r="AB78" i="10"/>
  <c r="AC78" i="10"/>
  <c r="AD78" i="10"/>
  <c r="AE78" i="10"/>
  <c r="B79" i="10"/>
  <c r="C79" i="10"/>
  <c r="D79" i="10"/>
  <c r="E79" i="10"/>
  <c r="F79" i="10"/>
  <c r="G79" i="10"/>
  <c r="H79" i="10"/>
  <c r="I79" i="10"/>
  <c r="J79" i="10"/>
  <c r="K79" i="10"/>
  <c r="L79" i="10"/>
  <c r="M79" i="10"/>
  <c r="N79" i="10"/>
  <c r="O79" i="10"/>
  <c r="P79" i="10"/>
  <c r="Q79" i="10"/>
  <c r="R79" i="10"/>
  <c r="S79" i="10"/>
  <c r="T79" i="10"/>
  <c r="U79" i="10"/>
  <c r="V79" i="10"/>
  <c r="W79" i="10"/>
  <c r="X79" i="10"/>
  <c r="Y79" i="10"/>
  <c r="Z79" i="10"/>
  <c r="AA79" i="10"/>
  <c r="AB79" i="10"/>
  <c r="AC79" i="10"/>
  <c r="AD79" i="10"/>
  <c r="AE79" i="10"/>
  <c r="B80" i="10"/>
  <c r="C80" i="10"/>
  <c r="D80" i="10"/>
  <c r="E80" i="10"/>
  <c r="F80" i="10"/>
  <c r="G80" i="10"/>
  <c r="H80" i="10"/>
  <c r="I80" i="10"/>
  <c r="J80" i="10"/>
  <c r="K80" i="10"/>
  <c r="L80" i="10"/>
  <c r="M80" i="10"/>
  <c r="N80" i="10"/>
  <c r="O80" i="10"/>
  <c r="P80" i="10"/>
  <c r="Q80" i="10"/>
  <c r="R80" i="10"/>
  <c r="S80" i="10"/>
  <c r="T80" i="10"/>
  <c r="U80" i="10"/>
  <c r="V80" i="10"/>
  <c r="W80" i="10"/>
  <c r="X80" i="10"/>
  <c r="Y80" i="10"/>
  <c r="Z80" i="10"/>
  <c r="AA80" i="10"/>
  <c r="AB80" i="10"/>
  <c r="AC80" i="10"/>
  <c r="AD80" i="10"/>
  <c r="AE80" i="10"/>
  <c r="B81" i="10"/>
  <c r="C81" i="10"/>
  <c r="D81" i="10"/>
  <c r="E81" i="10"/>
  <c r="F81" i="10"/>
  <c r="G81" i="10"/>
  <c r="H81" i="10"/>
  <c r="I81" i="10"/>
  <c r="J81" i="10"/>
  <c r="K81" i="10"/>
  <c r="L81" i="10"/>
  <c r="M81" i="10"/>
  <c r="N81" i="10"/>
  <c r="O81" i="10"/>
  <c r="P81" i="10"/>
  <c r="Q81" i="10"/>
  <c r="R81" i="10"/>
  <c r="S81" i="10"/>
  <c r="T81" i="10"/>
  <c r="U81" i="10"/>
  <c r="V81" i="10"/>
  <c r="W81" i="10"/>
  <c r="X81" i="10"/>
  <c r="Y81" i="10"/>
  <c r="Z81" i="10"/>
  <c r="AA81" i="10"/>
  <c r="AB81" i="10"/>
  <c r="AC81" i="10"/>
  <c r="AD81" i="10"/>
  <c r="AE81" i="10"/>
  <c r="B82" i="10"/>
  <c r="C82" i="10"/>
  <c r="D82" i="10"/>
  <c r="E82" i="10"/>
  <c r="F82" i="10"/>
  <c r="G82" i="10"/>
  <c r="H82" i="10"/>
  <c r="I82" i="10"/>
  <c r="J82" i="10"/>
  <c r="K82" i="10"/>
  <c r="L82" i="10"/>
  <c r="M82" i="10"/>
  <c r="N82" i="10"/>
  <c r="O82" i="10"/>
  <c r="P82" i="10"/>
  <c r="Q82" i="10"/>
  <c r="R82" i="10"/>
  <c r="S82" i="10"/>
  <c r="T82" i="10"/>
  <c r="U82" i="10"/>
  <c r="V82" i="10"/>
  <c r="W82" i="10"/>
  <c r="X82" i="10"/>
  <c r="Y82" i="10"/>
  <c r="Z82" i="10"/>
  <c r="AA82" i="10"/>
  <c r="AB82" i="10"/>
  <c r="AC82" i="10"/>
  <c r="AD82" i="10"/>
  <c r="AE82" i="10"/>
  <c r="B83" i="10"/>
  <c r="C83" i="10"/>
  <c r="D83" i="10"/>
  <c r="E83" i="10"/>
  <c r="F83" i="10"/>
  <c r="G83" i="10"/>
  <c r="H83" i="10"/>
  <c r="I83" i="10"/>
  <c r="J83" i="10"/>
  <c r="K83" i="10"/>
  <c r="L83" i="10"/>
  <c r="M83" i="10"/>
  <c r="N83" i="10"/>
  <c r="O83" i="10"/>
  <c r="P83" i="10"/>
  <c r="Q83" i="10"/>
  <c r="R83" i="10"/>
  <c r="S83" i="10"/>
  <c r="T83" i="10"/>
  <c r="U83" i="10"/>
  <c r="V83" i="10"/>
  <c r="W83" i="10"/>
  <c r="X83" i="10"/>
  <c r="Y83" i="10"/>
  <c r="Z83" i="10"/>
  <c r="AA83" i="10"/>
  <c r="AB83" i="10"/>
  <c r="AC83" i="10"/>
  <c r="AD83" i="10"/>
  <c r="AE83" i="10"/>
  <c r="B84" i="10"/>
  <c r="C84" i="10"/>
  <c r="D84" i="10"/>
  <c r="E84" i="10"/>
  <c r="F84" i="10"/>
  <c r="G84" i="10"/>
  <c r="H84" i="10"/>
  <c r="I84" i="10"/>
  <c r="J84" i="10"/>
  <c r="K84" i="10"/>
  <c r="L84" i="10"/>
  <c r="M84" i="10"/>
  <c r="N84" i="10"/>
  <c r="O84" i="10"/>
  <c r="P84" i="10"/>
  <c r="Q84" i="10"/>
  <c r="R84" i="10"/>
  <c r="S84" i="10"/>
  <c r="T84" i="10"/>
  <c r="U84" i="10"/>
  <c r="V84" i="10"/>
  <c r="W84" i="10"/>
  <c r="X84" i="10"/>
  <c r="Y84" i="10"/>
  <c r="Z84" i="10"/>
  <c r="AA84" i="10"/>
  <c r="AB84" i="10"/>
  <c r="AC84" i="10"/>
  <c r="AD84" i="10"/>
  <c r="AE84" i="10"/>
  <c r="B85" i="10"/>
  <c r="C85" i="10"/>
  <c r="D85" i="10"/>
  <c r="E85" i="10"/>
  <c r="F85" i="10"/>
  <c r="G85" i="10"/>
  <c r="H85" i="10"/>
  <c r="I85" i="10"/>
  <c r="J85" i="10"/>
  <c r="K85" i="10"/>
  <c r="L85" i="10"/>
  <c r="M85" i="10"/>
  <c r="N85" i="10"/>
  <c r="O85" i="10"/>
  <c r="P85" i="10"/>
  <c r="Q85" i="10"/>
  <c r="R85" i="10"/>
  <c r="S85" i="10"/>
  <c r="T85" i="10"/>
  <c r="U85" i="10"/>
  <c r="V85" i="10"/>
  <c r="W85" i="10"/>
  <c r="X85" i="10"/>
  <c r="Y85" i="10"/>
  <c r="Z85" i="10"/>
  <c r="AA85" i="10"/>
  <c r="AB85" i="10"/>
  <c r="AC85" i="10"/>
  <c r="AD85" i="10"/>
  <c r="AE85" i="10"/>
  <c r="B86" i="10"/>
  <c r="C86" i="10"/>
  <c r="D86" i="10"/>
  <c r="E86" i="10"/>
  <c r="F86" i="10"/>
  <c r="G86" i="10"/>
  <c r="H86" i="10"/>
  <c r="I86" i="10"/>
  <c r="J86" i="10"/>
  <c r="K86" i="10"/>
  <c r="L86" i="10"/>
  <c r="M86" i="10"/>
  <c r="N86" i="10"/>
  <c r="O86" i="10"/>
  <c r="P86" i="10"/>
  <c r="Q86" i="10"/>
  <c r="R86" i="10"/>
  <c r="S86" i="10"/>
  <c r="T86" i="10"/>
  <c r="U86" i="10"/>
  <c r="V86" i="10"/>
  <c r="W86" i="10"/>
  <c r="X86" i="10"/>
  <c r="Y86" i="10"/>
  <c r="Z86" i="10"/>
  <c r="AA86" i="10"/>
  <c r="AB86" i="10"/>
  <c r="AC86" i="10"/>
  <c r="AD86" i="10"/>
  <c r="AE86" i="10"/>
  <c r="B87" i="10"/>
  <c r="C87" i="10"/>
  <c r="D87" i="10"/>
  <c r="E87" i="10"/>
  <c r="F87" i="10"/>
  <c r="G87" i="10"/>
  <c r="H87" i="10"/>
  <c r="I87" i="10"/>
  <c r="J87" i="10"/>
  <c r="K87" i="10"/>
  <c r="L87" i="10"/>
  <c r="M87" i="10"/>
  <c r="N87" i="10"/>
  <c r="O87" i="10"/>
  <c r="P87" i="10"/>
  <c r="Q87" i="10"/>
  <c r="R87" i="10"/>
  <c r="S87" i="10"/>
  <c r="T87" i="10"/>
  <c r="U87" i="10"/>
  <c r="V87" i="10"/>
  <c r="W87" i="10"/>
  <c r="X87" i="10"/>
  <c r="Y87" i="10"/>
  <c r="Z87" i="10"/>
  <c r="AA87" i="10"/>
  <c r="AB87" i="10"/>
  <c r="AC87" i="10"/>
  <c r="AD87" i="10"/>
  <c r="AE87" i="10"/>
  <c r="B88" i="10"/>
  <c r="C88" i="10"/>
  <c r="D88" i="10"/>
  <c r="E88" i="10"/>
  <c r="F88" i="10"/>
  <c r="G88" i="10"/>
  <c r="H88" i="10"/>
  <c r="I88" i="10"/>
  <c r="J88" i="10"/>
  <c r="K88" i="10"/>
  <c r="L88" i="10"/>
  <c r="M88" i="10"/>
  <c r="N88" i="10"/>
  <c r="O88" i="10"/>
  <c r="P88" i="10"/>
  <c r="Q88" i="10"/>
  <c r="R88" i="10"/>
  <c r="S88" i="10"/>
  <c r="T88" i="10"/>
  <c r="U88" i="10"/>
  <c r="V88" i="10"/>
  <c r="W88" i="10"/>
  <c r="X88" i="10"/>
  <c r="Y88" i="10"/>
  <c r="Z88" i="10"/>
  <c r="AA88" i="10"/>
  <c r="AB88" i="10"/>
  <c r="AC88" i="10"/>
  <c r="AD88" i="10"/>
  <c r="AE88" i="10"/>
  <c r="B89" i="10"/>
  <c r="C89" i="10"/>
  <c r="D89" i="10"/>
  <c r="E89" i="10"/>
  <c r="F89" i="10"/>
  <c r="G89" i="10"/>
  <c r="H89" i="10"/>
  <c r="I89" i="10"/>
  <c r="J89" i="10"/>
  <c r="K89" i="10"/>
  <c r="L89" i="10"/>
  <c r="M89" i="10"/>
  <c r="N89" i="10"/>
  <c r="O89" i="10"/>
  <c r="P89" i="10"/>
  <c r="Q89" i="10"/>
  <c r="R89" i="10"/>
  <c r="S89" i="10"/>
  <c r="T89" i="10"/>
  <c r="U89" i="10"/>
  <c r="V89" i="10"/>
  <c r="W89" i="10"/>
  <c r="X89" i="10"/>
  <c r="Y89" i="10"/>
  <c r="Z89" i="10"/>
  <c r="AA89" i="10"/>
  <c r="AB89" i="10"/>
  <c r="AC89" i="10"/>
  <c r="AD89" i="10"/>
  <c r="AE89" i="10"/>
  <c r="B90" i="10"/>
  <c r="C90" i="10"/>
  <c r="D90" i="10"/>
  <c r="E90" i="10"/>
  <c r="F90" i="10"/>
  <c r="G90" i="10"/>
  <c r="H90" i="10"/>
  <c r="I90" i="10"/>
  <c r="J90" i="10"/>
  <c r="K90" i="10"/>
  <c r="L90" i="10"/>
  <c r="M90" i="10"/>
  <c r="N90" i="10"/>
  <c r="O90" i="10"/>
  <c r="P90" i="10"/>
  <c r="Q90" i="10"/>
  <c r="R90" i="10"/>
  <c r="S90" i="10"/>
  <c r="T90" i="10"/>
  <c r="U90" i="10"/>
  <c r="V90" i="10"/>
  <c r="W90" i="10"/>
  <c r="X90" i="10"/>
  <c r="Y90" i="10"/>
  <c r="Z90" i="10"/>
  <c r="AA90" i="10"/>
  <c r="AB90" i="10"/>
  <c r="AC90" i="10"/>
  <c r="AD90" i="10"/>
  <c r="AE90" i="10"/>
  <c r="B91" i="10"/>
  <c r="C91" i="10"/>
  <c r="D91" i="10"/>
  <c r="E91" i="10"/>
  <c r="F91" i="10"/>
  <c r="G91" i="10"/>
  <c r="H91" i="10"/>
  <c r="I91" i="10"/>
  <c r="J91" i="10"/>
  <c r="K91" i="10"/>
  <c r="L91" i="10"/>
  <c r="M91" i="10"/>
  <c r="N91" i="10"/>
  <c r="O91" i="10"/>
  <c r="P91" i="10"/>
  <c r="Q91" i="10"/>
  <c r="R91" i="10"/>
  <c r="S91" i="10"/>
  <c r="T91" i="10"/>
  <c r="U91" i="10"/>
  <c r="V91" i="10"/>
  <c r="W91" i="10"/>
  <c r="X91" i="10"/>
  <c r="Y91" i="10"/>
  <c r="Z91" i="10"/>
  <c r="AA91" i="10"/>
  <c r="AB91" i="10"/>
  <c r="AC91" i="10"/>
  <c r="AD91" i="10"/>
  <c r="AE91" i="10"/>
  <c r="B92" i="10"/>
  <c r="C92" i="10"/>
  <c r="D92" i="10"/>
  <c r="E92" i="10"/>
  <c r="F92" i="10"/>
  <c r="G92" i="10"/>
  <c r="H92" i="10"/>
  <c r="I92" i="10"/>
  <c r="J92" i="10"/>
  <c r="K92" i="10"/>
  <c r="L92" i="10"/>
  <c r="M92" i="10"/>
  <c r="N92" i="10"/>
  <c r="O92" i="10"/>
  <c r="P92" i="10"/>
  <c r="Q92" i="10"/>
  <c r="R92" i="10"/>
  <c r="S92" i="10"/>
  <c r="T92" i="10"/>
  <c r="U92" i="10"/>
  <c r="V92" i="10"/>
  <c r="W92" i="10"/>
  <c r="X92" i="10"/>
  <c r="Y92" i="10"/>
  <c r="Z92" i="10"/>
  <c r="AA92" i="10"/>
  <c r="AB92" i="10"/>
  <c r="AC92" i="10"/>
  <c r="AD92" i="10"/>
  <c r="AE92" i="10"/>
  <c r="B93" i="10"/>
  <c r="C93" i="10"/>
  <c r="D93" i="10"/>
  <c r="E93" i="10"/>
  <c r="F93" i="10"/>
  <c r="G93" i="10"/>
  <c r="H93" i="10"/>
  <c r="I93" i="10"/>
  <c r="J93" i="10"/>
  <c r="K93" i="10"/>
  <c r="L93" i="10"/>
  <c r="M93" i="10"/>
  <c r="N93" i="10"/>
  <c r="O93" i="10"/>
  <c r="P93" i="10"/>
  <c r="Q93" i="10"/>
  <c r="R93" i="10"/>
  <c r="S93" i="10"/>
  <c r="T93" i="10"/>
  <c r="U93" i="10"/>
  <c r="V93" i="10"/>
  <c r="W93" i="10"/>
  <c r="X93" i="10"/>
  <c r="Y93" i="10"/>
  <c r="Z93" i="10"/>
  <c r="AA93" i="10"/>
  <c r="AB93" i="10"/>
  <c r="AC93" i="10"/>
  <c r="AD93" i="10"/>
  <c r="AE93" i="10"/>
  <c r="B94" i="10"/>
  <c r="C94" i="10"/>
  <c r="D94" i="10"/>
  <c r="E94" i="10"/>
  <c r="F94" i="10"/>
  <c r="G94" i="10"/>
  <c r="H94" i="10"/>
  <c r="I94" i="10"/>
  <c r="J94" i="10"/>
  <c r="K94" i="10"/>
  <c r="L94" i="10"/>
  <c r="M94" i="10"/>
  <c r="N94" i="10"/>
  <c r="O94" i="10"/>
  <c r="P94" i="10"/>
  <c r="Q94" i="10"/>
  <c r="R94" i="10"/>
  <c r="S94" i="10"/>
  <c r="T94" i="10"/>
  <c r="U94" i="10"/>
  <c r="V94" i="10"/>
  <c r="W94" i="10"/>
  <c r="X94" i="10"/>
  <c r="Y94" i="10"/>
  <c r="Z94" i="10"/>
  <c r="AA94" i="10"/>
  <c r="AB94" i="10"/>
  <c r="AC94" i="10"/>
  <c r="AD94" i="10"/>
  <c r="AE94" i="10"/>
  <c r="B95" i="10"/>
  <c r="C95" i="10"/>
  <c r="D95" i="10"/>
  <c r="E95" i="10"/>
  <c r="F95" i="10"/>
  <c r="G95" i="10"/>
  <c r="H95" i="10"/>
  <c r="I95" i="10"/>
  <c r="J95" i="10"/>
  <c r="K95" i="10"/>
  <c r="L95" i="10"/>
  <c r="M95" i="10"/>
  <c r="N95" i="10"/>
  <c r="O95" i="10"/>
  <c r="P95" i="10"/>
  <c r="Q95" i="10"/>
  <c r="R95" i="10"/>
  <c r="S95" i="10"/>
  <c r="T95" i="10"/>
  <c r="U95" i="10"/>
  <c r="V95" i="10"/>
  <c r="W95" i="10"/>
  <c r="X95" i="10"/>
  <c r="Y95" i="10"/>
  <c r="Z95" i="10"/>
  <c r="AA95" i="10"/>
  <c r="AB95" i="10"/>
  <c r="AC95" i="10"/>
  <c r="AD95" i="10"/>
  <c r="AE95" i="10"/>
  <c r="B96" i="10"/>
  <c r="C96" i="10"/>
  <c r="D96" i="10"/>
  <c r="E96" i="10"/>
  <c r="F96" i="10"/>
  <c r="G96" i="10"/>
  <c r="H96" i="10"/>
  <c r="I96" i="10"/>
  <c r="J96" i="10"/>
  <c r="K96" i="10"/>
  <c r="L96" i="10"/>
  <c r="M96" i="10"/>
  <c r="N96" i="10"/>
  <c r="O96" i="10"/>
  <c r="P96" i="10"/>
  <c r="Q96" i="10"/>
  <c r="R96" i="10"/>
  <c r="S96" i="10"/>
  <c r="T96" i="10"/>
  <c r="U96" i="10"/>
  <c r="V96" i="10"/>
  <c r="W96" i="10"/>
  <c r="X96" i="10"/>
  <c r="Y96" i="10"/>
  <c r="Z96" i="10"/>
  <c r="AA96" i="10"/>
  <c r="AB96" i="10"/>
  <c r="AC96" i="10"/>
  <c r="AD96" i="10"/>
  <c r="AE96" i="10"/>
  <c r="B97" i="10"/>
  <c r="C97" i="10"/>
  <c r="D97" i="10"/>
  <c r="E97" i="10"/>
  <c r="F97" i="10"/>
  <c r="G97" i="10"/>
  <c r="H97" i="10"/>
  <c r="I97" i="10"/>
  <c r="J97" i="10"/>
  <c r="K97" i="10"/>
  <c r="L97" i="10"/>
  <c r="M97" i="10"/>
  <c r="N97" i="10"/>
  <c r="O97" i="10"/>
  <c r="P97" i="10"/>
  <c r="Q97" i="10"/>
  <c r="R97" i="10"/>
  <c r="S97" i="10"/>
  <c r="T97" i="10"/>
  <c r="U97" i="10"/>
  <c r="V97" i="10"/>
  <c r="W97" i="10"/>
  <c r="X97" i="10"/>
  <c r="Y97" i="10"/>
  <c r="Z97" i="10"/>
  <c r="AA97" i="10"/>
  <c r="AB97" i="10"/>
  <c r="AC97" i="10"/>
  <c r="AD97" i="10"/>
  <c r="AE97" i="10"/>
  <c r="B98" i="10"/>
  <c r="C98" i="10"/>
  <c r="D98" i="10"/>
  <c r="E98" i="10"/>
  <c r="F98" i="10"/>
  <c r="G98" i="10"/>
  <c r="H98" i="10"/>
  <c r="I98" i="10"/>
  <c r="J98" i="10"/>
  <c r="K98" i="10"/>
  <c r="L98" i="10"/>
  <c r="M98" i="10"/>
  <c r="N98" i="10"/>
  <c r="O98" i="10"/>
  <c r="P98" i="10"/>
  <c r="Q98" i="10"/>
  <c r="R98" i="10"/>
  <c r="S98" i="10"/>
  <c r="T98" i="10"/>
  <c r="U98" i="10"/>
  <c r="V98" i="10"/>
  <c r="W98" i="10"/>
  <c r="X98" i="10"/>
  <c r="Y98" i="10"/>
  <c r="Z98" i="10"/>
  <c r="AA98" i="10"/>
  <c r="AB98" i="10"/>
  <c r="AC98" i="10"/>
  <c r="AD98" i="10"/>
  <c r="AE98" i="10"/>
  <c r="B99" i="10"/>
  <c r="C99" i="10"/>
  <c r="D99" i="10"/>
  <c r="E99" i="10"/>
  <c r="F99" i="10"/>
  <c r="G99" i="10"/>
  <c r="H99" i="10"/>
  <c r="I99" i="10"/>
  <c r="J99" i="10"/>
  <c r="K99" i="10"/>
  <c r="L99" i="10"/>
  <c r="M99" i="10"/>
  <c r="N99" i="10"/>
  <c r="O99" i="10"/>
  <c r="P99" i="10"/>
  <c r="Q99" i="10"/>
  <c r="R99" i="10"/>
  <c r="S99" i="10"/>
  <c r="T99" i="10"/>
  <c r="U99" i="10"/>
  <c r="V99" i="10"/>
  <c r="W99" i="10"/>
  <c r="X99" i="10"/>
  <c r="Y99" i="10"/>
  <c r="Z99" i="10"/>
  <c r="AA99" i="10"/>
  <c r="AB99" i="10"/>
  <c r="AC99" i="10"/>
  <c r="AD99" i="10"/>
  <c r="AE99" i="10"/>
  <c r="B100" i="10"/>
  <c r="C100" i="10"/>
  <c r="D100" i="10"/>
  <c r="E100" i="10"/>
  <c r="F100" i="10"/>
  <c r="G100" i="10"/>
  <c r="H100" i="10"/>
  <c r="I100" i="10"/>
  <c r="J100" i="10"/>
  <c r="K100" i="10"/>
  <c r="L100" i="10"/>
  <c r="M100" i="10"/>
  <c r="N100" i="10"/>
  <c r="O100" i="10"/>
  <c r="P100" i="10"/>
  <c r="Q100" i="10"/>
  <c r="R100" i="10"/>
  <c r="S100" i="10"/>
  <c r="T100" i="10"/>
  <c r="U100" i="10"/>
  <c r="V100" i="10"/>
  <c r="W100" i="10"/>
  <c r="X100" i="10"/>
  <c r="Y100" i="10"/>
  <c r="Z100" i="10"/>
  <c r="AA100" i="10"/>
  <c r="AB100" i="10"/>
  <c r="AC100" i="10"/>
  <c r="AD100" i="10"/>
  <c r="AE100" i="10"/>
  <c r="C71" i="10"/>
  <c r="D71" i="10"/>
  <c r="E71" i="10"/>
  <c r="F71" i="10"/>
  <c r="G71" i="10"/>
  <c r="H71" i="10"/>
  <c r="I71" i="10"/>
  <c r="J71" i="10"/>
  <c r="K71" i="10"/>
  <c r="L71" i="10"/>
  <c r="M71" i="10"/>
  <c r="N71" i="10"/>
  <c r="O71" i="10"/>
  <c r="P71" i="10"/>
  <c r="Q71" i="10"/>
  <c r="R71" i="10"/>
  <c r="S71" i="10"/>
  <c r="T71" i="10"/>
  <c r="U71" i="10"/>
  <c r="V71" i="10"/>
  <c r="W71" i="10"/>
  <c r="X71" i="10"/>
  <c r="Y71" i="10"/>
  <c r="Z71" i="10"/>
  <c r="AA71" i="10"/>
  <c r="AB71" i="10"/>
  <c r="AC71" i="10"/>
  <c r="AD71" i="10"/>
  <c r="AE71" i="10"/>
  <c r="B71"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36" i="10"/>
  <c r="AM67" i="13" l="1"/>
  <c r="AN67" i="13"/>
  <c r="AM33" i="13"/>
  <c r="AN33" i="13"/>
  <c r="AO67" i="13"/>
  <c r="AO33" i="13"/>
  <c r="AH99" i="10"/>
  <c r="AI99" i="10" s="1"/>
  <c r="AH97" i="10"/>
  <c r="AI97" i="10" s="1"/>
  <c r="AH95" i="10"/>
  <c r="AI95" i="10" s="1"/>
  <c r="AH93" i="10"/>
  <c r="AI93" i="10" s="1"/>
  <c r="AH91" i="10"/>
  <c r="AI91" i="10" s="1"/>
  <c r="AH89" i="10"/>
  <c r="AI89" i="10" s="1"/>
  <c r="AH87" i="10"/>
  <c r="AI87" i="10" s="1"/>
  <c r="AH85" i="10"/>
  <c r="AI85" i="10" s="1"/>
  <c r="AH83" i="10"/>
  <c r="AI83" i="10" s="1"/>
  <c r="AH81" i="10"/>
  <c r="AI81" i="10" s="1"/>
  <c r="AH79" i="10"/>
  <c r="AI79" i="10" s="1"/>
  <c r="AH77" i="10"/>
  <c r="AI77" i="10" s="1"/>
  <c r="AH75" i="10"/>
  <c r="AI75" i="10" s="1"/>
  <c r="AH73" i="10"/>
  <c r="AI73" i="10" s="1"/>
  <c r="AH71" i="10"/>
  <c r="AI71" i="10" s="1"/>
  <c r="AH100" i="10"/>
  <c r="AI100" i="10" s="1"/>
  <c r="AH98" i="10"/>
  <c r="AI98" i="10" s="1"/>
  <c r="AH96" i="10"/>
  <c r="AI96" i="10" s="1"/>
  <c r="AH94" i="10"/>
  <c r="AI94" i="10" s="1"/>
  <c r="AH92" i="10"/>
  <c r="AI92" i="10" s="1"/>
  <c r="AH90" i="10"/>
  <c r="AI90" i="10" s="1"/>
  <c r="AH88" i="10"/>
  <c r="AI88" i="10" s="1"/>
  <c r="AH86" i="10"/>
  <c r="AI86" i="10" s="1"/>
  <c r="AH84" i="10"/>
  <c r="AI84" i="10" s="1"/>
  <c r="AH82" i="10"/>
  <c r="AI82" i="10" s="1"/>
  <c r="AH80" i="10"/>
  <c r="AI80" i="10" s="1"/>
  <c r="AH78" i="10"/>
  <c r="AI78" i="10" s="1"/>
  <c r="AH76" i="10"/>
  <c r="AI76" i="10" s="1"/>
  <c r="AH74" i="10"/>
  <c r="AI74" i="10" s="1"/>
  <c r="AH72" i="10"/>
  <c r="AI72" i="10" s="1"/>
  <c r="AG33" i="1"/>
  <c r="AG101" i="1" s="1"/>
  <c r="AC121" i="10"/>
  <c r="AB130" i="10"/>
  <c r="AE130" i="10"/>
  <c r="E131" i="10"/>
  <c r="F131" i="10"/>
  <c r="I131" i="10"/>
  <c r="J131" i="10"/>
  <c r="N131" i="10"/>
  <c r="Q131" i="10"/>
  <c r="R131" i="10"/>
  <c r="U131" i="10"/>
  <c r="V131" i="10"/>
  <c r="Y131" i="10"/>
  <c r="Z131" i="10"/>
  <c r="AD131" i="10"/>
  <c r="C132" i="10"/>
  <c r="D132" i="10"/>
  <c r="G132" i="10"/>
  <c r="H132" i="10"/>
  <c r="K132" i="10"/>
  <c r="L132" i="10"/>
  <c r="P132" i="10"/>
  <c r="Q132" i="10"/>
  <c r="S132" i="10"/>
  <c r="T132" i="10"/>
  <c r="U132" i="10"/>
  <c r="V132" i="10"/>
  <c r="W132" i="10"/>
  <c r="X132" i="10"/>
  <c r="Y132" i="10"/>
  <c r="AA132" i="10"/>
  <c r="AB132" i="10"/>
  <c r="AC132" i="10"/>
  <c r="AE132" i="10"/>
  <c r="D133" i="10"/>
  <c r="E133" i="10"/>
  <c r="F133" i="10"/>
  <c r="I133" i="10"/>
  <c r="J133" i="10"/>
  <c r="L133" i="10"/>
  <c r="M133" i="10"/>
  <c r="N133" i="10"/>
  <c r="P133" i="10"/>
  <c r="Q133" i="10"/>
  <c r="R133" i="10"/>
  <c r="T133" i="10"/>
  <c r="U133" i="10"/>
  <c r="V133" i="10"/>
  <c r="W133" i="10"/>
  <c r="X133" i="10"/>
  <c r="Y133" i="10"/>
  <c r="Z133" i="10"/>
  <c r="AA133" i="10"/>
  <c r="AB133" i="10"/>
  <c r="AC133" i="10"/>
  <c r="AD133" i="10"/>
  <c r="AE133" i="10"/>
  <c r="H104" i="10"/>
  <c r="I104" i="10"/>
  <c r="L104" i="10"/>
  <c r="M104" i="10"/>
  <c r="P104" i="10"/>
  <c r="Q104" i="10"/>
  <c r="T104" i="10"/>
  <c r="U104" i="10"/>
  <c r="X104" i="10"/>
  <c r="Y104" i="10"/>
  <c r="AB104" i="10"/>
  <c r="AC104" i="10"/>
  <c r="S133" i="10"/>
  <c r="O133" i="10"/>
  <c r="K133" i="10"/>
  <c r="H133" i="10"/>
  <c r="G133" i="10"/>
  <c r="C133" i="10"/>
  <c r="AD132" i="10"/>
  <c r="Z132" i="10"/>
  <c r="R132" i="10"/>
  <c r="O132" i="10"/>
  <c r="N132" i="10"/>
  <c r="M132" i="10"/>
  <c r="J132" i="10"/>
  <c r="I132" i="10"/>
  <c r="F132" i="10"/>
  <c r="E132" i="10"/>
  <c r="AE131" i="10"/>
  <c r="AC131" i="10"/>
  <c r="AB131" i="10"/>
  <c r="AA131" i="10"/>
  <c r="X131" i="10"/>
  <c r="W131" i="10"/>
  <c r="T131" i="10"/>
  <c r="S131" i="10"/>
  <c r="P131" i="10"/>
  <c r="O131" i="10"/>
  <c r="M131" i="10"/>
  <c r="L131" i="10"/>
  <c r="K131" i="10"/>
  <c r="H131" i="10"/>
  <c r="G131" i="10"/>
  <c r="D131" i="10"/>
  <c r="C131" i="10"/>
  <c r="AD130" i="10"/>
  <c r="AC130" i="10"/>
  <c r="AA130" i="10"/>
  <c r="Z130" i="10"/>
  <c r="Y130" i="10"/>
  <c r="X130" i="10"/>
  <c r="W130" i="10"/>
  <c r="V130" i="10"/>
  <c r="U130" i="10"/>
  <c r="T130" i="10"/>
  <c r="S130" i="10"/>
  <c r="R130" i="10"/>
  <c r="Q130" i="10"/>
  <c r="P130" i="10"/>
  <c r="O130" i="10"/>
  <c r="N130" i="10"/>
  <c r="M130" i="10"/>
  <c r="L130" i="10"/>
  <c r="K130" i="10"/>
  <c r="J130" i="10"/>
  <c r="I130" i="10"/>
  <c r="H130" i="10"/>
  <c r="G130" i="10"/>
  <c r="F130" i="10"/>
  <c r="E130" i="10"/>
  <c r="D130" i="10"/>
  <c r="C130" i="10"/>
  <c r="AE129" i="10"/>
  <c r="AD129" i="10"/>
  <c r="AC129" i="10"/>
  <c r="AB129" i="10"/>
  <c r="AA129" i="10"/>
  <c r="Z129" i="10"/>
  <c r="Y129" i="10"/>
  <c r="X129" i="10"/>
  <c r="W129" i="10"/>
  <c r="V129" i="10"/>
  <c r="U129" i="10"/>
  <c r="T129" i="10"/>
  <c r="S129" i="10"/>
  <c r="R129" i="10"/>
  <c r="Q129" i="10"/>
  <c r="P129" i="10"/>
  <c r="O129" i="10"/>
  <c r="N129" i="10"/>
  <c r="M129" i="10"/>
  <c r="L129" i="10"/>
  <c r="K129" i="10"/>
  <c r="J129" i="10"/>
  <c r="I129" i="10"/>
  <c r="H129" i="10"/>
  <c r="G129" i="10"/>
  <c r="F129" i="10"/>
  <c r="E129" i="10"/>
  <c r="D129" i="10"/>
  <c r="C129" i="10"/>
  <c r="AE128" i="10"/>
  <c r="AD128" i="10"/>
  <c r="AC128" i="10"/>
  <c r="AB128" i="10"/>
  <c r="AA128" i="10"/>
  <c r="Z128" i="10"/>
  <c r="Y128" i="10"/>
  <c r="X128" i="10"/>
  <c r="W128" i="10"/>
  <c r="V128" i="10"/>
  <c r="U128" i="10"/>
  <c r="T128" i="10"/>
  <c r="S128" i="10"/>
  <c r="R128" i="10"/>
  <c r="Q128" i="10"/>
  <c r="P128" i="10"/>
  <c r="O128" i="10"/>
  <c r="N128" i="10"/>
  <c r="M128" i="10"/>
  <c r="L128" i="10"/>
  <c r="K128" i="10"/>
  <c r="J128" i="10"/>
  <c r="I128" i="10"/>
  <c r="H128" i="10"/>
  <c r="G128" i="10"/>
  <c r="F128" i="10"/>
  <c r="E128" i="10"/>
  <c r="D128" i="10"/>
  <c r="C128" i="10"/>
  <c r="AE127" i="10"/>
  <c r="AD127" i="10"/>
  <c r="AC127" i="10"/>
  <c r="AB127" i="10"/>
  <c r="AA127" i="10"/>
  <c r="Z127" i="10"/>
  <c r="Y127" i="10"/>
  <c r="X127" i="10"/>
  <c r="W127" i="10"/>
  <c r="V127" i="10"/>
  <c r="U127" i="10"/>
  <c r="T127" i="10"/>
  <c r="S127" i="10"/>
  <c r="R127" i="10"/>
  <c r="Q127" i="10"/>
  <c r="P127" i="10"/>
  <c r="O127" i="10"/>
  <c r="N127" i="10"/>
  <c r="M127" i="10"/>
  <c r="L127" i="10"/>
  <c r="K127" i="10"/>
  <c r="J127" i="10"/>
  <c r="I127" i="10"/>
  <c r="H127" i="10"/>
  <c r="G127" i="10"/>
  <c r="F127" i="10"/>
  <c r="E127" i="10"/>
  <c r="D127" i="10"/>
  <c r="C127" i="10"/>
  <c r="AE126" i="10"/>
  <c r="AD126" i="10"/>
  <c r="AC126" i="10"/>
  <c r="AB126" i="10"/>
  <c r="AA126" i="10"/>
  <c r="Z126" i="10"/>
  <c r="Y126" i="10"/>
  <c r="X126" i="10"/>
  <c r="W126" i="10"/>
  <c r="V126" i="10"/>
  <c r="U126" i="10"/>
  <c r="T126" i="10"/>
  <c r="S126" i="10"/>
  <c r="R126" i="10"/>
  <c r="Q126" i="10"/>
  <c r="P126" i="10"/>
  <c r="O126" i="10"/>
  <c r="N126" i="10"/>
  <c r="M126" i="10"/>
  <c r="L126" i="10"/>
  <c r="K126" i="10"/>
  <c r="J126" i="10"/>
  <c r="I126" i="10"/>
  <c r="H126" i="10"/>
  <c r="G126" i="10"/>
  <c r="F126" i="10"/>
  <c r="E126" i="10"/>
  <c r="D126" i="10"/>
  <c r="C126" i="10"/>
  <c r="AE125" i="10"/>
  <c r="AD125" i="10"/>
  <c r="AC125" i="10"/>
  <c r="AB125" i="10"/>
  <c r="AA125" i="10"/>
  <c r="Z125" i="10"/>
  <c r="Y125" i="10"/>
  <c r="X125" i="10"/>
  <c r="W125" i="10"/>
  <c r="V125" i="10"/>
  <c r="U125" i="10"/>
  <c r="T125" i="10"/>
  <c r="S125" i="10"/>
  <c r="R125" i="10"/>
  <c r="Q125" i="10"/>
  <c r="P125" i="10"/>
  <c r="O125" i="10"/>
  <c r="N125" i="10"/>
  <c r="M125" i="10"/>
  <c r="L125" i="10"/>
  <c r="K125" i="10"/>
  <c r="J125" i="10"/>
  <c r="I125" i="10"/>
  <c r="H125" i="10"/>
  <c r="G125" i="10"/>
  <c r="F125" i="10"/>
  <c r="E125" i="10"/>
  <c r="D125" i="10"/>
  <c r="C125" i="10"/>
  <c r="AE124" i="10"/>
  <c r="AD124" i="10"/>
  <c r="AC124" i="10"/>
  <c r="AB124" i="10"/>
  <c r="AA124" i="10"/>
  <c r="Z124" i="10"/>
  <c r="Y124" i="10"/>
  <c r="X124" i="10"/>
  <c r="W124" i="10"/>
  <c r="V124" i="10"/>
  <c r="U124" i="10"/>
  <c r="T124" i="10"/>
  <c r="S124" i="10"/>
  <c r="R124" i="10"/>
  <c r="Q124" i="10"/>
  <c r="P124" i="10"/>
  <c r="O124" i="10"/>
  <c r="N124" i="10"/>
  <c r="M124" i="10"/>
  <c r="L124" i="10"/>
  <c r="K124" i="10"/>
  <c r="J124" i="10"/>
  <c r="I124" i="10"/>
  <c r="H124" i="10"/>
  <c r="G124" i="10"/>
  <c r="F124" i="10"/>
  <c r="E124" i="10"/>
  <c r="D124" i="10"/>
  <c r="C124" i="10"/>
  <c r="AE123" i="10"/>
  <c r="AD123" i="10"/>
  <c r="AC123" i="10"/>
  <c r="AB123" i="10"/>
  <c r="AA123" i="10"/>
  <c r="Z123" i="10"/>
  <c r="Y123" i="10"/>
  <c r="X123" i="10"/>
  <c r="W123" i="10"/>
  <c r="V123" i="10"/>
  <c r="U123" i="10"/>
  <c r="T123" i="10"/>
  <c r="S123" i="10"/>
  <c r="R123" i="10"/>
  <c r="Q123" i="10"/>
  <c r="P123" i="10"/>
  <c r="O123" i="10"/>
  <c r="N123" i="10"/>
  <c r="M123" i="10"/>
  <c r="L123" i="10"/>
  <c r="K123" i="10"/>
  <c r="J123" i="10"/>
  <c r="I123" i="10"/>
  <c r="H123" i="10"/>
  <c r="G123" i="10"/>
  <c r="F123" i="10"/>
  <c r="E123" i="10"/>
  <c r="D123" i="10"/>
  <c r="C123" i="10"/>
  <c r="AE122" i="10"/>
  <c r="AD122" i="10"/>
  <c r="AC122" i="10"/>
  <c r="AB122" i="10"/>
  <c r="AA122" i="10"/>
  <c r="Z122" i="10"/>
  <c r="Y122" i="10"/>
  <c r="X122" i="10"/>
  <c r="W122" i="10"/>
  <c r="V122" i="10"/>
  <c r="U122" i="10"/>
  <c r="T122" i="10"/>
  <c r="S122" i="10"/>
  <c r="R122" i="10"/>
  <c r="Q122" i="10"/>
  <c r="P122" i="10"/>
  <c r="O122" i="10"/>
  <c r="N122" i="10"/>
  <c r="M122" i="10"/>
  <c r="L122" i="10"/>
  <c r="K122" i="10"/>
  <c r="J122" i="10"/>
  <c r="I122" i="10"/>
  <c r="H122" i="10"/>
  <c r="G122" i="10"/>
  <c r="F122" i="10"/>
  <c r="E122" i="10"/>
  <c r="D122" i="10"/>
  <c r="C122" i="10"/>
  <c r="AE121" i="10"/>
  <c r="AD121" i="10"/>
  <c r="AB121" i="10"/>
  <c r="AA121" i="10"/>
  <c r="Z121" i="10"/>
  <c r="Y121" i="10"/>
  <c r="X121" i="10"/>
  <c r="W121" i="10"/>
  <c r="V121" i="10"/>
  <c r="U121" i="10"/>
  <c r="T121" i="10"/>
  <c r="S121" i="10"/>
  <c r="R121" i="10"/>
  <c r="Q121" i="10"/>
  <c r="P121" i="10"/>
  <c r="O121" i="10"/>
  <c r="N121" i="10"/>
  <c r="M121" i="10"/>
  <c r="L121" i="10"/>
  <c r="K121" i="10"/>
  <c r="J121" i="10"/>
  <c r="I121" i="10"/>
  <c r="H121" i="10"/>
  <c r="G121" i="10"/>
  <c r="F121" i="10"/>
  <c r="E121" i="10"/>
  <c r="D121" i="10"/>
  <c r="C121" i="10"/>
  <c r="AE120" i="10"/>
  <c r="AD120" i="10"/>
  <c r="AC120" i="10"/>
  <c r="AB120" i="10"/>
  <c r="AA120" i="10"/>
  <c r="Z120" i="10"/>
  <c r="Y120" i="10"/>
  <c r="X120" i="10"/>
  <c r="W120" i="10"/>
  <c r="V120" i="10"/>
  <c r="U120" i="10"/>
  <c r="T120" i="10"/>
  <c r="S120" i="10"/>
  <c r="R120" i="10"/>
  <c r="Q120" i="10"/>
  <c r="P120" i="10"/>
  <c r="O120" i="10"/>
  <c r="N120" i="10"/>
  <c r="M120" i="10"/>
  <c r="L120" i="10"/>
  <c r="K120" i="10"/>
  <c r="J120" i="10"/>
  <c r="I120" i="10"/>
  <c r="H120" i="10"/>
  <c r="G120" i="10"/>
  <c r="F120" i="10"/>
  <c r="E120" i="10"/>
  <c r="D120" i="10"/>
  <c r="C120" i="10"/>
  <c r="AE119" i="10"/>
  <c r="AD119" i="10"/>
  <c r="AC119" i="10"/>
  <c r="AB119" i="10"/>
  <c r="AA119" i="10"/>
  <c r="Z119" i="10"/>
  <c r="Y119" i="10"/>
  <c r="X119" i="10"/>
  <c r="W119" i="10"/>
  <c r="V119" i="10"/>
  <c r="U119" i="10"/>
  <c r="T119" i="10"/>
  <c r="S119" i="10"/>
  <c r="R119" i="10"/>
  <c r="Q119" i="10"/>
  <c r="P119" i="10"/>
  <c r="O119" i="10"/>
  <c r="N119" i="10"/>
  <c r="M119" i="10"/>
  <c r="L119" i="10"/>
  <c r="K119" i="10"/>
  <c r="J119" i="10"/>
  <c r="I119" i="10"/>
  <c r="H119" i="10"/>
  <c r="G119" i="10"/>
  <c r="F119" i="10"/>
  <c r="E119" i="10"/>
  <c r="D119" i="10"/>
  <c r="C119" i="10"/>
  <c r="AE118" i="10"/>
  <c r="AD118" i="10"/>
  <c r="AC118" i="10"/>
  <c r="AB118" i="10"/>
  <c r="AA118" i="10"/>
  <c r="Z118" i="10"/>
  <c r="Y118" i="10"/>
  <c r="X118" i="10"/>
  <c r="W118" i="10"/>
  <c r="V118" i="10"/>
  <c r="U118" i="10"/>
  <c r="T118" i="10"/>
  <c r="S118" i="10"/>
  <c r="R118" i="10"/>
  <c r="Q118" i="10"/>
  <c r="P118" i="10"/>
  <c r="O118" i="10"/>
  <c r="N118" i="10"/>
  <c r="M118" i="10"/>
  <c r="L118" i="10"/>
  <c r="K118" i="10"/>
  <c r="J118" i="10"/>
  <c r="I118" i="10"/>
  <c r="H118" i="10"/>
  <c r="G118" i="10"/>
  <c r="F118" i="10"/>
  <c r="E118" i="10"/>
  <c r="D118" i="10"/>
  <c r="C118" i="10"/>
  <c r="AE117" i="10"/>
  <c r="AD117" i="10"/>
  <c r="AC117" i="10"/>
  <c r="AB117" i="10"/>
  <c r="AA117" i="10"/>
  <c r="Z117" i="10"/>
  <c r="Y117" i="10"/>
  <c r="X117" i="10"/>
  <c r="W117" i="10"/>
  <c r="V117" i="10"/>
  <c r="U117" i="10"/>
  <c r="T117" i="10"/>
  <c r="S117" i="10"/>
  <c r="R117" i="10"/>
  <c r="Q117" i="10"/>
  <c r="P117" i="10"/>
  <c r="O117" i="10"/>
  <c r="N117" i="10"/>
  <c r="M117" i="10"/>
  <c r="L117" i="10"/>
  <c r="K117" i="10"/>
  <c r="J117" i="10"/>
  <c r="I117" i="10"/>
  <c r="H117" i="10"/>
  <c r="G117" i="10"/>
  <c r="F117" i="10"/>
  <c r="E117" i="10"/>
  <c r="D117" i="10"/>
  <c r="C117" i="10"/>
  <c r="AE116" i="10"/>
  <c r="AD116" i="10"/>
  <c r="AC116" i="10"/>
  <c r="AB116" i="10"/>
  <c r="AA116" i="10"/>
  <c r="Z116" i="10"/>
  <c r="Y116" i="10"/>
  <c r="X116" i="10"/>
  <c r="W116" i="10"/>
  <c r="V116" i="10"/>
  <c r="U116" i="10"/>
  <c r="T116" i="10"/>
  <c r="S116" i="10"/>
  <c r="R116" i="10"/>
  <c r="Q116" i="10"/>
  <c r="P116" i="10"/>
  <c r="O116" i="10"/>
  <c r="N116" i="10"/>
  <c r="M116" i="10"/>
  <c r="L116" i="10"/>
  <c r="K116" i="10"/>
  <c r="J116" i="10"/>
  <c r="I116" i="10"/>
  <c r="H116" i="10"/>
  <c r="G116" i="10"/>
  <c r="F116" i="10"/>
  <c r="E116" i="10"/>
  <c r="D116" i="10"/>
  <c r="C116" i="10"/>
  <c r="AE115" i="10"/>
  <c r="AD115" i="10"/>
  <c r="AC115" i="10"/>
  <c r="AB115" i="10"/>
  <c r="AA115" i="10"/>
  <c r="Z115" i="10"/>
  <c r="Y115" i="10"/>
  <c r="X115" i="10"/>
  <c r="W115" i="10"/>
  <c r="V115" i="10"/>
  <c r="U115" i="10"/>
  <c r="T115" i="10"/>
  <c r="S115" i="10"/>
  <c r="R115" i="10"/>
  <c r="Q115" i="10"/>
  <c r="P115" i="10"/>
  <c r="O115" i="10"/>
  <c r="N115" i="10"/>
  <c r="M115" i="10"/>
  <c r="L115" i="10"/>
  <c r="K115" i="10"/>
  <c r="J115" i="10"/>
  <c r="I115" i="10"/>
  <c r="H115" i="10"/>
  <c r="G115" i="10"/>
  <c r="F115" i="10"/>
  <c r="E115" i="10"/>
  <c r="D115" i="10"/>
  <c r="C115" i="10"/>
  <c r="AE114" i="10"/>
  <c r="AD114" i="10"/>
  <c r="AC114" i="10"/>
  <c r="AB114" i="10"/>
  <c r="AA114" i="10"/>
  <c r="Z114" i="10"/>
  <c r="Y114" i="10"/>
  <c r="X114" i="10"/>
  <c r="W114" i="10"/>
  <c r="V114" i="10"/>
  <c r="U114" i="10"/>
  <c r="T114" i="10"/>
  <c r="S114" i="10"/>
  <c r="R114" i="10"/>
  <c r="Q114" i="10"/>
  <c r="P114" i="10"/>
  <c r="O114" i="10"/>
  <c r="N114" i="10"/>
  <c r="M114" i="10"/>
  <c r="L114" i="10"/>
  <c r="K114" i="10"/>
  <c r="J114" i="10"/>
  <c r="I114" i="10"/>
  <c r="H114" i="10"/>
  <c r="G114" i="10"/>
  <c r="F114" i="10"/>
  <c r="E114" i="10"/>
  <c r="D114" i="10"/>
  <c r="C114" i="10"/>
  <c r="AE113" i="10"/>
  <c r="AD113" i="10"/>
  <c r="AC113" i="10"/>
  <c r="AB113" i="10"/>
  <c r="AA113" i="10"/>
  <c r="Z113" i="10"/>
  <c r="Y113" i="10"/>
  <c r="X113" i="10"/>
  <c r="W113" i="10"/>
  <c r="V113" i="10"/>
  <c r="U113" i="10"/>
  <c r="T113" i="10"/>
  <c r="S113" i="10"/>
  <c r="R113" i="10"/>
  <c r="Q113" i="10"/>
  <c r="P113" i="10"/>
  <c r="O113" i="10"/>
  <c r="N113" i="10"/>
  <c r="M113" i="10"/>
  <c r="L113" i="10"/>
  <c r="K113" i="10"/>
  <c r="J113" i="10"/>
  <c r="I113" i="10"/>
  <c r="H113" i="10"/>
  <c r="G113" i="10"/>
  <c r="F113" i="10"/>
  <c r="E113" i="10"/>
  <c r="D113" i="10"/>
  <c r="C113" i="10"/>
  <c r="AE112" i="10"/>
  <c r="AD112" i="10"/>
  <c r="AC112" i="10"/>
  <c r="AB112" i="10"/>
  <c r="AA112" i="10"/>
  <c r="Z112" i="10"/>
  <c r="Y112" i="10"/>
  <c r="X112" i="10"/>
  <c r="W112" i="10"/>
  <c r="V112" i="10"/>
  <c r="U112" i="10"/>
  <c r="T112" i="10"/>
  <c r="S112" i="10"/>
  <c r="R112" i="10"/>
  <c r="Q112" i="10"/>
  <c r="P112" i="10"/>
  <c r="O112" i="10"/>
  <c r="N112" i="10"/>
  <c r="M112" i="10"/>
  <c r="L112" i="10"/>
  <c r="K112" i="10"/>
  <c r="J112" i="10"/>
  <c r="I112" i="10"/>
  <c r="H112" i="10"/>
  <c r="G112" i="10"/>
  <c r="F112" i="10"/>
  <c r="E112" i="10"/>
  <c r="D112" i="10"/>
  <c r="C112" i="10"/>
  <c r="AE111" i="10"/>
  <c r="AD111" i="10"/>
  <c r="AC111" i="10"/>
  <c r="AB111" i="10"/>
  <c r="AA111" i="10"/>
  <c r="Z111" i="10"/>
  <c r="Y111" i="10"/>
  <c r="X111" i="10"/>
  <c r="W111" i="10"/>
  <c r="V111" i="10"/>
  <c r="U111" i="10"/>
  <c r="T111" i="10"/>
  <c r="S111" i="10"/>
  <c r="R111" i="10"/>
  <c r="Q111" i="10"/>
  <c r="P111" i="10"/>
  <c r="O111" i="10"/>
  <c r="N111" i="10"/>
  <c r="M111" i="10"/>
  <c r="L111" i="10"/>
  <c r="K111" i="10"/>
  <c r="J111" i="10"/>
  <c r="I111" i="10"/>
  <c r="H111" i="10"/>
  <c r="G111" i="10"/>
  <c r="F111" i="10"/>
  <c r="E111" i="10"/>
  <c r="D111" i="10"/>
  <c r="C111" i="10"/>
  <c r="AE110" i="10"/>
  <c r="AD110" i="10"/>
  <c r="AC110" i="10"/>
  <c r="AB110" i="10"/>
  <c r="AA110" i="10"/>
  <c r="Z110" i="10"/>
  <c r="Y110" i="10"/>
  <c r="X110" i="10"/>
  <c r="W110" i="10"/>
  <c r="V110" i="10"/>
  <c r="U110" i="10"/>
  <c r="T110" i="10"/>
  <c r="S110" i="10"/>
  <c r="R110" i="10"/>
  <c r="Q110" i="10"/>
  <c r="P110" i="10"/>
  <c r="O110" i="10"/>
  <c r="N110" i="10"/>
  <c r="M110" i="10"/>
  <c r="L110" i="10"/>
  <c r="K110" i="10"/>
  <c r="J110" i="10"/>
  <c r="I110" i="10"/>
  <c r="H110" i="10"/>
  <c r="G110" i="10"/>
  <c r="F110" i="10"/>
  <c r="E110" i="10"/>
  <c r="D110" i="10"/>
  <c r="C110" i="10"/>
  <c r="AE109" i="10"/>
  <c r="AD109" i="10"/>
  <c r="AC109" i="10"/>
  <c r="AB109" i="10"/>
  <c r="AA109" i="10"/>
  <c r="Z109" i="10"/>
  <c r="Y109" i="10"/>
  <c r="X109" i="10"/>
  <c r="W109" i="10"/>
  <c r="V109" i="10"/>
  <c r="U109" i="10"/>
  <c r="T109" i="10"/>
  <c r="S109" i="10"/>
  <c r="R109" i="10"/>
  <c r="Q109" i="10"/>
  <c r="P109" i="10"/>
  <c r="O109" i="10"/>
  <c r="N109" i="10"/>
  <c r="M109" i="10"/>
  <c r="L109" i="10"/>
  <c r="K109" i="10"/>
  <c r="J109" i="10"/>
  <c r="I109" i="10"/>
  <c r="H109" i="10"/>
  <c r="G109" i="10"/>
  <c r="F109" i="10"/>
  <c r="E109" i="10"/>
  <c r="D109" i="10"/>
  <c r="C109" i="10"/>
  <c r="AE108" i="10"/>
  <c r="AD108" i="10"/>
  <c r="AC108" i="10"/>
  <c r="AB108" i="10"/>
  <c r="AA108" i="10"/>
  <c r="Z108" i="10"/>
  <c r="Y108" i="10"/>
  <c r="X108" i="10"/>
  <c r="W108" i="10"/>
  <c r="V108" i="10"/>
  <c r="U108" i="10"/>
  <c r="T108" i="10"/>
  <c r="S108" i="10"/>
  <c r="R108" i="10"/>
  <c r="Q108" i="10"/>
  <c r="P108" i="10"/>
  <c r="O108" i="10"/>
  <c r="N108" i="10"/>
  <c r="M108" i="10"/>
  <c r="L108" i="10"/>
  <c r="K108" i="10"/>
  <c r="J108" i="10"/>
  <c r="I108" i="10"/>
  <c r="H108" i="10"/>
  <c r="G108" i="10"/>
  <c r="F108" i="10"/>
  <c r="E108" i="10"/>
  <c r="D108" i="10"/>
  <c r="C108" i="10"/>
  <c r="AE107" i="10"/>
  <c r="AD107" i="10"/>
  <c r="AC107" i="10"/>
  <c r="AB107" i="10"/>
  <c r="AA107" i="10"/>
  <c r="Z107" i="10"/>
  <c r="Y107" i="10"/>
  <c r="X107" i="10"/>
  <c r="W107" i="10"/>
  <c r="V107" i="10"/>
  <c r="U107" i="10"/>
  <c r="T107" i="10"/>
  <c r="S107" i="10"/>
  <c r="R107" i="10"/>
  <c r="Q107" i="10"/>
  <c r="P107" i="10"/>
  <c r="O107" i="10"/>
  <c r="N107" i="10"/>
  <c r="M107" i="10"/>
  <c r="L107" i="10"/>
  <c r="K107" i="10"/>
  <c r="J107" i="10"/>
  <c r="I107" i="10"/>
  <c r="H107" i="10"/>
  <c r="G107" i="10"/>
  <c r="F107" i="10"/>
  <c r="E107" i="10"/>
  <c r="D107" i="10"/>
  <c r="C107" i="10"/>
  <c r="AE106" i="10"/>
  <c r="AD106" i="10"/>
  <c r="AC106" i="10"/>
  <c r="AB106" i="10"/>
  <c r="AA106" i="10"/>
  <c r="Z106" i="10"/>
  <c r="Y106" i="10"/>
  <c r="X106" i="10"/>
  <c r="W106" i="10"/>
  <c r="V106" i="10"/>
  <c r="U106" i="10"/>
  <c r="T106" i="10"/>
  <c r="S106" i="10"/>
  <c r="R106" i="10"/>
  <c r="Q106" i="10"/>
  <c r="P106" i="10"/>
  <c r="O106" i="10"/>
  <c r="N106" i="10"/>
  <c r="M106" i="10"/>
  <c r="L106" i="10"/>
  <c r="K106" i="10"/>
  <c r="J106" i="10"/>
  <c r="I106" i="10"/>
  <c r="H106" i="10"/>
  <c r="G106" i="10"/>
  <c r="F106" i="10"/>
  <c r="E106" i="10"/>
  <c r="D106" i="10"/>
  <c r="C106"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E105" i="10"/>
  <c r="AE104" i="10"/>
  <c r="AD104" i="10"/>
  <c r="AA104" i="10"/>
  <c r="Z104" i="10"/>
  <c r="W104" i="10"/>
  <c r="V104" i="10"/>
  <c r="S104" i="10"/>
  <c r="R104" i="10"/>
  <c r="O104" i="10"/>
  <c r="N104" i="10"/>
  <c r="K104" i="10"/>
  <c r="J104" i="10"/>
  <c r="G104" i="10"/>
  <c r="F104" i="10"/>
  <c r="E104" i="10"/>
  <c r="AI101" i="10" l="1"/>
  <c r="AH101" i="10"/>
  <c r="C36" i="1"/>
  <c r="B71" i="1"/>
  <c r="J3" i="5" l="1"/>
  <c r="J5" i="5"/>
  <c r="J7" i="5"/>
  <c r="J10" i="5"/>
  <c r="J11" i="5"/>
  <c r="J14" i="5"/>
  <c r="J15" i="5"/>
  <c r="J18" i="5"/>
  <c r="J19" i="5"/>
  <c r="J22" i="5"/>
  <c r="J23" i="5"/>
  <c r="J26" i="5"/>
  <c r="J27" i="5"/>
  <c r="J30" i="5"/>
  <c r="J31" i="5"/>
  <c r="J28" i="5"/>
  <c r="J2" i="5"/>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AK61" i="13" l="1"/>
  <c r="L60" i="1"/>
  <c r="L60" i="10"/>
  <c r="AK27" i="13"/>
  <c r="AK45" i="13"/>
  <c r="L44" i="10"/>
  <c r="L44" i="1"/>
  <c r="AK11" i="13"/>
  <c r="L65" i="10"/>
  <c r="AK66" i="13"/>
  <c r="L65" i="1"/>
  <c r="AK32" i="13"/>
  <c r="AK58" i="13"/>
  <c r="AK24" i="13"/>
  <c r="L57" i="10"/>
  <c r="L57" i="1"/>
  <c r="AK16" i="13"/>
  <c r="AK50" i="13"/>
  <c r="L49" i="1"/>
  <c r="L49" i="10"/>
  <c r="L41" i="10"/>
  <c r="AK8" i="13"/>
  <c r="AK42" i="13"/>
  <c r="L41" i="1"/>
  <c r="AK53" i="13"/>
  <c r="AK19" i="13"/>
  <c r="L52" i="1"/>
  <c r="L52" i="10"/>
  <c r="AK31" i="13"/>
  <c r="L64" i="1"/>
  <c r="L64" i="10"/>
  <c r="AK65" i="13"/>
  <c r="L56" i="10"/>
  <c r="L56" i="1"/>
  <c r="AK57" i="13"/>
  <c r="AK23" i="13"/>
  <c r="L48" i="1"/>
  <c r="AK15" i="13"/>
  <c r="L48" i="10"/>
  <c r="AK49" i="13"/>
  <c r="L39" i="10"/>
  <c r="L39" i="1"/>
  <c r="AK40" i="13"/>
  <c r="AK6" i="13"/>
  <c r="L61" i="10"/>
  <c r="AK28" i="13"/>
  <c r="L61" i="1"/>
  <c r="AK62" i="13"/>
  <c r="AK37" i="13"/>
  <c r="AK3" i="13"/>
  <c r="L36" i="1"/>
  <c r="L36" i="10"/>
  <c r="L62" i="1"/>
  <c r="L62" i="10"/>
  <c r="AK29" i="13"/>
  <c r="AK63" i="13"/>
  <c r="AK20" i="13"/>
  <c r="L53" i="1"/>
  <c r="L53" i="10"/>
  <c r="AK54" i="13"/>
  <c r="AK12" i="13"/>
  <c r="L45" i="10"/>
  <c r="L45" i="1"/>
  <c r="AK46" i="13"/>
  <c r="L38" i="10"/>
  <c r="L38" i="1"/>
  <c r="AK39" i="13"/>
  <c r="AK5" i="13"/>
  <c r="J24" i="5"/>
  <c r="J16" i="5"/>
  <c r="J12" i="5"/>
  <c r="J4" i="5"/>
  <c r="J20" i="5"/>
  <c r="J8" i="5"/>
  <c r="J6" i="5"/>
  <c r="J29" i="5"/>
  <c r="J25" i="5"/>
  <c r="J21" i="5"/>
  <c r="J17" i="5"/>
  <c r="J13" i="5"/>
  <c r="J9" i="5"/>
  <c r="B98" i="1"/>
  <c r="B104" i="1"/>
  <c r="B97" i="1"/>
  <c r="B93" i="1"/>
  <c r="B89" i="1"/>
  <c r="B85" i="1"/>
  <c r="B81" i="1"/>
  <c r="B77" i="1"/>
  <c r="B73" i="1"/>
  <c r="AC100" i="1"/>
  <c r="AC133" i="1" s="1"/>
  <c r="Y100" i="1"/>
  <c r="Y133" i="1" s="1"/>
  <c r="U100" i="1"/>
  <c r="U133" i="1" s="1"/>
  <c r="Q100" i="1"/>
  <c r="Q133" i="1" s="1"/>
  <c r="M100" i="1"/>
  <c r="M133" i="1" s="1"/>
  <c r="I100" i="1"/>
  <c r="I133" i="1" s="1"/>
  <c r="E100" i="1"/>
  <c r="E133" i="1" s="1"/>
  <c r="AD99" i="1"/>
  <c r="AD132" i="1" s="1"/>
  <c r="Z99" i="1"/>
  <c r="Z132" i="1" s="1"/>
  <c r="V99" i="1"/>
  <c r="V132" i="1" s="1"/>
  <c r="R99" i="1"/>
  <c r="R132" i="1" s="1"/>
  <c r="N99" i="1"/>
  <c r="N132" i="1" s="1"/>
  <c r="J99" i="1"/>
  <c r="J132" i="1" s="1"/>
  <c r="F99" i="1"/>
  <c r="F132" i="1" s="1"/>
  <c r="AE98" i="1"/>
  <c r="AE131" i="1" s="1"/>
  <c r="AA98" i="1"/>
  <c r="AA131" i="1" s="1"/>
  <c r="W98" i="1"/>
  <c r="W131" i="1" s="1"/>
  <c r="S98" i="1"/>
  <c r="S131" i="1" s="1"/>
  <c r="O98" i="1"/>
  <c r="O131" i="1" s="1"/>
  <c r="K98" i="1"/>
  <c r="K131" i="1" s="1"/>
  <c r="G98" i="1"/>
  <c r="G131" i="1" s="1"/>
  <c r="C98" i="1"/>
  <c r="C131" i="1" s="1"/>
  <c r="AB97" i="1"/>
  <c r="AB130" i="1" s="1"/>
  <c r="X97" i="1"/>
  <c r="X130" i="1" s="1"/>
  <c r="T97" i="1"/>
  <c r="T130" i="1" s="1"/>
  <c r="P97" i="1"/>
  <c r="P130" i="1" s="1"/>
  <c r="L97" i="1"/>
  <c r="L130" i="1" s="1"/>
  <c r="H97" i="1"/>
  <c r="H130" i="1" s="1"/>
  <c r="D97" i="1"/>
  <c r="D130" i="1" s="1"/>
  <c r="AC96" i="1"/>
  <c r="AC129" i="1" s="1"/>
  <c r="Y96" i="1"/>
  <c r="Y129" i="1" s="1"/>
  <c r="U96" i="1"/>
  <c r="U129" i="1" s="1"/>
  <c r="Q96" i="1"/>
  <c r="Q129" i="1" s="1"/>
  <c r="M96" i="1"/>
  <c r="M129" i="1" s="1"/>
  <c r="I96" i="1"/>
  <c r="I129" i="1" s="1"/>
  <c r="E96" i="1"/>
  <c r="E129" i="1" s="1"/>
  <c r="AD95" i="1"/>
  <c r="AD128" i="1" s="1"/>
  <c r="Z95" i="1"/>
  <c r="Z128" i="1" s="1"/>
  <c r="V95" i="1"/>
  <c r="V128" i="1" s="1"/>
  <c r="R95" i="1"/>
  <c r="R128" i="1" s="1"/>
  <c r="N95" i="1"/>
  <c r="N128" i="1" s="1"/>
  <c r="J95" i="1"/>
  <c r="J128" i="1" s="1"/>
  <c r="F95" i="1"/>
  <c r="F128" i="1" s="1"/>
  <c r="AE94" i="1"/>
  <c r="AE127" i="1" s="1"/>
  <c r="AA94" i="1"/>
  <c r="AA127" i="1" s="1"/>
  <c r="W94" i="1"/>
  <c r="W127" i="1" s="1"/>
  <c r="S94" i="1"/>
  <c r="S127" i="1" s="1"/>
  <c r="O94" i="1"/>
  <c r="O127" i="1" s="1"/>
  <c r="K94" i="1"/>
  <c r="K127" i="1" s="1"/>
  <c r="G94" i="1"/>
  <c r="G127" i="1" s="1"/>
  <c r="C94" i="1"/>
  <c r="C127" i="1" s="1"/>
  <c r="AB93" i="1"/>
  <c r="AB126" i="1" s="1"/>
  <c r="X93" i="1"/>
  <c r="X126" i="1" s="1"/>
  <c r="T93" i="1"/>
  <c r="T126" i="1" s="1"/>
  <c r="P93" i="1"/>
  <c r="P126" i="1" s="1"/>
  <c r="L93" i="1"/>
  <c r="L126" i="1" s="1"/>
  <c r="H93" i="1"/>
  <c r="H126" i="1" s="1"/>
  <c r="D93" i="1"/>
  <c r="D126" i="1" s="1"/>
  <c r="AC92" i="1"/>
  <c r="AC125" i="1" s="1"/>
  <c r="Y92" i="1"/>
  <c r="Y125" i="1" s="1"/>
  <c r="U92" i="1"/>
  <c r="U125" i="1" s="1"/>
  <c r="Q92" i="1"/>
  <c r="Q125" i="1" s="1"/>
  <c r="M92" i="1"/>
  <c r="M125" i="1" s="1"/>
  <c r="I92" i="1"/>
  <c r="I125" i="1" s="1"/>
  <c r="E92" i="1"/>
  <c r="E125" i="1" s="1"/>
  <c r="AD91" i="1"/>
  <c r="AD124" i="1" s="1"/>
  <c r="Z91" i="1"/>
  <c r="Z124" i="1" s="1"/>
  <c r="V91" i="1"/>
  <c r="V124" i="1" s="1"/>
  <c r="R91" i="1"/>
  <c r="R124" i="1" s="1"/>
  <c r="N91" i="1"/>
  <c r="N124" i="1" s="1"/>
  <c r="J91" i="1"/>
  <c r="J124" i="1" s="1"/>
  <c r="F91" i="1"/>
  <c r="F124" i="1" s="1"/>
  <c r="AE90" i="1"/>
  <c r="AE123" i="1" s="1"/>
  <c r="AA90" i="1"/>
  <c r="AA123" i="1" s="1"/>
  <c r="W90" i="1"/>
  <c r="W123" i="1" s="1"/>
  <c r="S90" i="1"/>
  <c r="S123" i="1" s="1"/>
  <c r="O90" i="1"/>
  <c r="O123" i="1" s="1"/>
  <c r="K90" i="1"/>
  <c r="K123" i="1" s="1"/>
  <c r="G90" i="1"/>
  <c r="G123" i="1" s="1"/>
  <c r="C90" i="1"/>
  <c r="C123" i="1" s="1"/>
  <c r="AB89" i="1"/>
  <c r="AB122" i="1" s="1"/>
  <c r="X89" i="1"/>
  <c r="X122" i="1" s="1"/>
  <c r="T89" i="1"/>
  <c r="T122" i="1" s="1"/>
  <c r="P89" i="1"/>
  <c r="P122" i="1" s="1"/>
  <c r="L89" i="1"/>
  <c r="L122" i="1" s="1"/>
  <c r="H89" i="1"/>
  <c r="H122" i="1" s="1"/>
  <c r="D89" i="1"/>
  <c r="D122" i="1" s="1"/>
  <c r="AC88" i="1"/>
  <c r="AC121" i="1" s="1"/>
  <c r="Y88" i="1"/>
  <c r="Y121" i="1" s="1"/>
  <c r="U88" i="1"/>
  <c r="U121" i="1" s="1"/>
  <c r="Q88" i="1"/>
  <c r="Q121" i="1" s="1"/>
  <c r="M88" i="1"/>
  <c r="M121" i="1" s="1"/>
  <c r="I88" i="1"/>
  <c r="I121" i="1" s="1"/>
  <c r="E88" i="1"/>
  <c r="E121" i="1" s="1"/>
  <c r="AD87" i="1"/>
  <c r="AD120" i="1" s="1"/>
  <c r="Z87" i="1"/>
  <c r="Z120" i="1" s="1"/>
  <c r="V87" i="1"/>
  <c r="V120" i="1" s="1"/>
  <c r="R87" i="1"/>
  <c r="R120" i="1" s="1"/>
  <c r="N87" i="1"/>
  <c r="N120" i="1" s="1"/>
  <c r="J87" i="1"/>
  <c r="J120" i="1" s="1"/>
  <c r="F87" i="1"/>
  <c r="F120" i="1" s="1"/>
  <c r="AE86" i="1"/>
  <c r="AE119" i="1" s="1"/>
  <c r="AA86" i="1"/>
  <c r="AA119" i="1" s="1"/>
  <c r="W86" i="1"/>
  <c r="W119" i="1" s="1"/>
  <c r="S86" i="1"/>
  <c r="S119" i="1" s="1"/>
  <c r="O86" i="1"/>
  <c r="O119" i="1" s="1"/>
  <c r="K86" i="1"/>
  <c r="K119" i="1" s="1"/>
  <c r="G86" i="1"/>
  <c r="G119" i="1" s="1"/>
  <c r="C86" i="1"/>
  <c r="C119" i="1" s="1"/>
  <c r="AB85" i="1"/>
  <c r="AB118" i="1" s="1"/>
  <c r="X85" i="1"/>
  <c r="X118" i="1" s="1"/>
  <c r="T85" i="1"/>
  <c r="T118" i="1" s="1"/>
  <c r="P85" i="1"/>
  <c r="P118" i="1" s="1"/>
  <c r="L85" i="1"/>
  <c r="L118" i="1" s="1"/>
  <c r="H85" i="1"/>
  <c r="H118" i="1" s="1"/>
  <c r="D85" i="1"/>
  <c r="D118" i="1" s="1"/>
  <c r="AC84" i="1"/>
  <c r="AC117" i="1" s="1"/>
  <c r="Y84" i="1"/>
  <c r="Y117" i="1" s="1"/>
  <c r="U84" i="1"/>
  <c r="U117" i="1" s="1"/>
  <c r="Q84" i="1"/>
  <c r="Q117" i="1" s="1"/>
  <c r="M84" i="1"/>
  <c r="M117" i="1" s="1"/>
  <c r="I84" i="1"/>
  <c r="I117" i="1" s="1"/>
  <c r="E84" i="1"/>
  <c r="E117" i="1" s="1"/>
  <c r="AD83" i="1"/>
  <c r="AD116" i="1" s="1"/>
  <c r="Z83" i="1"/>
  <c r="Z116" i="1" s="1"/>
  <c r="V83" i="1"/>
  <c r="V116" i="1" s="1"/>
  <c r="R83" i="1"/>
  <c r="R116" i="1" s="1"/>
  <c r="N83" i="1"/>
  <c r="N116" i="1" s="1"/>
  <c r="J83" i="1"/>
  <c r="J116" i="1" s="1"/>
  <c r="F83" i="1"/>
  <c r="F116" i="1" s="1"/>
  <c r="AE82" i="1"/>
  <c r="AE115" i="1" s="1"/>
  <c r="AA82" i="1"/>
  <c r="AA115" i="1" s="1"/>
  <c r="W82" i="1"/>
  <c r="W115" i="1" s="1"/>
  <c r="S82" i="1"/>
  <c r="S115" i="1" s="1"/>
  <c r="O82" i="1"/>
  <c r="O115" i="1" s="1"/>
  <c r="K82" i="1"/>
  <c r="K115" i="1" s="1"/>
  <c r="G82" i="1"/>
  <c r="G115" i="1" s="1"/>
  <c r="C82" i="1"/>
  <c r="C115" i="1" s="1"/>
  <c r="AB81" i="1"/>
  <c r="AB114" i="1" s="1"/>
  <c r="X81" i="1"/>
  <c r="X114" i="1" s="1"/>
  <c r="T81" i="1"/>
  <c r="T114" i="1" s="1"/>
  <c r="P81" i="1"/>
  <c r="P114" i="1" s="1"/>
  <c r="L81" i="1"/>
  <c r="L114" i="1" s="1"/>
  <c r="H81" i="1"/>
  <c r="H114" i="1" s="1"/>
  <c r="D81" i="1"/>
  <c r="D114" i="1" s="1"/>
  <c r="AC80" i="1"/>
  <c r="AC113" i="1" s="1"/>
  <c r="Y80" i="1"/>
  <c r="Y113" i="1" s="1"/>
  <c r="U80" i="1"/>
  <c r="U113" i="1" s="1"/>
  <c r="Q80" i="1"/>
  <c r="Q113" i="1" s="1"/>
  <c r="M80" i="1"/>
  <c r="M113" i="1" s="1"/>
  <c r="I80" i="1"/>
  <c r="I113" i="1" s="1"/>
  <c r="E80" i="1"/>
  <c r="E113" i="1" s="1"/>
  <c r="AD79" i="1"/>
  <c r="AD112" i="1" s="1"/>
  <c r="Z79" i="1"/>
  <c r="Z112" i="1" s="1"/>
  <c r="V79" i="1"/>
  <c r="V112" i="1" s="1"/>
  <c r="R79" i="1"/>
  <c r="R112" i="1" s="1"/>
  <c r="N79" i="1"/>
  <c r="N112" i="1" s="1"/>
  <c r="J79" i="1"/>
  <c r="J112" i="1" s="1"/>
  <c r="F79" i="1"/>
  <c r="F112" i="1" s="1"/>
  <c r="AE78" i="1"/>
  <c r="AE111" i="1" s="1"/>
  <c r="AA78" i="1"/>
  <c r="AA111" i="1" s="1"/>
  <c r="W78" i="1"/>
  <c r="W111" i="1" s="1"/>
  <c r="S78" i="1"/>
  <c r="S111" i="1" s="1"/>
  <c r="O78" i="1"/>
  <c r="O111" i="1" s="1"/>
  <c r="K78" i="1"/>
  <c r="K111" i="1" s="1"/>
  <c r="G78" i="1"/>
  <c r="G111" i="1" s="1"/>
  <c r="C78" i="1"/>
  <c r="C111" i="1" s="1"/>
  <c r="AB77" i="1"/>
  <c r="AB110" i="1" s="1"/>
  <c r="X77" i="1"/>
  <c r="X110" i="1" s="1"/>
  <c r="T77" i="1"/>
  <c r="T110" i="1" s="1"/>
  <c r="P77" i="1"/>
  <c r="P110" i="1" s="1"/>
  <c r="L77" i="1"/>
  <c r="L110" i="1" s="1"/>
  <c r="H77" i="1"/>
  <c r="H110" i="1" s="1"/>
  <c r="D77" i="1"/>
  <c r="D110" i="1" s="1"/>
  <c r="AC76" i="1"/>
  <c r="AC109" i="1" s="1"/>
  <c r="Y76" i="1"/>
  <c r="Y109" i="1" s="1"/>
  <c r="U76" i="1"/>
  <c r="U109" i="1" s="1"/>
  <c r="Q76" i="1"/>
  <c r="Q109" i="1" s="1"/>
  <c r="M76" i="1"/>
  <c r="M109" i="1" s="1"/>
  <c r="I76" i="1"/>
  <c r="I109" i="1" s="1"/>
  <c r="E76" i="1"/>
  <c r="E109" i="1" s="1"/>
  <c r="AD75" i="1"/>
  <c r="AD108" i="1" s="1"/>
  <c r="Z75" i="1"/>
  <c r="Z108" i="1" s="1"/>
  <c r="V75" i="1"/>
  <c r="V108" i="1" s="1"/>
  <c r="R75" i="1"/>
  <c r="R108" i="1" s="1"/>
  <c r="N75" i="1"/>
  <c r="N108" i="1" s="1"/>
  <c r="J75" i="1"/>
  <c r="J108" i="1" s="1"/>
  <c r="F75" i="1"/>
  <c r="F108" i="1" s="1"/>
  <c r="AE74" i="1"/>
  <c r="AE107" i="1" s="1"/>
  <c r="AA74" i="1"/>
  <c r="AA107" i="1" s="1"/>
  <c r="W74" i="1"/>
  <c r="W107" i="1" s="1"/>
  <c r="S74" i="1"/>
  <c r="S107" i="1" s="1"/>
  <c r="O74" i="1"/>
  <c r="O107" i="1" s="1"/>
  <c r="K74" i="1"/>
  <c r="K107" i="1" s="1"/>
  <c r="G74" i="1"/>
  <c r="G107" i="1" s="1"/>
  <c r="C74" i="1"/>
  <c r="C107" i="1" s="1"/>
  <c r="AB73" i="1"/>
  <c r="AB106" i="1" s="1"/>
  <c r="X73" i="1"/>
  <c r="X106" i="1" s="1"/>
  <c r="T73" i="1"/>
  <c r="T106" i="1" s="1"/>
  <c r="P73" i="1"/>
  <c r="P106" i="1" s="1"/>
  <c r="L73" i="1"/>
  <c r="L106" i="1" s="1"/>
  <c r="H73" i="1"/>
  <c r="H106" i="1" s="1"/>
  <c r="D73" i="1"/>
  <c r="D106" i="1" s="1"/>
  <c r="AC72" i="1"/>
  <c r="AC105" i="1" s="1"/>
  <c r="Y72" i="1"/>
  <c r="Y105" i="1" s="1"/>
  <c r="U72" i="1"/>
  <c r="U105" i="1" s="1"/>
  <c r="Q72" i="1"/>
  <c r="Q105" i="1" s="1"/>
  <c r="M72" i="1"/>
  <c r="M105" i="1" s="1"/>
  <c r="I72" i="1"/>
  <c r="I105" i="1" s="1"/>
  <c r="E72" i="1"/>
  <c r="E105" i="1" s="1"/>
  <c r="AD71" i="1"/>
  <c r="AD104" i="1" s="1"/>
  <c r="Z71" i="1"/>
  <c r="Z104" i="1" s="1"/>
  <c r="V71" i="1"/>
  <c r="V104" i="1" s="1"/>
  <c r="B100" i="1"/>
  <c r="B96" i="1"/>
  <c r="B92" i="1"/>
  <c r="B88" i="1"/>
  <c r="B84" i="1"/>
  <c r="B80" i="1"/>
  <c r="B76" i="1"/>
  <c r="B72" i="1"/>
  <c r="AB100" i="1"/>
  <c r="AB133" i="1" s="1"/>
  <c r="X100" i="1"/>
  <c r="X133" i="1" s="1"/>
  <c r="T100" i="1"/>
  <c r="T133" i="1" s="1"/>
  <c r="P100" i="1"/>
  <c r="P133" i="1" s="1"/>
  <c r="L100" i="1"/>
  <c r="L133" i="1" s="1"/>
  <c r="H100" i="1"/>
  <c r="H133" i="1" s="1"/>
  <c r="D100" i="1"/>
  <c r="D133" i="1" s="1"/>
  <c r="AC99" i="1"/>
  <c r="AC132" i="1" s="1"/>
  <c r="Y99" i="1"/>
  <c r="Y132" i="1" s="1"/>
  <c r="U99" i="1"/>
  <c r="U132" i="1" s="1"/>
  <c r="Q99" i="1"/>
  <c r="Q132" i="1" s="1"/>
  <c r="M99" i="1"/>
  <c r="M132" i="1" s="1"/>
  <c r="I99" i="1"/>
  <c r="I132" i="1" s="1"/>
  <c r="E99" i="1"/>
  <c r="E132" i="1" s="1"/>
  <c r="AD98" i="1"/>
  <c r="AD131" i="1" s="1"/>
  <c r="Z98" i="1"/>
  <c r="Z131" i="1" s="1"/>
  <c r="V98" i="1"/>
  <c r="V131" i="1" s="1"/>
  <c r="R98" i="1"/>
  <c r="R131" i="1" s="1"/>
  <c r="N98" i="1"/>
  <c r="N131" i="1" s="1"/>
  <c r="J98" i="1"/>
  <c r="J131" i="1" s="1"/>
  <c r="F98" i="1"/>
  <c r="F131" i="1" s="1"/>
  <c r="AE97" i="1"/>
  <c r="AE130" i="1" s="1"/>
  <c r="AA97" i="1"/>
  <c r="AA130" i="1" s="1"/>
  <c r="W97" i="1"/>
  <c r="W130" i="1" s="1"/>
  <c r="S97" i="1"/>
  <c r="S130" i="1" s="1"/>
  <c r="O97" i="1"/>
  <c r="O130" i="1" s="1"/>
  <c r="K97" i="1"/>
  <c r="K130" i="1" s="1"/>
  <c r="G97" i="1"/>
  <c r="G130" i="1" s="1"/>
  <c r="C97" i="1"/>
  <c r="C130" i="1" s="1"/>
  <c r="AB96" i="1"/>
  <c r="AB129" i="1" s="1"/>
  <c r="X96" i="1"/>
  <c r="X129" i="1" s="1"/>
  <c r="T96" i="1"/>
  <c r="T129" i="1" s="1"/>
  <c r="P96" i="1"/>
  <c r="P129" i="1" s="1"/>
  <c r="L96" i="1"/>
  <c r="L129" i="1" s="1"/>
  <c r="H96" i="1"/>
  <c r="H129" i="1" s="1"/>
  <c r="D96" i="1"/>
  <c r="D129" i="1" s="1"/>
  <c r="AC95" i="1"/>
  <c r="AC128" i="1" s="1"/>
  <c r="Y95" i="1"/>
  <c r="Y128" i="1" s="1"/>
  <c r="U95" i="1"/>
  <c r="U128" i="1" s="1"/>
  <c r="Q95" i="1"/>
  <c r="Q128" i="1" s="1"/>
  <c r="M95" i="1"/>
  <c r="M128" i="1" s="1"/>
  <c r="I95" i="1"/>
  <c r="I128" i="1" s="1"/>
  <c r="E95" i="1"/>
  <c r="E128" i="1" s="1"/>
  <c r="AD94" i="1"/>
  <c r="AD127" i="1" s="1"/>
  <c r="Z94" i="1"/>
  <c r="Z127" i="1" s="1"/>
  <c r="V94" i="1"/>
  <c r="V127" i="1" s="1"/>
  <c r="R94" i="1"/>
  <c r="R127" i="1" s="1"/>
  <c r="N94" i="1"/>
  <c r="N127" i="1" s="1"/>
  <c r="J94" i="1"/>
  <c r="J127" i="1" s="1"/>
  <c r="F94" i="1"/>
  <c r="F127" i="1" s="1"/>
  <c r="AE93" i="1"/>
  <c r="AE126" i="1" s="1"/>
  <c r="AA93" i="1"/>
  <c r="AA126" i="1" s="1"/>
  <c r="W93" i="1"/>
  <c r="W126" i="1" s="1"/>
  <c r="S93" i="1"/>
  <c r="S126" i="1" s="1"/>
  <c r="O93" i="1"/>
  <c r="O126" i="1" s="1"/>
  <c r="K93" i="1"/>
  <c r="K126" i="1" s="1"/>
  <c r="G93" i="1"/>
  <c r="G126" i="1" s="1"/>
  <c r="C93" i="1"/>
  <c r="C126" i="1" s="1"/>
  <c r="AB92" i="1"/>
  <c r="AB125" i="1" s="1"/>
  <c r="X92" i="1"/>
  <c r="X125" i="1" s="1"/>
  <c r="T92" i="1"/>
  <c r="T125" i="1" s="1"/>
  <c r="P92" i="1"/>
  <c r="P125" i="1" s="1"/>
  <c r="L92" i="1"/>
  <c r="L125" i="1" s="1"/>
  <c r="H92" i="1"/>
  <c r="H125" i="1" s="1"/>
  <c r="D92" i="1"/>
  <c r="D125" i="1" s="1"/>
  <c r="AC91" i="1"/>
  <c r="AC124" i="1" s="1"/>
  <c r="Y91" i="1"/>
  <c r="Y124" i="1" s="1"/>
  <c r="U91" i="1"/>
  <c r="U124" i="1" s="1"/>
  <c r="Q91" i="1"/>
  <c r="Q124" i="1" s="1"/>
  <c r="M91" i="1"/>
  <c r="M124" i="1" s="1"/>
  <c r="I91" i="1"/>
  <c r="I124" i="1" s="1"/>
  <c r="E91" i="1"/>
  <c r="E124" i="1" s="1"/>
  <c r="AD90" i="1"/>
  <c r="AD123" i="1" s="1"/>
  <c r="Z90" i="1"/>
  <c r="Z123" i="1" s="1"/>
  <c r="V90" i="1"/>
  <c r="V123" i="1" s="1"/>
  <c r="R90" i="1"/>
  <c r="R123" i="1" s="1"/>
  <c r="N90" i="1"/>
  <c r="N123" i="1" s="1"/>
  <c r="J90" i="1"/>
  <c r="J123" i="1" s="1"/>
  <c r="F90" i="1"/>
  <c r="F123" i="1" s="1"/>
  <c r="AE89" i="1"/>
  <c r="AE122" i="1" s="1"/>
  <c r="AA89" i="1"/>
  <c r="AA122" i="1" s="1"/>
  <c r="W89" i="1"/>
  <c r="W122" i="1" s="1"/>
  <c r="S89" i="1"/>
  <c r="S122" i="1" s="1"/>
  <c r="O89" i="1"/>
  <c r="O122" i="1" s="1"/>
  <c r="K89" i="1"/>
  <c r="K122" i="1" s="1"/>
  <c r="G89" i="1"/>
  <c r="G122" i="1" s="1"/>
  <c r="C89" i="1"/>
  <c r="C122" i="1" s="1"/>
  <c r="AB88" i="1"/>
  <c r="AB121" i="1" s="1"/>
  <c r="X88" i="1"/>
  <c r="X121" i="1" s="1"/>
  <c r="T88" i="1"/>
  <c r="T121" i="1" s="1"/>
  <c r="P88" i="1"/>
  <c r="P121" i="1" s="1"/>
  <c r="L88" i="1"/>
  <c r="L121" i="1" s="1"/>
  <c r="H88" i="1"/>
  <c r="H121" i="1" s="1"/>
  <c r="D88" i="1"/>
  <c r="D121" i="1" s="1"/>
  <c r="AC87" i="1"/>
  <c r="AC120" i="1" s="1"/>
  <c r="Y87" i="1"/>
  <c r="Y120" i="1" s="1"/>
  <c r="U87" i="1"/>
  <c r="U120" i="1" s="1"/>
  <c r="Q87" i="1"/>
  <c r="Q120" i="1" s="1"/>
  <c r="M87" i="1"/>
  <c r="M120" i="1" s="1"/>
  <c r="I87" i="1"/>
  <c r="I120" i="1" s="1"/>
  <c r="E87" i="1"/>
  <c r="E120" i="1" s="1"/>
  <c r="AD86" i="1"/>
  <c r="AD119" i="1" s="1"/>
  <c r="Z86" i="1"/>
  <c r="Z119" i="1" s="1"/>
  <c r="V86" i="1"/>
  <c r="V119" i="1" s="1"/>
  <c r="R86" i="1"/>
  <c r="R119" i="1" s="1"/>
  <c r="N86" i="1"/>
  <c r="N119" i="1" s="1"/>
  <c r="J86" i="1"/>
  <c r="J119" i="1" s="1"/>
  <c r="F86" i="1"/>
  <c r="F119" i="1" s="1"/>
  <c r="AE85" i="1"/>
  <c r="AE118" i="1" s="1"/>
  <c r="AA85" i="1"/>
  <c r="AA118" i="1" s="1"/>
  <c r="W85" i="1"/>
  <c r="W118" i="1" s="1"/>
  <c r="S85" i="1"/>
  <c r="S118" i="1" s="1"/>
  <c r="O85" i="1"/>
  <c r="O118" i="1" s="1"/>
  <c r="K85" i="1"/>
  <c r="K118" i="1" s="1"/>
  <c r="G85" i="1"/>
  <c r="G118" i="1" s="1"/>
  <c r="C85" i="1"/>
  <c r="C118" i="1" s="1"/>
  <c r="AB84" i="1"/>
  <c r="AB117" i="1" s="1"/>
  <c r="X84" i="1"/>
  <c r="X117" i="1" s="1"/>
  <c r="T84" i="1"/>
  <c r="T117" i="1" s="1"/>
  <c r="P84" i="1"/>
  <c r="P117" i="1" s="1"/>
  <c r="L84" i="1"/>
  <c r="L117" i="1" s="1"/>
  <c r="H84" i="1"/>
  <c r="H117" i="1" s="1"/>
  <c r="D84" i="1"/>
  <c r="D117" i="1" s="1"/>
  <c r="AC83" i="1"/>
  <c r="AC116" i="1" s="1"/>
  <c r="Y83" i="1"/>
  <c r="Y116" i="1" s="1"/>
  <c r="U83" i="1"/>
  <c r="U116" i="1" s="1"/>
  <c r="Q83" i="1"/>
  <c r="Q116" i="1" s="1"/>
  <c r="M83" i="1"/>
  <c r="M116" i="1" s="1"/>
  <c r="I83" i="1"/>
  <c r="I116" i="1" s="1"/>
  <c r="E83" i="1"/>
  <c r="E116" i="1" s="1"/>
  <c r="AD82" i="1"/>
  <c r="AD115" i="1" s="1"/>
  <c r="Z82" i="1"/>
  <c r="Z115" i="1" s="1"/>
  <c r="V82" i="1"/>
  <c r="V115" i="1" s="1"/>
  <c r="R82" i="1"/>
  <c r="R115" i="1" s="1"/>
  <c r="N82" i="1"/>
  <c r="N115" i="1" s="1"/>
  <c r="J82" i="1"/>
  <c r="J115" i="1" s="1"/>
  <c r="F82" i="1"/>
  <c r="F115" i="1" s="1"/>
  <c r="AE81" i="1"/>
  <c r="AE114" i="1" s="1"/>
  <c r="AA81" i="1"/>
  <c r="AA114" i="1" s="1"/>
  <c r="W81" i="1"/>
  <c r="W114" i="1" s="1"/>
  <c r="S81" i="1"/>
  <c r="S114" i="1" s="1"/>
  <c r="O81" i="1"/>
  <c r="O114" i="1" s="1"/>
  <c r="K81" i="1"/>
  <c r="K114" i="1" s="1"/>
  <c r="G81" i="1"/>
  <c r="G114" i="1" s="1"/>
  <c r="C81" i="1"/>
  <c r="C114" i="1" s="1"/>
  <c r="AB80" i="1"/>
  <c r="AB113" i="1" s="1"/>
  <c r="X80" i="1"/>
  <c r="X113" i="1" s="1"/>
  <c r="T80" i="1"/>
  <c r="T113" i="1" s="1"/>
  <c r="P80" i="1"/>
  <c r="P113" i="1" s="1"/>
  <c r="L80" i="1"/>
  <c r="L113" i="1" s="1"/>
  <c r="H80" i="1"/>
  <c r="H113" i="1" s="1"/>
  <c r="D80" i="1"/>
  <c r="D113" i="1" s="1"/>
  <c r="AC79" i="1"/>
  <c r="AC112" i="1" s="1"/>
  <c r="Y79" i="1"/>
  <c r="Y112" i="1" s="1"/>
  <c r="U79" i="1"/>
  <c r="U112" i="1" s="1"/>
  <c r="Q79" i="1"/>
  <c r="Q112" i="1" s="1"/>
  <c r="M79" i="1"/>
  <c r="M112" i="1" s="1"/>
  <c r="I79" i="1"/>
  <c r="I112" i="1" s="1"/>
  <c r="E79" i="1"/>
  <c r="E112" i="1" s="1"/>
  <c r="AD78" i="1"/>
  <c r="AD111" i="1" s="1"/>
  <c r="Z78" i="1"/>
  <c r="Z111" i="1" s="1"/>
  <c r="V78" i="1"/>
  <c r="V111" i="1" s="1"/>
  <c r="R78" i="1"/>
  <c r="R111" i="1" s="1"/>
  <c r="N78" i="1"/>
  <c r="N111" i="1" s="1"/>
  <c r="J78" i="1"/>
  <c r="J111" i="1" s="1"/>
  <c r="F78" i="1"/>
  <c r="F111" i="1" s="1"/>
  <c r="AE77" i="1"/>
  <c r="AE110" i="1" s="1"/>
  <c r="AA77" i="1"/>
  <c r="AA110" i="1" s="1"/>
  <c r="W77" i="1"/>
  <c r="W110" i="1" s="1"/>
  <c r="S77" i="1"/>
  <c r="S110" i="1" s="1"/>
  <c r="O77" i="1"/>
  <c r="O110" i="1" s="1"/>
  <c r="K77" i="1"/>
  <c r="K110" i="1" s="1"/>
  <c r="G77" i="1"/>
  <c r="G110" i="1" s="1"/>
  <c r="C77" i="1"/>
  <c r="C110" i="1" s="1"/>
  <c r="AB76" i="1"/>
  <c r="AB109" i="1" s="1"/>
  <c r="X76" i="1"/>
  <c r="X109" i="1" s="1"/>
  <c r="T76" i="1"/>
  <c r="T109" i="1" s="1"/>
  <c r="P76" i="1"/>
  <c r="P109" i="1" s="1"/>
  <c r="L76" i="1"/>
  <c r="L109" i="1" s="1"/>
  <c r="H76" i="1"/>
  <c r="H109" i="1" s="1"/>
  <c r="D76" i="1"/>
  <c r="D109" i="1" s="1"/>
  <c r="AC75" i="1"/>
  <c r="AC108" i="1" s="1"/>
  <c r="Y75" i="1"/>
  <c r="Y108" i="1" s="1"/>
  <c r="U75" i="1"/>
  <c r="U108" i="1" s="1"/>
  <c r="Q75" i="1"/>
  <c r="Q108" i="1" s="1"/>
  <c r="M75" i="1"/>
  <c r="M108" i="1" s="1"/>
  <c r="I75" i="1"/>
  <c r="I108" i="1" s="1"/>
  <c r="E75" i="1"/>
  <c r="E108" i="1" s="1"/>
  <c r="AD74" i="1"/>
  <c r="AD107" i="1" s="1"/>
  <c r="Z74" i="1"/>
  <c r="Z107" i="1" s="1"/>
  <c r="V74" i="1"/>
  <c r="V107" i="1" s="1"/>
  <c r="R74" i="1"/>
  <c r="R107" i="1" s="1"/>
  <c r="N74" i="1"/>
  <c r="N107" i="1" s="1"/>
  <c r="J74" i="1"/>
  <c r="J107" i="1" s="1"/>
  <c r="F74" i="1"/>
  <c r="F107" i="1" s="1"/>
  <c r="AE73" i="1"/>
  <c r="AE106" i="1" s="1"/>
  <c r="AA73" i="1"/>
  <c r="AA106" i="1" s="1"/>
  <c r="W73" i="1"/>
  <c r="W106" i="1" s="1"/>
  <c r="S73" i="1"/>
  <c r="S106" i="1" s="1"/>
  <c r="O73" i="1"/>
  <c r="O106" i="1" s="1"/>
  <c r="K73" i="1"/>
  <c r="K106" i="1" s="1"/>
  <c r="G73" i="1"/>
  <c r="G106" i="1" s="1"/>
  <c r="C73" i="1"/>
  <c r="C106" i="1" s="1"/>
  <c r="AB72" i="1"/>
  <c r="AB105" i="1" s="1"/>
  <c r="X72" i="1"/>
  <c r="X105" i="1" s="1"/>
  <c r="T72" i="1"/>
  <c r="T105" i="1" s="1"/>
  <c r="P72" i="1"/>
  <c r="P105" i="1" s="1"/>
  <c r="L72" i="1"/>
  <c r="L105" i="1" s="1"/>
  <c r="H72" i="1"/>
  <c r="H105" i="1" s="1"/>
  <c r="D72" i="1"/>
  <c r="D105" i="1" s="1"/>
  <c r="AC71" i="1"/>
  <c r="AC104" i="1" s="1"/>
  <c r="Y71" i="1"/>
  <c r="Y104" i="1" s="1"/>
  <c r="U71" i="1"/>
  <c r="U104" i="1" s="1"/>
  <c r="Q71" i="1"/>
  <c r="Q104" i="1" s="1"/>
  <c r="M71" i="1"/>
  <c r="M104" i="1" s="1"/>
  <c r="B95" i="1"/>
  <c r="B91" i="1"/>
  <c r="B87" i="1"/>
  <c r="B83" i="1"/>
  <c r="B79" i="1"/>
  <c r="B75" i="1"/>
  <c r="AE100" i="1"/>
  <c r="AE133" i="1" s="1"/>
  <c r="AA100" i="1"/>
  <c r="AA133" i="1" s="1"/>
  <c r="W100" i="1"/>
  <c r="W133" i="1" s="1"/>
  <c r="S100" i="1"/>
  <c r="S133" i="1" s="1"/>
  <c r="O100" i="1"/>
  <c r="O133" i="1" s="1"/>
  <c r="K100" i="1"/>
  <c r="K133" i="1" s="1"/>
  <c r="G100" i="1"/>
  <c r="G133" i="1" s="1"/>
  <c r="C100" i="1"/>
  <c r="C133" i="1" s="1"/>
  <c r="AB99" i="1"/>
  <c r="AB132" i="1" s="1"/>
  <c r="X99" i="1"/>
  <c r="X132" i="1" s="1"/>
  <c r="T99" i="1"/>
  <c r="T132" i="1" s="1"/>
  <c r="P99" i="1"/>
  <c r="P132" i="1" s="1"/>
  <c r="L99" i="1"/>
  <c r="L132" i="1" s="1"/>
  <c r="H99" i="1"/>
  <c r="H132" i="1" s="1"/>
  <c r="D99" i="1"/>
  <c r="D132" i="1" s="1"/>
  <c r="AC98" i="1"/>
  <c r="AC131" i="1" s="1"/>
  <c r="Y98" i="1"/>
  <c r="Y131" i="1" s="1"/>
  <c r="U98" i="1"/>
  <c r="U131" i="1" s="1"/>
  <c r="Q98" i="1"/>
  <c r="Q131" i="1" s="1"/>
  <c r="M98" i="1"/>
  <c r="M131" i="1" s="1"/>
  <c r="I98" i="1"/>
  <c r="I131" i="1" s="1"/>
  <c r="E98" i="1"/>
  <c r="E131" i="1" s="1"/>
  <c r="AD97" i="1"/>
  <c r="AD130" i="1" s="1"/>
  <c r="Z97" i="1"/>
  <c r="Z130" i="1" s="1"/>
  <c r="V97" i="1"/>
  <c r="V130" i="1" s="1"/>
  <c r="R97" i="1"/>
  <c r="R130" i="1" s="1"/>
  <c r="N97" i="1"/>
  <c r="N130" i="1" s="1"/>
  <c r="J97" i="1"/>
  <c r="J130" i="1" s="1"/>
  <c r="F97" i="1"/>
  <c r="F130" i="1" s="1"/>
  <c r="AE96" i="1"/>
  <c r="AE129" i="1" s="1"/>
  <c r="AA96" i="1"/>
  <c r="AA129" i="1" s="1"/>
  <c r="W96" i="1"/>
  <c r="W129" i="1" s="1"/>
  <c r="S96" i="1"/>
  <c r="S129" i="1" s="1"/>
  <c r="O96" i="1"/>
  <c r="O129" i="1" s="1"/>
  <c r="K96" i="1"/>
  <c r="K129" i="1" s="1"/>
  <c r="G96" i="1"/>
  <c r="G129" i="1" s="1"/>
  <c r="C96" i="1"/>
  <c r="C129" i="1" s="1"/>
  <c r="AB95" i="1"/>
  <c r="AB128" i="1" s="1"/>
  <c r="X95" i="1"/>
  <c r="X128" i="1" s="1"/>
  <c r="T95" i="1"/>
  <c r="T128" i="1" s="1"/>
  <c r="P95" i="1"/>
  <c r="P128" i="1" s="1"/>
  <c r="L95" i="1"/>
  <c r="L128" i="1" s="1"/>
  <c r="H95" i="1"/>
  <c r="H128" i="1" s="1"/>
  <c r="D95" i="1"/>
  <c r="D128" i="1" s="1"/>
  <c r="AC94" i="1"/>
  <c r="AC127" i="1" s="1"/>
  <c r="Y94" i="1"/>
  <c r="Y127" i="1" s="1"/>
  <c r="U94" i="1"/>
  <c r="U127" i="1" s="1"/>
  <c r="Q94" i="1"/>
  <c r="Q127" i="1" s="1"/>
  <c r="M94" i="1"/>
  <c r="M127" i="1" s="1"/>
  <c r="I94" i="1"/>
  <c r="I127" i="1" s="1"/>
  <c r="E94" i="1"/>
  <c r="E127" i="1" s="1"/>
  <c r="AD93" i="1"/>
  <c r="AD126" i="1" s="1"/>
  <c r="Z93" i="1"/>
  <c r="Z126" i="1" s="1"/>
  <c r="V93" i="1"/>
  <c r="V126" i="1" s="1"/>
  <c r="R93" i="1"/>
  <c r="R126" i="1" s="1"/>
  <c r="N93" i="1"/>
  <c r="N126" i="1" s="1"/>
  <c r="J93" i="1"/>
  <c r="J126" i="1" s="1"/>
  <c r="F93" i="1"/>
  <c r="F126" i="1" s="1"/>
  <c r="AE92" i="1"/>
  <c r="AE125" i="1" s="1"/>
  <c r="AA92" i="1"/>
  <c r="AA125" i="1" s="1"/>
  <c r="W92" i="1"/>
  <c r="W125" i="1" s="1"/>
  <c r="S92" i="1"/>
  <c r="S125" i="1" s="1"/>
  <c r="O92" i="1"/>
  <c r="O125" i="1" s="1"/>
  <c r="K92" i="1"/>
  <c r="K125" i="1" s="1"/>
  <c r="G92" i="1"/>
  <c r="G125" i="1" s="1"/>
  <c r="C92" i="1"/>
  <c r="C125" i="1" s="1"/>
  <c r="AB91" i="1"/>
  <c r="AB124" i="1" s="1"/>
  <c r="X91" i="1"/>
  <c r="X124" i="1" s="1"/>
  <c r="T91" i="1"/>
  <c r="T124" i="1" s="1"/>
  <c r="P91" i="1"/>
  <c r="P124" i="1" s="1"/>
  <c r="L91" i="1"/>
  <c r="L124" i="1" s="1"/>
  <c r="H91" i="1"/>
  <c r="H124" i="1" s="1"/>
  <c r="D91" i="1"/>
  <c r="D124" i="1" s="1"/>
  <c r="AC90" i="1"/>
  <c r="AC123" i="1" s="1"/>
  <c r="Y90" i="1"/>
  <c r="Y123" i="1" s="1"/>
  <c r="U90" i="1"/>
  <c r="U123" i="1" s="1"/>
  <c r="Q90" i="1"/>
  <c r="Q123" i="1" s="1"/>
  <c r="M90" i="1"/>
  <c r="M123" i="1" s="1"/>
  <c r="I90" i="1"/>
  <c r="I123" i="1" s="1"/>
  <c r="E90" i="1"/>
  <c r="E123" i="1" s="1"/>
  <c r="AD89" i="1"/>
  <c r="AD122" i="1" s="1"/>
  <c r="Z89" i="1"/>
  <c r="Z122" i="1" s="1"/>
  <c r="V89" i="1"/>
  <c r="V122" i="1" s="1"/>
  <c r="R89" i="1"/>
  <c r="R122" i="1" s="1"/>
  <c r="N89" i="1"/>
  <c r="N122" i="1" s="1"/>
  <c r="J89" i="1"/>
  <c r="J122" i="1" s="1"/>
  <c r="F89" i="1"/>
  <c r="F122" i="1" s="1"/>
  <c r="AE88" i="1"/>
  <c r="AE121" i="1" s="1"/>
  <c r="AA88" i="1"/>
  <c r="AA121" i="1" s="1"/>
  <c r="W88" i="1"/>
  <c r="W121" i="1" s="1"/>
  <c r="S88" i="1"/>
  <c r="S121" i="1" s="1"/>
  <c r="O88" i="1"/>
  <c r="O121" i="1" s="1"/>
  <c r="K88" i="1"/>
  <c r="K121" i="1" s="1"/>
  <c r="G88" i="1"/>
  <c r="G121" i="1" s="1"/>
  <c r="C88" i="1"/>
  <c r="C121" i="1" s="1"/>
  <c r="AB87" i="1"/>
  <c r="AB120" i="1" s="1"/>
  <c r="X87" i="1"/>
  <c r="X120" i="1" s="1"/>
  <c r="T87" i="1"/>
  <c r="T120" i="1" s="1"/>
  <c r="P87" i="1"/>
  <c r="P120" i="1" s="1"/>
  <c r="L87" i="1"/>
  <c r="L120" i="1" s="1"/>
  <c r="H87" i="1"/>
  <c r="H120" i="1" s="1"/>
  <c r="D87" i="1"/>
  <c r="D120" i="1" s="1"/>
  <c r="AC86" i="1"/>
  <c r="AC119" i="1" s="1"/>
  <c r="Y86" i="1"/>
  <c r="Y119" i="1" s="1"/>
  <c r="U86" i="1"/>
  <c r="U119" i="1" s="1"/>
  <c r="Q86" i="1"/>
  <c r="Q119" i="1" s="1"/>
  <c r="M86" i="1"/>
  <c r="M119" i="1" s="1"/>
  <c r="I86" i="1"/>
  <c r="I119" i="1" s="1"/>
  <c r="E86" i="1"/>
  <c r="E119" i="1" s="1"/>
  <c r="AD85" i="1"/>
  <c r="AD118" i="1" s="1"/>
  <c r="Z85" i="1"/>
  <c r="Z118" i="1" s="1"/>
  <c r="V85" i="1"/>
  <c r="V118" i="1" s="1"/>
  <c r="R85" i="1"/>
  <c r="R118" i="1" s="1"/>
  <c r="N85" i="1"/>
  <c r="N118" i="1" s="1"/>
  <c r="J85" i="1"/>
  <c r="J118" i="1" s="1"/>
  <c r="F85" i="1"/>
  <c r="F118" i="1" s="1"/>
  <c r="AE84" i="1"/>
  <c r="AE117" i="1" s="1"/>
  <c r="AA84" i="1"/>
  <c r="AA117" i="1" s="1"/>
  <c r="W84" i="1"/>
  <c r="W117" i="1" s="1"/>
  <c r="S84" i="1"/>
  <c r="S117" i="1" s="1"/>
  <c r="O84" i="1"/>
  <c r="O117" i="1" s="1"/>
  <c r="K84" i="1"/>
  <c r="K117" i="1" s="1"/>
  <c r="G84" i="1"/>
  <c r="G117" i="1" s="1"/>
  <c r="C84" i="1"/>
  <c r="C117" i="1" s="1"/>
  <c r="AB83" i="1"/>
  <c r="AB116" i="1" s="1"/>
  <c r="X83" i="1"/>
  <c r="X116" i="1" s="1"/>
  <c r="T83" i="1"/>
  <c r="T116" i="1" s="1"/>
  <c r="P83" i="1"/>
  <c r="P116" i="1" s="1"/>
  <c r="L83" i="1"/>
  <c r="L116" i="1" s="1"/>
  <c r="H83" i="1"/>
  <c r="H116" i="1" s="1"/>
  <c r="D83" i="1"/>
  <c r="D116" i="1" s="1"/>
  <c r="AC82" i="1"/>
  <c r="AC115" i="1" s="1"/>
  <c r="Y82" i="1"/>
  <c r="Y115" i="1" s="1"/>
  <c r="U82" i="1"/>
  <c r="U115" i="1" s="1"/>
  <c r="Q82" i="1"/>
  <c r="Q115" i="1" s="1"/>
  <c r="M82" i="1"/>
  <c r="M115" i="1" s="1"/>
  <c r="I82" i="1"/>
  <c r="I115" i="1" s="1"/>
  <c r="E82" i="1"/>
  <c r="E115" i="1" s="1"/>
  <c r="AD81" i="1"/>
  <c r="AD114" i="1" s="1"/>
  <c r="Z81" i="1"/>
  <c r="Z114" i="1" s="1"/>
  <c r="V81" i="1"/>
  <c r="V114" i="1" s="1"/>
  <c r="R81" i="1"/>
  <c r="R114" i="1" s="1"/>
  <c r="N81" i="1"/>
  <c r="N114" i="1" s="1"/>
  <c r="J81" i="1"/>
  <c r="J114" i="1" s="1"/>
  <c r="F81" i="1"/>
  <c r="F114" i="1" s="1"/>
  <c r="AE80" i="1"/>
  <c r="AE113" i="1" s="1"/>
  <c r="AA80" i="1"/>
  <c r="AA113" i="1" s="1"/>
  <c r="W80" i="1"/>
  <c r="W113" i="1" s="1"/>
  <c r="S80" i="1"/>
  <c r="S113" i="1" s="1"/>
  <c r="O80" i="1"/>
  <c r="O113" i="1" s="1"/>
  <c r="K80" i="1"/>
  <c r="K113" i="1" s="1"/>
  <c r="G80" i="1"/>
  <c r="G113" i="1" s="1"/>
  <c r="C80" i="1"/>
  <c r="C113" i="1" s="1"/>
  <c r="AB79" i="1"/>
  <c r="AB112" i="1" s="1"/>
  <c r="X79" i="1"/>
  <c r="X112" i="1" s="1"/>
  <c r="T79" i="1"/>
  <c r="T112" i="1" s="1"/>
  <c r="P79" i="1"/>
  <c r="P112" i="1" s="1"/>
  <c r="L79" i="1"/>
  <c r="L112" i="1" s="1"/>
  <c r="H79" i="1"/>
  <c r="H112" i="1" s="1"/>
  <c r="D79" i="1"/>
  <c r="D112" i="1" s="1"/>
  <c r="AC78" i="1"/>
  <c r="AC111" i="1" s="1"/>
  <c r="Y78" i="1"/>
  <c r="Y111" i="1" s="1"/>
  <c r="U78" i="1"/>
  <c r="U111" i="1" s="1"/>
  <c r="Q78" i="1"/>
  <c r="Q111" i="1" s="1"/>
  <c r="M78" i="1"/>
  <c r="M111" i="1" s="1"/>
  <c r="I78" i="1"/>
  <c r="I111" i="1" s="1"/>
  <c r="E78" i="1"/>
  <c r="E111" i="1" s="1"/>
  <c r="AD77" i="1"/>
  <c r="AD110" i="1" s="1"/>
  <c r="Z77" i="1"/>
  <c r="Z110" i="1" s="1"/>
  <c r="V77" i="1"/>
  <c r="V110" i="1" s="1"/>
  <c r="R77" i="1"/>
  <c r="R110" i="1" s="1"/>
  <c r="N77" i="1"/>
  <c r="N110" i="1" s="1"/>
  <c r="J77" i="1"/>
  <c r="J110" i="1" s="1"/>
  <c r="F77" i="1"/>
  <c r="F110" i="1" s="1"/>
  <c r="AE76" i="1"/>
  <c r="AE109" i="1" s="1"/>
  <c r="AA76" i="1"/>
  <c r="AA109" i="1" s="1"/>
  <c r="W76" i="1"/>
  <c r="W109" i="1" s="1"/>
  <c r="S76" i="1"/>
  <c r="S109" i="1" s="1"/>
  <c r="O76" i="1"/>
  <c r="O109" i="1" s="1"/>
  <c r="K76" i="1"/>
  <c r="K109" i="1" s="1"/>
  <c r="G76" i="1"/>
  <c r="G109" i="1" s="1"/>
  <c r="C76" i="1"/>
  <c r="C109" i="1" s="1"/>
  <c r="AB75" i="1"/>
  <c r="AB108" i="1" s="1"/>
  <c r="X75" i="1"/>
  <c r="X108" i="1" s="1"/>
  <c r="T75" i="1"/>
  <c r="T108" i="1" s="1"/>
  <c r="P75" i="1"/>
  <c r="P108" i="1" s="1"/>
  <c r="L75" i="1"/>
  <c r="L108" i="1" s="1"/>
  <c r="H75" i="1"/>
  <c r="H108" i="1" s="1"/>
  <c r="D75" i="1"/>
  <c r="D108" i="1" s="1"/>
  <c r="AC74" i="1"/>
  <c r="AC107" i="1" s="1"/>
  <c r="Y74" i="1"/>
  <c r="Y107" i="1" s="1"/>
  <c r="U74" i="1"/>
  <c r="U107" i="1" s="1"/>
  <c r="Q74" i="1"/>
  <c r="Q107" i="1" s="1"/>
  <c r="M74" i="1"/>
  <c r="M107" i="1" s="1"/>
  <c r="I74" i="1"/>
  <c r="I107" i="1" s="1"/>
  <c r="E74" i="1"/>
  <c r="E107" i="1" s="1"/>
  <c r="AD73" i="1"/>
  <c r="AD106" i="1" s="1"/>
  <c r="Z73" i="1"/>
  <c r="Z106" i="1" s="1"/>
  <c r="V73" i="1"/>
  <c r="V106" i="1" s="1"/>
  <c r="R73" i="1"/>
  <c r="R106" i="1" s="1"/>
  <c r="N73" i="1"/>
  <c r="N106" i="1" s="1"/>
  <c r="J73" i="1"/>
  <c r="J106" i="1" s="1"/>
  <c r="F73" i="1"/>
  <c r="F106" i="1" s="1"/>
  <c r="AE72" i="1"/>
  <c r="AE105" i="1" s="1"/>
  <c r="AA72" i="1"/>
  <c r="AA105" i="1" s="1"/>
  <c r="W72" i="1"/>
  <c r="W105" i="1" s="1"/>
  <c r="S72" i="1"/>
  <c r="S105" i="1" s="1"/>
  <c r="O72" i="1"/>
  <c r="O105" i="1" s="1"/>
  <c r="K72" i="1"/>
  <c r="K105" i="1" s="1"/>
  <c r="G72" i="1"/>
  <c r="G105" i="1" s="1"/>
  <c r="C72" i="1"/>
  <c r="C105" i="1" s="1"/>
  <c r="AB71" i="1"/>
  <c r="AB104" i="1" s="1"/>
  <c r="X71" i="1"/>
  <c r="X104" i="1" s="1"/>
  <c r="T71" i="1"/>
  <c r="T104" i="1" s="1"/>
  <c r="P71" i="1"/>
  <c r="P104" i="1" s="1"/>
  <c r="L71" i="1"/>
  <c r="L104" i="1" s="1"/>
  <c r="H71" i="1"/>
  <c r="H104" i="1" s="1"/>
  <c r="D71" i="1"/>
  <c r="D104" i="1" s="1"/>
  <c r="B99" i="1"/>
  <c r="B94" i="1"/>
  <c r="B90" i="1"/>
  <c r="B86" i="1"/>
  <c r="B82" i="1"/>
  <c r="B78" i="1"/>
  <c r="B74" i="1"/>
  <c r="AD100" i="1"/>
  <c r="AD133" i="1" s="1"/>
  <c r="Z100" i="1"/>
  <c r="Z133" i="1" s="1"/>
  <c r="V100" i="1"/>
  <c r="V133" i="1" s="1"/>
  <c r="R100" i="1"/>
  <c r="R133" i="1" s="1"/>
  <c r="N100" i="1"/>
  <c r="N133" i="1" s="1"/>
  <c r="J100" i="1"/>
  <c r="J133" i="1" s="1"/>
  <c r="F100" i="1"/>
  <c r="F133" i="1" s="1"/>
  <c r="AE99" i="1"/>
  <c r="AE132" i="1" s="1"/>
  <c r="AA99" i="1"/>
  <c r="AA132" i="1" s="1"/>
  <c r="W99" i="1"/>
  <c r="W132" i="1" s="1"/>
  <c r="S99" i="1"/>
  <c r="S132" i="1" s="1"/>
  <c r="O99" i="1"/>
  <c r="O132" i="1" s="1"/>
  <c r="K99" i="1"/>
  <c r="K132" i="1" s="1"/>
  <c r="G99" i="1"/>
  <c r="G132" i="1" s="1"/>
  <c r="C99" i="1"/>
  <c r="C132" i="1" s="1"/>
  <c r="AB98" i="1"/>
  <c r="AB131" i="1" s="1"/>
  <c r="X98" i="1"/>
  <c r="X131" i="1" s="1"/>
  <c r="T98" i="1"/>
  <c r="T131" i="1" s="1"/>
  <c r="P98" i="1"/>
  <c r="P131" i="1" s="1"/>
  <c r="L98" i="1"/>
  <c r="L131" i="1" s="1"/>
  <c r="H98" i="1"/>
  <c r="H131" i="1" s="1"/>
  <c r="D98" i="1"/>
  <c r="D131" i="1" s="1"/>
  <c r="AC97" i="1"/>
  <c r="AC130" i="1" s="1"/>
  <c r="Y97" i="1"/>
  <c r="Y130" i="1" s="1"/>
  <c r="U97" i="1"/>
  <c r="U130" i="1" s="1"/>
  <c r="Q97" i="1"/>
  <c r="Q130" i="1" s="1"/>
  <c r="M97" i="1"/>
  <c r="M130" i="1" s="1"/>
  <c r="I97" i="1"/>
  <c r="I130" i="1" s="1"/>
  <c r="E97" i="1"/>
  <c r="E130" i="1" s="1"/>
  <c r="AD96" i="1"/>
  <c r="AD129" i="1" s="1"/>
  <c r="Z96" i="1"/>
  <c r="Z129" i="1" s="1"/>
  <c r="V96" i="1"/>
  <c r="V129" i="1" s="1"/>
  <c r="R96" i="1"/>
  <c r="R129" i="1" s="1"/>
  <c r="N96" i="1"/>
  <c r="N129" i="1" s="1"/>
  <c r="J96" i="1"/>
  <c r="J129" i="1" s="1"/>
  <c r="F96" i="1"/>
  <c r="F129" i="1" s="1"/>
  <c r="AE95" i="1"/>
  <c r="AE128" i="1" s="1"/>
  <c r="AA95" i="1"/>
  <c r="AA128" i="1" s="1"/>
  <c r="W95" i="1"/>
  <c r="W128" i="1" s="1"/>
  <c r="S95" i="1"/>
  <c r="S128" i="1" s="1"/>
  <c r="O95" i="1"/>
  <c r="O128" i="1" s="1"/>
  <c r="K95" i="1"/>
  <c r="K128" i="1" s="1"/>
  <c r="G95" i="1"/>
  <c r="G128" i="1" s="1"/>
  <c r="C95" i="1"/>
  <c r="C128" i="1" s="1"/>
  <c r="AB94" i="1"/>
  <c r="AB127" i="1" s="1"/>
  <c r="X94" i="1"/>
  <c r="X127" i="1" s="1"/>
  <c r="T94" i="1"/>
  <c r="T127" i="1" s="1"/>
  <c r="P94" i="1"/>
  <c r="P127" i="1" s="1"/>
  <c r="L94" i="1"/>
  <c r="L127" i="1" s="1"/>
  <c r="H94" i="1"/>
  <c r="H127" i="1" s="1"/>
  <c r="D94" i="1"/>
  <c r="D127" i="1" s="1"/>
  <c r="AC93" i="1"/>
  <c r="AC126" i="1" s="1"/>
  <c r="Y93" i="1"/>
  <c r="Y126" i="1" s="1"/>
  <c r="U93" i="1"/>
  <c r="U126" i="1" s="1"/>
  <c r="Q93" i="1"/>
  <c r="Q126" i="1" s="1"/>
  <c r="M93" i="1"/>
  <c r="M126" i="1" s="1"/>
  <c r="I93" i="1"/>
  <c r="I126" i="1" s="1"/>
  <c r="E93" i="1"/>
  <c r="E126" i="1" s="1"/>
  <c r="AD92" i="1"/>
  <c r="AD125" i="1" s="1"/>
  <c r="Z92" i="1"/>
  <c r="Z125" i="1" s="1"/>
  <c r="V92" i="1"/>
  <c r="V125" i="1" s="1"/>
  <c r="R92" i="1"/>
  <c r="R125" i="1" s="1"/>
  <c r="N92" i="1"/>
  <c r="N125" i="1" s="1"/>
  <c r="J92" i="1"/>
  <c r="J125" i="1" s="1"/>
  <c r="F92" i="1"/>
  <c r="F125" i="1" s="1"/>
  <c r="AE91" i="1"/>
  <c r="AE124" i="1" s="1"/>
  <c r="AA91" i="1"/>
  <c r="AA124" i="1" s="1"/>
  <c r="W91" i="1"/>
  <c r="W124" i="1" s="1"/>
  <c r="S91" i="1"/>
  <c r="S124" i="1" s="1"/>
  <c r="O91" i="1"/>
  <c r="O124" i="1" s="1"/>
  <c r="K91" i="1"/>
  <c r="K124" i="1" s="1"/>
  <c r="G91" i="1"/>
  <c r="G124" i="1" s="1"/>
  <c r="C91" i="1"/>
  <c r="C124" i="1" s="1"/>
  <c r="AB90" i="1"/>
  <c r="AB123" i="1" s="1"/>
  <c r="X90" i="1"/>
  <c r="X123" i="1" s="1"/>
  <c r="T90" i="1"/>
  <c r="T123" i="1" s="1"/>
  <c r="P90" i="1"/>
  <c r="P123" i="1" s="1"/>
  <c r="L90" i="1"/>
  <c r="L123" i="1" s="1"/>
  <c r="H90" i="1"/>
  <c r="H123" i="1" s="1"/>
  <c r="D90" i="1"/>
  <c r="D123" i="1" s="1"/>
  <c r="AC89" i="1"/>
  <c r="AC122" i="1" s="1"/>
  <c r="Y89" i="1"/>
  <c r="Y122" i="1" s="1"/>
  <c r="U89" i="1"/>
  <c r="U122" i="1" s="1"/>
  <c r="Q89" i="1"/>
  <c r="Q122" i="1" s="1"/>
  <c r="M89" i="1"/>
  <c r="M122" i="1" s="1"/>
  <c r="I89" i="1"/>
  <c r="I122" i="1" s="1"/>
  <c r="E89" i="1"/>
  <c r="E122" i="1" s="1"/>
  <c r="AD88" i="1"/>
  <c r="AD121" i="1" s="1"/>
  <c r="Z88" i="1"/>
  <c r="Z121" i="1" s="1"/>
  <c r="V88" i="1"/>
  <c r="V121" i="1" s="1"/>
  <c r="R88" i="1"/>
  <c r="R121" i="1" s="1"/>
  <c r="N88" i="1"/>
  <c r="N121" i="1" s="1"/>
  <c r="J88" i="1"/>
  <c r="J121" i="1" s="1"/>
  <c r="F88" i="1"/>
  <c r="F121" i="1" s="1"/>
  <c r="AE87" i="1"/>
  <c r="AE120" i="1" s="1"/>
  <c r="AA87" i="1"/>
  <c r="AA120" i="1" s="1"/>
  <c r="W87" i="1"/>
  <c r="W120" i="1" s="1"/>
  <c r="S87" i="1"/>
  <c r="S120" i="1" s="1"/>
  <c r="O87" i="1"/>
  <c r="O120" i="1" s="1"/>
  <c r="K87" i="1"/>
  <c r="K120" i="1" s="1"/>
  <c r="G87" i="1"/>
  <c r="G120" i="1" s="1"/>
  <c r="C87" i="1"/>
  <c r="C120" i="1" s="1"/>
  <c r="AB86" i="1"/>
  <c r="AB119" i="1" s="1"/>
  <c r="X86" i="1"/>
  <c r="X119" i="1" s="1"/>
  <c r="T86" i="1"/>
  <c r="T119" i="1" s="1"/>
  <c r="P86" i="1"/>
  <c r="P119" i="1" s="1"/>
  <c r="L86" i="1"/>
  <c r="L119" i="1" s="1"/>
  <c r="H86" i="1"/>
  <c r="H119" i="1" s="1"/>
  <c r="D86" i="1"/>
  <c r="D119" i="1" s="1"/>
  <c r="AC85" i="1"/>
  <c r="AC118" i="1" s="1"/>
  <c r="Y85" i="1"/>
  <c r="Y118" i="1" s="1"/>
  <c r="U85" i="1"/>
  <c r="U118" i="1" s="1"/>
  <c r="Q85" i="1"/>
  <c r="Q118" i="1" s="1"/>
  <c r="M85" i="1"/>
  <c r="M118" i="1" s="1"/>
  <c r="I85" i="1"/>
  <c r="I118" i="1" s="1"/>
  <c r="E85" i="1"/>
  <c r="E118" i="1" s="1"/>
  <c r="AD84" i="1"/>
  <c r="AD117" i="1" s="1"/>
  <c r="Z84" i="1"/>
  <c r="Z117" i="1" s="1"/>
  <c r="V84" i="1"/>
  <c r="V117" i="1" s="1"/>
  <c r="R84" i="1"/>
  <c r="R117" i="1" s="1"/>
  <c r="N84" i="1"/>
  <c r="N117" i="1" s="1"/>
  <c r="J84" i="1"/>
  <c r="J117" i="1" s="1"/>
  <c r="F84" i="1"/>
  <c r="F117" i="1" s="1"/>
  <c r="AE83" i="1"/>
  <c r="AE116" i="1" s="1"/>
  <c r="AA83" i="1"/>
  <c r="AA116" i="1" s="1"/>
  <c r="W83" i="1"/>
  <c r="W116" i="1" s="1"/>
  <c r="S83" i="1"/>
  <c r="S116" i="1" s="1"/>
  <c r="O83" i="1"/>
  <c r="O116" i="1" s="1"/>
  <c r="K83" i="1"/>
  <c r="K116" i="1" s="1"/>
  <c r="G83" i="1"/>
  <c r="G116" i="1" s="1"/>
  <c r="C83" i="1"/>
  <c r="C116" i="1" s="1"/>
  <c r="AB82" i="1"/>
  <c r="AB115" i="1" s="1"/>
  <c r="X82" i="1"/>
  <c r="X115" i="1" s="1"/>
  <c r="T82" i="1"/>
  <c r="T115" i="1" s="1"/>
  <c r="P82" i="1"/>
  <c r="P115" i="1" s="1"/>
  <c r="L82" i="1"/>
  <c r="L115" i="1" s="1"/>
  <c r="H82" i="1"/>
  <c r="H115" i="1" s="1"/>
  <c r="D82" i="1"/>
  <c r="D115" i="1" s="1"/>
  <c r="AC81" i="1"/>
  <c r="AC114" i="1" s="1"/>
  <c r="Y81" i="1"/>
  <c r="Y114" i="1" s="1"/>
  <c r="U81" i="1"/>
  <c r="U114" i="1" s="1"/>
  <c r="Q81" i="1"/>
  <c r="Q114" i="1" s="1"/>
  <c r="M81" i="1"/>
  <c r="M114" i="1" s="1"/>
  <c r="I81" i="1"/>
  <c r="I114" i="1" s="1"/>
  <c r="E81" i="1"/>
  <c r="E114" i="1" s="1"/>
  <c r="AD80" i="1"/>
  <c r="AD113" i="1" s="1"/>
  <c r="Z80" i="1"/>
  <c r="Z113" i="1" s="1"/>
  <c r="V80" i="1"/>
  <c r="V113" i="1" s="1"/>
  <c r="R80" i="1"/>
  <c r="R113" i="1" s="1"/>
  <c r="N80" i="1"/>
  <c r="N113" i="1" s="1"/>
  <c r="J80" i="1"/>
  <c r="J113" i="1" s="1"/>
  <c r="F80" i="1"/>
  <c r="F113" i="1" s="1"/>
  <c r="AE79" i="1"/>
  <c r="AE112" i="1" s="1"/>
  <c r="AA79" i="1"/>
  <c r="AA112" i="1" s="1"/>
  <c r="W79" i="1"/>
  <c r="W112" i="1" s="1"/>
  <c r="S79" i="1"/>
  <c r="S112" i="1" s="1"/>
  <c r="O79" i="1"/>
  <c r="O112" i="1" s="1"/>
  <c r="K79" i="1"/>
  <c r="K112" i="1" s="1"/>
  <c r="G79" i="1"/>
  <c r="G112" i="1" s="1"/>
  <c r="C79" i="1"/>
  <c r="C112" i="1" s="1"/>
  <c r="AB78" i="1"/>
  <c r="AB111" i="1" s="1"/>
  <c r="X78" i="1"/>
  <c r="X111" i="1" s="1"/>
  <c r="T78" i="1"/>
  <c r="T111" i="1" s="1"/>
  <c r="P78" i="1"/>
  <c r="P111" i="1" s="1"/>
  <c r="L78" i="1"/>
  <c r="L111" i="1" s="1"/>
  <c r="H78" i="1"/>
  <c r="H111" i="1" s="1"/>
  <c r="D78" i="1"/>
  <c r="D111" i="1" s="1"/>
  <c r="AC77" i="1"/>
  <c r="AC110" i="1" s="1"/>
  <c r="Y77" i="1"/>
  <c r="Y110" i="1" s="1"/>
  <c r="U77" i="1"/>
  <c r="U110" i="1" s="1"/>
  <c r="Q77" i="1"/>
  <c r="Q110" i="1" s="1"/>
  <c r="M77" i="1"/>
  <c r="M110" i="1" s="1"/>
  <c r="I77" i="1"/>
  <c r="I110" i="1" s="1"/>
  <c r="E77" i="1"/>
  <c r="E110" i="1" s="1"/>
  <c r="AD76" i="1"/>
  <c r="AD109" i="1" s="1"/>
  <c r="Z76" i="1"/>
  <c r="Z109" i="1" s="1"/>
  <c r="V76" i="1"/>
  <c r="V109" i="1" s="1"/>
  <c r="R76" i="1"/>
  <c r="R109" i="1" s="1"/>
  <c r="N76" i="1"/>
  <c r="N109" i="1" s="1"/>
  <c r="J76" i="1"/>
  <c r="J109" i="1" s="1"/>
  <c r="F76" i="1"/>
  <c r="F109" i="1" s="1"/>
  <c r="AE75" i="1"/>
  <c r="AE108" i="1" s="1"/>
  <c r="AA75" i="1"/>
  <c r="AA108" i="1" s="1"/>
  <c r="W75" i="1"/>
  <c r="W108" i="1" s="1"/>
  <c r="S75" i="1"/>
  <c r="S108" i="1" s="1"/>
  <c r="O75" i="1"/>
  <c r="O108" i="1" s="1"/>
  <c r="K75" i="1"/>
  <c r="K108" i="1" s="1"/>
  <c r="G75" i="1"/>
  <c r="G108" i="1" s="1"/>
  <c r="C75" i="1"/>
  <c r="C108" i="1" s="1"/>
  <c r="AB74" i="1"/>
  <c r="AB107" i="1" s="1"/>
  <c r="X74" i="1"/>
  <c r="X107" i="1" s="1"/>
  <c r="T74" i="1"/>
  <c r="T107" i="1" s="1"/>
  <c r="P74" i="1"/>
  <c r="P107" i="1" s="1"/>
  <c r="L74" i="1"/>
  <c r="L107" i="1" s="1"/>
  <c r="H74" i="1"/>
  <c r="H107" i="1" s="1"/>
  <c r="D74" i="1"/>
  <c r="D107" i="1" s="1"/>
  <c r="AC73" i="1"/>
  <c r="AC106" i="1" s="1"/>
  <c r="Y73" i="1"/>
  <c r="Y106" i="1" s="1"/>
  <c r="U73" i="1"/>
  <c r="U106" i="1" s="1"/>
  <c r="Q73" i="1"/>
  <c r="Q106" i="1" s="1"/>
  <c r="M73" i="1"/>
  <c r="M106" i="1" s="1"/>
  <c r="I73" i="1"/>
  <c r="I106" i="1" s="1"/>
  <c r="E73" i="1"/>
  <c r="E106" i="1" s="1"/>
  <c r="AD72" i="1"/>
  <c r="AD105" i="1" s="1"/>
  <c r="Z72" i="1"/>
  <c r="Z105" i="1" s="1"/>
  <c r="V72" i="1"/>
  <c r="V105" i="1" s="1"/>
  <c r="R72" i="1"/>
  <c r="R105" i="1" s="1"/>
  <c r="N72" i="1"/>
  <c r="N105" i="1" s="1"/>
  <c r="J72" i="1"/>
  <c r="J105" i="1" s="1"/>
  <c r="F72" i="1"/>
  <c r="F105" i="1" s="1"/>
  <c r="AE71" i="1"/>
  <c r="AE104" i="1" s="1"/>
  <c r="AA71" i="1"/>
  <c r="AA104" i="1" s="1"/>
  <c r="W71" i="1"/>
  <c r="W104" i="1" s="1"/>
  <c r="S71" i="1"/>
  <c r="S104" i="1" s="1"/>
  <c r="O71" i="1"/>
  <c r="O104" i="1" s="1"/>
  <c r="K71" i="1"/>
  <c r="K104" i="1" s="1"/>
  <c r="R71" i="1"/>
  <c r="R104" i="1" s="1"/>
  <c r="N71" i="1"/>
  <c r="N104" i="1" s="1"/>
  <c r="J71" i="1"/>
  <c r="J104" i="1" s="1"/>
  <c r="F71" i="1"/>
  <c r="F104" i="1" s="1"/>
  <c r="I71" i="1"/>
  <c r="I104" i="1" s="1"/>
  <c r="E71" i="1"/>
  <c r="E104" i="1" s="1"/>
  <c r="G71" i="1"/>
  <c r="G104" i="1" s="1"/>
  <c r="C71" i="1"/>
  <c r="AK14" i="13" l="1"/>
  <c r="L47" i="10"/>
  <c r="L47" i="1"/>
  <c r="AK48" i="13"/>
  <c r="L63" i="10"/>
  <c r="AK30" i="13"/>
  <c r="L63" i="1"/>
  <c r="AK64" i="13"/>
  <c r="L37" i="10"/>
  <c r="L37" i="1"/>
  <c r="AK4" i="13"/>
  <c r="AK38" i="13"/>
  <c r="L51" i="1"/>
  <c r="L51" i="10"/>
  <c r="AK18" i="13"/>
  <c r="AK52" i="13"/>
  <c r="L40" i="10"/>
  <c r="AK41" i="13"/>
  <c r="AK7" i="13"/>
  <c r="L40" i="1"/>
  <c r="L46" i="1"/>
  <c r="L46" i="10"/>
  <c r="AK13" i="13"/>
  <c r="AK47" i="13"/>
  <c r="L55" i="1"/>
  <c r="AK56" i="13"/>
  <c r="AK22" i="13"/>
  <c r="L55" i="10"/>
  <c r="AK43" i="13"/>
  <c r="L42" i="1"/>
  <c r="AK9" i="13"/>
  <c r="L42" i="10"/>
  <c r="AK51" i="13"/>
  <c r="L50" i="10"/>
  <c r="L50" i="1"/>
  <c r="AK17" i="13"/>
  <c r="L43" i="1"/>
  <c r="L43" i="10"/>
  <c r="AK44" i="13"/>
  <c r="AK67" i="13" s="1"/>
  <c r="AK10" i="13"/>
  <c r="AK33" i="13" s="1"/>
  <c r="L59" i="10"/>
  <c r="L59" i="1"/>
  <c r="AK60" i="13"/>
  <c r="AK26" i="13"/>
  <c r="L54" i="10"/>
  <c r="L54" i="1"/>
  <c r="AK55" i="13"/>
  <c r="AK21" i="13"/>
  <c r="AK59" i="13"/>
  <c r="L58" i="1"/>
  <c r="L58" i="10"/>
  <c r="AK25" i="13"/>
  <c r="AH78" i="1"/>
  <c r="AI78" i="1" s="1"/>
  <c r="AH94" i="1"/>
  <c r="AI94" i="1" s="1"/>
  <c r="AH75" i="1"/>
  <c r="AI75" i="1" s="1"/>
  <c r="AH91" i="1"/>
  <c r="AI91" i="1" s="1"/>
  <c r="AH84" i="1"/>
  <c r="AI84" i="1" s="1"/>
  <c r="AH100" i="1"/>
  <c r="AI100" i="1" s="1"/>
  <c r="AH81" i="1"/>
  <c r="AI81" i="1" s="1"/>
  <c r="AH97" i="1"/>
  <c r="AI97" i="1" s="1"/>
  <c r="AH82" i="1"/>
  <c r="AI82" i="1" s="1"/>
  <c r="AH99" i="1"/>
  <c r="AI99" i="1" s="1"/>
  <c r="AH79" i="1"/>
  <c r="AI79" i="1" s="1"/>
  <c r="AH95" i="1"/>
  <c r="AI95" i="1" s="1"/>
  <c r="AH72" i="1"/>
  <c r="AI72" i="1" s="1"/>
  <c r="AH88" i="1"/>
  <c r="AI88" i="1" s="1"/>
  <c r="AH85" i="1"/>
  <c r="AI85" i="1" s="1"/>
  <c r="AH86" i="1"/>
  <c r="AI86" i="1" s="1"/>
  <c r="AH83" i="1"/>
  <c r="AI83" i="1" s="1"/>
  <c r="AH76" i="1"/>
  <c r="AI76" i="1" s="1"/>
  <c r="AH92" i="1"/>
  <c r="AI92" i="1" s="1"/>
  <c r="AH73" i="1"/>
  <c r="AI73" i="1" s="1"/>
  <c r="AH89" i="1"/>
  <c r="AI89" i="1" s="1"/>
  <c r="AH98" i="1"/>
  <c r="AI98" i="1" s="1"/>
  <c r="AH71" i="1"/>
  <c r="AH74" i="1"/>
  <c r="AI74" i="1" s="1"/>
  <c r="AH90" i="1"/>
  <c r="AI90" i="1" s="1"/>
  <c r="AH87" i="1"/>
  <c r="AI87" i="1" s="1"/>
  <c r="AH80" i="1"/>
  <c r="AI80" i="1" s="1"/>
  <c r="AH96" i="1"/>
  <c r="AI96" i="1" s="1"/>
  <c r="AH77" i="1"/>
  <c r="AI77" i="1" s="1"/>
  <c r="AH93" i="1"/>
  <c r="AI93" i="1" s="1"/>
  <c r="B111" i="1"/>
  <c r="B127" i="1"/>
  <c r="B108" i="1"/>
  <c r="B124" i="1"/>
  <c r="B117" i="1"/>
  <c r="B133" i="1"/>
  <c r="B114" i="1"/>
  <c r="B130" i="1"/>
  <c r="B115" i="1"/>
  <c r="B132" i="1"/>
  <c r="B112" i="1"/>
  <c r="B128" i="1"/>
  <c r="B105" i="1"/>
  <c r="B121" i="1"/>
  <c r="B118" i="1"/>
  <c r="B119" i="1"/>
  <c r="B116" i="1"/>
  <c r="B109" i="1"/>
  <c r="B125" i="1"/>
  <c r="B106" i="1"/>
  <c r="B122" i="1"/>
  <c r="B131" i="1"/>
  <c r="C104" i="1"/>
  <c r="B107" i="1"/>
  <c r="B123" i="1"/>
  <c r="B120" i="1"/>
  <c r="B113" i="1"/>
  <c r="B129" i="1"/>
  <c r="B110" i="1"/>
  <c r="B126" i="1"/>
  <c r="A136" i="1" l="1"/>
  <c r="AH101" i="1"/>
  <c r="AI71" i="1"/>
  <c r="AI101" i="1" s="1"/>
  <c r="B116" i="10" l="1"/>
  <c r="D104" i="10"/>
  <c r="B111" i="10"/>
  <c r="C104" i="10"/>
  <c r="C105" i="10"/>
  <c r="B126" i="10"/>
  <c r="B122" i="10"/>
  <c r="B119" i="10"/>
  <c r="B105" i="10"/>
  <c r="B124" i="10"/>
  <c r="B129" i="10"/>
  <c r="D105" i="10"/>
  <c r="B118" i="10"/>
  <c r="B106" i="10"/>
  <c r="B121" i="10"/>
  <c r="B123" i="10"/>
  <c r="B114" i="10"/>
  <c r="B113" i="10"/>
  <c r="B108" i="10"/>
  <c r="B104" i="10"/>
  <c r="B112" i="10"/>
  <c r="B110" i="10"/>
  <c r="B133" i="10"/>
  <c r="B127" i="10"/>
  <c r="B117" i="10" l="1"/>
  <c r="B131" i="10"/>
  <c r="B115" i="10"/>
  <c r="B107" i="10"/>
  <c r="B128" i="10"/>
  <c r="B132" i="10"/>
  <c r="B125" i="10"/>
  <c r="B130" i="10"/>
  <c r="B109" i="10"/>
  <c r="B120" i="10"/>
  <c r="A136" i="10" l="1"/>
</calcChain>
</file>

<file path=xl/sharedStrings.xml><?xml version="1.0" encoding="utf-8"?>
<sst xmlns="http://schemas.openxmlformats.org/spreadsheetml/2006/main" count="8267" uniqueCount="135">
  <si>
    <t>game_id</t>
  </si>
  <si>
    <t>season_yr</t>
  </si>
  <si>
    <t>game_date</t>
  </si>
  <si>
    <t>team_schedule</t>
  </si>
  <si>
    <t>win_flag</t>
  </si>
  <si>
    <t>wins_to_date</t>
  </si>
  <si>
    <t>losses_to_date</t>
  </si>
  <si>
    <t>home_flag</t>
  </si>
  <si>
    <t>home_team</t>
  </si>
  <si>
    <t>home_score</t>
  </si>
  <si>
    <t>away_team</t>
  </si>
  <si>
    <t>away_score</t>
  </si>
  <si>
    <t>NO</t>
  </si>
  <si>
    <t>ORL</t>
  </si>
  <si>
    <t>DAL</t>
  </si>
  <si>
    <t>SA</t>
  </si>
  <si>
    <t>HOU</t>
  </si>
  <si>
    <t>LAL</t>
  </si>
  <si>
    <t>CHA</t>
  </si>
  <si>
    <t>MIL</t>
  </si>
  <si>
    <t>IND</t>
  </si>
  <si>
    <t>PHI</t>
  </si>
  <si>
    <t>BOS</t>
  </si>
  <si>
    <t>BKN</t>
  </si>
  <si>
    <t>MIA</t>
  </si>
  <si>
    <t>WSH</t>
  </si>
  <si>
    <t>ATL</t>
  </si>
  <si>
    <t>TOR</t>
  </si>
  <si>
    <t>MEM</t>
  </si>
  <si>
    <t>MIN</t>
  </si>
  <si>
    <t>CHI</t>
  </si>
  <si>
    <t>NY</t>
  </si>
  <si>
    <t>DEN</t>
  </si>
  <si>
    <t>DET</t>
  </si>
  <si>
    <t>UTAH</t>
  </si>
  <si>
    <t>PHX</t>
  </si>
  <si>
    <t>GS</t>
  </si>
  <si>
    <t>SAC</t>
  </si>
  <si>
    <t>OKC</t>
  </si>
  <si>
    <t>POR</t>
  </si>
  <si>
    <t>CLE</t>
  </si>
  <si>
    <t>LAC</t>
  </si>
  <si>
    <t>win_total</t>
  </si>
  <si>
    <t>pick</t>
  </si>
  <si>
    <t>confidence_rating</t>
  </si>
  <si>
    <t>team</t>
  </si>
  <si>
    <t>record_id</t>
  </si>
  <si>
    <t>O</t>
  </si>
  <si>
    <t>U</t>
  </si>
  <si>
    <t>sum</t>
  </si>
  <si>
    <t>w_pick_confidence_calc_rank</t>
  </si>
  <si>
    <t>w_pick_confidence_calc</t>
  </si>
  <si>
    <t>Calculate w_pick_confidence_calc and w_pick_confidence_calc_rank on win_totals worksheet.</t>
  </si>
  <si>
    <t>Write code to automate the above instructions.</t>
  </si>
  <si>
    <t>Write code to calculate days between games and use this value in model estimates.</t>
  </si>
  <si>
    <t>Write code to append distance between cities and use this value in model estimates. (Possibly use a lookup table.)</t>
  </si>
  <si>
    <t>For each h2h worksheet:</t>
  </si>
  <si>
    <t>Compare the expected results with the actual results</t>
  </si>
  <si>
    <t>Calculate the sum of the squared errors</t>
  </si>
  <si>
    <t>Minimizes the sum of squared errors by optimizing the team power rankings.</t>
  </si>
  <si>
    <t>The scale of the team "ratings" does not necessarily need to be from 1 to 30. Nevertheless, the "ratings" should be translatable to "rankings" that do use a scale of 1 to 30.</t>
  </si>
  <si>
    <t>Create a matrix that calculates expected results based on an initial set of team power "ratings."</t>
  </si>
  <si>
    <t>The 1-to-30 "rankings" derived from the picker's win totals and confidence ratings should be used as an initial set of team power "ratings." (Alternatively, the raw win totals calculated for the picker might be used instead as well.)</t>
  </si>
  <si>
    <t>Import sportsbook pre-season win totals to d_rs_win_totals worksheet.</t>
  </si>
  <si>
    <t>*Optional: Import actual end-of-season win totals to d_rs_win_totals worksheet. (This may also be calculated from the schedule.)</t>
  </si>
  <si>
    <t>Import pick win totals to p_rs_win_totals worksheet.</t>
  </si>
  <si>
    <t>Import schedule (with results) to d_rs_sched worksheet</t>
  </si>
  <si>
    <t>Calculate a matrix of team wins against one another on the a_h2h_wins worksheet.</t>
  </si>
  <si>
    <t>Calculate a matrix of team average margin of win (or loss) in games agains one another on a_h2h_apm worksheet.</t>
  </si>
  <si>
    <t>yr_start</t>
  </si>
  <si>
    <t>yr_end</t>
  </si>
  <si>
    <t>w_sportsbook</t>
  </si>
  <si>
    <t>w</t>
  </si>
  <si>
    <t>result_calc</t>
  </si>
  <si>
    <t>result_bool_calc</t>
  </si>
  <si>
    <t>rating</t>
  </si>
  <si>
    <t>rank</t>
  </si>
  <si>
    <t>squared_error</t>
  </si>
  <si>
    <t>results_actual</t>
  </si>
  <si>
    <t>results_expected</t>
  </si>
  <si>
    <t>COUNTIFS(d_rs_sched!$D:$D,$A3,d_rs_sched!$E:$E,1,d_rs_sched!$I:$I,$A3,d_rs_sched!$K:$K,B$2)+COUNTIFS(d_rs_sched!$D:$D,$A3,d_rs_sched!$E:$E,1,d_rs_sched!$I:$I,B$2,d_rs_sched!$K:$K,$A3)</t>
  </si>
  <si>
    <t>cell</t>
  </si>
  <si>
    <t>formula</t>
  </si>
  <si>
    <t>range</t>
  </si>
  <si>
    <t>iteration</t>
  </si>
  <si>
    <t>rating_initial</t>
  </si>
  <si>
    <t>rank_initial</t>
  </si>
  <si>
    <t>rating_final</t>
  </si>
  <si>
    <t>rank_final</t>
  </si>
  <si>
    <t>sum_squared_error</t>
  </si>
  <si>
    <t>other info</t>
  </si>
  <si>
    <t>iteration 1</t>
  </si>
  <si>
    <t>slack team</t>
  </si>
  <si>
    <t>IFERROR(VLOOKUP($A71,power_rankings,2,0)/(VLOOKUP($A71,power_rankings,2,0)+VLOOKUP(B$70,power_rankings,2,0))*(B3+HLOOKUP($A71,table_wins_h2h,MATCH(B$70,$A$2:$A$32,0),0)),0)</t>
  </si>
  <si>
    <t>B70</t>
  </si>
  <si>
    <t>B3:AE32</t>
  </si>
  <si>
    <t>B70:AE99</t>
  </si>
  <si>
    <t>B3</t>
  </si>
  <si>
    <t>w_initial_formula</t>
  </si>
  <si>
    <t>(30-C36)/(30-1)*82</t>
  </si>
  <si>
    <t>same as iteration 1, except GS used as slack team</t>
  </si>
  <si>
    <t>same as iteration 1, except MIN used as slack team</t>
  </si>
  <si>
    <t>sum_actual</t>
  </si>
  <si>
    <t>sum_expected</t>
  </si>
  <si>
    <t>IFERROR((SUMIFS(d_rs_sched!$J:$J,d_rs_sched!$D:$D,$A3,d_rs_sched!$I:$I,$A3,d_rs_sched!$K:$K,B$2)+SUMIFS(d_rs_sched!$L:$L,d_rs_sched!$D:$D,$A3,d_rs_sched!$K:$K,$A3,d_rs_sched!$I:$I,B$2))-(SUMIFS(d_rs_sched!$L:$L,d_rs_sched!$D:$D,$A3,d_rs_sched!$I:$I,$A3,d_rs_sched!$K:$K,B$2)+SUMIFS(d_rs_sched!$J:$J,d_rs_sched!$D:$D,$A3,d_rs_sched!$K:$K,$A3,d_rs_sched!$I:$I,B$2)),0)/IFERROR(IF((COUNTIFS(d_rs_sched!$D:$D,$A3,d_rs_sched!$I:$I,$A3,d_rs_sched!$K:$K,B$2)+COUNTIFS(d_rs_sched!$D:$D,$A3,d_rs_sched!$I:$I,B$2,d_rs_sched!$K:$K,$A3))&gt;0,(COUNTIFS(d_rs_sched!$D:$D,$A3,d_rs_sched!$I:$I,$A3,d_rs_sched!$K:$K,B$2)+COUNTIFS(d_rs_sched!$D:$D,$A3,d_rs_sched!$I:$I,B$2,d_rs_sched!$K:$K,$A3)),1),1)-MIN($B$3:$AE$32)</t>
  </si>
  <si>
    <t>MIN(B3:AE32)</t>
  </si>
  <si>
    <t>make all numbers positive by offsetting by minimum value</t>
  </si>
  <si>
    <t>pick_id</t>
  </si>
  <si>
    <t>Tony</t>
  </si>
  <si>
    <t>person</t>
  </si>
  <si>
    <t>sum_difference</t>
  </si>
  <si>
    <t>rank_actual</t>
  </si>
  <si>
    <t>mean_error</t>
  </si>
  <si>
    <t>mean_error_squared</t>
  </si>
  <si>
    <t>mean_absolute_error</t>
  </si>
  <si>
    <t>found that it does not matter which team is used as the slack team</t>
  </si>
  <si>
    <t>iteration 2 uses pick rankings as initial values, but that does not actually make a difference</t>
  </si>
  <si>
    <t>d_win_totals</t>
  </si>
  <si>
    <t>p_win_totals</t>
  </si>
  <si>
    <t>avg</t>
  </si>
  <si>
    <t>stdev</t>
  </si>
  <si>
    <t>L</t>
  </si>
  <si>
    <t>k</t>
  </si>
  <si>
    <t>x0</t>
  </si>
  <si>
    <t>logistic</t>
  </si>
  <si>
    <t>results_pick</t>
  </si>
  <si>
    <t>rank_pick</t>
  </si>
  <si>
    <t>p_win_totals_ext</t>
  </si>
  <si>
    <t>p_win_totals_ext_lookup</t>
  </si>
  <si>
    <t>rank_pick_sched_simulation</t>
  </si>
  <si>
    <t>w_pick_confidence_calcs_ched_simulation</t>
  </si>
  <si>
    <t>w_pick_prob2</t>
  </si>
  <si>
    <t>w_actual</t>
  </si>
  <si>
    <t>w_pick_prob</t>
  </si>
  <si>
    <t>rank_sportsbook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</si>
</sst>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sz val="11"/>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0" borderId="0" xfId="0" applyFont="1"/>
    <xf numFmtId="0" fontId="1" fillId="0" borderId="0" xfId="0" applyFont="1"/>
    <xf numFmtId="0" fontId="0" fillId="2" borderId="0" xfId="0" applyFill="1"/>
    <xf numFmtId="0" fontId="0" fillId="2" borderId="0" xfId="0" applyFont="1" applyFill="1"/>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d_win_totals!$K$2:$K$31</c:f>
              <c:numCache>
                <c:formatCode>General</c:formatCode>
                <c:ptCount val="30"/>
                <c:pt idx="0">
                  <c:v>2</c:v>
                </c:pt>
                <c:pt idx="1">
                  <c:v>16</c:v>
                </c:pt>
                <c:pt idx="2">
                  <c:v>18</c:v>
                </c:pt>
                <c:pt idx="3">
                  <c:v>22</c:v>
                </c:pt>
                <c:pt idx="4">
                  <c:v>9</c:v>
                </c:pt>
                <c:pt idx="5">
                  <c:v>7</c:v>
                </c:pt>
                <c:pt idx="6">
                  <c:v>9</c:v>
                </c:pt>
                <c:pt idx="7">
                  <c:v>24</c:v>
                </c:pt>
                <c:pt idx="8">
                  <c:v>23</c:v>
                </c:pt>
                <c:pt idx="9">
                  <c:v>1</c:v>
                </c:pt>
                <c:pt idx="10">
                  <c:v>3</c:v>
                </c:pt>
                <c:pt idx="11">
                  <c:v>18</c:v>
                </c:pt>
                <c:pt idx="12">
                  <c:v>3</c:v>
                </c:pt>
                <c:pt idx="13">
                  <c:v>27</c:v>
                </c:pt>
                <c:pt idx="14">
                  <c:v>5</c:v>
                </c:pt>
                <c:pt idx="15">
                  <c:v>21</c:v>
                </c:pt>
                <c:pt idx="16">
                  <c:v>15</c:v>
                </c:pt>
                <c:pt idx="17">
                  <c:v>30</c:v>
                </c:pt>
                <c:pt idx="18">
                  <c:v>13</c:v>
                </c:pt>
                <c:pt idx="19">
                  <c:v>29</c:v>
                </c:pt>
                <c:pt idx="20">
                  <c:v>13</c:v>
                </c:pt>
                <c:pt idx="21">
                  <c:v>26</c:v>
                </c:pt>
                <c:pt idx="22">
                  <c:v>28</c:v>
                </c:pt>
                <c:pt idx="23">
                  <c:v>17</c:v>
                </c:pt>
                <c:pt idx="24">
                  <c:v>8</c:v>
                </c:pt>
                <c:pt idx="25">
                  <c:v>25</c:v>
                </c:pt>
                <c:pt idx="26">
                  <c:v>5</c:v>
                </c:pt>
                <c:pt idx="27">
                  <c:v>11</c:v>
                </c:pt>
                <c:pt idx="28">
                  <c:v>18</c:v>
                </c:pt>
                <c:pt idx="29">
                  <c:v>12</c:v>
                </c:pt>
              </c:numCache>
            </c:numRef>
          </c:xVal>
          <c:yVal>
            <c:numRef>
              <c:f>d_win_totals!$G$2:$G$31</c:f>
              <c:numCache>
                <c:formatCode>General</c:formatCode>
                <c:ptCount val="30"/>
                <c:pt idx="0">
                  <c:v>60</c:v>
                </c:pt>
                <c:pt idx="1">
                  <c:v>40</c:v>
                </c:pt>
                <c:pt idx="2">
                  <c:v>38</c:v>
                </c:pt>
                <c:pt idx="3">
                  <c:v>33</c:v>
                </c:pt>
                <c:pt idx="4">
                  <c:v>50</c:v>
                </c:pt>
                <c:pt idx="5">
                  <c:v>53</c:v>
                </c:pt>
                <c:pt idx="6">
                  <c:v>50</c:v>
                </c:pt>
                <c:pt idx="7">
                  <c:v>30</c:v>
                </c:pt>
                <c:pt idx="8">
                  <c:v>32</c:v>
                </c:pt>
                <c:pt idx="9">
                  <c:v>67</c:v>
                </c:pt>
                <c:pt idx="10">
                  <c:v>56</c:v>
                </c:pt>
                <c:pt idx="11">
                  <c:v>38</c:v>
                </c:pt>
                <c:pt idx="12">
                  <c:v>56</c:v>
                </c:pt>
                <c:pt idx="13">
                  <c:v>21</c:v>
                </c:pt>
                <c:pt idx="14">
                  <c:v>55</c:v>
                </c:pt>
                <c:pt idx="15">
                  <c:v>37</c:v>
                </c:pt>
                <c:pt idx="16">
                  <c:v>41</c:v>
                </c:pt>
                <c:pt idx="17">
                  <c:v>16</c:v>
                </c:pt>
                <c:pt idx="18">
                  <c:v>45</c:v>
                </c:pt>
                <c:pt idx="19">
                  <c:v>17</c:v>
                </c:pt>
                <c:pt idx="20">
                  <c:v>45</c:v>
                </c:pt>
                <c:pt idx="21">
                  <c:v>25</c:v>
                </c:pt>
                <c:pt idx="22">
                  <c:v>18</c:v>
                </c:pt>
                <c:pt idx="23">
                  <c:v>39</c:v>
                </c:pt>
                <c:pt idx="24">
                  <c:v>51</c:v>
                </c:pt>
                <c:pt idx="25">
                  <c:v>29</c:v>
                </c:pt>
                <c:pt idx="26">
                  <c:v>55</c:v>
                </c:pt>
                <c:pt idx="27">
                  <c:v>49</c:v>
                </c:pt>
                <c:pt idx="28">
                  <c:v>38</c:v>
                </c:pt>
                <c:pt idx="29">
                  <c:v>46</c:v>
                </c:pt>
              </c:numCache>
            </c:numRef>
          </c:yVal>
          <c:smooth val="0"/>
          <c:extLst>
            <c:ext xmlns:c16="http://schemas.microsoft.com/office/drawing/2014/chart" uri="{C3380CC4-5D6E-409C-BE32-E72D297353CC}">
              <c16:uniqueId val="{00000000-32A9-4763-A74E-D277B72ECEC3}"/>
            </c:ext>
          </c:extLst>
        </c:ser>
        <c:dLbls>
          <c:showLegendKey val="0"/>
          <c:showVal val="0"/>
          <c:showCatName val="0"/>
          <c:showSerName val="0"/>
          <c:showPercent val="0"/>
          <c:showBubbleSize val="0"/>
        </c:dLbls>
        <c:axId val="624494816"/>
        <c:axId val="624494488"/>
      </c:scatterChart>
      <c:valAx>
        <c:axId val="624494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494488"/>
        <c:crosses val="autoZero"/>
        <c:crossBetween val="midCat"/>
      </c:valAx>
      <c:valAx>
        <c:axId val="624494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494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14</xdr:col>
      <xdr:colOff>511968</xdr:colOff>
      <xdr:row>17</xdr:row>
      <xdr:rowOff>69056</xdr:rowOff>
    </xdr:from>
    <xdr:to>
      <xdr:col>22</xdr:col>
      <xdr:colOff>226218</xdr:colOff>
      <xdr:row>31</xdr:row>
      <xdr:rowOff>145256</xdr:rowOff>
    </xdr:to>
    <xdr:graphicFrame macro="">
      <xdr:nvGraphicFramePr>
        <xdr:cNvPr id="2" name="Chart 1">
          <a:extLst>
            <a:ext uri="{FF2B5EF4-FFF2-40B4-BE49-F238E27FC236}">
              <a16:creationId xmlns:a16="http://schemas.microsoft.com/office/drawing/2014/main" id="{E4E7D785-D281-42BC-BB2F-5CB81E2BB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B20"/>
  <sheetViews>
    <sheetView workbookViewId="0">
      <selection activeCell="B9" sqref="B9"/>
    </sheetView>
  </sheetViews>
  <sheetFormatPr defaultRowHeight="15" x14ac:dyDescent="0.25"/>
  <sheetData>
    <row r="2" spans="1:2" x14ac:dyDescent="0.25">
      <c r="A2">
        <v>1.1000000000000001</v>
      </c>
      <c r="B2" t="s">
        <v>66</v>
      </c>
    </row>
    <row r="3" spans="1:2" x14ac:dyDescent="0.25">
      <c r="A3">
        <v>1.21</v>
      </c>
      <c r="B3" t="s">
        <v>63</v>
      </c>
    </row>
    <row r="4" spans="1:2" x14ac:dyDescent="0.25">
      <c r="A4">
        <v>1.22</v>
      </c>
      <c r="B4" t="s">
        <v>64</v>
      </c>
    </row>
    <row r="5" spans="1:2" x14ac:dyDescent="0.25">
      <c r="A5">
        <v>1.3</v>
      </c>
      <c r="B5" t="s">
        <v>65</v>
      </c>
    </row>
    <row r="6" spans="1:2" x14ac:dyDescent="0.25">
      <c r="A6">
        <v>2.1</v>
      </c>
      <c r="B6" t="s">
        <v>52</v>
      </c>
    </row>
    <row r="7" spans="1:2" x14ac:dyDescent="0.25">
      <c r="A7">
        <v>2.2000000000000002</v>
      </c>
      <c r="B7" t="s">
        <v>67</v>
      </c>
    </row>
    <row r="8" spans="1:2" x14ac:dyDescent="0.25">
      <c r="A8">
        <v>2.2999999999999998</v>
      </c>
      <c r="B8" t="s">
        <v>68</v>
      </c>
    </row>
    <row r="9" spans="1:2" x14ac:dyDescent="0.25">
      <c r="A9">
        <v>3</v>
      </c>
      <c r="B9" t="s">
        <v>56</v>
      </c>
    </row>
    <row r="10" spans="1:2" x14ac:dyDescent="0.25">
      <c r="A10">
        <v>3.1</v>
      </c>
      <c r="B10" t="s">
        <v>61</v>
      </c>
    </row>
    <row r="11" spans="1:2" x14ac:dyDescent="0.25">
      <c r="A11">
        <v>3.11</v>
      </c>
      <c r="B11" t="s">
        <v>60</v>
      </c>
    </row>
    <row r="12" spans="1:2" x14ac:dyDescent="0.25">
      <c r="A12">
        <v>3.12</v>
      </c>
      <c r="B12" t="s">
        <v>62</v>
      </c>
    </row>
    <row r="13" spans="1:2" x14ac:dyDescent="0.25">
      <c r="A13">
        <v>3.2</v>
      </c>
      <c r="B13" t="s">
        <v>57</v>
      </c>
    </row>
    <row r="14" spans="1:2" x14ac:dyDescent="0.25">
      <c r="A14">
        <v>3.3</v>
      </c>
      <c r="B14" t="s">
        <v>58</v>
      </c>
    </row>
    <row r="15" spans="1:2" x14ac:dyDescent="0.25">
      <c r="A15">
        <v>3.4</v>
      </c>
      <c r="B15" t="s">
        <v>59</v>
      </c>
    </row>
    <row r="18" spans="2:2" x14ac:dyDescent="0.25">
      <c r="B18" t="s">
        <v>53</v>
      </c>
    </row>
    <row r="19" spans="2:2" x14ac:dyDescent="0.25">
      <c r="B19" t="s">
        <v>54</v>
      </c>
    </row>
    <row r="20" spans="2:2" x14ac:dyDescent="0.25">
      <c r="B20"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B33"/>
  <sheetViews>
    <sheetView tabSelected="1" zoomScale="80" zoomScaleNormal="80" workbookViewId="0">
      <selection activeCell="H18" sqref="H18"/>
    </sheetView>
  </sheetViews>
  <sheetFormatPr defaultRowHeight="15" x14ac:dyDescent="0.25"/>
  <sheetData>
    <row r="3" spans="1:2" x14ac:dyDescent="0.25">
      <c r="A3" t="str">
        <f>d_win_totals!E1</f>
        <v>team</v>
      </c>
      <c r="B3" t="str">
        <f>d_win_totals!F1</f>
        <v>w_sportsbook</v>
      </c>
    </row>
    <row r="4" spans="1:2" x14ac:dyDescent="0.25">
      <c r="A4" t="str">
        <f>d_win_totals!E2</f>
        <v>ATL</v>
      </c>
      <c r="B4">
        <f>d_win_totals!F2</f>
        <v>40.5</v>
      </c>
    </row>
    <row r="5" spans="1:2" x14ac:dyDescent="0.25">
      <c r="A5" t="str">
        <f>d_win_totals!E3</f>
        <v>BOS</v>
      </c>
      <c r="B5">
        <f>d_win_totals!F3</f>
        <v>26.5</v>
      </c>
    </row>
    <row r="6" spans="1:2" x14ac:dyDescent="0.25">
      <c r="A6" t="str">
        <f>d_win_totals!E4</f>
        <v>BKN</v>
      </c>
      <c r="B6">
        <f>d_win_totals!F4</f>
        <v>41.5</v>
      </c>
    </row>
    <row r="7" spans="1:2" x14ac:dyDescent="0.25">
      <c r="A7" t="str">
        <f>d_win_totals!E5</f>
        <v>CHA</v>
      </c>
      <c r="B7">
        <f>d_win_totals!F5</f>
        <v>45.5</v>
      </c>
    </row>
    <row r="8" spans="1:2" x14ac:dyDescent="0.25">
      <c r="A8" t="str">
        <f>d_win_totals!E6</f>
        <v>CHI</v>
      </c>
      <c r="B8">
        <f>d_win_totals!F6</f>
        <v>55.5</v>
      </c>
    </row>
    <row r="9" spans="1:2" x14ac:dyDescent="0.25">
      <c r="A9" t="str">
        <f>d_win_totals!E7</f>
        <v>CLE</v>
      </c>
      <c r="B9">
        <f>d_win_totals!F7</f>
        <v>58.5</v>
      </c>
    </row>
    <row r="10" spans="1:2" x14ac:dyDescent="0.25">
      <c r="A10" t="str">
        <f>d_win_totals!E8</f>
        <v>DAL</v>
      </c>
      <c r="B10">
        <f>d_win_totals!F8</f>
        <v>49.5</v>
      </c>
    </row>
    <row r="11" spans="1:2" x14ac:dyDescent="0.25">
      <c r="A11" t="str">
        <f>d_win_totals!E9</f>
        <v>DEN</v>
      </c>
      <c r="B11">
        <f>d_win_totals!F9</f>
        <v>40.5</v>
      </c>
    </row>
    <row r="12" spans="1:2" x14ac:dyDescent="0.25">
      <c r="A12" t="str">
        <f>d_win_totals!E10</f>
        <v>DET</v>
      </c>
      <c r="B12">
        <f>d_win_totals!F10</f>
        <v>36.5</v>
      </c>
    </row>
    <row r="13" spans="1:2" x14ac:dyDescent="0.25">
      <c r="A13" t="str">
        <f>d_win_totals!E11</f>
        <v>GS</v>
      </c>
      <c r="B13">
        <f>d_win_totals!F11</f>
        <v>50.5</v>
      </c>
    </row>
    <row r="14" spans="1:2" x14ac:dyDescent="0.25">
      <c r="A14" t="str">
        <f>d_win_totals!E12</f>
        <v>HOU</v>
      </c>
      <c r="B14">
        <f>d_win_totals!F12</f>
        <v>49.5</v>
      </c>
    </row>
    <row r="15" spans="1:2" x14ac:dyDescent="0.25">
      <c r="A15" t="str">
        <f>d_win_totals!E13</f>
        <v>IND</v>
      </c>
      <c r="B15">
        <f>d_win_totals!F13</f>
        <v>32.5</v>
      </c>
    </row>
    <row r="16" spans="1:2" x14ac:dyDescent="0.25">
      <c r="A16" t="str">
        <f>d_win_totals!E14</f>
        <v>LAC</v>
      </c>
      <c r="B16">
        <f>d_win_totals!F14</f>
        <v>55.5</v>
      </c>
    </row>
    <row r="17" spans="1:2" x14ac:dyDescent="0.25">
      <c r="A17" t="str">
        <f>d_win_totals!E15</f>
        <v>LAL</v>
      </c>
      <c r="B17">
        <f>d_win_totals!F15</f>
        <v>31.5</v>
      </c>
    </row>
    <row r="18" spans="1:2" x14ac:dyDescent="0.25">
      <c r="A18" t="str">
        <f>d_win_totals!E16</f>
        <v>MEM</v>
      </c>
      <c r="B18">
        <f>d_win_totals!F16</f>
        <v>48.5</v>
      </c>
    </row>
    <row r="19" spans="1:2" x14ac:dyDescent="0.25">
      <c r="A19" t="str">
        <f>d_win_totals!E17</f>
        <v>MIA</v>
      </c>
      <c r="B19">
        <f>d_win_totals!F17</f>
        <v>43.5</v>
      </c>
    </row>
    <row r="20" spans="1:2" x14ac:dyDescent="0.25">
      <c r="A20" t="str">
        <f>d_win_totals!E18</f>
        <v>MIL</v>
      </c>
      <c r="B20">
        <f>d_win_totals!F18</f>
        <v>24.5</v>
      </c>
    </row>
    <row r="21" spans="1:2" x14ac:dyDescent="0.25">
      <c r="A21" t="str">
        <f>d_win_totals!E19</f>
        <v>MIN</v>
      </c>
      <c r="B21">
        <f>d_win_totals!F19</f>
        <v>25.5</v>
      </c>
    </row>
    <row r="22" spans="1:2" x14ac:dyDescent="0.25">
      <c r="A22" t="str">
        <f>d_win_totals!E20</f>
        <v>NO</v>
      </c>
      <c r="B22">
        <f>d_win_totals!F20</f>
        <v>41.5</v>
      </c>
    </row>
    <row r="23" spans="1:2" x14ac:dyDescent="0.25">
      <c r="A23" t="str">
        <f>d_win_totals!E21</f>
        <v>NY</v>
      </c>
      <c r="B23">
        <f>d_win_totals!F21</f>
        <v>40.5</v>
      </c>
    </row>
    <row r="24" spans="1:2" x14ac:dyDescent="0.25">
      <c r="A24" t="str">
        <f>d_win_totals!E22</f>
        <v>OKC</v>
      </c>
      <c r="B24">
        <f>d_win_totals!F22</f>
        <v>57.5</v>
      </c>
    </row>
    <row r="25" spans="1:2" x14ac:dyDescent="0.25">
      <c r="A25" t="str">
        <f>d_win_totals!E23</f>
        <v>ORL</v>
      </c>
      <c r="B25">
        <f>d_win_totals!F23</f>
        <v>28.5</v>
      </c>
    </row>
    <row r="26" spans="1:2" x14ac:dyDescent="0.25">
      <c r="A26" t="str">
        <f>d_win_totals!E24</f>
        <v>PHI</v>
      </c>
      <c r="B26">
        <f>d_win_totals!F24</f>
        <v>15.5</v>
      </c>
    </row>
    <row r="27" spans="1:2" x14ac:dyDescent="0.25">
      <c r="A27" t="str">
        <f>d_win_totals!E25</f>
        <v>PHX</v>
      </c>
      <c r="B27">
        <f>d_win_totals!F25</f>
        <v>42.5</v>
      </c>
    </row>
    <row r="28" spans="1:2" x14ac:dyDescent="0.25">
      <c r="A28" t="str">
        <f>d_win_totals!E26</f>
        <v>POR</v>
      </c>
      <c r="B28">
        <f>d_win_totals!F26</f>
        <v>48.5</v>
      </c>
    </row>
    <row r="29" spans="1:2" x14ac:dyDescent="0.25">
      <c r="A29" t="str">
        <f>d_win_totals!E27</f>
        <v>SAC</v>
      </c>
      <c r="B29">
        <f>d_win_totals!F27</f>
        <v>30.5</v>
      </c>
    </row>
    <row r="30" spans="1:2" x14ac:dyDescent="0.25">
      <c r="A30" t="str">
        <f>d_win_totals!E28</f>
        <v>SA</v>
      </c>
      <c r="B30">
        <f>d_win_totals!F28</f>
        <v>56.5</v>
      </c>
    </row>
    <row r="31" spans="1:2" x14ac:dyDescent="0.25">
      <c r="A31" t="str">
        <f>d_win_totals!E29</f>
        <v>TOR</v>
      </c>
      <c r="B31">
        <f>d_win_totals!F29</f>
        <v>49.5</v>
      </c>
    </row>
    <row r="32" spans="1:2" x14ac:dyDescent="0.25">
      <c r="A32" t="str">
        <f>d_win_totals!E30</f>
        <v>UTAH</v>
      </c>
      <c r="B32">
        <f>d_win_totals!F30</f>
        <v>25.5</v>
      </c>
    </row>
    <row r="33" spans="1:2" x14ac:dyDescent="0.25">
      <c r="A33" t="str">
        <f>d_win_totals!E31</f>
        <v>WSH</v>
      </c>
      <c r="B33">
        <f>d_win_totals!F31</f>
        <v>49.5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457"/>
  <sheetViews>
    <sheetView topLeftCell="F1" workbookViewId="0">
      <selection activeCell="O2" sqref="O2"/>
    </sheetView>
  </sheetViews>
  <sheetFormatPr defaultRowHeight="15" x14ac:dyDescent="0.25"/>
  <cols>
    <col min="1" max="1" width="10" customWidth="1"/>
    <col min="2" max="2" width="9.85546875" customWidth="1"/>
    <col min="3" max="3" width="10.85546875" customWidth="1"/>
  </cols>
  <sheetData>
    <row r="1" spans="1:14" x14ac:dyDescent="0.25">
      <c r="A1" t="s">
        <v>0</v>
      </c>
      <c r="B1" t="s">
        <v>1</v>
      </c>
      <c r="C1" s="1" t="s">
        <v>2</v>
      </c>
      <c r="D1" t="s">
        <v>3</v>
      </c>
      <c r="E1" t="s">
        <v>4</v>
      </c>
      <c r="F1" t="s">
        <v>5</v>
      </c>
      <c r="G1" t="s">
        <v>6</v>
      </c>
      <c r="H1" t="s">
        <v>7</v>
      </c>
      <c r="I1" t="s">
        <v>8</v>
      </c>
      <c r="J1" t="s">
        <v>9</v>
      </c>
      <c r="K1" t="s">
        <v>10</v>
      </c>
      <c r="L1" t="s">
        <v>11</v>
      </c>
      <c r="M1" t="s">
        <v>133</v>
      </c>
      <c r="N1" t="s">
        <v>131</v>
      </c>
    </row>
    <row r="2" spans="1:14" x14ac:dyDescent="0.25">
      <c r="A2">
        <v>400578293</v>
      </c>
      <c r="B2">
        <v>2015</v>
      </c>
      <c r="C2" s="1">
        <v>41940</v>
      </c>
      <c r="D2" t="s">
        <v>12</v>
      </c>
      <c r="E2">
        <v>1</v>
      </c>
      <c r="F2">
        <v>1</v>
      </c>
      <c r="G2">
        <v>0</v>
      </c>
      <c r="H2">
        <v>1</v>
      </c>
      <c r="I2" t="s">
        <v>12</v>
      </c>
      <c r="J2">
        <v>101</v>
      </c>
      <c r="K2" t="s">
        <v>13</v>
      </c>
      <c r="L2">
        <v>84</v>
      </c>
      <c r="M2">
        <f>IF(D2=I2,VLOOKUP(D2,a_win_totals_lookup,MATCH(K2,a_wins_total_lookup_header,0)+1,0),VLOOKUP(D2,a_win_totals_lookup,MATCH(I2,a_wins_total_lookup_header,0)+1,0))</f>
        <v>0.62386816358907304</v>
      </c>
      <c r="N2">
        <f>RandomizeDecimal(-0.5,0.5)+M2</f>
        <v>0.41343062734944902</v>
      </c>
    </row>
    <row r="3" spans="1:14" x14ac:dyDescent="0.25">
      <c r="A3">
        <v>400578293</v>
      </c>
      <c r="B3">
        <v>2015</v>
      </c>
      <c r="C3" s="1">
        <v>41940</v>
      </c>
      <c r="D3" t="s">
        <v>13</v>
      </c>
      <c r="E3">
        <v>0</v>
      </c>
      <c r="F3">
        <v>0</v>
      </c>
      <c r="G3">
        <v>1</v>
      </c>
      <c r="H3">
        <v>0</v>
      </c>
      <c r="I3" t="s">
        <v>12</v>
      </c>
      <c r="J3">
        <v>101</v>
      </c>
      <c r="K3" t="s">
        <v>13</v>
      </c>
      <c r="L3">
        <v>84</v>
      </c>
      <c r="M3">
        <f>IF(D3=I3,VLOOKUP(D3,a_win_totals_lookup,MATCH(K3,a_wins_total_lookup_header,0)+1,0),VLOOKUP(D3,a_win_totals_lookup,MATCH(I3,a_wins_total_lookup_header,0)+1,0))</f>
        <v>0.37613183641092696</v>
      </c>
      <c r="N3">
        <f t="shared" ref="N3:N66" ca="1" si="0">ROUND(0.5*RANDBETWEEN(-1,1)+M3,0)</f>
        <v>1</v>
      </c>
    </row>
    <row r="4" spans="1:14" x14ac:dyDescent="0.25">
      <c r="A4">
        <v>400578294</v>
      </c>
      <c r="B4">
        <v>2015</v>
      </c>
      <c r="C4" s="1">
        <v>41940</v>
      </c>
      <c r="D4" t="s">
        <v>14</v>
      </c>
      <c r="E4">
        <v>0</v>
      </c>
      <c r="F4">
        <v>0</v>
      </c>
      <c r="G4">
        <v>1</v>
      </c>
      <c r="H4">
        <v>0</v>
      </c>
      <c r="I4" t="s">
        <v>15</v>
      </c>
      <c r="J4">
        <v>101</v>
      </c>
      <c r="K4" t="s">
        <v>14</v>
      </c>
      <c r="L4">
        <v>100</v>
      </c>
      <c r="M4">
        <f>IF(D4=I4,VLOOKUP(D4,a_win_totals_lookup,MATCH(K4,a_wins_total_lookup_header,0)+1,0),VLOOKUP(D4,a_win_totals_lookup,MATCH(I4,a_wins_total_lookup_header,0)+1,0))</f>
        <v>0.47403936940493457</v>
      </c>
      <c r="N4">
        <f t="shared" ca="1" si="0"/>
        <v>1</v>
      </c>
    </row>
    <row r="5" spans="1:14" x14ac:dyDescent="0.25">
      <c r="A5">
        <v>400578294</v>
      </c>
      <c r="B5">
        <v>2015</v>
      </c>
      <c r="C5" s="1">
        <v>41940</v>
      </c>
      <c r="D5" t="s">
        <v>15</v>
      </c>
      <c r="E5">
        <v>1</v>
      </c>
      <c r="F5">
        <v>1</v>
      </c>
      <c r="G5">
        <v>0</v>
      </c>
      <c r="H5">
        <v>1</v>
      </c>
      <c r="I5" t="s">
        <v>15</v>
      </c>
      <c r="J5">
        <v>101</v>
      </c>
      <c r="K5" t="s">
        <v>14</v>
      </c>
      <c r="L5">
        <v>100</v>
      </c>
      <c r="M5">
        <f>IF(D5=I5,VLOOKUP(D5,a_win_totals_lookup,MATCH(K5,a_wins_total_lookup_header,0)+1,0),VLOOKUP(D5,a_win_totals_lookup,MATCH(I5,a_wins_total_lookup_header,0)+1,0))</f>
        <v>0.52596063059506537</v>
      </c>
      <c r="N5">
        <f t="shared" ca="1" si="0"/>
        <v>1</v>
      </c>
    </row>
    <row r="6" spans="1:14" x14ac:dyDescent="0.25">
      <c r="A6">
        <v>400578295</v>
      </c>
      <c r="B6">
        <v>2015</v>
      </c>
      <c r="C6" s="1">
        <v>41940</v>
      </c>
      <c r="D6" t="s">
        <v>16</v>
      </c>
      <c r="E6">
        <v>1</v>
      </c>
      <c r="F6">
        <v>1</v>
      </c>
      <c r="G6">
        <v>0</v>
      </c>
      <c r="H6">
        <v>0</v>
      </c>
      <c r="I6" t="s">
        <v>17</v>
      </c>
      <c r="J6">
        <v>90</v>
      </c>
      <c r="K6" t="s">
        <v>16</v>
      </c>
      <c r="L6">
        <v>108</v>
      </c>
      <c r="M6">
        <f>IF(D6=I6,VLOOKUP(D6,a_win_totals_lookup,MATCH(K6,a_wins_total_lookup_header,0)+1,0),VLOOKUP(D6,a_win_totals_lookup,MATCH(I6,a_wins_total_lookup_header,0)+1,0))</f>
        <v>0.65557177266505795</v>
      </c>
      <c r="N6">
        <f t="shared" ca="1" si="0"/>
        <v>1</v>
      </c>
    </row>
    <row r="7" spans="1:14" x14ac:dyDescent="0.25">
      <c r="A7">
        <v>400578295</v>
      </c>
      <c r="B7">
        <v>2015</v>
      </c>
      <c r="C7" s="1">
        <v>41940</v>
      </c>
      <c r="D7" t="s">
        <v>17</v>
      </c>
      <c r="E7">
        <v>0</v>
      </c>
      <c r="F7">
        <v>0</v>
      </c>
      <c r="G7">
        <v>1</v>
      </c>
      <c r="H7">
        <v>1</v>
      </c>
      <c r="I7" t="s">
        <v>17</v>
      </c>
      <c r="J7">
        <v>90</v>
      </c>
      <c r="K7" t="s">
        <v>16</v>
      </c>
      <c r="L7">
        <v>108</v>
      </c>
      <c r="M7">
        <f>IF(D7=I7,VLOOKUP(D7,a_win_totals_lookup,MATCH(K7,a_wins_total_lookup_header,0)+1,0),VLOOKUP(D7,a_win_totals_lookup,MATCH(I7,a_wins_total_lookup_header,0)+1,0))</f>
        <v>0.34442822733494199</v>
      </c>
      <c r="N7">
        <f t="shared" ca="1" si="0"/>
        <v>1</v>
      </c>
    </row>
    <row r="8" spans="1:14" x14ac:dyDescent="0.25">
      <c r="A8">
        <v>400578296</v>
      </c>
      <c r="B8">
        <v>2015</v>
      </c>
      <c r="C8" s="1">
        <v>41941</v>
      </c>
      <c r="D8" t="s">
        <v>18</v>
      </c>
      <c r="E8">
        <v>1</v>
      </c>
      <c r="F8">
        <v>1</v>
      </c>
      <c r="G8">
        <v>0</v>
      </c>
      <c r="H8">
        <v>1</v>
      </c>
      <c r="I8" t="s">
        <v>18</v>
      </c>
      <c r="J8">
        <v>108</v>
      </c>
      <c r="K8" t="s">
        <v>19</v>
      </c>
      <c r="L8">
        <v>106</v>
      </c>
      <c r="M8">
        <f>IF(D8=I8,VLOOKUP(D8,a_win_totals_lookup,MATCH(K8,a_wins_total_lookup_header,0)+1,0),VLOOKUP(D8,a_win_totals_lookup,MATCH(I8,a_wins_total_lookup_header,0)+1,0))</f>
        <v>0.70038695085018321</v>
      </c>
      <c r="N8">
        <f t="shared" ca="1" si="0"/>
        <v>1</v>
      </c>
    </row>
    <row r="9" spans="1:14" x14ac:dyDescent="0.25">
      <c r="A9">
        <v>400578296</v>
      </c>
      <c r="B9">
        <v>2015</v>
      </c>
      <c r="C9" s="1">
        <v>41941</v>
      </c>
      <c r="D9" t="s">
        <v>19</v>
      </c>
      <c r="E9">
        <v>0</v>
      </c>
      <c r="F9">
        <v>0</v>
      </c>
      <c r="G9">
        <v>1</v>
      </c>
      <c r="H9">
        <v>0</v>
      </c>
      <c r="I9" t="s">
        <v>18</v>
      </c>
      <c r="J9">
        <v>108</v>
      </c>
      <c r="K9" t="s">
        <v>19</v>
      </c>
      <c r="L9">
        <v>106</v>
      </c>
      <c r="M9">
        <f>IF(D9=I9,VLOOKUP(D9,a_win_totals_lookup,MATCH(K9,a_wins_total_lookup_header,0)+1,0),VLOOKUP(D9,a_win_totals_lookup,MATCH(I9,a_wins_total_lookup_header,0)+1,0))</f>
        <v>0.29961304914981679</v>
      </c>
      <c r="N9">
        <f t="shared" ca="1" si="0"/>
        <v>0</v>
      </c>
    </row>
    <row r="10" spans="1:14" x14ac:dyDescent="0.25">
      <c r="A10">
        <v>400578297</v>
      </c>
      <c r="B10">
        <v>2015</v>
      </c>
      <c r="C10" s="1">
        <v>41941</v>
      </c>
      <c r="D10" t="s">
        <v>20</v>
      </c>
      <c r="E10">
        <v>1</v>
      </c>
      <c r="F10">
        <v>1</v>
      </c>
      <c r="G10">
        <v>0</v>
      </c>
      <c r="H10">
        <v>1</v>
      </c>
      <c r="I10" t="s">
        <v>20</v>
      </c>
      <c r="J10">
        <v>103</v>
      </c>
      <c r="K10" t="s">
        <v>21</v>
      </c>
      <c r="L10">
        <v>91</v>
      </c>
      <c r="M10">
        <f>IF(D10=I10,VLOOKUP(D10,a_win_totals_lookup,MATCH(K10,a_wins_total_lookup_header,0)+1,0),VLOOKUP(D10,a_win_totals_lookup,MATCH(I10,a_wins_total_lookup_header,0)+1,0))</f>
        <v>0.64351831611443899</v>
      </c>
      <c r="N10">
        <f t="shared" ca="1" si="0"/>
        <v>0</v>
      </c>
    </row>
    <row r="11" spans="1:14" x14ac:dyDescent="0.25">
      <c r="A11">
        <v>400578297</v>
      </c>
      <c r="B11">
        <v>2015</v>
      </c>
      <c r="C11" s="1">
        <v>41941</v>
      </c>
      <c r="D11" t="s">
        <v>21</v>
      </c>
      <c r="E11">
        <v>0</v>
      </c>
      <c r="F11">
        <v>0</v>
      </c>
      <c r="G11">
        <v>1</v>
      </c>
      <c r="H11">
        <v>0</v>
      </c>
      <c r="I11" t="s">
        <v>20</v>
      </c>
      <c r="J11">
        <v>103</v>
      </c>
      <c r="K11" t="s">
        <v>21</v>
      </c>
      <c r="L11">
        <v>91</v>
      </c>
      <c r="M11">
        <f>IF(D11=I11,VLOOKUP(D11,a_win_totals_lookup,MATCH(K11,a_wins_total_lookup_header,0)+1,0),VLOOKUP(D11,a_win_totals_lookup,MATCH(I11,a_wins_total_lookup_header,0)+1,0))</f>
        <v>0.35648168388556095</v>
      </c>
      <c r="N11">
        <f t="shared" ca="1" si="0"/>
        <v>0</v>
      </c>
    </row>
    <row r="12" spans="1:14" x14ac:dyDescent="0.25">
      <c r="A12">
        <v>400578298</v>
      </c>
      <c r="B12">
        <v>2015</v>
      </c>
      <c r="C12" s="1">
        <v>41941</v>
      </c>
      <c r="D12" t="s">
        <v>22</v>
      </c>
      <c r="E12">
        <v>1</v>
      </c>
      <c r="F12">
        <v>1</v>
      </c>
      <c r="G12">
        <v>0</v>
      </c>
      <c r="H12">
        <v>1</v>
      </c>
      <c r="I12" t="s">
        <v>22</v>
      </c>
      <c r="J12">
        <v>121</v>
      </c>
      <c r="K12" t="s">
        <v>23</v>
      </c>
      <c r="L12">
        <v>105</v>
      </c>
      <c r="M12">
        <f>IF(D12=I12,VLOOKUP(D12,a_win_totals_lookup,MATCH(K12,a_wins_total_lookup_header,0)+1,0),VLOOKUP(D12,a_win_totals_lookup,MATCH(I12,a_wins_total_lookup_header,0)+1,0))</f>
        <v>0.33715695553306341</v>
      </c>
      <c r="N12">
        <f t="shared" ca="1" si="0"/>
        <v>0</v>
      </c>
    </row>
    <row r="13" spans="1:14" x14ac:dyDescent="0.25">
      <c r="A13">
        <v>400578298</v>
      </c>
      <c r="B13">
        <v>2015</v>
      </c>
      <c r="C13" s="1">
        <v>41941</v>
      </c>
      <c r="D13" t="s">
        <v>23</v>
      </c>
      <c r="E13">
        <v>0</v>
      </c>
      <c r="F13">
        <v>0</v>
      </c>
      <c r="G13">
        <v>1</v>
      </c>
      <c r="H13">
        <v>0</v>
      </c>
      <c r="I13" t="s">
        <v>22</v>
      </c>
      <c r="J13">
        <v>121</v>
      </c>
      <c r="K13" t="s">
        <v>23</v>
      </c>
      <c r="L13">
        <v>105</v>
      </c>
      <c r="M13">
        <f>IF(D13=I13,VLOOKUP(D13,a_win_totals_lookup,MATCH(K13,a_wins_total_lookup_header,0)+1,0),VLOOKUP(D13,a_win_totals_lookup,MATCH(I13,a_wins_total_lookup_header,0)+1,0))</f>
        <v>0.66284304446693665</v>
      </c>
      <c r="N13">
        <f t="shared" ca="1" si="0"/>
        <v>1</v>
      </c>
    </row>
    <row r="14" spans="1:14" x14ac:dyDescent="0.25">
      <c r="A14">
        <v>400578299</v>
      </c>
      <c r="B14">
        <v>2015</v>
      </c>
      <c r="C14" s="1">
        <v>41941</v>
      </c>
      <c r="D14" t="s">
        <v>24</v>
      </c>
      <c r="E14">
        <v>1</v>
      </c>
      <c r="F14">
        <v>1</v>
      </c>
      <c r="G14">
        <v>0</v>
      </c>
      <c r="H14">
        <v>1</v>
      </c>
      <c r="I14" t="s">
        <v>24</v>
      </c>
      <c r="J14">
        <v>107</v>
      </c>
      <c r="K14" t="s">
        <v>25</v>
      </c>
      <c r="L14">
        <v>95</v>
      </c>
      <c r="M14">
        <f>IF(D14=I14,VLOOKUP(D14,a_win_totals_lookup,MATCH(K14,a_wins_total_lookup_header,0)+1,0),VLOOKUP(D14,a_win_totals_lookup,MATCH(I14,a_wins_total_lookup_header,0)+1,0))</f>
        <v>0.46811629634230822</v>
      </c>
      <c r="N14">
        <f t="shared" ca="1" si="0"/>
        <v>1</v>
      </c>
    </row>
    <row r="15" spans="1:14" x14ac:dyDescent="0.25">
      <c r="A15">
        <v>400578299</v>
      </c>
      <c r="B15">
        <v>2015</v>
      </c>
      <c r="C15" s="1">
        <v>41941</v>
      </c>
      <c r="D15" t="s">
        <v>25</v>
      </c>
      <c r="E15">
        <v>0</v>
      </c>
      <c r="F15">
        <v>0</v>
      </c>
      <c r="G15">
        <v>1</v>
      </c>
      <c r="H15">
        <v>0</v>
      </c>
      <c r="I15" t="s">
        <v>24</v>
      </c>
      <c r="J15">
        <v>107</v>
      </c>
      <c r="K15" t="s">
        <v>25</v>
      </c>
      <c r="L15">
        <v>95</v>
      </c>
      <c r="M15">
        <f>IF(D15=I15,VLOOKUP(D15,a_win_totals_lookup,MATCH(K15,a_wins_total_lookup_header,0)+1,0),VLOOKUP(D15,a_win_totals_lookup,MATCH(I15,a_wins_total_lookup_header,0)+1,0))</f>
        <v>0.53188370365769178</v>
      </c>
      <c r="N15">
        <f t="shared" ca="1" si="0"/>
        <v>1</v>
      </c>
    </row>
    <row r="16" spans="1:14" x14ac:dyDescent="0.25">
      <c r="A16">
        <v>400578300</v>
      </c>
      <c r="B16">
        <v>2015</v>
      </c>
      <c r="C16" s="1">
        <v>41941</v>
      </c>
      <c r="D16" t="s">
        <v>26</v>
      </c>
      <c r="E16">
        <v>0</v>
      </c>
      <c r="F16">
        <v>0</v>
      </c>
      <c r="G16">
        <v>1</v>
      </c>
      <c r="H16">
        <v>0</v>
      </c>
      <c r="I16" t="s">
        <v>27</v>
      </c>
      <c r="J16">
        <v>109</v>
      </c>
      <c r="K16" t="s">
        <v>26</v>
      </c>
      <c r="L16">
        <v>102</v>
      </c>
      <c r="M16">
        <f>IF(D16=I16,VLOOKUP(D16,a_win_totals_lookup,MATCH(K16,a_wins_total_lookup_header,0)+1,0),VLOOKUP(D16,a_win_totals_lookup,MATCH(I16,a_wins_total_lookup_header,0)+1,0))</f>
        <v>0.42248155809117843</v>
      </c>
      <c r="N16">
        <f t="shared" ca="1" si="0"/>
        <v>0</v>
      </c>
    </row>
    <row r="17" spans="1:14" x14ac:dyDescent="0.25">
      <c r="A17">
        <v>400578300</v>
      </c>
      <c r="B17">
        <v>2015</v>
      </c>
      <c r="C17" s="1">
        <v>41941</v>
      </c>
      <c r="D17" t="s">
        <v>27</v>
      </c>
      <c r="E17">
        <v>1</v>
      </c>
      <c r="F17">
        <v>1</v>
      </c>
      <c r="G17">
        <v>0</v>
      </c>
      <c r="H17">
        <v>1</v>
      </c>
      <c r="I17" t="s">
        <v>27</v>
      </c>
      <c r="J17">
        <v>109</v>
      </c>
      <c r="K17" t="s">
        <v>26</v>
      </c>
      <c r="L17">
        <v>102</v>
      </c>
      <c r="M17">
        <f>IF(D17=I17,VLOOKUP(D17,a_win_totals_lookup,MATCH(K17,a_wins_total_lookup_header,0)+1,0),VLOOKUP(D17,a_win_totals_lookup,MATCH(I17,a_wins_total_lookup_header,0)+1,0))</f>
        <v>0.57751844190882151</v>
      </c>
      <c r="N17">
        <f t="shared" ca="1" si="0"/>
        <v>1</v>
      </c>
    </row>
    <row r="18" spans="1:14" x14ac:dyDescent="0.25">
      <c r="A18">
        <v>400578301</v>
      </c>
      <c r="B18">
        <v>2015</v>
      </c>
      <c r="C18" s="1">
        <v>41941</v>
      </c>
      <c r="D18" t="s">
        <v>28</v>
      </c>
      <c r="E18">
        <v>1</v>
      </c>
      <c r="F18">
        <v>1</v>
      </c>
      <c r="G18">
        <v>0</v>
      </c>
      <c r="H18">
        <v>1</v>
      </c>
      <c r="I18" t="s">
        <v>28</v>
      </c>
      <c r="J18">
        <v>105</v>
      </c>
      <c r="K18" t="s">
        <v>29</v>
      </c>
      <c r="L18">
        <v>101</v>
      </c>
      <c r="M18">
        <f>IF(D18=I18,VLOOKUP(D18,a_win_totals_lookup,MATCH(K18,a_wins_total_lookup_header,0)+1,0),VLOOKUP(D18,a_win_totals_lookup,MATCH(I18,a_wins_total_lookup_header,0)+1,0))</f>
        <v>0.74684840850402012</v>
      </c>
      <c r="N18">
        <f t="shared" ca="1" si="0"/>
        <v>1</v>
      </c>
    </row>
    <row r="19" spans="1:14" x14ac:dyDescent="0.25">
      <c r="A19">
        <v>400578301</v>
      </c>
      <c r="B19">
        <v>2015</v>
      </c>
      <c r="C19" s="1">
        <v>41941</v>
      </c>
      <c r="D19" t="s">
        <v>29</v>
      </c>
      <c r="E19">
        <v>0</v>
      </c>
      <c r="F19">
        <v>0</v>
      </c>
      <c r="G19">
        <v>1</v>
      </c>
      <c r="H19">
        <v>0</v>
      </c>
      <c r="I19" t="s">
        <v>28</v>
      </c>
      <c r="J19">
        <v>105</v>
      </c>
      <c r="K19" t="s">
        <v>29</v>
      </c>
      <c r="L19">
        <v>101</v>
      </c>
      <c r="M19">
        <f>IF(D19=I19,VLOOKUP(D19,a_win_totals_lookup,MATCH(K19,a_wins_total_lookup_header,0)+1,0),VLOOKUP(D19,a_win_totals_lookup,MATCH(I19,a_wins_total_lookup_header,0)+1,0))</f>
        <v>0.25315159149597988</v>
      </c>
      <c r="N19">
        <f t="shared" ca="1" si="0"/>
        <v>0</v>
      </c>
    </row>
    <row r="20" spans="1:14" x14ac:dyDescent="0.25">
      <c r="A20">
        <v>400578302</v>
      </c>
      <c r="B20">
        <v>2015</v>
      </c>
      <c r="C20" s="1">
        <v>41941</v>
      </c>
      <c r="D20" t="s">
        <v>30</v>
      </c>
      <c r="E20">
        <v>1</v>
      </c>
      <c r="F20">
        <v>1</v>
      </c>
      <c r="G20">
        <v>0</v>
      </c>
      <c r="H20">
        <v>0</v>
      </c>
      <c r="I20" t="s">
        <v>31</v>
      </c>
      <c r="J20">
        <v>80</v>
      </c>
      <c r="K20" t="s">
        <v>30</v>
      </c>
      <c r="L20">
        <v>104</v>
      </c>
      <c r="M20">
        <f>IF(D20=I20,VLOOKUP(D20,a_win_totals_lookup,MATCH(K20,a_wins_total_lookup_header,0)+1,0),VLOOKUP(D20,a_win_totals_lookup,MATCH(I20,a_wins_total_lookup_header,0)+1,0))</f>
        <v>0.63968802393025326</v>
      </c>
      <c r="N20">
        <f t="shared" ca="1" si="0"/>
        <v>1</v>
      </c>
    </row>
    <row r="21" spans="1:14" x14ac:dyDescent="0.25">
      <c r="A21">
        <v>400578302</v>
      </c>
      <c r="B21">
        <v>2015</v>
      </c>
      <c r="C21" s="1">
        <v>41941</v>
      </c>
      <c r="D21" t="s">
        <v>31</v>
      </c>
      <c r="E21">
        <v>0</v>
      </c>
      <c r="F21">
        <v>0</v>
      </c>
      <c r="G21">
        <v>1</v>
      </c>
      <c r="H21">
        <v>1</v>
      </c>
      <c r="I21" t="s">
        <v>31</v>
      </c>
      <c r="J21">
        <v>80</v>
      </c>
      <c r="K21" t="s">
        <v>30</v>
      </c>
      <c r="L21">
        <v>104</v>
      </c>
      <c r="M21">
        <f>IF(D21=I21,VLOOKUP(D21,a_win_totals_lookup,MATCH(K21,a_wins_total_lookup_header,0)+1,0),VLOOKUP(D21,a_win_totals_lookup,MATCH(I21,a_wins_total_lookup_header,0)+1,0))</f>
        <v>0.36031197606974674</v>
      </c>
      <c r="N21">
        <f t="shared" ca="1" si="0"/>
        <v>1</v>
      </c>
    </row>
    <row r="22" spans="1:14" x14ac:dyDescent="0.25">
      <c r="A22">
        <v>400578303</v>
      </c>
      <c r="B22">
        <v>2015</v>
      </c>
      <c r="C22" s="1">
        <v>41941</v>
      </c>
      <c r="D22" t="s">
        <v>32</v>
      </c>
      <c r="E22">
        <v>1</v>
      </c>
      <c r="F22">
        <v>1</v>
      </c>
      <c r="G22">
        <v>0</v>
      </c>
      <c r="H22">
        <v>1</v>
      </c>
      <c r="I22" t="s">
        <v>32</v>
      </c>
      <c r="J22">
        <v>89</v>
      </c>
      <c r="K22" t="s">
        <v>33</v>
      </c>
      <c r="L22">
        <v>79</v>
      </c>
      <c r="M22">
        <f>IF(D22=I22,VLOOKUP(D22,a_win_totals_lookup,MATCH(K22,a_wins_total_lookup_header,0)+1,0),VLOOKUP(D22,a_win_totals_lookup,MATCH(I22,a_wins_total_lookup_header,0)+1,0))</f>
        <v>0.54476805573373421</v>
      </c>
      <c r="N22">
        <f t="shared" ca="1" si="0"/>
        <v>1</v>
      </c>
    </row>
    <row r="23" spans="1:14" x14ac:dyDescent="0.25">
      <c r="A23">
        <v>400578303</v>
      </c>
      <c r="B23">
        <v>2015</v>
      </c>
      <c r="C23" s="1">
        <v>41941</v>
      </c>
      <c r="D23" t="s">
        <v>33</v>
      </c>
      <c r="E23">
        <v>0</v>
      </c>
      <c r="F23">
        <v>0</v>
      </c>
      <c r="G23">
        <v>1</v>
      </c>
      <c r="H23">
        <v>0</v>
      </c>
      <c r="I23" t="s">
        <v>32</v>
      </c>
      <c r="J23">
        <v>89</v>
      </c>
      <c r="K23" t="s">
        <v>33</v>
      </c>
      <c r="L23">
        <v>79</v>
      </c>
      <c r="M23">
        <f>IF(D23=I23,VLOOKUP(D23,a_win_totals_lookup,MATCH(K23,a_wins_total_lookup_header,0)+1,0),VLOOKUP(D23,a_win_totals_lookup,MATCH(I23,a_wins_total_lookup_header,0)+1,0))</f>
        <v>0.45523194426626579</v>
      </c>
      <c r="N23">
        <f t="shared" ca="1" si="0"/>
        <v>0</v>
      </c>
    </row>
    <row r="24" spans="1:14" x14ac:dyDescent="0.25">
      <c r="A24">
        <v>400578304</v>
      </c>
      <c r="B24">
        <v>2015</v>
      </c>
      <c r="C24" s="1">
        <v>41941</v>
      </c>
      <c r="D24" t="s">
        <v>16</v>
      </c>
      <c r="E24">
        <v>1</v>
      </c>
      <c r="F24">
        <v>2</v>
      </c>
      <c r="G24">
        <v>0</v>
      </c>
      <c r="H24">
        <v>0</v>
      </c>
      <c r="I24" t="s">
        <v>34</v>
      </c>
      <c r="J24">
        <v>93</v>
      </c>
      <c r="K24" t="s">
        <v>16</v>
      </c>
      <c r="L24">
        <v>104</v>
      </c>
      <c r="M24">
        <f>IF(D24=I24,VLOOKUP(D24,a_win_totals_lookup,MATCH(K24,a_wins_total_lookup_header,0)+1,0),VLOOKUP(D24,a_win_totals_lookup,MATCH(I24,a_wins_total_lookup_header,0)+1,0))</f>
        <v>0.68647860603758082</v>
      </c>
      <c r="N24">
        <f t="shared" ca="1" si="0"/>
        <v>1</v>
      </c>
    </row>
    <row r="25" spans="1:14" x14ac:dyDescent="0.25">
      <c r="A25">
        <v>400578304</v>
      </c>
      <c r="B25">
        <v>2015</v>
      </c>
      <c r="C25" s="1">
        <v>41941</v>
      </c>
      <c r="D25" t="s">
        <v>34</v>
      </c>
      <c r="E25">
        <v>0</v>
      </c>
      <c r="F25">
        <v>0</v>
      </c>
      <c r="G25">
        <v>1</v>
      </c>
      <c r="H25">
        <v>1</v>
      </c>
      <c r="I25" t="s">
        <v>34</v>
      </c>
      <c r="J25">
        <v>93</v>
      </c>
      <c r="K25" t="s">
        <v>16</v>
      </c>
      <c r="L25">
        <v>104</v>
      </c>
      <c r="M25">
        <f>IF(D25=I25,VLOOKUP(D25,a_win_totals_lookup,MATCH(K25,a_wins_total_lookup_header,0)+1,0),VLOOKUP(D25,a_win_totals_lookup,MATCH(I25,a_wins_total_lookup_header,0)+1,0))</f>
        <v>0.31352139396241918</v>
      </c>
      <c r="N25">
        <f t="shared" ca="1" si="0"/>
        <v>0</v>
      </c>
    </row>
    <row r="26" spans="1:14" x14ac:dyDescent="0.25">
      <c r="A26">
        <v>400578305</v>
      </c>
      <c r="B26">
        <v>2015</v>
      </c>
      <c r="C26" s="1">
        <v>41941</v>
      </c>
      <c r="D26" t="s">
        <v>17</v>
      </c>
      <c r="E26">
        <v>0</v>
      </c>
      <c r="F26">
        <v>0</v>
      </c>
      <c r="G26">
        <v>2</v>
      </c>
      <c r="H26">
        <v>0</v>
      </c>
      <c r="I26" t="s">
        <v>35</v>
      </c>
      <c r="J26">
        <v>119</v>
      </c>
      <c r="K26" t="s">
        <v>17</v>
      </c>
      <c r="L26">
        <v>99</v>
      </c>
      <c r="M26">
        <f>IF(D26=I26,VLOOKUP(D26,a_win_totals_lookup,MATCH(K26,a_wins_total_lookup_header,0)+1,0),VLOOKUP(D26,a_win_totals_lookup,MATCH(I26,a_wins_total_lookup_header,0)+1,0))</f>
        <v>0.38499232269801659</v>
      </c>
      <c r="N26">
        <f t="shared" ca="1" si="0"/>
        <v>1</v>
      </c>
    </row>
    <row r="27" spans="1:14" x14ac:dyDescent="0.25">
      <c r="A27">
        <v>400578305</v>
      </c>
      <c r="B27">
        <v>2015</v>
      </c>
      <c r="C27" s="1">
        <v>41941</v>
      </c>
      <c r="D27" t="s">
        <v>35</v>
      </c>
      <c r="E27">
        <v>1</v>
      </c>
      <c r="F27">
        <v>1</v>
      </c>
      <c r="G27">
        <v>0</v>
      </c>
      <c r="H27">
        <v>1</v>
      </c>
      <c r="I27" t="s">
        <v>35</v>
      </c>
      <c r="J27">
        <v>119</v>
      </c>
      <c r="K27" t="s">
        <v>17</v>
      </c>
      <c r="L27">
        <v>99</v>
      </c>
      <c r="M27">
        <f>IF(D27=I27,VLOOKUP(D27,a_win_totals_lookup,MATCH(K27,a_wins_total_lookup_header,0)+1,0),VLOOKUP(D27,a_win_totals_lookup,MATCH(I27,a_wins_total_lookup_header,0)+1,0))</f>
        <v>0.61500767730198336</v>
      </c>
      <c r="N27">
        <f t="shared" ca="1" si="0"/>
        <v>0</v>
      </c>
    </row>
    <row r="28" spans="1:14" x14ac:dyDescent="0.25">
      <c r="A28">
        <v>400578306</v>
      </c>
      <c r="B28">
        <v>2015</v>
      </c>
      <c r="C28" s="1">
        <v>41941</v>
      </c>
      <c r="D28" t="s">
        <v>36</v>
      </c>
      <c r="E28">
        <v>1</v>
      </c>
      <c r="F28">
        <v>1</v>
      </c>
      <c r="G28">
        <v>0</v>
      </c>
      <c r="H28">
        <v>0</v>
      </c>
      <c r="I28" t="s">
        <v>37</v>
      </c>
      <c r="J28">
        <v>77</v>
      </c>
      <c r="K28" t="s">
        <v>36</v>
      </c>
      <c r="L28">
        <v>95</v>
      </c>
      <c r="M28">
        <f>IF(D28=I28,VLOOKUP(D28,a_win_totals_lookup,MATCH(K28,a_wins_total_lookup_header,0)+1,0),VLOOKUP(D28,a_win_totals_lookup,MATCH(I28,a_wins_total_lookup_header,0)+1,0))</f>
        <v>0.69209130562404242</v>
      </c>
      <c r="N28">
        <f t="shared" ca="1" si="0"/>
        <v>0</v>
      </c>
    </row>
    <row r="29" spans="1:14" x14ac:dyDescent="0.25">
      <c r="A29">
        <v>400578306</v>
      </c>
      <c r="B29">
        <v>2015</v>
      </c>
      <c r="C29" s="1">
        <v>41941</v>
      </c>
      <c r="D29" t="s">
        <v>37</v>
      </c>
      <c r="E29">
        <v>0</v>
      </c>
      <c r="F29">
        <v>0</v>
      </c>
      <c r="G29">
        <v>1</v>
      </c>
      <c r="H29">
        <v>1</v>
      </c>
      <c r="I29" t="s">
        <v>37</v>
      </c>
      <c r="J29">
        <v>77</v>
      </c>
      <c r="K29" t="s">
        <v>36</v>
      </c>
      <c r="L29">
        <v>95</v>
      </c>
      <c r="M29">
        <f>IF(D29=I29,VLOOKUP(D29,a_win_totals_lookup,MATCH(K29,a_wins_total_lookup_header,0)+1,0),VLOOKUP(D29,a_win_totals_lookup,MATCH(I29,a_wins_total_lookup_header,0)+1,0))</f>
        <v>0.30790869437595753</v>
      </c>
      <c r="N29">
        <f t="shared" ca="1" si="0"/>
        <v>0</v>
      </c>
    </row>
    <row r="30" spans="1:14" x14ac:dyDescent="0.25">
      <c r="A30">
        <v>400578307</v>
      </c>
      <c r="B30">
        <v>2015</v>
      </c>
      <c r="C30" s="1">
        <v>41941</v>
      </c>
      <c r="D30" t="s">
        <v>38</v>
      </c>
      <c r="E30">
        <v>0</v>
      </c>
      <c r="F30">
        <v>0</v>
      </c>
      <c r="G30">
        <v>1</v>
      </c>
      <c r="H30">
        <v>0</v>
      </c>
      <c r="I30" t="s">
        <v>39</v>
      </c>
      <c r="J30">
        <v>106</v>
      </c>
      <c r="K30" t="s">
        <v>38</v>
      </c>
      <c r="L30">
        <v>89</v>
      </c>
      <c r="M30">
        <f>IF(D30=I30,VLOOKUP(D30,a_win_totals_lookup,MATCH(K30,a_wins_total_lookup_header,0)+1,0),VLOOKUP(D30,a_win_totals_lookup,MATCH(I30,a_wins_total_lookup_header,0)+1,0))</f>
        <v>0.5387804547757824</v>
      </c>
      <c r="N30">
        <f t="shared" ca="1" si="0"/>
        <v>0</v>
      </c>
    </row>
    <row r="31" spans="1:14" x14ac:dyDescent="0.25">
      <c r="A31">
        <v>400578307</v>
      </c>
      <c r="B31">
        <v>2015</v>
      </c>
      <c r="C31" s="1">
        <v>41941</v>
      </c>
      <c r="D31" t="s">
        <v>39</v>
      </c>
      <c r="E31">
        <v>1</v>
      </c>
      <c r="F31">
        <v>1</v>
      </c>
      <c r="G31">
        <v>0</v>
      </c>
      <c r="H31">
        <v>1</v>
      </c>
      <c r="I31" t="s">
        <v>39</v>
      </c>
      <c r="J31">
        <v>106</v>
      </c>
      <c r="K31" t="s">
        <v>38</v>
      </c>
      <c r="L31">
        <v>89</v>
      </c>
      <c r="M31">
        <f>IF(D31=I31,VLOOKUP(D31,a_win_totals_lookup,MATCH(K31,a_wins_total_lookup_header,0)+1,0),VLOOKUP(D31,a_win_totals_lookup,MATCH(I31,a_wins_total_lookup_header,0)+1,0))</f>
        <v>0.46121954522421765</v>
      </c>
      <c r="N31">
        <f t="shared" ca="1" si="0"/>
        <v>0</v>
      </c>
    </row>
    <row r="32" spans="1:14" x14ac:dyDescent="0.25">
      <c r="A32">
        <v>400578308</v>
      </c>
      <c r="B32">
        <v>2015</v>
      </c>
      <c r="C32" s="1">
        <v>41942</v>
      </c>
      <c r="D32" t="s">
        <v>13</v>
      </c>
      <c r="E32">
        <v>0</v>
      </c>
      <c r="F32">
        <v>0</v>
      </c>
      <c r="G32">
        <v>2</v>
      </c>
      <c r="H32">
        <v>1</v>
      </c>
      <c r="I32" t="s">
        <v>13</v>
      </c>
      <c r="J32">
        <v>98</v>
      </c>
      <c r="K32" t="s">
        <v>25</v>
      </c>
      <c r="L32">
        <v>105</v>
      </c>
      <c r="M32">
        <f>IF(D32=I32,VLOOKUP(D32,a_win_totals_lookup,MATCH(K32,a_wins_total_lookup_header,0)+1,0),VLOOKUP(D32,a_win_totals_lookup,MATCH(I32,a_wins_total_lookup_header,0)+1,0))</f>
        <v>0.31352139396241918</v>
      </c>
      <c r="N32">
        <f t="shared" ca="1" si="0"/>
        <v>0</v>
      </c>
    </row>
    <row r="33" spans="1:14" x14ac:dyDescent="0.25">
      <c r="A33">
        <v>400578308</v>
      </c>
      <c r="B33">
        <v>2015</v>
      </c>
      <c r="C33" s="1">
        <v>41942</v>
      </c>
      <c r="D33" t="s">
        <v>25</v>
      </c>
      <c r="E33">
        <v>1</v>
      </c>
      <c r="F33">
        <v>1</v>
      </c>
      <c r="G33">
        <v>1</v>
      </c>
      <c r="H33">
        <v>0</v>
      </c>
      <c r="I33" t="s">
        <v>13</v>
      </c>
      <c r="J33">
        <v>98</v>
      </c>
      <c r="K33" t="s">
        <v>25</v>
      </c>
      <c r="L33">
        <v>105</v>
      </c>
      <c r="M33">
        <f>IF(D33=I33,VLOOKUP(D33,a_win_totals_lookup,MATCH(K33,a_wins_total_lookup_header,0)+1,0),VLOOKUP(D33,a_win_totals_lookup,MATCH(I33,a_wins_total_lookup_header,0)+1,0))</f>
        <v>0.68647860603758082</v>
      </c>
      <c r="N33">
        <f t="shared" ca="1" si="0"/>
        <v>1</v>
      </c>
    </row>
    <row r="34" spans="1:14" x14ac:dyDescent="0.25">
      <c r="A34">
        <v>400578309</v>
      </c>
      <c r="B34">
        <v>2015</v>
      </c>
      <c r="C34" s="1">
        <v>41942</v>
      </c>
      <c r="D34" t="s">
        <v>33</v>
      </c>
      <c r="E34">
        <v>0</v>
      </c>
      <c r="F34">
        <v>0</v>
      </c>
      <c r="G34">
        <v>2</v>
      </c>
      <c r="H34">
        <v>0</v>
      </c>
      <c r="I34" t="s">
        <v>29</v>
      </c>
      <c r="J34">
        <v>97</v>
      </c>
      <c r="K34" t="s">
        <v>33</v>
      </c>
      <c r="L34">
        <v>91</v>
      </c>
      <c r="M34">
        <f>IF(D34=I34,VLOOKUP(D34,a_win_totals_lookup,MATCH(K34,a_wins_total_lookup_header,0)+1,0),VLOOKUP(D34,a_win_totals_lookup,MATCH(I34,a_wins_total_lookup_header,0)+1,0))</f>
        <v>0.62162155425050336</v>
      </c>
      <c r="N34">
        <f t="shared" ca="1" si="0"/>
        <v>1</v>
      </c>
    </row>
    <row r="35" spans="1:14" x14ac:dyDescent="0.25">
      <c r="A35">
        <v>400578309</v>
      </c>
      <c r="B35">
        <v>2015</v>
      </c>
      <c r="C35" s="1">
        <v>41942</v>
      </c>
      <c r="D35" t="s">
        <v>29</v>
      </c>
      <c r="E35">
        <v>1</v>
      </c>
      <c r="F35">
        <v>1</v>
      </c>
      <c r="G35">
        <v>1</v>
      </c>
      <c r="H35">
        <v>1</v>
      </c>
      <c r="I35" t="s">
        <v>29</v>
      </c>
      <c r="J35">
        <v>97</v>
      </c>
      <c r="K35" t="s">
        <v>33</v>
      </c>
      <c r="L35">
        <v>91</v>
      </c>
      <c r="M35">
        <f>IF(D35=I35,VLOOKUP(D35,a_win_totals_lookup,MATCH(K35,a_wins_total_lookup_header,0)+1,0),VLOOKUP(D35,a_win_totals_lookup,MATCH(I35,a_wins_total_lookup_header,0)+1,0))</f>
        <v>0.37837844574949669</v>
      </c>
      <c r="N35">
        <f t="shared" ca="1" si="0"/>
        <v>1</v>
      </c>
    </row>
    <row r="36" spans="1:14" x14ac:dyDescent="0.25">
      <c r="A36">
        <v>400578310</v>
      </c>
      <c r="B36">
        <v>2015</v>
      </c>
      <c r="C36" s="1">
        <v>41942</v>
      </c>
      <c r="D36" t="s">
        <v>40</v>
      </c>
      <c r="E36">
        <v>0</v>
      </c>
      <c r="F36">
        <v>0</v>
      </c>
      <c r="G36">
        <v>1</v>
      </c>
      <c r="H36">
        <v>1</v>
      </c>
      <c r="I36" t="s">
        <v>40</v>
      </c>
      <c r="J36">
        <v>90</v>
      </c>
      <c r="K36" t="s">
        <v>31</v>
      </c>
      <c r="L36">
        <v>95</v>
      </c>
      <c r="M36">
        <f>IF(D36=I36,VLOOKUP(D36,a_win_totals_lookup,MATCH(K36,a_wins_total_lookup_header,0)+1,0),VLOOKUP(D36,a_win_totals_lookup,MATCH(I36,a_wins_total_lookup_header,0)+1,0))</f>
        <v>0.64912982573812106</v>
      </c>
      <c r="N36">
        <f t="shared" ca="1" si="0"/>
        <v>1</v>
      </c>
    </row>
    <row r="37" spans="1:14" x14ac:dyDescent="0.25">
      <c r="A37">
        <v>400578310</v>
      </c>
      <c r="B37">
        <v>2015</v>
      </c>
      <c r="C37" s="1">
        <v>41942</v>
      </c>
      <c r="D37" t="s">
        <v>31</v>
      </c>
      <c r="E37">
        <v>1</v>
      </c>
      <c r="F37">
        <v>1</v>
      </c>
      <c r="G37">
        <v>1</v>
      </c>
      <c r="H37">
        <v>0</v>
      </c>
      <c r="I37" t="s">
        <v>40</v>
      </c>
      <c r="J37">
        <v>90</v>
      </c>
      <c r="K37" t="s">
        <v>31</v>
      </c>
      <c r="L37">
        <v>95</v>
      </c>
      <c r="M37">
        <f>IF(D37=I37,VLOOKUP(D37,a_win_totals_lookup,MATCH(K37,a_wins_total_lookup_header,0)+1,0),VLOOKUP(D37,a_win_totals_lookup,MATCH(I37,a_wins_total_lookup_header,0)+1,0))</f>
        <v>0.35087017426187905</v>
      </c>
      <c r="N37">
        <f t="shared" ca="1" si="0"/>
        <v>0</v>
      </c>
    </row>
    <row r="38" spans="1:14" x14ac:dyDescent="0.25">
      <c r="A38">
        <v>400578311</v>
      </c>
      <c r="B38">
        <v>2015</v>
      </c>
      <c r="C38" s="1">
        <v>41942</v>
      </c>
      <c r="D38" t="s">
        <v>14</v>
      </c>
      <c r="E38">
        <v>1</v>
      </c>
      <c r="F38">
        <v>1</v>
      </c>
      <c r="G38">
        <v>1</v>
      </c>
      <c r="H38">
        <v>1</v>
      </c>
      <c r="I38" t="s">
        <v>14</v>
      </c>
      <c r="J38">
        <v>120</v>
      </c>
      <c r="K38" t="s">
        <v>34</v>
      </c>
      <c r="L38">
        <v>102</v>
      </c>
      <c r="M38">
        <f>IF(D38=I38,VLOOKUP(D38,a_win_totals_lookup,MATCH(K38,a_wins_total_lookup_header,0)+1,0),VLOOKUP(D38,a_win_totals_lookup,MATCH(I38,a_wins_total_lookup_header,0)+1,0))</f>
        <v>0.71526442122822687</v>
      </c>
      <c r="N38">
        <f t="shared" ca="1" si="0"/>
        <v>0</v>
      </c>
    </row>
    <row r="39" spans="1:14" x14ac:dyDescent="0.25">
      <c r="A39">
        <v>400578311</v>
      </c>
      <c r="B39">
        <v>2015</v>
      </c>
      <c r="C39" s="1">
        <v>41942</v>
      </c>
      <c r="D39" t="s">
        <v>34</v>
      </c>
      <c r="E39">
        <v>0</v>
      </c>
      <c r="F39">
        <v>0</v>
      </c>
      <c r="G39">
        <v>2</v>
      </c>
      <c r="H39">
        <v>0</v>
      </c>
      <c r="I39" t="s">
        <v>14</v>
      </c>
      <c r="J39">
        <v>120</v>
      </c>
      <c r="K39" t="s">
        <v>34</v>
      </c>
      <c r="L39">
        <v>102</v>
      </c>
      <c r="M39">
        <f>IF(D39=I39,VLOOKUP(D39,a_win_totals_lookup,MATCH(K39,a_wins_total_lookup_header,0)+1,0),VLOOKUP(D39,a_win_totals_lookup,MATCH(I39,a_wins_total_lookup_header,0)+1,0))</f>
        <v>0.28473557877177313</v>
      </c>
      <c r="N39">
        <f t="shared" ca="1" si="0"/>
        <v>0</v>
      </c>
    </row>
    <row r="40" spans="1:14" x14ac:dyDescent="0.25">
      <c r="A40">
        <v>400578312</v>
      </c>
      <c r="B40">
        <v>2015</v>
      </c>
      <c r="C40" s="1">
        <v>41942</v>
      </c>
      <c r="D40" t="s">
        <v>41</v>
      </c>
      <c r="E40">
        <v>1</v>
      </c>
      <c r="F40">
        <v>1</v>
      </c>
      <c r="G40">
        <v>0</v>
      </c>
      <c r="H40">
        <v>1</v>
      </c>
      <c r="I40" t="s">
        <v>41</v>
      </c>
      <c r="J40">
        <v>93</v>
      </c>
      <c r="K40" t="s">
        <v>38</v>
      </c>
      <c r="L40">
        <v>90</v>
      </c>
      <c r="M40">
        <f>IF(D40=I40,VLOOKUP(D40,a_win_totals_lookup,MATCH(K40,a_wins_total_lookup_header,0)+1,0),VLOOKUP(D40,a_win_totals_lookup,MATCH(I40,a_wins_total_lookup_header,0)+1,0))</f>
        <v>0.52231903699980808</v>
      </c>
      <c r="N40">
        <f t="shared" ca="1" si="0"/>
        <v>1</v>
      </c>
    </row>
    <row r="41" spans="1:14" x14ac:dyDescent="0.25">
      <c r="A41">
        <v>400578312</v>
      </c>
      <c r="B41">
        <v>2015</v>
      </c>
      <c r="C41" s="1">
        <v>41942</v>
      </c>
      <c r="D41" t="s">
        <v>38</v>
      </c>
      <c r="E41">
        <v>0</v>
      </c>
      <c r="F41">
        <v>0</v>
      </c>
      <c r="G41">
        <v>2</v>
      </c>
      <c r="H41">
        <v>0</v>
      </c>
      <c r="I41" t="s">
        <v>41</v>
      </c>
      <c r="J41">
        <v>93</v>
      </c>
      <c r="K41" t="s">
        <v>38</v>
      </c>
      <c r="L41">
        <v>90</v>
      </c>
      <c r="M41">
        <f>IF(D41=I41,VLOOKUP(D41,a_win_totals_lookup,MATCH(K41,a_wins_total_lookup_header,0)+1,0),VLOOKUP(D41,a_win_totals_lookup,MATCH(I41,a_wins_total_lookup_header,0)+1,0))</f>
        <v>0.47768096300019181</v>
      </c>
      <c r="N41">
        <f t="shared" ca="1" si="0"/>
        <v>1</v>
      </c>
    </row>
    <row r="42" spans="1:14" x14ac:dyDescent="0.25">
      <c r="A42">
        <v>400578313</v>
      </c>
      <c r="B42">
        <v>2015</v>
      </c>
      <c r="C42" s="1">
        <v>41943</v>
      </c>
      <c r="D42" t="s">
        <v>20</v>
      </c>
      <c r="E42">
        <v>0</v>
      </c>
      <c r="F42">
        <v>1</v>
      </c>
      <c r="G42">
        <v>1</v>
      </c>
      <c r="H42">
        <v>1</v>
      </c>
      <c r="I42" t="s">
        <v>20</v>
      </c>
      <c r="J42">
        <v>89</v>
      </c>
      <c r="K42" t="s">
        <v>28</v>
      </c>
      <c r="L42">
        <v>97</v>
      </c>
      <c r="M42">
        <f>IF(D42=I42,VLOOKUP(D42,a_win_totals_lookup,MATCH(K42,a_wins_total_lookup_header,0)+1,0),VLOOKUP(D42,a_win_totals_lookup,MATCH(I42,a_wins_total_lookup_header,0)+1,0))</f>
        <v>0.34298953732650117</v>
      </c>
      <c r="N42">
        <f t="shared" ca="1" si="0"/>
        <v>0</v>
      </c>
    </row>
    <row r="43" spans="1:14" x14ac:dyDescent="0.25">
      <c r="A43">
        <v>400578313</v>
      </c>
      <c r="B43">
        <v>2015</v>
      </c>
      <c r="C43" s="1">
        <v>41943</v>
      </c>
      <c r="D43" t="s">
        <v>28</v>
      </c>
      <c r="E43">
        <v>1</v>
      </c>
      <c r="F43">
        <v>2</v>
      </c>
      <c r="G43">
        <v>0</v>
      </c>
      <c r="H43">
        <v>0</v>
      </c>
      <c r="I43" t="s">
        <v>20</v>
      </c>
      <c r="J43">
        <v>89</v>
      </c>
      <c r="K43" t="s">
        <v>28</v>
      </c>
      <c r="L43">
        <v>97</v>
      </c>
      <c r="M43">
        <f>IF(D43=I43,VLOOKUP(D43,a_win_totals_lookup,MATCH(K43,a_wins_total_lookup_header,0)+1,0),VLOOKUP(D43,a_win_totals_lookup,MATCH(I43,a_wins_total_lookup_header,0)+1,0))</f>
        <v>0.65701046267349883</v>
      </c>
      <c r="N43">
        <f t="shared" ca="1" si="0"/>
        <v>1</v>
      </c>
    </row>
    <row r="44" spans="1:14" x14ac:dyDescent="0.25">
      <c r="A44">
        <v>400578314</v>
      </c>
      <c r="B44">
        <v>2015</v>
      </c>
      <c r="C44" s="1">
        <v>41943</v>
      </c>
      <c r="D44" t="s">
        <v>30</v>
      </c>
      <c r="E44">
        <v>0</v>
      </c>
      <c r="F44">
        <v>1</v>
      </c>
      <c r="G44">
        <v>1</v>
      </c>
      <c r="H44">
        <v>1</v>
      </c>
      <c r="I44" t="s">
        <v>30</v>
      </c>
      <c r="J44">
        <v>108</v>
      </c>
      <c r="K44" t="s">
        <v>40</v>
      </c>
      <c r="L44">
        <v>114</v>
      </c>
      <c r="M44">
        <f>IF(D44=I44,VLOOKUP(D44,a_win_totals_lookup,MATCH(K44,a_wins_total_lookup_header,0)+1,0),VLOOKUP(D44,a_win_totals_lookup,MATCH(I44,a_wins_total_lookup_header,0)+1,0))</f>
        <v>0.48969992820199154</v>
      </c>
      <c r="N44">
        <f t="shared" ca="1" si="0"/>
        <v>0</v>
      </c>
    </row>
    <row r="45" spans="1:14" x14ac:dyDescent="0.25">
      <c r="A45">
        <v>400578314</v>
      </c>
      <c r="B45">
        <v>2015</v>
      </c>
      <c r="C45" s="1">
        <v>41943</v>
      </c>
      <c r="D45" t="s">
        <v>40</v>
      </c>
      <c r="E45">
        <v>1</v>
      </c>
      <c r="F45">
        <v>1</v>
      </c>
      <c r="G45">
        <v>1</v>
      </c>
      <c r="H45">
        <v>0</v>
      </c>
      <c r="I45" t="s">
        <v>30</v>
      </c>
      <c r="J45">
        <v>108</v>
      </c>
      <c r="K45" t="s">
        <v>40</v>
      </c>
      <c r="L45">
        <v>114</v>
      </c>
      <c r="M45">
        <f>IF(D45=I45,VLOOKUP(D45,a_win_totals_lookup,MATCH(K45,a_wins_total_lookup_header,0)+1,0),VLOOKUP(D45,a_win_totals_lookup,MATCH(I45,a_wins_total_lookup_header,0)+1,0))</f>
        <v>0.5103000717980084</v>
      </c>
      <c r="N45">
        <f t="shared" ca="1" si="0"/>
        <v>0</v>
      </c>
    </row>
    <row r="46" spans="1:14" x14ac:dyDescent="0.25">
      <c r="A46">
        <v>400578315</v>
      </c>
      <c r="B46">
        <v>2015</v>
      </c>
      <c r="C46" s="1">
        <v>41943</v>
      </c>
      <c r="D46" t="s">
        <v>19</v>
      </c>
      <c r="E46">
        <v>1</v>
      </c>
      <c r="F46">
        <v>1</v>
      </c>
      <c r="G46">
        <v>1</v>
      </c>
      <c r="H46">
        <v>1</v>
      </c>
      <c r="I46" t="s">
        <v>19</v>
      </c>
      <c r="J46">
        <v>93</v>
      </c>
      <c r="K46" t="s">
        <v>21</v>
      </c>
      <c r="L46">
        <v>81</v>
      </c>
      <c r="M46">
        <f>IF(D46=I46,VLOOKUP(D46,a_win_totals_lookup,MATCH(K46,a_wins_total_lookup_header,0)+1,0),VLOOKUP(D46,a_win_totals_lookup,MATCH(I46,a_wins_total_lookup_header,0)+1,0))</f>
        <v>0.5586395048824998</v>
      </c>
      <c r="N46">
        <f t="shared" ca="1" si="0"/>
        <v>1</v>
      </c>
    </row>
    <row r="47" spans="1:14" x14ac:dyDescent="0.25">
      <c r="A47">
        <v>400578315</v>
      </c>
      <c r="B47">
        <v>2015</v>
      </c>
      <c r="C47" s="1">
        <v>41943</v>
      </c>
      <c r="D47" t="s">
        <v>21</v>
      </c>
      <c r="E47">
        <v>0</v>
      </c>
      <c r="F47">
        <v>0</v>
      </c>
      <c r="G47">
        <v>2</v>
      </c>
      <c r="H47">
        <v>0</v>
      </c>
      <c r="I47" t="s">
        <v>19</v>
      </c>
      <c r="J47">
        <v>93</v>
      </c>
      <c r="K47" t="s">
        <v>21</v>
      </c>
      <c r="L47">
        <v>81</v>
      </c>
      <c r="M47">
        <f>IF(D47=I47,VLOOKUP(D47,a_win_totals_lookup,MATCH(K47,a_wins_total_lookup_header,0)+1,0),VLOOKUP(D47,a_win_totals_lookup,MATCH(I47,a_wins_total_lookup_header,0)+1,0))</f>
        <v>0.44136049511750025</v>
      </c>
      <c r="N47">
        <f t="shared" ca="1" si="0"/>
        <v>0</v>
      </c>
    </row>
    <row r="48" spans="1:14" x14ac:dyDescent="0.25">
      <c r="A48">
        <v>400578316</v>
      </c>
      <c r="B48">
        <v>2015</v>
      </c>
      <c r="C48" s="1">
        <v>41943</v>
      </c>
      <c r="D48" t="s">
        <v>35</v>
      </c>
      <c r="E48">
        <v>1</v>
      </c>
      <c r="F48">
        <v>2</v>
      </c>
      <c r="G48">
        <v>0</v>
      </c>
      <c r="H48">
        <v>1</v>
      </c>
      <c r="I48" t="s">
        <v>35</v>
      </c>
      <c r="J48">
        <v>94</v>
      </c>
      <c r="K48" t="s">
        <v>15</v>
      </c>
      <c r="L48">
        <v>89</v>
      </c>
      <c r="M48">
        <f>IF(D48=I48,VLOOKUP(D48,a_win_totals_lookup,MATCH(K48,a_wins_total_lookup_header,0)+1,0),VLOOKUP(D48,a_win_totals_lookup,MATCH(I48,a_wins_total_lookup_header,0)+1,0))</f>
        <v>0.39734725240030316</v>
      </c>
      <c r="N48">
        <f t="shared" ca="1" si="0"/>
        <v>0</v>
      </c>
    </row>
    <row r="49" spans="1:14" x14ac:dyDescent="0.25">
      <c r="A49">
        <v>400578316</v>
      </c>
      <c r="B49">
        <v>2015</v>
      </c>
      <c r="C49" s="1">
        <v>41943</v>
      </c>
      <c r="D49" t="s">
        <v>15</v>
      </c>
      <c r="E49">
        <v>0</v>
      </c>
      <c r="F49">
        <v>1</v>
      </c>
      <c r="G49">
        <v>1</v>
      </c>
      <c r="H49">
        <v>0</v>
      </c>
      <c r="I49" t="s">
        <v>35</v>
      </c>
      <c r="J49">
        <v>94</v>
      </c>
      <c r="K49" t="s">
        <v>15</v>
      </c>
      <c r="L49">
        <v>89</v>
      </c>
      <c r="M49">
        <f>IF(D49=I49,VLOOKUP(D49,a_win_totals_lookup,MATCH(K49,a_wins_total_lookup_header,0)+1,0),VLOOKUP(D49,a_win_totals_lookup,MATCH(I49,a_wins_total_lookup_header,0)+1,0))</f>
        <v>0.60265274759969689</v>
      </c>
      <c r="N49">
        <f t="shared" ca="1" si="0"/>
        <v>1</v>
      </c>
    </row>
    <row r="50" spans="1:14" x14ac:dyDescent="0.25">
      <c r="A50">
        <v>400578317</v>
      </c>
      <c r="B50">
        <v>2015</v>
      </c>
      <c r="C50" s="1">
        <v>41943</v>
      </c>
      <c r="D50" t="s">
        <v>39</v>
      </c>
      <c r="E50">
        <v>0</v>
      </c>
      <c r="F50">
        <v>1</v>
      </c>
      <c r="G50">
        <v>1</v>
      </c>
      <c r="H50">
        <v>0</v>
      </c>
      <c r="I50" t="s">
        <v>37</v>
      </c>
      <c r="J50">
        <v>103</v>
      </c>
      <c r="K50" t="s">
        <v>39</v>
      </c>
      <c r="L50">
        <v>94</v>
      </c>
      <c r="M50">
        <f>IF(D50=I50,VLOOKUP(D50,a_win_totals_lookup,MATCH(K50,a_wins_total_lookup_header,0)+1,0),VLOOKUP(D50,a_win_totals_lookup,MATCH(I50,a_wins_total_lookup_header,0)+1,0))</f>
        <v>0.6640463003434689</v>
      </c>
      <c r="N50">
        <f t="shared" ca="1" si="0"/>
        <v>1</v>
      </c>
    </row>
    <row r="51" spans="1:14" x14ac:dyDescent="0.25">
      <c r="A51">
        <v>400578317</v>
      </c>
      <c r="B51">
        <v>2015</v>
      </c>
      <c r="C51" s="1">
        <v>41943</v>
      </c>
      <c r="D51" t="s">
        <v>37</v>
      </c>
      <c r="E51">
        <v>1</v>
      </c>
      <c r="F51">
        <v>1</v>
      </c>
      <c r="G51">
        <v>1</v>
      </c>
      <c r="H51">
        <v>1</v>
      </c>
      <c r="I51" t="s">
        <v>37</v>
      </c>
      <c r="J51">
        <v>103</v>
      </c>
      <c r="K51" t="s">
        <v>39</v>
      </c>
      <c r="L51">
        <v>94</v>
      </c>
      <c r="M51">
        <f>IF(D51=I51,VLOOKUP(D51,a_win_totals_lookup,MATCH(K51,a_wins_total_lookup_header,0)+1,0),VLOOKUP(D51,a_win_totals_lookup,MATCH(I51,a_wins_total_lookup_header,0)+1,0))</f>
        <v>0.3359536996565311</v>
      </c>
      <c r="N51">
        <f t="shared" ca="1" si="0"/>
        <v>1</v>
      </c>
    </row>
    <row r="52" spans="1:14" x14ac:dyDescent="0.25">
      <c r="A52">
        <v>400578318</v>
      </c>
      <c r="B52">
        <v>2015</v>
      </c>
      <c r="C52" s="1">
        <v>41943</v>
      </c>
      <c r="D52" t="s">
        <v>41</v>
      </c>
      <c r="E52">
        <v>1</v>
      </c>
      <c r="F52">
        <v>2</v>
      </c>
      <c r="G52">
        <v>0</v>
      </c>
      <c r="H52">
        <v>0</v>
      </c>
      <c r="I52" t="s">
        <v>17</v>
      </c>
      <c r="J52">
        <v>111</v>
      </c>
      <c r="K52" t="s">
        <v>41</v>
      </c>
      <c r="L52">
        <v>118</v>
      </c>
      <c r="M52">
        <f>IF(D52=I52,VLOOKUP(D52,a_win_totals_lookup,MATCH(K52,a_wins_total_lookup_header,0)+1,0),VLOOKUP(D52,a_win_totals_lookup,MATCH(I52,a_wins_total_lookup_header,0)+1,0))</f>
        <v>0.71629315358675483</v>
      </c>
      <c r="N52">
        <f t="shared" ca="1" si="0"/>
        <v>0</v>
      </c>
    </row>
    <row r="53" spans="1:14" x14ac:dyDescent="0.25">
      <c r="A53">
        <v>400578318</v>
      </c>
      <c r="B53">
        <v>2015</v>
      </c>
      <c r="C53" s="1">
        <v>41943</v>
      </c>
      <c r="D53" t="s">
        <v>17</v>
      </c>
      <c r="E53">
        <v>0</v>
      </c>
      <c r="F53">
        <v>0</v>
      </c>
      <c r="G53">
        <v>3</v>
      </c>
      <c r="H53">
        <v>1</v>
      </c>
      <c r="I53" t="s">
        <v>17</v>
      </c>
      <c r="J53">
        <v>111</v>
      </c>
      <c r="K53" t="s">
        <v>41</v>
      </c>
      <c r="L53">
        <v>118</v>
      </c>
      <c r="M53">
        <f>IF(D53=I53,VLOOKUP(D53,a_win_totals_lookup,MATCH(K53,a_wins_total_lookup_header,0)+1,0),VLOOKUP(D53,a_win_totals_lookup,MATCH(I53,a_wins_total_lookup_header,0)+1,0))</f>
        <v>0.28370684641324517</v>
      </c>
      <c r="N53">
        <f t="shared" ca="1" si="0"/>
        <v>1</v>
      </c>
    </row>
    <row r="54" spans="1:14" x14ac:dyDescent="0.25">
      <c r="A54">
        <v>400578319</v>
      </c>
      <c r="B54">
        <v>2015</v>
      </c>
      <c r="C54" s="1">
        <v>41944</v>
      </c>
      <c r="D54" t="s">
        <v>14</v>
      </c>
      <c r="E54">
        <v>1</v>
      </c>
      <c r="F54">
        <v>2</v>
      </c>
      <c r="G54">
        <v>1</v>
      </c>
      <c r="H54">
        <v>0</v>
      </c>
      <c r="I54" t="s">
        <v>12</v>
      </c>
      <c r="J54">
        <v>104</v>
      </c>
      <c r="K54" t="s">
        <v>14</v>
      </c>
      <c r="L54">
        <v>109</v>
      </c>
      <c r="M54">
        <f>IF(D54=I54,VLOOKUP(D54,a_win_totals_lookup,MATCH(K54,a_wins_total_lookup_header,0)+1,0),VLOOKUP(D54,a_win_totals_lookup,MATCH(I54,a_wins_total_lookup_header,0)+1,0))</f>
        <v>0.60230820918773997</v>
      </c>
      <c r="N54">
        <f t="shared" ca="1" si="0"/>
        <v>0</v>
      </c>
    </row>
    <row r="55" spans="1:14" x14ac:dyDescent="0.25">
      <c r="A55">
        <v>400578319</v>
      </c>
      <c r="B55">
        <v>2015</v>
      </c>
      <c r="C55" s="1">
        <v>41944</v>
      </c>
      <c r="D55" t="s">
        <v>12</v>
      </c>
      <c r="E55">
        <v>0</v>
      </c>
      <c r="F55">
        <v>1</v>
      </c>
      <c r="G55">
        <v>1</v>
      </c>
      <c r="H55">
        <v>1</v>
      </c>
      <c r="I55" t="s">
        <v>12</v>
      </c>
      <c r="J55">
        <v>104</v>
      </c>
      <c r="K55" t="s">
        <v>14</v>
      </c>
      <c r="L55">
        <v>109</v>
      </c>
      <c r="M55">
        <f>IF(D55=I55,VLOOKUP(D55,a_win_totals_lookup,MATCH(K55,a_wins_total_lookup_header,0)+1,0),VLOOKUP(D55,a_win_totals_lookup,MATCH(I55,a_wins_total_lookup_header,0)+1,0))</f>
        <v>0.39769179081226008</v>
      </c>
      <c r="N55">
        <f t="shared" ca="1" si="0"/>
        <v>0</v>
      </c>
    </row>
    <row r="56" spans="1:14" x14ac:dyDescent="0.25">
      <c r="A56">
        <v>400578320</v>
      </c>
      <c r="B56">
        <v>2015</v>
      </c>
      <c r="C56" s="1">
        <v>41944</v>
      </c>
      <c r="D56" t="s">
        <v>18</v>
      </c>
      <c r="E56">
        <v>0</v>
      </c>
      <c r="F56">
        <v>1</v>
      </c>
      <c r="G56">
        <v>1</v>
      </c>
      <c r="H56">
        <v>1</v>
      </c>
      <c r="I56" t="s">
        <v>18</v>
      </c>
      <c r="J56">
        <v>69</v>
      </c>
      <c r="K56" t="s">
        <v>28</v>
      </c>
      <c r="L56">
        <v>71</v>
      </c>
      <c r="M56">
        <f>IF(D56=I56,VLOOKUP(D56,a_win_totals_lookup,MATCH(K56,a_wins_total_lookup_header,0)+1,0),VLOOKUP(D56,a_win_totals_lookup,MATCH(I56,a_wins_total_lookup_header,0)+1,0))</f>
        <v>0.46110770348509866</v>
      </c>
      <c r="N56">
        <f t="shared" ca="1" si="0"/>
        <v>0</v>
      </c>
    </row>
    <row r="57" spans="1:14" x14ac:dyDescent="0.25">
      <c r="A57">
        <v>400578320</v>
      </c>
      <c r="B57">
        <v>2015</v>
      </c>
      <c r="C57" s="1">
        <v>41944</v>
      </c>
      <c r="D57" t="s">
        <v>28</v>
      </c>
      <c r="E57">
        <v>1</v>
      </c>
      <c r="F57">
        <v>3</v>
      </c>
      <c r="G57">
        <v>0</v>
      </c>
      <c r="H57">
        <v>0</v>
      </c>
      <c r="I57" t="s">
        <v>18</v>
      </c>
      <c r="J57">
        <v>69</v>
      </c>
      <c r="K57" t="s">
        <v>28</v>
      </c>
      <c r="L57">
        <v>71</v>
      </c>
      <c r="M57">
        <f>IF(D57=I57,VLOOKUP(D57,a_win_totals_lookup,MATCH(K57,a_wins_total_lookup_header,0)+1,0),VLOOKUP(D57,a_win_totals_lookup,MATCH(I57,a_wins_total_lookup_header,0)+1,0))</f>
        <v>0.53889229651490134</v>
      </c>
      <c r="N57">
        <f t="shared" ca="1" si="0"/>
        <v>0</v>
      </c>
    </row>
    <row r="58" spans="1:14" x14ac:dyDescent="0.25">
      <c r="A58">
        <v>400578321</v>
      </c>
      <c r="B58">
        <v>2015</v>
      </c>
      <c r="C58" s="1">
        <v>41944</v>
      </c>
      <c r="D58" t="s">
        <v>13</v>
      </c>
      <c r="E58">
        <v>0</v>
      </c>
      <c r="F58">
        <v>0</v>
      </c>
      <c r="G58">
        <v>3</v>
      </c>
      <c r="H58">
        <v>1</v>
      </c>
      <c r="I58" t="s">
        <v>13</v>
      </c>
      <c r="J58">
        <v>95</v>
      </c>
      <c r="K58" t="s">
        <v>27</v>
      </c>
      <c r="L58">
        <v>108</v>
      </c>
      <c r="M58">
        <f>IF(D58=I58,VLOOKUP(D58,a_win_totals_lookup,MATCH(K58,a_wins_total_lookup_header,0)+1,0),VLOOKUP(D58,a_win_totals_lookup,MATCH(I58,a_wins_total_lookup_header,0)+1,0))</f>
        <v>0.28473557877177313</v>
      </c>
      <c r="N58">
        <f t="shared" ca="1" si="0"/>
        <v>0</v>
      </c>
    </row>
    <row r="59" spans="1:14" x14ac:dyDescent="0.25">
      <c r="A59">
        <v>400578321</v>
      </c>
      <c r="B59">
        <v>2015</v>
      </c>
      <c r="C59" s="1">
        <v>41944</v>
      </c>
      <c r="D59" t="s">
        <v>27</v>
      </c>
      <c r="E59">
        <v>1</v>
      </c>
      <c r="F59">
        <v>2</v>
      </c>
      <c r="G59">
        <v>0</v>
      </c>
      <c r="H59">
        <v>0</v>
      </c>
      <c r="I59" t="s">
        <v>13</v>
      </c>
      <c r="J59">
        <v>95</v>
      </c>
      <c r="K59" t="s">
        <v>27</v>
      </c>
      <c r="L59">
        <v>108</v>
      </c>
      <c r="M59">
        <f>IF(D59=I59,VLOOKUP(D59,a_win_totals_lookup,MATCH(K59,a_wins_total_lookup_header,0)+1,0),VLOOKUP(D59,a_win_totals_lookup,MATCH(I59,a_wins_total_lookup_header,0)+1,0))</f>
        <v>0.71526442122822687</v>
      </c>
      <c r="N59">
        <f t="shared" ca="1" si="0"/>
        <v>0</v>
      </c>
    </row>
    <row r="60" spans="1:14" x14ac:dyDescent="0.25">
      <c r="A60">
        <v>400578322</v>
      </c>
      <c r="B60">
        <v>2015</v>
      </c>
      <c r="C60" s="1">
        <v>41944</v>
      </c>
      <c r="D60" t="s">
        <v>24</v>
      </c>
      <c r="E60">
        <v>1</v>
      </c>
      <c r="F60">
        <v>2</v>
      </c>
      <c r="G60">
        <v>0</v>
      </c>
      <c r="H60">
        <v>0</v>
      </c>
      <c r="I60" t="s">
        <v>21</v>
      </c>
      <c r="J60">
        <v>96</v>
      </c>
      <c r="K60" t="s">
        <v>24</v>
      </c>
      <c r="L60">
        <v>114</v>
      </c>
      <c r="M60">
        <f>IF(D60=I60,VLOOKUP(D60,a_win_totals_lookup,MATCH(K60,a_wins_total_lookup_header,0)+1,0),VLOOKUP(D60,a_win_totals_lookup,MATCH(I60,a_wins_total_lookup_header,0)+1,0))</f>
        <v>0.73880483706315025</v>
      </c>
      <c r="N60">
        <f t="shared" ca="1" si="0"/>
        <v>1</v>
      </c>
    </row>
    <row r="61" spans="1:14" x14ac:dyDescent="0.25">
      <c r="A61">
        <v>400578322</v>
      </c>
      <c r="B61">
        <v>2015</v>
      </c>
      <c r="C61" s="1">
        <v>41944</v>
      </c>
      <c r="D61" t="s">
        <v>21</v>
      </c>
      <c r="E61">
        <v>0</v>
      </c>
      <c r="F61">
        <v>0</v>
      </c>
      <c r="G61">
        <v>3</v>
      </c>
      <c r="H61">
        <v>1</v>
      </c>
      <c r="I61" t="s">
        <v>21</v>
      </c>
      <c r="J61">
        <v>96</v>
      </c>
      <c r="K61" t="s">
        <v>24</v>
      </c>
      <c r="L61">
        <v>114</v>
      </c>
      <c r="M61">
        <f>IF(D61=I61,VLOOKUP(D61,a_win_totals_lookup,MATCH(K61,a_wins_total_lookup_header,0)+1,0),VLOOKUP(D61,a_win_totals_lookup,MATCH(I61,a_wins_total_lookup_header,0)+1,0))</f>
        <v>0.26119516293684975</v>
      </c>
      <c r="N61">
        <f t="shared" ca="1" si="0"/>
        <v>0</v>
      </c>
    </row>
    <row r="62" spans="1:14" x14ac:dyDescent="0.25">
      <c r="A62">
        <v>400578323</v>
      </c>
      <c r="B62">
        <v>2015</v>
      </c>
      <c r="C62" s="1">
        <v>41944</v>
      </c>
      <c r="D62" t="s">
        <v>19</v>
      </c>
      <c r="E62">
        <v>0</v>
      </c>
      <c r="F62">
        <v>1</v>
      </c>
      <c r="G62">
        <v>2</v>
      </c>
      <c r="H62">
        <v>0</v>
      </c>
      <c r="I62" t="s">
        <v>25</v>
      </c>
      <c r="J62">
        <v>108</v>
      </c>
      <c r="K62" t="s">
        <v>19</v>
      </c>
      <c r="L62">
        <v>97</v>
      </c>
      <c r="M62">
        <f>IF(D62=I62,VLOOKUP(D62,a_win_totals_lookup,MATCH(K62,a_wins_total_lookup_header,0)+1,0),VLOOKUP(D62,a_win_totals_lookup,MATCH(I62,a_wins_total_lookup_header,0)+1,0))</f>
        <v>0.28255326282471421</v>
      </c>
      <c r="N62">
        <f t="shared" ca="1" si="0"/>
        <v>0</v>
      </c>
    </row>
    <row r="63" spans="1:14" x14ac:dyDescent="0.25">
      <c r="A63">
        <v>400578323</v>
      </c>
      <c r="B63">
        <v>2015</v>
      </c>
      <c r="C63" s="1">
        <v>41944</v>
      </c>
      <c r="D63" t="s">
        <v>25</v>
      </c>
      <c r="E63">
        <v>1</v>
      </c>
      <c r="F63">
        <v>2</v>
      </c>
      <c r="G63">
        <v>1</v>
      </c>
      <c r="H63">
        <v>1</v>
      </c>
      <c r="I63" t="s">
        <v>25</v>
      </c>
      <c r="J63">
        <v>108</v>
      </c>
      <c r="K63" t="s">
        <v>19</v>
      </c>
      <c r="L63">
        <v>97</v>
      </c>
      <c r="M63">
        <f>IF(D63=I63,VLOOKUP(D63,a_win_totals_lookup,MATCH(K63,a_wins_total_lookup_header,0)+1,0),VLOOKUP(D63,a_win_totals_lookup,MATCH(I63,a_wins_total_lookup_header,0)+1,0))</f>
        <v>0.71744673717528584</v>
      </c>
      <c r="N63">
        <f t="shared" ca="1" si="0"/>
        <v>1</v>
      </c>
    </row>
    <row r="64" spans="1:14" x14ac:dyDescent="0.25">
      <c r="A64">
        <v>400578324</v>
      </c>
      <c r="B64">
        <v>2015</v>
      </c>
      <c r="C64" s="1">
        <v>41944</v>
      </c>
      <c r="D64" t="s">
        <v>26</v>
      </c>
      <c r="E64">
        <v>1</v>
      </c>
      <c r="F64">
        <v>1</v>
      </c>
      <c r="G64">
        <v>1</v>
      </c>
      <c r="H64">
        <v>1</v>
      </c>
      <c r="I64" t="s">
        <v>26</v>
      </c>
      <c r="J64">
        <v>102</v>
      </c>
      <c r="K64" t="s">
        <v>20</v>
      </c>
      <c r="L64">
        <v>92</v>
      </c>
      <c r="M64">
        <f>IF(D64=I64,VLOOKUP(D64,a_win_totals_lookup,MATCH(K64,a_wins_total_lookup_header,0)+1,0),VLOOKUP(D64,a_win_totals_lookup,MATCH(I64,a_wins_total_lookup_header,0)+1,0))</f>
        <v>0.59907098078204846</v>
      </c>
      <c r="N64">
        <f t="shared" ca="1" si="0"/>
        <v>1</v>
      </c>
    </row>
    <row r="65" spans="1:14" x14ac:dyDescent="0.25">
      <c r="A65">
        <v>400578324</v>
      </c>
      <c r="B65">
        <v>2015</v>
      </c>
      <c r="C65" s="1">
        <v>41944</v>
      </c>
      <c r="D65" t="s">
        <v>20</v>
      </c>
      <c r="E65">
        <v>0</v>
      </c>
      <c r="F65">
        <v>1</v>
      </c>
      <c r="G65">
        <v>2</v>
      </c>
      <c r="H65">
        <v>0</v>
      </c>
      <c r="I65" t="s">
        <v>26</v>
      </c>
      <c r="J65">
        <v>102</v>
      </c>
      <c r="K65" t="s">
        <v>20</v>
      </c>
      <c r="L65">
        <v>92</v>
      </c>
      <c r="M65">
        <f>IF(D65=I65,VLOOKUP(D65,a_win_totals_lookup,MATCH(K65,a_wins_total_lookup_header,0)+1,0),VLOOKUP(D65,a_win_totals_lookup,MATCH(I65,a_wins_total_lookup_header,0)+1,0))</f>
        <v>0.40092901921795154</v>
      </c>
      <c r="N65">
        <f t="shared" ca="1" si="0"/>
        <v>0</v>
      </c>
    </row>
    <row r="66" spans="1:14" x14ac:dyDescent="0.25">
      <c r="A66">
        <v>400578325</v>
      </c>
      <c r="B66">
        <v>2015</v>
      </c>
      <c r="C66" s="1">
        <v>41944</v>
      </c>
      <c r="D66" t="s">
        <v>23</v>
      </c>
      <c r="E66">
        <v>1</v>
      </c>
      <c r="F66">
        <v>1</v>
      </c>
      <c r="G66">
        <v>1</v>
      </c>
      <c r="H66">
        <v>0</v>
      </c>
      <c r="I66" t="s">
        <v>33</v>
      </c>
      <c r="J66">
        <v>90</v>
      </c>
      <c r="K66" t="s">
        <v>23</v>
      </c>
      <c r="L66">
        <v>102</v>
      </c>
      <c r="M66">
        <f>IF(D66=I66,VLOOKUP(D66,a_win_totals_lookup,MATCH(K66,a_wins_total_lookup_header,0)+1,0),VLOOKUP(D66,a_win_totals_lookup,MATCH(I66,a_wins_total_lookup_header,0)+1,0))</f>
        <v>0.54476805573373421</v>
      </c>
      <c r="N66">
        <f t="shared" ca="1" si="0"/>
        <v>1</v>
      </c>
    </row>
    <row r="67" spans="1:14" x14ac:dyDescent="0.25">
      <c r="A67">
        <v>400578325</v>
      </c>
      <c r="B67">
        <v>2015</v>
      </c>
      <c r="C67" s="1">
        <v>41944</v>
      </c>
      <c r="D67" t="s">
        <v>33</v>
      </c>
      <c r="E67">
        <v>0</v>
      </c>
      <c r="F67">
        <v>0</v>
      </c>
      <c r="G67">
        <v>3</v>
      </c>
      <c r="H67">
        <v>1</v>
      </c>
      <c r="I67" t="s">
        <v>33</v>
      </c>
      <c r="J67">
        <v>90</v>
      </c>
      <c r="K67" t="s">
        <v>23</v>
      </c>
      <c r="L67">
        <v>102</v>
      </c>
      <c r="M67">
        <f>IF(D67=I67,VLOOKUP(D67,a_win_totals_lookup,MATCH(K67,a_wins_total_lookup_header,0)+1,0),VLOOKUP(D67,a_win_totals_lookup,MATCH(I67,a_wins_total_lookup_header,0)+1,0))</f>
        <v>0.45523194426626579</v>
      </c>
      <c r="N67">
        <f t="shared" ref="N67:N130" ca="1" si="1">ROUND(0.5*RANDBETWEEN(-1,1)+M67,0)</f>
        <v>0</v>
      </c>
    </row>
    <row r="68" spans="1:14" x14ac:dyDescent="0.25">
      <c r="A68">
        <v>400578326</v>
      </c>
      <c r="B68">
        <v>2015</v>
      </c>
      <c r="C68" s="1">
        <v>41944</v>
      </c>
      <c r="D68" t="s">
        <v>22</v>
      </c>
      <c r="E68">
        <v>0</v>
      </c>
      <c r="F68">
        <v>1</v>
      </c>
      <c r="G68">
        <v>1</v>
      </c>
      <c r="H68">
        <v>0</v>
      </c>
      <c r="I68" t="s">
        <v>16</v>
      </c>
      <c r="J68">
        <v>104</v>
      </c>
      <c r="K68" t="s">
        <v>22</v>
      </c>
      <c r="L68">
        <v>90</v>
      </c>
      <c r="M68">
        <f>IF(D68=I68,VLOOKUP(D68,a_win_totals_lookup,MATCH(K68,a_wins_total_lookup_header,0)+1,0),VLOOKUP(D68,a_win_totals_lookup,MATCH(I68,a_wins_total_lookup_header,0)+1,0))</f>
        <v>0.267238229826881</v>
      </c>
      <c r="N68">
        <f t="shared" ca="1" si="1"/>
        <v>0</v>
      </c>
    </row>
    <row r="69" spans="1:14" x14ac:dyDescent="0.25">
      <c r="A69">
        <v>400578326</v>
      </c>
      <c r="B69">
        <v>2015</v>
      </c>
      <c r="C69" s="1">
        <v>41944</v>
      </c>
      <c r="D69" t="s">
        <v>16</v>
      </c>
      <c r="E69">
        <v>1</v>
      </c>
      <c r="F69">
        <v>3</v>
      </c>
      <c r="G69">
        <v>0</v>
      </c>
      <c r="H69">
        <v>1</v>
      </c>
      <c r="I69" t="s">
        <v>16</v>
      </c>
      <c r="J69">
        <v>104</v>
      </c>
      <c r="K69" t="s">
        <v>22</v>
      </c>
      <c r="L69">
        <v>90</v>
      </c>
      <c r="M69">
        <f>IF(D69=I69,VLOOKUP(D69,a_win_totals_lookup,MATCH(K69,a_wins_total_lookup_header,0)+1,0),VLOOKUP(D69,a_win_totals_lookup,MATCH(I69,a_wins_total_lookup_header,0)+1,0))</f>
        <v>0.73276177017311905</v>
      </c>
      <c r="N69">
        <f t="shared" ca="1" si="1"/>
        <v>0</v>
      </c>
    </row>
    <row r="70" spans="1:14" x14ac:dyDescent="0.25">
      <c r="A70">
        <v>400578327</v>
      </c>
      <c r="B70">
        <v>2015</v>
      </c>
      <c r="C70" s="1">
        <v>41944</v>
      </c>
      <c r="D70" t="s">
        <v>30</v>
      </c>
      <c r="E70">
        <v>1</v>
      </c>
      <c r="F70">
        <v>2</v>
      </c>
      <c r="G70">
        <v>1</v>
      </c>
      <c r="H70">
        <v>0</v>
      </c>
      <c r="I70" t="s">
        <v>29</v>
      </c>
      <c r="J70">
        <v>105</v>
      </c>
      <c r="K70" t="s">
        <v>30</v>
      </c>
      <c r="L70">
        <v>106</v>
      </c>
      <c r="M70">
        <f>IF(D70=I70,VLOOKUP(D70,a_win_totals_lookup,MATCH(K70,a_wins_total_lookup_header,0)+1,0),VLOOKUP(D70,a_win_totals_lookup,MATCH(I70,a_wins_total_lookup_header,0)+1,0))</f>
        <v>0.77729986117469119</v>
      </c>
      <c r="N70">
        <f t="shared" ca="1" si="1"/>
        <v>0</v>
      </c>
    </row>
    <row r="71" spans="1:14" x14ac:dyDescent="0.25">
      <c r="A71">
        <v>400578327</v>
      </c>
      <c r="B71">
        <v>2015</v>
      </c>
      <c r="C71" s="1">
        <v>41944</v>
      </c>
      <c r="D71" t="s">
        <v>29</v>
      </c>
      <c r="E71">
        <v>0</v>
      </c>
      <c r="F71">
        <v>1</v>
      </c>
      <c r="G71">
        <v>2</v>
      </c>
      <c r="H71">
        <v>1</v>
      </c>
      <c r="I71" t="s">
        <v>29</v>
      </c>
      <c r="J71">
        <v>105</v>
      </c>
      <c r="K71" t="s">
        <v>30</v>
      </c>
      <c r="L71">
        <v>106</v>
      </c>
      <c r="M71">
        <f>IF(D71=I71,VLOOKUP(D71,a_win_totals_lookup,MATCH(K71,a_wins_total_lookup_header,0)+1,0),VLOOKUP(D71,a_win_totals_lookup,MATCH(I71,a_wins_total_lookup_header,0)+1,0))</f>
        <v>0.22270013882530892</v>
      </c>
      <c r="N71">
        <f t="shared" ca="1" si="1"/>
        <v>1</v>
      </c>
    </row>
    <row r="72" spans="1:14" x14ac:dyDescent="0.25">
      <c r="A72">
        <v>400578328</v>
      </c>
      <c r="B72">
        <v>2015</v>
      </c>
      <c r="C72" s="1">
        <v>41944</v>
      </c>
      <c r="D72" t="s">
        <v>32</v>
      </c>
      <c r="E72">
        <v>0</v>
      </c>
      <c r="F72">
        <v>1</v>
      </c>
      <c r="G72">
        <v>1</v>
      </c>
      <c r="H72">
        <v>0</v>
      </c>
      <c r="I72" t="s">
        <v>38</v>
      </c>
      <c r="J72">
        <v>102</v>
      </c>
      <c r="K72" t="s">
        <v>32</v>
      </c>
      <c r="L72">
        <v>91</v>
      </c>
      <c r="M72">
        <f>IF(D72=I72,VLOOKUP(D72,a_win_totals_lookup,MATCH(K72,a_wins_total_lookup_header,0)+1,0),VLOOKUP(D72,a_win_totals_lookup,MATCH(I72,a_wins_total_lookup_header,0)+1,0))</f>
        <v>0.37147810462585762</v>
      </c>
      <c r="N72">
        <f t="shared" ca="1" si="1"/>
        <v>0</v>
      </c>
    </row>
    <row r="73" spans="1:14" x14ac:dyDescent="0.25">
      <c r="A73">
        <v>400578328</v>
      </c>
      <c r="B73">
        <v>2015</v>
      </c>
      <c r="C73" s="1">
        <v>41944</v>
      </c>
      <c r="D73" t="s">
        <v>38</v>
      </c>
      <c r="E73">
        <v>1</v>
      </c>
      <c r="F73">
        <v>1</v>
      </c>
      <c r="G73">
        <v>2</v>
      </c>
      <c r="H73">
        <v>1</v>
      </c>
      <c r="I73" t="s">
        <v>38</v>
      </c>
      <c r="J73">
        <v>102</v>
      </c>
      <c r="K73" t="s">
        <v>32</v>
      </c>
      <c r="L73">
        <v>91</v>
      </c>
      <c r="M73">
        <f>IF(D73=I73,VLOOKUP(D73,a_win_totals_lookup,MATCH(K73,a_wins_total_lookup_header,0)+1,0),VLOOKUP(D73,a_win_totals_lookup,MATCH(I73,a_wins_total_lookup_header,0)+1,0))</f>
        <v>0.62852189537414238</v>
      </c>
      <c r="N73">
        <f t="shared" ca="1" si="1"/>
        <v>0</v>
      </c>
    </row>
    <row r="74" spans="1:14" x14ac:dyDescent="0.25">
      <c r="A74">
        <v>400578329</v>
      </c>
      <c r="B74">
        <v>2015</v>
      </c>
      <c r="C74" s="1">
        <v>41944</v>
      </c>
      <c r="D74" t="s">
        <v>35</v>
      </c>
      <c r="E74">
        <v>0</v>
      </c>
      <c r="F74">
        <v>2</v>
      </c>
      <c r="G74">
        <v>1</v>
      </c>
      <c r="H74">
        <v>0</v>
      </c>
      <c r="I74" t="s">
        <v>34</v>
      </c>
      <c r="J74">
        <v>118</v>
      </c>
      <c r="K74" t="s">
        <v>35</v>
      </c>
      <c r="L74">
        <v>91</v>
      </c>
      <c r="M74">
        <f>IF(D74=I74,VLOOKUP(D74,a_win_totals_lookup,MATCH(K74,a_wins_total_lookup_header,0)+1,0),VLOOKUP(D74,a_win_totals_lookup,MATCH(I74,a_wins_total_lookup_header,0)+1,0))</f>
        <v>0.64759781623680968</v>
      </c>
      <c r="N74">
        <f t="shared" ca="1" si="1"/>
        <v>0</v>
      </c>
    </row>
    <row r="75" spans="1:14" x14ac:dyDescent="0.25">
      <c r="A75">
        <v>400578329</v>
      </c>
      <c r="B75">
        <v>2015</v>
      </c>
      <c r="C75" s="1">
        <v>41944</v>
      </c>
      <c r="D75" t="s">
        <v>34</v>
      </c>
      <c r="E75">
        <v>1</v>
      </c>
      <c r="F75">
        <v>1</v>
      </c>
      <c r="G75">
        <v>2</v>
      </c>
      <c r="H75">
        <v>1</v>
      </c>
      <c r="I75" t="s">
        <v>34</v>
      </c>
      <c r="J75">
        <v>118</v>
      </c>
      <c r="K75" t="s">
        <v>35</v>
      </c>
      <c r="L75">
        <v>91</v>
      </c>
      <c r="M75">
        <f>IF(D75=I75,VLOOKUP(D75,a_win_totals_lookup,MATCH(K75,a_wins_total_lookup_header,0)+1,0),VLOOKUP(D75,a_win_totals_lookup,MATCH(I75,a_wins_total_lookup_header,0)+1,0))</f>
        <v>0.35240218376319032</v>
      </c>
      <c r="N75">
        <f t="shared" ca="1" si="1"/>
        <v>0</v>
      </c>
    </row>
    <row r="76" spans="1:14" x14ac:dyDescent="0.25">
      <c r="A76">
        <v>400578330</v>
      </c>
      <c r="B76">
        <v>2015</v>
      </c>
      <c r="C76" s="1">
        <v>41944</v>
      </c>
      <c r="D76" t="s">
        <v>36</v>
      </c>
      <c r="E76">
        <v>1</v>
      </c>
      <c r="F76">
        <v>2</v>
      </c>
      <c r="G76">
        <v>0</v>
      </c>
      <c r="H76">
        <v>1</v>
      </c>
      <c r="I76" t="s">
        <v>36</v>
      </c>
      <c r="J76">
        <v>127</v>
      </c>
      <c r="K76" t="s">
        <v>17</v>
      </c>
      <c r="L76">
        <v>104</v>
      </c>
      <c r="M76">
        <f>IF(D76=I76,VLOOKUP(D76,a_win_totals_lookup,MATCH(K76,a_wins_total_lookup_header,0)+1,0),VLOOKUP(D76,a_win_totals_lookup,MATCH(I76,a_wins_total_lookup_header,0)+1,0))</f>
        <v>0.69209130562404242</v>
      </c>
      <c r="N76">
        <f t="shared" ca="1" si="1"/>
        <v>0</v>
      </c>
    </row>
    <row r="77" spans="1:14" x14ac:dyDescent="0.25">
      <c r="A77">
        <v>400578330</v>
      </c>
      <c r="B77">
        <v>2015</v>
      </c>
      <c r="C77" s="1">
        <v>41944</v>
      </c>
      <c r="D77" t="s">
        <v>17</v>
      </c>
      <c r="E77">
        <v>0</v>
      </c>
      <c r="F77">
        <v>0</v>
      </c>
      <c r="G77">
        <v>4</v>
      </c>
      <c r="H77">
        <v>0</v>
      </c>
      <c r="I77" t="s">
        <v>36</v>
      </c>
      <c r="J77">
        <v>127</v>
      </c>
      <c r="K77" t="s">
        <v>17</v>
      </c>
      <c r="L77">
        <v>104</v>
      </c>
      <c r="M77">
        <f>IF(D77=I77,VLOOKUP(D77,a_win_totals_lookup,MATCH(K77,a_wins_total_lookup_header,0)+1,0),VLOOKUP(D77,a_win_totals_lookup,MATCH(I77,a_wins_total_lookup_header,0)+1,0))</f>
        <v>0.30790869437595753</v>
      </c>
      <c r="N77">
        <f t="shared" ca="1" si="1"/>
        <v>0</v>
      </c>
    </row>
    <row r="78" spans="1:14" x14ac:dyDescent="0.25">
      <c r="A78">
        <v>400578331</v>
      </c>
      <c r="B78">
        <v>2015</v>
      </c>
      <c r="C78" s="1">
        <v>41945</v>
      </c>
      <c r="D78" t="s">
        <v>41</v>
      </c>
      <c r="E78">
        <v>0</v>
      </c>
      <c r="F78">
        <v>2</v>
      </c>
      <c r="G78">
        <v>1</v>
      </c>
      <c r="H78">
        <v>1</v>
      </c>
      <c r="I78" t="s">
        <v>41</v>
      </c>
      <c r="J78">
        <v>92</v>
      </c>
      <c r="K78" t="s">
        <v>37</v>
      </c>
      <c r="L78">
        <v>98</v>
      </c>
      <c r="M78">
        <f>IF(D78=I78,VLOOKUP(D78,a_win_totals_lookup,MATCH(K78,a_wins_total_lookup_header,0)+1,0),VLOOKUP(D78,a_win_totals_lookup,MATCH(I78,a_wins_total_lookup_header,0)+1,0))</f>
        <v>0.71629315358675483</v>
      </c>
      <c r="N78">
        <f t="shared" ca="1" si="1"/>
        <v>1</v>
      </c>
    </row>
    <row r="79" spans="1:14" x14ac:dyDescent="0.25">
      <c r="A79">
        <v>400578331</v>
      </c>
      <c r="B79">
        <v>2015</v>
      </c>
      <c r="C79" s="1">
        <v>41945</v>
      </c>
      <c r="D79" t="s">
        <v>37</v>
      </c>
      <c r="E79">
        <v>1</v>
      </c>
      <c r="F79">
        <v>2</v>
      </c>
      <c r="G79">
        <v>1</v>
      </c>
      <c r="H79">
        <v>0</v>
      </c>
      <c r="I79" t="s">
        <v>41</v>
      </c>
      <c r="J79">
        <v>92</v>
      </c>
      <c r="K79" t="s">
        <v>37</v>
      </c>
      <c r="L79">
        <v>98</v>
      </c>
      <c r="M79">
        <f>IF(D79=I79,VLOOKUP(D79,a_win_totals_lookup,MATCH(K79,a_wins_total_lookup_header,0)+1,0),VLOOKUP(D79,a_win_totals_lookup,MATCH(I79,a_wins_total_lookup_header,0)+1,0))</f>
        <v>0.28370684641324517</v>
      </c>
      <c r="N79">
        <f t="shared" ca="1" si="1"/>
        <v>1</v>
      </c>
    </row>
    <row r="80" spans="1:14" x14ac:dyDescent="0.25">
      <c r="A80">
        <v>400578332</v>
      </c>
      <c r="B80">
        <v>2015</v>
      </c>
      <c r="C80" s="1">
        <v>41945</v>
      </c>
      <c r="D80" t="s">
        <v>24</v>
      </c>
      <c r="E80">
        <v>1</v>
      </c>
      <c r="F80">
        <v>3</v>
      </c>
      <c r="G80">
        <v>0</v>
      </c>
      <c r="H80">
        <v>1</v>
      </c>
      <c r="I80" t="s">
        <v>24</v>
      </c>
      <c r="J80">
        <v>107</v>
      </c>
      <c r="K80" t="s">
        <v>27</v>
      </c>
      <c r="L80">
        <v>102</v>
      </c>
      <c r="M80">
        <f>IF(D80=I80,VLOOKUP(D80,a_win_totals_lookup,MATCH(K80,a_wins_total_lookup_header,0)+1,0),VLOOKUP(D80,a_win_totals_lookup,MATCH(I80,a_wins_total_lookup_header,0)+1,0))</f>
        <v>0.43411240142926621</v>
      </c>
      <c r="N80">
        <f t="shared" ca="1" si="1"/>
        <v>0</v>
      </c>
    </row>
    <row r="81" spans="1:14" x14ac:dyDescent="0.25">
      <c r="A81">
        <v>400578332</v>
      </c>
      <c r="B81">
        <v>2015</v>
      </c>
      <c r="C81" s="1">
        <v>41945</v>
      </c>
      <c r="D81" t="s">
        <v>27</v>
      </c>
      <c r="E81">
        <v>0</v>
      </c>
      <c r="F81">
        <v>2</v>
      </c>
      <c r="G81">
        <v>1</v>
      </c>
      <c r="H81">
        <v>0</v>
      </c>
      <c r="I81" t="s">
        <v>24</v>
      </c>
      <c r="J81">
        <v>107</v>
      </c>
      <c r="K81" t="s">
        <v>27</v>
      </c>
      <c r="L81">
        <v>102</v>
      </c>
      <c r="M81">
        <f>IF(D81=I81,VLOOKUP(D81,a_win_totals_lookup,MATCH(K81,a_wins_total_lookup_header,0)+1,0),VLOOKUP(D81,a_win_totals_lookup,MATCH(I81,a_wins_total_lookup_header,0)+1,0))</f>
        <v>0.56588759857073379</v>
      </c>
      <c r="N81">
        <f t="shared" ca="1" si="1"/>
        <v>1</v>
      </c>
    </row>
    <row r="82" spans="1:14" x14ac:dyDescent="0.25">
      <c r="A82">
        <v>400578333</v>
      </c>
      <c r="B82">
        <v>2015</v>
      </c>
      <c r="C82" s="1">
        <v>41945</v>
      </c>
      <c r="D82" t="s">
        <v>18</v>
      </c>
      <c r="E82">
        <v>0</v>
      </c>
      <c r="F82">
        <v>1</v>
      </c>
      <c r="G82">
        <v>2</v>
      </c>
      <c r="H82">
        <v>0</v>
      </c>
      <c r="I82" t="s">
        <v>31</v>
      </c>
      <c r="J82">
        <v>96</v>
      </c>
      <c r="K82" t="s">
        <v>18</v>
      </c>
      <c r="L82">
        <v>93</v>
      </c>
      <c r="M82">
        <f>IF(D82=I82,VLOOKUP(D82,a_win_totals_lookup,MATCH(K82,a_wins_total_lookup_header,0)+1,0),VLOOKUP(D82,a_win_totals_lookup,MATCH(I82,a_wins_total_lookup_header,0)+1,0))</f>
        <v>0.56217650088579807</v>
      </c>
      <c r="N82">
        <f t="shared" ca="1" si="1"/>
        <v>1</v>
      </c>
    </row>
    <row r="83" spans="1:14" x14ac:dyDescent="0.25">
      <c r="A83">
        <v>400578333</v>
      </c>
      <c r="B83">
        <v>2015</v>
      </c>
      <c r="C83" s="1">
        <v>41945</v>
      </c>
      <c r="D83" t="s">
        <v>31</v>
      </c>
      <c r="E83">
        <v>1</v>
      </c>
      <c r="F83">
        <v>2</v>
      </c>
      <c r="G83">
        <v>1</v>
      </c>
      <c r="H83">
        <v>1</v>
      </c>
      <c r="I83" t="s">
        <v>31</v>
      </c>
      <c r="J83">
        <v>96</v>
      </c>
      <c r="K83" t="s">
        <v>18</v>
      </c>
      <c r="L83">
        <v>93</v>
      </c>
      <c r="M83">
        <f>IF(D83=I83,VLOOKUP(D83,a_win_totals_lookup,MATCH(K83,a_wins_total_lookup_header,0)+1,0),VLOOKUP(D83,a_win_totals_lookup,MATCH(I83,a_wins_total_lookup_header,0)+1,0))</f>
        <v>0.43782349911420193</v>
      </c>
      <c r="N83">
        <f t="shared" ca="1" si="1"/>
        <v>0</v>
      </c>
    </row>
    <row r="84" spans="1:14" x14ac:dyDescent="0.25">
      <c r="A84">
        <v>400578334</v>
      </c>
      <c r="B84">
        <v>2015</v>
      </c>
      <c r="C84" s="1">
        <v>41945</v>
      </c>
      <c r="D84" t="s">
        <v>36</v>
      </c>
      <c r="E84">
        <v>1</v>
      </c>
      <c r="F84">
        <v>3</v>
      </c>
      <c r="G84">
        <v>0</v>
      </c>
      <c r="H84">
        <v>0</v>
      </c>
      <c r="I84" t="s">
        <v>39</v>
      </c>
      <c r="J84">
        <v>90</v>
      </c>
      <c r="K84" t="s">
        <v>36</v>
      </c>
      <c r="L84">
        <v>95</v>
      </c>
      <c r="M84">
        <f>IF(D84=I84,VLOOKUP(D84,a_win_totals_lookup,MATCH(K84,a_wins_total_lookup_header,0)+1,0),VLOOKUP(D84,a_win_totals_lookup,MATCH(I84,a_wins_total_lookup_header,0)+1,0))</f>
        <v>0.53208984971618267</v>
      </c>
      <c r="N84">
        <f t="shared" ca="1" si="1"/>
        <v>0</v>
      </c>
    </row>
    <row r="85" spans="1:14" x14ac:dyDescent="0.25">
      <c r="A85">
        <v>400578334</v>
      </c>
      <c r="B85">
        <v>2015</v>
      </c>
      <c r="C85" s="1">
        <v>41945</v>
      </c>
      <c r="D85" t="s">
        <v>39</v>
      </c>
      <c r="E85">
        <v>0</v>
      </c>
      <c r="F85">
        <v>1</v>
      </c>
      <c r="G85">
        <v>2</v>
      </c>
      <c r="H85">
        <v>1</v>
      </c>
      <c r="I85" t="s">
        <v>39</v>
      </c>
      <c r="J85">
        <v>90</v>
      </c>
      <c r="K85" t="s">
        <v>36</v>
      </c>
      <c r="L85">
        <v>95</v>
      </c>
      <c r="M85">
        <f>IF(D85=I85,VLOOKUP(D85,a_win_totals_lookup,MATCH(K85,a_wins_total_lookup_header,0)+1,0),VLOOKUP(D85,a_win_totals_lookup,MATCH(I85,a_wins_total_lookup_header,0)+1,0))</f>
        <v>0.46791015028381738</v>
      </c>
      <c r="N85">
        <f t="shared" ca="1" si="1"/>
        <v>1</v>
      </c>
    </row>
    <row r="86" spans="1:14" x14ac:dyDescent="0.25">
      <c r="A86">
        <v>400578335</v>
      </c>
      <c r="B86">
        <v>2015</v>
      </c>
      <c r="C86" s="1">
        <v>41946</v>
      </c>
      <c r="D86" t="s">
        <v>16</v>
      </c>
      <c r="E86">
        <v>1</v>
      </c>
      <c r="F86">
        <v>4</v>
      </c>
      <c r="G86">
        <v>0</v>
      </c>
      <c r="H86">
        <v>0</v>
      </c>
      <c r="I86" t="s">
        <v>21</v>
      </c>
      <c r="J86">
        <v>93</v>
      </c>
      <c r="K86" t="s">
        <v>16</v>
      </c>
      <c r="L86">
        <v>104</v>
      </c>
      <c r="M86">
        <f>IF(D86=I86,VLOOKUP(D86,a_win_totals_lookup,MATCH(K86,a_wins_total_lookup_header,0)+1,0),VLOOKUP(D86,a_win_totals_lookup,MATCH(I86,a_wins_total_lookup_header,0)+1,0))</f>
        <v>0.76268812927878615</v>
      </c>
      <c r="N86">
        <f t="shared" ca="1" si="1"/>
        <v>0</v>
      </c>
    </row>
    <row r="87" spans="1:14" x14ac:dyDescent="0.25">
      <c r="A87">
        <v>400578335</v>
      </c>
      <c r="B87">
        <v>2015</v>
      </c>
      <c r="C87" s="1">
        <v>41946</v>
      </c>
      <c r="D87" t="s">
        <v>21</v>
      </c>
      <c r="E87">
        <v>0</v>
      </c>
      <c r="F87">
        <v>0</v>
      </c>
      <c r="G87">
        <v>4</v>
      </c>
      <c r="H87">
        <v>1</v>
      </c>
      <c r="I87" t="s">
        <v>21</v>
      </c>
      <c r="J87">
        <v>93</v>
      </c>
      <c r="K87" t="s">
        <v>16</v>
      </c>
      <c r="L87">
        <v>104</v>
      </c>
      <c r="M87">
        <f>IF(D87=I87,VLOOKUP(D87,a_win_totals_lookup,MATCH(K87,a_wins_total_lookup_header,0)+1,0),VLOOKUP(D87,a_win_totals_lookup,MATCH(I87,a_wins_total_lookup_header,0)+1,0))</f>
        <v>0.23731187072121385</v>
      </c>
      <c r="N87">
        <f t="shared" ca="1" si="1"/>
        <v>1</v>
      </c>
    </row>
    <row r="88" spans="1:14" x14ac:dyDescent="0.25">
      <c r="A88">
        <v>400578336</v>
      </c>
      <c r="B88">
        <v>2015</v>
      </c>
      <c r="C88" s="1">
        <v>41946</v>
      </c>
      <c r="D88" t="s">
        <v>23</v>
      </c>
      <c r="E88">
        <v>1</v>
      </c>
      <c r="F88">
        <v>2</v>
      </c>
      <c r="G88">
        <v>1</v>
      </c>
      <c r="H88">
        <v>1</v>
      </c>
      <c r="I88" t="s">
        <v>23</v>
      </c>
      <c r="J88">
        <v>116</v>
      </c>
      <c r="K88" t="s">
        <v>38</v>
      </c>
      <c r="L88">
        <v>85</v>
      </c>
      <c r="M88">
        <f>IF(D88=I88,VLOOKUP(D88,a_win_totals_lookup,MATCH(K88,a_wins_total_lookup_header,0)+1,0),VLOOKUP(D88,a_win_totals_lookup,MATCH(I88,a_wins_total_lookup_header,0)+1,0))</f>
        <v>0.37147810462585762</v>
      </c>
      <c r="N88">
        <f t="shared" ca="1" si="1"/>
        <v>1</v>
      </c>
    </row>
    <row r="89" spans="1:14" x14ac:dyDescent="0.25">
      <c r="A89">
        <v>400578336</v>
      </c>
      <c r="B89">
        <v>2015</v>
      </c>
      <c r="C89" s="1">
        <v>41946</v>
      </c>
      <c r="D89" t="s">
        <v>38</v>
      </c>
      <c r="E89">
        <v>0</v>
      </c>
      <c r="F89">
        <v>1</v>
      </c>
      <c r="G89">
        <v>3</v>
      </c>
      <c r="H89">
        <v>0</v>
      </c>
      <c r="I89" t="s">
        <v>23</v>
      </c>
      <c r="J89">
        <v>116</v>
      </c>
      <c r="K89" t="s">
        <v>38</v>
      </c>
      <c r="L89">
        <v>85</v>
      </c>
      <c r="M89">
        <f>IF(D89=I89,VLOOKUP(D89,a_win_totals_lookup,MATCH(K89,a_wins_total_lookup_header,0)+1,0),VLOOKUP(D89,a_win_totals_lookup,MATCH(I89,a_wins_total_lookup_header,0)+1,0))</f>
        <v>0.62852189537414238</v>
      </c>
      <c r="N89">
        <f t="shared" ca="1" si="1"/>
        <v>1</v>
      </c>
    </row>
    <row r="90" spans="1:14" x14ac:dyDescent="0.25">
      <c r="A90">
        <v>400578337</v>
      </c>
      <c r="B90">
        <v>2015</v>
      </c>
      <c r="C90" s="1">
        <v>41946</v>
      </c>
      <c r="D90" t="s">
        <v>28</v>
      </c>
      <c r="E90">
        <v>1</v>
      </c>
      <c r="F90">
        <v>4</v>
      </c>
      <c r="G90">
        <v>0</v>
      </c>
      <c r="H90">
        <v>1</v>
      </c>
      <c r="I90" t="s">
        <v>28</v>
      </c>
      <c r="J90">
        <v>93</v>
      </c>
      <c r="K90" t="s">
        <v>12</v>
      </c>
      <c r="L90">
        <v>81</v>
      </c>
      <c r="M90">
        <f>IF(D90=I90,VLOOKUP(D90,a_win_totals_lookup,MATCH(K90,a_wins_total_lookup_header,0)+1,0),VLOOKUP(D90,a_win_totals_lookup,MATCH(I90,a_wins_total_lookup_header,0)+1,0))</f>
        <v>0.58683622465749607</v>
      </c>
      <c r="N90">
        <f t="shared" ca="1" si="1"/>
        <v>1</v>
      </c>
    </row>
    <row r="91" spans="1:14" x14ac:dyDescent="0.25">
      <c r="A91">
        <v>400578337</v>
      </c>
      <c r="B91">
        <v>2015</v>
      </c>
      <c r="C91" s="1">
        <v>41946</v>
      </c>
      <c r="D91" t="s">
        <v>12</v>
      </c>
      <c r="E91">
        <v>0</v>
      </c>
      <c r="F91">
        <v>1</v>
      </c>
      <c r="G91">
        <v>2</v>
      </c>
      <c r="H91">
        <v>0</v>
      </c>
      <c r="I91" t="s">
        <v>28</v>
      </c>
      <c r="J91">
        <v>93</v>
      </c>
      <c r="K91" t="s">
        <v>12</v>
      </c>
      <c r="L91">
        <v>81</v>
      </c>
      <c r="M91">
        <f>IF(D91=I91,VLOOKUP(D91,a_win_totals_lookup,MATCH(K91,a_wins_total_lookup_header,0)+1,0),VLOOKUP(D91,a_win_totals_lookup,MATCH(I91,a_wins_total_lookup_header,0)+1,0))</f>
        <v>0.41316377534250398</v>
      </c>
      <c r="N91">
        <f t="shared" ca="1" si="1"/>
        <v>0</v>
      </c>
    </row>
    <row r="92" spans="1:14" x14ac:dyDescent="0.25">
      <c r="A92">
        <v>400578338</v>
      </c>
      <c r="B92">
        <v>2015</v>
      </c>
      <c r="C92" s="1">
        <v>41946</v>
      </c>
      <c r="D92" t="s">
        <v>22</v>
      </c>
      <c r="E92">
        <v>0</v>
      </c>
      <c r="F92">
        <v>1</v>
      </c>
      <c r="G92">
        <v>2</v>
      </c>
      <c r="H92">
        <v>0</v>
      </c>
      <c r="I92" t="s">
        <v>14</v>
      </c>
      <c r="J92">
        <v>118</v>
      </c>
      <c r="K92" t="s">
        <v>22</v>
      </c>
      <c r="L92">
        <v>113</v>
      </c>
      <c r="M92">
        <f>IF(D92=I92,VLOOKUP(D92,a_win_totals_lookup,MATCH(K92,a_wins_total_lookup_header,0)+1,0),VLOOKUP(D92,a_win_totals_lookup,MATCH(I92,a_wins_total_lookup_header,0)+1,0))</f>
        <v>0.24120874132126804</v>
      </c>
      <c r="N92">
        <f t="shared" ca="1" si="1"/>
        <v>0</v>
      </c>
    </row>
    <row r="93" spans="1:14" x14ac:dyDescent="0.25">
      <c r="A93">
        <v>400578338</v>
      </c>
      <c r="B93">
        <v>2015</v>
      </c>
      <c r="C93" s="1">
        <v>41946</v>
      </c>
      <c r="D93" t="s">
        <v>14</v>
      </c>
      <c r="E93">
        <v>1</v>
      </c>
      <c r="F93">
        <v>3</v>
      </c>
      <c r="G93">
        <v>1</v>
      </c>
      <c r="H93">
        <v>1</v>
      </c>
      <c r="I93" t="s">
        <v>14</v>
      </c>
      <c r="J93">
        <v>118</v>
      </c>
      <c r="K93" t="s">
        <v>22</v>
      </c>
      <c r="L93">
        <v>113</v>
      </c>
      <c r="M93">
        <f>IF(D93=I93,VLOOKUP(D93,a_win_totals_lookup,MATCH(K93,a_wins_total_lookup_header,0)+1,0),VLOOKUP(D93,a_win_totals_lookup,MATCH(I93,a_wins_total_lookup_header,0)+1,0))</f>
        <v>0.75879125867873198</v>
      </c>
      <c r="N93">
        <f t="shared" ca="1" si="1"/>
        <v>1</v>
      </c>
    </row>
    <row r="94" spans="1:14" x14ac:dyDescent="0.25">
      <c r="A94">
        <v>400578339</v>
      </c>
      <c r="B94">
        <v>2015</v>
      </c>
      <c r="C94" s="1">
        <v>41946</v>
      </c>
      <c r="D94" t="s">
        <v>32</v>
      </c>
      <c r="E94">
        <v>0</v>
      </c>
      <c r="F94">
        <v>1</v>
      </c>
      <c r="G94">
        <v>2</v>
      </c>
      <c r="H94">
        <v>1</v>
      </c>
      <c r="I94" t="s">
        <v>32</v>
      </c>
      <c r="J94">
        <v>105</v>
      </c>
      <c r="K94" t="s">
        <v>37</v>
      </c>
      <c r="L94">
        <v>110</v>
      </c>
      <c r="M94">
        <f>IF(D94=I94,VLOOKUP(D94,a_win_totals_lookup,MATCH(K94,a_wins_total_lookup_header,0)+1,0),VLOOKUP(D94,a_win_totals_lookup,MATCH(I94,a_wins_total_lookup_header,0)+1,0))</f>
        <v>0.57711263446281591</v>
      </c>
      <c r="N94">
        <f t="shared" ca="1" si="1"/>
        <v>1</v>
      </c>
    </row>
    <row r="95" spans="1:14" x14ac:dyDescent="0.25">
      <c r="A95">
        <v>400578339</v>
      </c>
      <c r="B95">
        <v>2015</v>
      </c>
      <c r="C95" s="1">
        <v>41946</v>
      </c>
      <c r="D95" t="s">
        <v>37</v>
      </c>
      <c r="E95">
        <v>1</v>
      </c>
      <c r="F95">
        <v>3</v>
      </c>
      <c r="G95">
        <v>1</v>
      </c>
      <c r="H95">
        <v>0</v>
      </c>
      <c r="I95" t="s">
        <v>32</v>
      </c>
      <c r="J95">
        <v>105</v>
      </c>
      <c r="K95" t="s">
        <v>37</v>
      </c>
      <c r="L95">
        <v>110</v>
      </c>
      <c r="M95">
        <f>IF(D95=I95,VLOOKUP(D95,a_win_totals_lookup,MATCH(K95,a_wins_total_lookup_header,0)+1,0),VLOOKUP(D95,a_win_totals_lookup,MATCH(I95,a_wins_total_lookup_header,0)+1,0))</f>
        <v>0.42288736553718415</v>
      </c>
      <c r="N95">
        <f t="shared" ca="1" si="1"/>
        <v>0</v>
      </c>
    </row>
    <row r="96" spans="1:14" x14ac:dyDescent="0.25">
      <c r="A96">
        <v>400578340</v>
      </c>
      <c r="B96">
        <v>2015</v>
      </c>
      <c r="C96" s="1">
        <v>41946</v>
      </c>
      <c r="D96" t="s">
        <v>41</v>
      </c>
      <c r="E96">
        <v>1</v>
      </c>
      <c r="F96">
        <v>3</v>
      </c>
      <c r="G96">
        <v>1</v>
      </c>
      <c r="H96">
        <v>1</v>
      </c>
      <c r="I96" t="s">
        <v>41</v>
      </c>
      <c r="J96">
        <v>107</v>
      </c>
      <c r="K96" t="s">
        <v>34</v>
      </c>
      <c r="L96">
        <v>101</v>
      </c>
      <c r="M96">
        <f>IF(D96=I96,VLOOKUP(D96,a_win_totals_lookup,MATCH(K96,a_wins_total_lookup_header,0)+1,0),VLOOKUP(D96,a_win_totals_lookup,MATCH(I96,a_wins_total_lookup_header,0)+1,0))</f>
        <v>0.74387996100574205</v>
      </c>
      <c r="N96">
        <f t="shared" ca="1" si="1"/>
        <v>1</v>
      </c>
    </row>
    <row r="97" spans="1:14" x14ac:dyDescent="0.25">
      <c r="A97">
        <v>400578340</v>
      </c>
      <c r="B97">
        <v>2015</v>
      </c>
      <c r="C97" s="1">
        <v>41946</v>
      </c>
      <c r="D97" t="s">
        <v>34</v>
      </c>
      <c r="E97">
        <v>0</v>
      </c>
      <c r="F97">
        <v>1</v>
      </c>
      <c r="G97">
        <v>3</v>
      </c>
      <c r="H97">
        <v>0</v>
      </c>
      <c r="I97" t="s">
        <v>41</v>
      </c>
      <c r="J97">
        <v>107</v>
      </c>
      <c r="K97" t="s">
        <v>34</v>
      </c>
      <c r="L97">
        <v>101</v>
      </c>
      <c r="M97">
        <f>IF(D97=I97,VLOOKUP(D97,a_win_totals_lookup,MATCH(K97,a_wins_total_lookup_header,0)+1,0),VLOOKUP(D97,a_win_totals_lookup,MATCH(I97,a_wins_total_lookup_header,0)+1,0))</f>
        <v>0.25612003899425795</v>
      </c>
      <c r="N97">
        <f t="shared" ca="1" si="1"/>
        <v>0</v>
      </c>
    </row>
    <row r="98" spans="1:14" x14ac:dyDescent="0.25">
      <c r="A98">
        <v>400578341</v>
      </c>
      <c r="B98">
        <v>2015</v>
      </c>
      <c r="C98" s="1">
        <v>41947</v>
      </c>
      <c r="D98" t="s">
        <v>20</v>
      </c>
      <c r="E98">
        <v>0</v>
      </c>
      <c r="F98">
        <v>1</v>
      </c>
      <c r="G98">
        <v>3</v>
      </c>
      <c r="H98">
        <v>1</v>
      </c>
      <c r="I98" t="s">
        <v>20</v>
      </c>
      <c r="J98">
        <v>81</v>
      </c>
      <c r="K98" t="s">
        <v>19</v>
      </c>
      <c r="L98">
        <v>87</v>
      </c>
      <c r="M98">
        <f>IF(D98=I98,VLOOKUP(D98,a_win_totals_lookup,MATCH(K98,a_wins_total_lookup_header,0)+1,0),VLOOKUP(D98,a_win_totals_lookup,MATCH(I98,a_wins_total_lookup_header,0)+1,0))</f>
        <v>0.58783565558007556</v>
      </c>
      <c r="N98">
        <f t="shared" ca="1" si="1"/>
        <v>1</v>
      </c>
    </row>
    <row r="99" spans="1:14" x14ac:dyDescent="0.25">
      <c r="A99">
        <v>400578341</v>
      </c>
      <c r="B99">
        <v>2015</v>
      </c>
      <c r="C99" s="1">
        <v>41947</v>
      </c>
      <c r="D99" t="s">
        <v>19</v>
      </c>
      <c r="E99">
        <v>1</v>
      </c>
      <c r="F99">
        <v>2</v>
      </c>
      <c r="G99">
        <v>2</v>
      </c>
      <c r="H99">
        <v>0</v>
      </c>
      <c r="I99" t="s">
        <v>20</v>
      </c>
      <c r="J99">
        <v>81</v>
      </c>
      <c r="K99" t="s">
        <v>19</v>
      </c>
      <c r="L99">
        <v>87</v>
      </c>
      <c r="M99">
        <f>IF(D99=I99,VLOOKUP(D99,a_win_totals_lookup,MATCH(K99,a_wins_total_lookup_header,0)+1,0),VLOOKUP(D99,a_win_totals_lookup,MATCH(I99,a_wins_total_lookup_header,0)+1,0))</f>
        <v>0.4121643444199245</v>
      </c>
      <c r="N99">
        <f t="shared" ca="1" si="1"/>
        <v>0</v>
      </c>
    </row>
    <row r="100" spans="1:14" x14ac:dyDescent="0.25">
      <c r="A100">
        <v>400578342</v>
      </c>
      <c r="B100">
        <v>2015</v>
      </c>
      <c r="C100" s="1">
        <v>41947</v>
      </c>
      <c r="D100" t="s">
        <v>16</v>
      </c>
      <c r="E100">
        <v>1</v>
      </c>
      <c r="F100">
        <v>5</v>
      </c>
      <c r="G100">
        <v>0</v>
      </c>
      <c r="H100">
        <v>0</v>
      </c>
      <c r="I100" t="s">
        <v>24</v>
      </c>
      <c r="J100">
        <v>91</v>
      </c>
      <c r="K100" t="s">
        <v>16</v>
      </c>
      <c r="L100">
        <v>108</v>
      </c>
      <c r="M100">
        <f>IF(D100=I100,VLOOKUP(D100,a_win_totals_lookup,MATCH(K100,a_wins_total_lookup_header,0)+1,0),VLOOKUP(D100,a_win_totals_lookup,MATCH(I100,a_wins_total_lookup_header,0)+1,0))</f>
        <v>0.53188370365769178</v>
      </c>
      <c r="N100">
        <f t="shared" ca="1" si="1"/>
        <v>0</v>
      </c>
    </row>
    <row r="101" spans="1:14" x14ac:dyDescent="0.25">
      <c r="A101">
        <v>400578342</v>
      </c>
      <c r="B101">
        <v>2015</v>
      </c>
      <c r="C101" s="1">
        <v>41947</v>
      </c>
      <c r="D101" t="s">
        <v>24</v>
      </c>
      <c r="E101">
        <v>0</v>
      </c>
      <c r="F101">
        <v>3</v>
      </c>
      <c r="G101">
        <v>1</v>
      </c>
      <c r="H101">
        <v>1</v>
      </c>
      <c r="I101" t="s">
        <v>24</v>
      </c>
      <c r="J101">
        <v>91</v>
      </c>
      <c r="K101" t="s">
        <v>16</v>
      </c>
      <c r="L101">
        <v>108</v>
      </c>
      <c r="M101">
        <f>IF(D101=I101,VLOOKUP(D101,a_win_totals_lookup,MATCH(K101,a_wins_total_lookup_header,0)+1,0),VLOOKUP(D101,a_win_totals_lookup,MATCH(I101,a_wins_total_lookup_header,0)+1,0))</f>
        <v>0.46811629634230822</v>
      </c>
      <c r="N101">
        <f t="shared" ca="1" si="1"/>
        <v>0</v>
      </c>
    </row>
    <row r="102" spans="1:14" x14ac:dyDescent="0.25">
      <c r="A102">
        <v>400578343</v>
      </c>
      <c r="B102">
        <v>2015</v>
      </c>
      <c r="C102" s="1">
        <v>41947</v>
      </c>
      <c r="D102" t="s">
        <v>31</v>
      </c>
      <c r="E102">
        <v>0</v>
      </c>
      <c r="F102">
        <v>2</v>
      </c>
      <c r="G102">
        <v>2</v>
      </c>
      <c r="H102">
        <v>1</v>
      </c>
      <c r="I102" t="s">
        <v>31</v>
      </c>
      <c r="J102">
        <v>83</v>
      </c>
      <c r="K102" t="s">
        <v>25</v>
      </c>
      <c r="L102">
        <v>98</v>
      </c>
      <c r="M102">
        <f>IF(D102=I102,VLOOKUP(D102,a_win_totals_lookup,MATCH(K102,a_wins_total_lookup_header,0)+1,0),VLOOKUP(D102,a_win_totals_lookup,MATCH(I102,a_wins_total_lookup_header,0)+1,0))</f>
        <v>0.41758613378174975</v>
      </c>
      <c r="N102">
        <f t="shared" ca="1" si="1"/>
        <v>0</v>
      </c>
    </row>
    <row r="103" spans="1:14" x14ac:dyDescent="0.25">
      <c r="A103">
        <v>400578343</v>
      </c>
      <c r="B103">
        <v>2015</v>
      </c>
      <c r="C103" s="1">
        <v>41947</v>
      </c>
      <c r="D103" t="s">
        <v>25</v>
      </c>
      <c r="E103">
        <v>1</v>
      </c>
      <c r="F103">
        <v>3</v>
      </c>
      <c r="G103">
        <v>1</v>
      </c>
      <c r="H103">
        <v>0</v>
      </c>
      <c r="I103" t="s">
        <v>31</v>
      </c>
      <c r="J103">
        <v>83</v>
      </c>
      <c r="K103" t="s">
        <v>25</v>
      </c>
      <c r="L103">
        <v>98</v>
      </c>
      <c r="M103">
        <f>IF(D103=I103,VLOOKUP(D103,a_win_totals_lookup,MATCH(K103,a_wins_total_lookup_header,0)+1,0),VLOOKUP(D103,a_win_totals_lookup,MATCH(I103,a_wins_total_lookup_header,0)+1,0))</f>
        <v>0.5824138662182502</v>
      </c>
      <c r="N103">
        <f t="shared" ca="1" si="1"/>
        <v>0</v>
      </c>
    </row>
    <row r="104" spans="1:14" x14ac:dyDescent="0.25">
      <c r="A104">
        <v>400578344</v>
      </c>
      <c r="B104">
        <v>2015</v>
      </c>
      <c r="C104" s="1">
        <v>41947</v>
      </c>
      <c r="D104" t="s">
        <v>38</v>
      </c>
      <c r="E104">
        <v>0</v>
      </c>
      <c r="F104">
        <v>1</v>
      </c>
      <c r="G104">
        <v>4</v>
      </c>
      <c r="H104">
        <v>0</v>
      </c>
      <c r="I104" t="s">
        <v>27</v>
      </c>
      <c r="J104">
        <v>100</v>
      </c>
      <c r="K104" t="s">
        <v>38</v>
      </c>
      <c r="L104">
        <v>88</v>
      </c>
      <c r="M104">
        <f>IF(D104=I104,VLOOKUP(D104,a_win_totals_lookup,MATCH(K104,a_wins_total_lookup_header,0)+1,0),VLOOKUP(D104,a_win_totals_lookup,MATCH(I104,a_wins_total_lookup_header,0)+1,0))</f>
        <v>0.51394802744461043</v>
      </c>
      <c r="N104">
        <f t="shared" ca="1" si="1"/>
        <v>0</v>
      </c>
    </row>
    <row r="105" spans="1:14" x14ac:dyDescent="0.25">
      <c r="A105">
        <v>400578344</v>
      </c>
      <c r="B105">
        <v>2015</v>
      </c>
      <c r="C105" s="1">
        <v>41947</v>
      </c>
      <c r="D105" t="s">
        <v>27</v>
      </c>
      <c r="E105">
        <v>1</v>
      </c>
      <c r="F105">
        <v>3</v>
      </c>
      <c r="G105">
        <v>1</v>
      </c>
      <c r="H105">
        <v>1</v>
      </c>
      <c r="I105" t="s">
        <v>27</v>
      </c>
      <c r="J105">
        <v>100</v>
      </c>
      <c r="K105" t="s">
        <v>38</v>
      </c>
      <c r="L105">
        <v>88</v>
      </c>
      <c r="M105">
        <f>IF(D105=I105,VLOOKUP(D105,a_win_totals_lookup,MATCH(K105,a_wins_total_lookup_header,0)+1,0),VLOOKUP(D105,a_win_totals_lookup,MATCH(I105,a_wins_total_lookup_header,0)+1,0))</f>
        <v>0.48605197255538951</v>
      </c>
      <c r="N105">
        <f t="shared" ca="1" si="1"/>
        <v>1</v>
      </c>
    </row>
    <row r="106" spans="1:14" x14ac:dyDescent="0.25">
      <c r="A106">
        <v>400578345</v>
      </c>
      <c r="B106">
        <v>2015</v>
      </c>
      <c r="C106" s="1">
        <v>41947</v>
      </c>
      <c r="D106" t="s">
        <v>30</v>
      </c>
      <c r="E106">
        <v>1</v>
      </c>
      <c r="F106">
        <v>3</v>
      </c>
      <c r="G106">
        <v>1</v>
      </c>
      <c r="H106">
        <v>1</v>
      </c>
      <c r="I106" t="s">
        <v>30</v>
      </c>
      <c r="J106">
        <v>98</v>
      </c>
      <c r="K106" t="s">
        <v>13</v>
      </c>
      <c r="L106">
        <v>90</v>
      </c>
      <c r="M106">
        <f>IF(D106=I106,VLOOKUP(D106,a_win_totals_lookup,MATCH(K106,a_wins_total_lookup_header,0)+1,0),VLOOKUP(D106,a_win_totals_lookup,MATCH(I106,a_wins_total_lookup_header,0)+1,0))</f>
        <v>0.73595070405215601</v>
      </c>
      <c r="N106">
        <f t="shared" ca="1" si="1"/>
        <v>1</v>
      </c>
    </row>
    <row r="107" spans="1:14" x14ac:dyDescent="0.25">
      <c r="A107">
        <v>400578345</v>
      </c>
      <c r="B107">
        <v>2015</v>
      </c>
      <c r="C107" s="1">
        <v>41947</v>
      </c>
      <c r="D107" t="s">
        <v>13</v>
      </c>
      <c r="E107">
        <v>0</v>
      </c>
      <c r="F107">
        <v>0</v>
      </c>
      <c r="G107">
        <v>4</v>
      </c>
      <c r="H107">
        <v>0</v>
      </c>
      <c r="I107" t="s">
        <v>30</v>
      </c>
      <c r="J107">
        <v>98</v>
      </c>
      <c r="K107" t="s">
        <v>13</v>
      </c>
      <c r="L107">
        <v>90</v>
      </c>
      <c r="M107">
        <f>IF(D107=I107,VLOOKUP(D107,a_win_totals_lookup,MATCH(K107,a_wins_total_lookup_header,0)+1,0),VLOOKUP(D107,a_win_totals_lookup,MATCH(I107,a_wins_total_lookup_header,0)+1,0))</f>
        <v>0.26404929594784404</v>
      </c>
      <c r="N107">
        <f t="shared" ca="1" si="1"/>
        <v>1</v>
      </c>
    </row>
    <row r="108" spans="1:14" x14ac:dyDescent="0.25">
      <c r="A108">
        <v>400578346</v>
      </c>
      <c r="B108">
        <v>2015</v>
      </c>
      <c r="C108" s="1">
        <v>41947</v>
      </c>
      <c r="D108" t="s">
        <v>18</v>
      </c>
      <c r="E108">
        <v>0</v>
      </c>
      <c r="F108">
        <v>1</v>
      </c>
      <c r="G108">
        <v>3</v>
      </c>
      <c r="H108">
        <v>0</v>
      </c>
      <c r="I108" t="s">
        <v>12</v>
      </c>
      <c r="J108">
        <v>100</v>
      </c>
      <c r="K108" t="s">
        <v>18</v>
      </c>
      <c r="L108">
        <v>91</v>
      </c>
      <c r="M108">
        <f>IF(D108=I108,VLOOKUP(D108,a_win_totals_lookup,MATCH(K108,a_wins_total_lookup_header,0)+1,0),VLOOKUP(D108,a_win_totals_lookup,MATCH(I108,a_wins_total_lookup_header,0)+1,0))</f>
        <v>0.54860047392731426</v>
      </c>
      <c r="N108">
        <f t="shared" ca="1" si="1"/>
        <v>0</v>
      </c>
    </row>
    <row r="109" spans="1:14" x14ac:dyDescent="0.25">
      <c r="A109">
        <v>400578346</v>
      </c>
      <c r="B109">
        <v>2015</v>
      </c>
      <c r="C109" s="1">
        <v>41947</v>
      </c>
      <c r="D109" t="s">
        <v>12</v>
      </c>
      <c r="E109">
        <v>1</v>
      </c>
      <c r="F109">
        <v>2</v>
      </c>
      <c r="G109">
        <v>2</v>
      </c>
      <c r="H109">
        <v>1</v>
      </c>
      <c r="I109" t="s">
        <v>12</v>
      </c>
      <c r="J109">
        <v>100</v>
      </c>
      <c r="K109" t="s">
        <v>18</v>
      </c>
      <c r="L109">
        <v>91</v>
      </c>
      <c r="M109">
        <f>IF(D109=I109,VLOOKUP(D109,a_win_totals_lookup,MATCH(K109,a_wins_total_lookup_header,0)+1,0),VLOOKUP(D109,a_win_totals_lookup,MATCH(I109,a_wins_total_lookup_header,0)+1,0))</f>
        <v>0.45139952607268569</v>
      </c>
      <c r="N109">
        <f t="shared" ca="1" si="1"/>
        <v>0</v>
      </c>
    </row>
    <row r="110" spans="1:14" x14ac:dyDescent="0.25">
      <c r="A110">
        <v>400578347</v>
      </c>
      <c r="B110">
        <v>2015</v>
      </c>
      <c r="C110" s="1">
        <v>41947</v>
      </c>
      <c r="D110" t="s">
        <v>40</v>
      </c>
      <c r="E110">
        <v>0</v>
      </c>
      <c r="F110">
        <v>1</v>
      </c>
      <c r="G110">
        <v>2</v>
      </c>
      <c r="H110">
        <v>0</v>
      </c>
      <c r="I110" t="s">
        <v>39</v>
      </c>
      <c r="J110">
        <v>101</v>
      </c>
      <c r="K110" t="s">
        <v>40</v>
      </c>
      <c r="L110">
        <v>82</v>
      </c>
      <c r="M110">
        <f>IF(D110=I110,VLOOKUP(D110,a_win_totals_lookup,MATCH(K110,a_wins_total_lookup_header,0)+1,0),VLOOKUP(D110,a_win_totals_lookup,MATCH(I110,a_wins_total_lookup_header,0)+1,0))</f>
        <v>0.56088868482079979</v>
      </c>
      <c r="N110">
        <f t="shared" ca="1" si="1"/>
        <v>1</v>
      </c>
    </row>
    <row r="111" spans="1:14" x14ac:dyDescent="0.25">
      <c r="A111">
        <v>400578347</v>
      </c>
      <c r="B111">
        <v>2015</v>
      </c>
      <c r="C111" s="1">
        <v>41947</v>
      </c>
      <c r="D111" t="s">
        <v>39</v>
      </c>
      <c r="E111">
        <v>1</v>
      </c>
      <c r="F111">
        <v>2</v>
      </c>
      <c r="G111">
        <v>2</v>
      </c>
      <c r="H111">
        <v>1</v>
      </c>
      <c r="I111" t="s">
        <v>39</v>
      </c>
      <c r="J111">
        <v>101</v>
      </c>
      <c r="K111" t="s">
        <v>40</v>
      </c>
      <c r="L111">
        <v>82</v>
      </c>
      <c r="M111">
        <f>IF(D111=I111,VLOOKUP(D111,a_win_totals_lookup,MATCH(K111,a_wins_total_lookup_header,0)+1,0),VLOOKUP(D111,a_win_totals_lookup,MATCH(I111,a_wins_total_lookup_header,0)+1,0))</f>
        <v>0.43911131517920021</v>
      </c>
      <c r="N111">
        <f t="shared" ca="1" si="1"/>
        <v>0</v>
      </c>
    </row>
    <row r="112" spans="1:14" x14ac:dyDescent="0.25">
      <c r="A112">
        <v>400578348</v>
      </c>
      <c r="B112">
        <v>2015</v>
      </c>
      <c r="C112" s="1">
        <v>41947</v>
      </c>
      <c r="D112" t="s">
        <v>17</v>
      </c>
      <c r="E112">
        <v>0</v>
      </c>
      <c r="F112">
        <v>0</v>
      </c>
      <c r="G112">
        <v>5</v>
      </c>
      <c r="H112">
        <v>1</v>
      </c>
      <c r="I112" t="s">
        <v>17</v>
      </c>
      <c r="J112">
        <v>106</v>
      </c>
      <c r="K112" t="s">
        <v>35</v>
      </c>
      <c r="L112">
        <v>112</v>
      </c>
      <c r="M112">
        <f>IF(D112=I112,VLOOKUP(D112,a_win_totals_lookup,MATCH(K112,a_wins_total_lookup_header,0)+1,0),VLOOKUP(D112,a_win_totals_lookup,MATCH(I112,a_wins_total_lookup_header,0)+1,0))</f>
        <v>0.38499232269801659</v>
      </c>
      <c r="N112">
        <f t="shared" ca="1" si="1"/>
        <v>0</v>
      </c>
    </row>
    <row r="113" spans="1:14" x14ac:dyDescent="0.25">
      <c r="A113">
        <v>400578348</v>
      </c>
      <c r="B113">
        <v>2015</v>
      </c>
      <c r="C113" s="1">
        <v>41947</v>
      </c>
      <c r="D113" t="s">
        <v>35</v>
      </c>
      <c r="E113">
        <v>1</v>
      </c>
      <c r="F113">
        <v>3</v>
      </c>
      <c r="G113">
        <v>1</v>
      </c>
      <c r="H113">
        <v>0</v>
      </c>
      <c r="I113" t="s">
        <v>17</v>
      </c>
      <c r="J113">
        <v>106</v>
      </c>
      <c r="K113" t="s">
        <v>35</v>
      </c>
      <c r="L113">
        <v>112</v>
      </c>
      <c r="M113">
        <f>IF(D113=I113,VLOOKUP(D113,a_win_totals_lookup,MATCH(K113,a_wins_total_lookup_header,0)+1,0),VLOOKUP(D113,a_win_totals_lookup,MATCH(I113,a_wins_total_lookup_header,0)+1,0))</f>
        <v>0.61500767730198336</v>
      </c>
      <c r="N113">
        <f t="shared" ca="1" si="1"/>
        <v>0</v>
      </c>
    </row>
    <row r="114" spans="1:14" x14ac:dyDescent="0.25">
      <c r="A114">
        <v>400578349</v>
      </c>
      <c r="B114">
        <v>2015</v>
      </c>
      <c r="C114" s="1">
        <v>41948</v>
      </c>
      <c r="D114" t="s">
        <v>18</v>
      </c>
      <c r="E114">
        <v>1</v>
      </c>
      <c r="F114">
        <v>2</v>
      </c>
      <c r="G114">
        <v>3</v>
      </c>
      <c r="H114">
        <v>1</v>
      </c>
      <c r="I114" t="s">
        <v>18</v>
      </c>
      <c r="J114">
        <v>96</v>
      </c>
      <c r="K114" t="s">
        <v>24</v>
      </c>
      <c r="L114">
        <v>89</v>
      </c>
      <c r="M114">
        <f>IF(D114=I114,VLOOKUP(D114,a_win_totals_lookup,MATCH(K114,a_wins_total_lookup_header,0)+1,0),VLOOKUP(D114,a_win_totals_lookup,MATCH(I114,a_wins_total_lookup_header,0)+1,0))</f>
        <v>0.51125250669337374</v>
      </c>
      <c r="N114">
        <f t="shared" ca="1" si="1"/>
        <v>1</v>
      </c>
    </row>
    <row r="115" spans="1:14" x14ac:dyDescent="0.25">
      <c r="A115">
        <v>400578349</v>
      </c>
      <c r="B115">
        <v>2015</v>
      </c>
      <c r="C115" s="1">
        <v>41948</v>
      </c>
      <c r="D115" t="s">
        <v>24</v>
      </c>
      <c r="E115">
        <v>0</v>
      </c>
      <c r="F115">
        <v>3</v>
      </c>
      <c r="G115">
        <v>2</v>
      </c>
      <c r="H115">
        <v>0</v>
      </c>
      <c r="I115" t="s">
        <v>18</v>
      </c>
      <c r="J115">
        <v>96</v>
      </c>
      <c r="K115" t="s">
        <v>24</v>
      </c>
      <c r="L115">
        <v>89</v>
      </c>
      <c r="M115">
        <f>IF(D115=I115,VLOOKUP(D115,a_win_totals_lookup,MATCH(K115,a_wins_total_lookup_header,0)+1,0),VLOOKUP(D115,a_win_totals_lookup,MATCH(I115,a_wins_total_lookup_header,0)+1,0))</f>
        <v>0.4887474933066262</v>
      </c>
      <c r="N115">
        <f t="shared" ca="1" si="1"/>
        <v>0</v>
      </c>
    </row>
    <row r="116" spans="1:14" x14ac:dyDescent="0.25">
      <c r="A116">
        <v>400578350</v>
      </c>
      <c r="B116">
        <v>2015</v>
      </c>
      <c r="C116" s="1">
        <v>41948</v>
      </c>
      <c r="D116" t="s">
        <v>13</v>
      </c>
      <c r="E116">
        <v>1</v>
      </c>
      <c r="F116">
        <v>1</v>
      </c>
      <c r="G116">
        <v>4</v>
      </c>
      <c r="H116">
        <v>0</v>
      </c>
      <c r="I116" t="s">
        <v>21</v>
      </c>
      <c r="J116">
        <v>89</v>
      </c>
      <c r="K116" t="s">
        <v>13</v>
      </c>
      <c r="L116">
        <v>91</v>
      </c>
      <c r="M116">
        <f>IF(D116=I116,VLOOKUP(D116,a_win_totals_lookup,MATCH(K116,a_wins_total_lookup_header,0)+1,0),VLOOKUP(D116,a_win_totals_lookup,MATCH(I116,a_wins_total_lookup_header,0)+1,0))</f>
        <v>0.59478122871339911</v>
      </c>
      <c r="N116">
        <f t="shared" ca="1" si="1"/>
        <v>1</v>
      </c>
    </row>
    <row r="117" spans="1:14" x14ac:dyDescent="0.25">
      <c r="A117">
        <v>400578350</v>
      </c>
      <c r="B117">
        <v>2015</v>
      </c>
      <c r="C117" s="1">
        <v>41948</v>
      </c>
      <c r="D117" t="s">
        <v>21</v>
      </c>
      <c r="E117">
        <v>0</v>
      </c>
      <c r="F117">
        <v>0</v>
      </c>
      <c r="G117">
        <v>5</v>
      </c>
      <c r="H117">
        <v>1</v>
      </c>
      <c r="I117" t="s">
        <v>21</v>
      </c>
      <c r="J117">
        <v>89</v>
      </c>
      <c r="K117" t="s">
        <v>13</v>
      </c>
      <c r="L117">
        <v>91</v>
      </c>
      <c r="M117">
        <f>IF(D117=I117,VLOOKUP(D117,a_win_totals_lookup,MATCH(K117,a_wins_total_lookup_header,0)+1,0),VLOOKUP(D117,a_win_totals_lookup,MATCH(I117,a_wins_total_lookup_header,0)+1,0))</f>
        <v>0.40521877128660083</v>
      </c>
      <c r="N117">
        <f t="shared" ca="1" si="1"/>
        <v>0</v>
      </c>
    </row>
    <row r="118" spans="1:14" x14ac:dyDescent="0.25">
      <c r="A118">
        <v>400578351</v>
      </c>
      <c r="B118">
        <v>2015</v>
      </c>
      <c r="C118" s="1">
        <v>41948</v>
      </c>
      <c r="D118" t="s">
        <v>22</v>
      </c>
      <c r="E118">
        <v>0</v>
      </c>
      <c r="F118">
        <v>1</v>
      </c>
      <c r="G118">
        <v>3</v>
      </c>
      <c r="H118">
        <v>1</v>
      </c>
      <c r="I118" t="s">
        <v>22</v>
      </c>
      <c r="J118">
        <v>107</v>
      </c>
      <c r="K118" t="s">
        <v>27</v>
      </c>
      <c r="L118">
        <v>110</v>
      </c>
      <c r="M118">
        <f>IF(D118=I118,VLOOKUP(D118,a_win_totals_lookup,MATCH(K118,a_wins_total_lookup_header,0)+1,0),VLOOKUP(D118,a_win_totals_lookup,MATCH(I118,a_wins_total_lookup_header,0)+1,0))</f>
        <v>0.24120874132126804</v>
      </c>
      <c r="N118">
        <f t="shared" ca="1" si="1"/>
        <v>0</v>
      </c>
    </row>
    <row r="119" spans="1:14" x14ac:dyDescent="0.25">
      <c r="A119">
        <v>400578351</v>
      </c>
      <c r="B119">
        <v>2015</v>
      </c>
      <c r="C119" s="1">
        <v>41948</v>
      </c>
      <c r="D119" t="s">
        <v>27</v>
      </c>
      <c r="E119">
        <v>1</v>
      </c>
      <c r="F119">
        <v>4</v>
      </c>
      <c r="G119">
        <v>1</v>
      </c>
      <c r="H119">
        <v>0</v>
      </c>
      <c r="I119" t="s">
        <v>22</v>
      </c>
      <c r="J119">
        <v>107</v>
      </c>
      <c r="K119" t="s">
        <v>27</v>
      </c>
      <c r="L119">
        <v>110</v>
      </c>
      <c r="M119">
        <f>IF(D119=I119,VLOOKUP(D119,a_win_totals_lookup,MATCH(K119,a_wins_total_lookup_header,0)+1,0),VLOOKUP(D119,a_win_totals_lookup,MATCH(I119,a_wins_total_lookup_header,0)+1,0))</f>
        <v>0.75879125867873198</v>
      </c>
      <c r="N119">
        <f t="shared" ca="1" si="1"/>
        <v>1</v>
      </c>
    </row>
    <row r="120" spans="1:14" x14ac:dyDescent="0.25">
      <c r="A120">
        <v>400578352</v>
      </c>
      <c r="B120">
        <v>2015</v>
      </c>
      <c r="C120" s="1">
        <v>41948</v>
      </c>
      <c r="D120" t="s">
        <v>23</v>
      </c>
      <c r="E120">
        <v>0</v>
      </c>
      <c r="F120">
        <v>2</v>
      </c>
      <c r="G120">
        <v>2</v>
      </c>
      <c r="H120">
        <v>1</v>
      </c>
      <c r="I120" t="s">
        <v>23</v>
      </c>
      <c r="J120">
        <v>91</v>
      </c>
      <c r="K120" t="s">
        <v>29</v>
      </c>
      <c r="L120">
        <v>98</v>
      </c>
      <c r="M120">
        <f>IF(D120=I120,VLOOKUP(D120,a_win_totals_lookup,MATCH(K120,a_wins_total_lookup_header,0)+1,0),VLOOKUP(D120,a_win_totals_lookup,MATCH(I120,a_wins_total_lookup_header,0)+1,0))</f>
        <v>0.66284304446693665</v>
      </c>
      <c r="N120">
        <f t="shared" ca="1" si="1"/>
        <v>1</v>
      </c>
    </row>
    <row r="121" spans="1:14" x14ac:dyDescent="0.25">
      <c r="A121">
        <v>400578352</v>
      </c>
      <c r="B121">
        <v>2015</v>
      </c>
      <c r="C121" s="1">
        <v>41948</v>
      </c>
      <c r="D121" t="s">
        <v>29</v>
      </c>
      <c r="E121">
        <v>1</v>
      </c>
      <c r="F121">
        <v>2</v>
      </c>
      <c r="G121">
        <v>2</v>
      </c>
      <c r="H121">
        <v>0</v>
      </c>
      <c r="I121" t="s">
        <v>23</v>
      </c>
      <c r="J121">
        <v>91</v>
      </c>
      <c r="K121" t="s">
        <v>29</v>
      </c>
      <c r="L121">
        <v>98</v>
      </c>
      <c r="M121">
        <f>IF(D121=I121,VLOOKUP(D121,a_win_totals_lookup,MATCH(K121,a_wins_total_lookup_header,0)+1,0),VLOOKUP(D121,a_win_totals_lookup,MATCH(I121,a_wins_total_lookup_header,0)+1,0))</f>
        <v>0.33715695553306341</v>
      </c>
      <c r="N121">
        <f t="shared" ca="1" si="1"/>
        <v>1</v>
      </c>
    </row>
    <row r="122" spans="1:14" x14ac:dyDescent="0.25">
      <c r="A122">
        <v>400578353</v>
      </c>
      <c r="B122">
        <v>2015</v>
      </c>
      <c r="C122" s="1">
        <v>41948</v>
      </c>
      <c r="D122" t="s">
        <v>33</v>
      </c>
      <c r="E122">
        <v>1</v>
      </c>
      <c r="F122">
        <v>1</v>
      </c>
      <c r="G122">
        <v>3</v>
      </c>
      <c r="H122">
        <v>1</v>
      </c>
      <c r="I122" t="s">
        <v>33</v>
      </c>
      <c r="J122">
        <v>98</v>
      </c>
      <c r="K122" t="s">
        <v>31</v>
      </c>
      <c r="L122">
        <v>95</v>
      </c>
      <c r="M122">
        <f>IF(D122=I122,VLOOKUP(D122,a_win_totals_lookup,MATCH(K122,a_wins_total_lookup_header,0)+1,0),VLOOKUP(D122,a_win_totals_lookup,MATCH(I122,a_wins_total_lookup_header,0)+1,0))</f>
        <v>0.45523194426626579</v>
      </c>
      <c r="N122">
        <f t="shared" ca="1" si="1"/>
        <v>0</v>
      </c>
    </row>
    <row r="123" spans="1:14" x14ac:dyDescent="0.25">
      <c r="A123">
        <v>400578353</v>
      </c>
      <c r="B123">
        <v>2015</v>
      </c>
      <c r="C123" s="1">
        <v>41948</v>
      </c>
      <c r="D123" t="s">
        <v>31</v>
      </c>
      <c r="E123">
        <v>0</v>
      </c>
      <c r="F123">
        <v>2</v>
      </c>
      <c r="G123">
        <v>3</v>
      </c>
      <c r="H123">
        <v>0</v>
      </c>
      <c r="I123" t="s">
        <v>33</v>
      </c>
      <c r="J123">
        <v>98</v>
      </c>
      <c r="K123" t="s">
        <v>31</v>
      </c>
      <c r="L123">
        <v>95</v>
      </c>
      <c r="M123">
        <f>IF(D123=I123,VLOOKUP(D123,a_win_totals_lookup,MATCH(K123,a_wins_total_lookup_header,0)+1,0),VLOOKUP(D123,a_win_totals_lookup,MATCH(I123,a_wins_total_lookup_header,0)+1,0))</f>
        <v>0.54476805573373421</v>
      </c>
      <c r="N123">
        <f t="shared" ca="1" si="1"/>
        <v>0</v>
      </c>
    </row>
    <row r="124" spans="1:14" x14ac:dyDescent="0.25">
      <c r="A124">
        <v>400578354</v>
      </c>
      <c r="B124">
        <v>2015</v>
      </c>
      <c r="C124" s="1">
        <v>41948</v>
      </c>
      <c r="D124" t="s">
        <v>30</v>
      </c>
      <c r="E124">
        <v>1</v>
      </c>
      <c r="F124">
        <v>4</v>
      </c>
      <c r="G124">
        <v>1</v>
      </c>
      <c r="H124">
        <v>0</v>
      </c>
      <c r="I124" t="s">
        <v>19</v>
      </c>
      <c r="J124">
        <v>86</v>
      </c>
      <c r="K124" t="s">
        <v>30</v>
      </c>
      <c r="L124">
        <v>95</v>
      </c>
      <c r="M124">
        <f>IF(D124=I124,VLOOKUP(D124,a_win_totals_lookup,MATCH(K124,a_wins_total_lookup_header,0)+1,0),VLOOKUP(D124,a_win_totals_lookup,MATCH(I124,a_wins_total_lookup_header,0)+1,0))</f>
        <v>0.76371419200876312</v>
      </c>
      <c r="N124">
        <f t="shared" ca="1" si="1"/>
        <v>0</v>
      </c>
    </row>
    <row r="125" spans="1:14" x14ac:dyDescent="0.25">
      <c r="A125">
        <v>400578354</v>
      </c>
      <c r="B125">
        <v>2015</v>
      </c>
      <c r="C125" s="1">
        <v>41948</v>
      </c>
      <c r="D125" t="s">
        <v>19</v>
      </c>
      <c r="E125">
        <v>0</v>
      </c>
      <c r="F125">
        <v>2</v>
      </c>
      <c r="G125">
        <v>3</v>
      </c>
      <c r="H125">
        <v>1</v>
      </c>
      <c r="I125" t="s">
        <v>19</v>
      </c>
      <c r="J125">
        <v>86</v>
      </c>
      <c r="K125" t="s">
        <v>30</v>
      </c>
      <c r="L125">
        <v>95</v>
      </c>
      <c r="M125">
        <f>IF(D125=I125,VLOOKUP(D125,a_win_totals_lookup,MATCH(K125,a_wins_total_lookup_header,0)+1,0),VLOOKUP(D125,a_win_totals_lookup,MATCH(I125,a_wins_total_lookup_header,0)+1,0))</f>
        <v>0.23628580799123672</v>
      </c>
      <c r="N125">
        <f t="shared" ca="1" si="1"/>
        <v>0</v>
      </c>
    </row>
    <row r="126" spans="1:14" x14ac:dyDescent="0.25">
      <c r="A126">
        <v>400578355</v>
      </c>
      <c r="B126">
        <v>2015</v>
      </c>
      <c r="C126" s="1">
        <v>41948</v>
      </c>
      <c r="D126" t="s">
        <v>20</v>
      </c>
      <c r="E126">
        <v>0</v>
      </c>
      <c r="F126">
        <v>1</v>
      </c>
      <c r="G126">
        <v>4</v>
      </c>
      <c r="H126">
        <v>0</v>
      </c>
      <c r="I126" t="s">
        <v>25</v>
      </c>
      <c r="J126">
        <v>96</v>
      </c>
      <c r="K126" t="s">
        <v>20</v>
      </c>
      <c r="L126">
        <v>94</v>
      </c>
      <c r="M126">
        <f>IF(D126=I126,VLOOKUP(D126,a_win_totals_lookup,MATCH(K126,a_wins_total_lookup_header,0)+1,0),VLOOKUP(D126,a_win_totals_lookup,MATCH(I126,a_wins_total_lookup_header,0)+1,0))</f>
        <v>0.35966777393646027</v>
      </c>
      <c r="N126">
        <f t="shared" ca="1" si="1"/>
        <v>1</v>
      </c>
    </row>
    <row r="127" spans="1:14" x14ac:dyDescent="0.25">
      <c r="A127">
        <v>400578355</v>
      </c>
      <c r="B127">
        <v>2015</v>
      </c>
      <c r="C127" s="1">
        <v>41948</v>
      </c>
      <c r="D127" t="s">
        <v>25</v>
      </c>
      <c r="E127">
        <v>1</v>
      </c>
      <c r="F127">
        <v>4</v>
      </c>
      <c r="G127">
        <v>1</v>
      </c>
      <c r="H127">
        <v>1</v>
      </c>
      <c r="I127" t="s">
        <v>25</v>
      </c>
      <c r="J127">
        <v>96</v>
      </c>
      <c r="K127" t="s">
        <v>20</v>
      </c>
      <c r="L127">
        <v>94</v>
      </c>
      <c r="M127">
        <f>IF(D127=I127,VLOOKUP(D127,a_win_totals_lookup,MATCH(K127,a_wins_total_lookup_header,0)+1,0),VLOOKUP(D127,a_win_totals_lookup,MATCH(I127,a_wins_total_lookup_header,0)+1,0))</f>
        <v>0.64033222606353968</v>
      </c>
      <c r="N127">
        <f t="shared" ca="1" si="1"/>
        <v>1</v>
      </c>
    </row>
    <row r="128" spans="1:14" x14ac:dyDescent="0.25">
      <c r="A128">
        <v>400578356</v>
      </c>
      <c r="B128">
        <v>2015</v>
      </c>
      <c r="C128" s="1">
        <v>41948</v>
      </c>
      <c r="D128" t="s">
        <v>26</v>
      </c>
      <c r="E128">
        <v>0</v>
      </c>
      <c r="F128">
        <v>1</v>
      </c>
      <c r="G128">
        <v>2</v>
      </c>
      <c r="H128">
        <v>0</v>
      </c>
      <c r="I128" t="s">
        <v>15</v>
      </c>
      <c r="J128">
        <v>94</v>
      </c>
      <c r="K128" t="s">
        <v>26</v>
      </c>
      <c r="L128">
        <v>92</v>
      </c>
      <c r="M128">
        <f>IF(D128=I128,VLOOKUP(D128,a_win_totals_lookup,MATCH(K128,a_wins_total_lookup_header,0)+1,0),VLOOKUP(D128,a_win_totals_lookup,MATCH(I128,a_wins_total_lookup_header,0)+1,0))</f>
        <v>0.39734725240030316</v>
      </c>
      <c r="N128">
        <f t="shared" ca="1" si="1"/>
        <v>0</v>
      </c>
    </row>
    <row r="129" spans="1:14" x14ac:dyDescent="0.25">
      <c r="A129">
        <v>400578356</v>
      </c>
      <c r="B129">
        <v>2015</v>
      </c>
      <c r="C129" s="1">
        <v>41948</v>
      </c>
      <c r="D129" t="s">
        <v>15</v>
      </c>
      <c r="E129">
        <v>1</v>
      </c>
      <c r="F129">
        <v>2</v>
      </c>
      <c r="G129">
        <v>1</v>
      </c>
      <c r="H129">
        <v>1</v>
      </c>
      <c r="I129" t="s">
        <v>15</v>
      </c>
      <c r="J129">
        <v>94</v>
      </c>
      <c r="K129" t="s">
        <v>26</v>
      </c>
      <c r="L129">
        <v>92</v>
      </c>
      <c r="M129">
        <f>IF(D129=I129,VLOOKUP(D129,a_win_totals_lookup,MATCH(K129,a_wins_total_lookup_header,0)+1,0),VLOOKUP(D129,a_win_totals_lookup,MATCH(I129,a_wins_total_lookup_header,0)+1,0))</f>
        <v>0.60265274759969689</v>
      </c>
      <c r="N129">
        <f t="shared" ca="1" si="1"/>
        <v>1</v>
      </c>
    </row>
    <row r="130" spans="1:14" x14ac:dyDescent="0.25">
      <c r="A130">
        <v>400578357</v>
      </c>
      <c r="B130">
        <v>2015</v>
      </c>
      <c r="C130" s="1">
        <v>41948</v>
      </c>
      <c r="D130" t="s">
        <v>28</v>
      </c>
      <c r="E130">
        <v>1</v>
      </c>
      <c r="F130">
        <v>5</v>
      </c>
      <c r="G130">
        <v>0</v>
      </c>
      <c r="H130">
        <v>0</v>
      </c>
      <c r="I130" t="s">
        <v>35</v>
      </c>
      <c r="J130">
        <v>91</v>
      </c>
      <c r="K130" t="s">
        <v>28</v>
      </c>
      <c r="L130">
        <v>102</v>
      </c>
      <c r="M130">
        <f>IF(D130=I130,VLOOKUP(D130,a_win_totals_lookup,MATCH(K130,a_wins_total_lookup_header,0)+1,0),VLOOKUP(D130,a_win_totals_lookup,MATCH(I130,a_wins_total_lookup_header,0)+1,0))</f>
        <v>0.56178370887279372</v>
      </c>
      <c r="N130">
        <f t="shared" ca="1" si="1"/>
        <v>1</v>
      </c>
    </row>
    <row r="131" spans="1:14" x14ac:dyDescent="0.25">
      <c r="A131">
        <v>400578357</v>
      </c>
      <c r="B131">
        <v>2015</v>
      </c>
      <c r="C131" s="1">
        <v>41948</v>
      </c>
      <c r="D131" t="s">
        <v>35</v>
      </c>
      <c r="E131">
        <v>0</v>
      </c>
      <c r="F131">
        <v>3</v>
      </c>
      <c r="G131">
        <v>2</v>
      </c>
      <c r="H131">
        <v>1</v>
      </c>
      <c r="I131" t="s">
        <v>35</v>
      </c>
      <c r="J131">
        <v>91</v>
      </c>
      <c r="K131" t="s">
        <v>28</v>
      </c>
      <c r="L131">
        <v>102</v>
      </c>
      <c r="M131">
        <f>IF(D131=I131,VLOOKUP(D131,a_win_totals_lookup,MATCH(K131,a_wins_total_lookup_header,0)+1,0),VLOOKUP(D131,a_win_totals_lookup,MATCH(I131,a_wins_total_lookup_header,0)+1,0))</f>
        <v>0.43821629112720617</v>
      </c>
      <c r="N131">
        <f t="shared" ref="N131:N194" ca="1" si="2">ROUND(0.5*RANDBETWEEN(-1,1)+M131,0)</f>
        <v>1</v>
      </c>
    </row>
    <row r="132" spans="1:14" x14ac:dyDescent="0.25">
      <c r="A132">
        <v>400578358</v>
      </c>
      <c r="B132">
        <v>2015</v>
      </c>
      <c r="C132" s="1">
        <v>41948</v>
      </c>
      <c r="D132" t="s">
        <v>40</v>
      </c>
      <c r="E132">
        <v>0</v>
      </c>
      <c r="F132">
        <v>1</v>
      </c>
      <c r="G132">
        <v>3</v>
      </c>
      <c r="H132">
        <v>0</v>
      </c>
      <c r="I132" t="s">
        <v>34</v>
      </c>
      <c r="J132">
        <v>102</v>
      </c>
      <c r="K132" t="s">
        <v>40</v>
      </c>
      <c r="L132">
        <v>100</v>
      </c>
      <c r="M132">
        <f>IF(D132=I132,VLOOKUP(D132,a_win_totals_lookup,MATCH(K132,a_wins_total_lookup_header,0)+1,0),VLOOKUP(D132,a_win_totals_lookup,MATCH(I132,a_wins_total_lookup_header,0)+1,0))</f>
        <v>0.74387996100574205</v>
      </c>
      <c r="N132">
        <f t="shared" ca="1" si="2"/>
        <v>1</v>
      </c>
    </row>
    <row r="133" spans="1:14" x14ac:dyDescent="0.25">
      <c r="A133">
        <v>400578358</v>
      </c>
      <c r="B133">
        <v>2015</v>
      </c>
      <c r="C133" s="1">
        <v>41948</v>
      </c>
      <c r="D133" t="s">
        <v>34</v>
      </c>
      <c r="E133">
        <v>1</v>
      </c>
      <c r="F133">
        <v>2</v>
      </c>
      <c r="G133">
        <v>3</v>
      </c>
      <c r="H133">
        <v>1</v>
      </c>
      <c r="I133" t="s">
        <v>34</v>
      </c>
      <c r="J133">
        <v>102</v>
      </c>
      <c r="K133" t="s">
        <v>40</v>
      </c>
      <c r="L133">
        <v>100</v>
      </c>
      <c r="M133">
        <f>IF(D133=I133,VLOOKUP(D133,a_win_totals_lookup,MATCH(K133,a_wins_total_lookup_header,0)+1,0),VLOOKUP(D133,a_win_totals_lookup,MATCH(I133,a_wins_total_lookup_header,0)+1,0))</f>
        <v>0.25612003899425795</v>
      </c>
      <c r="N133">
        <f t="shared" ca="1" si="2"/>
        <v>0</v>
      </c>
    </row>
    <row r="134" spans="1:14" x14ac:dyDescent="0.25">
      <c r="A134">
        <v>400578359</v>
      </c>
      <c r="B134">
        <v>2015</v>
      </c>
      <c r="C134" s="1">
        <v>41948</v>
      </c>
      <c r="D134" t="s">
        <v>32</v>
      </c>
      <c r="E134">
        <v>0</v>
      </c>
      <c r="F134">
        <v>1</v>
      </c>
      <c r="G134">
        <v>3</v>
      </c>
      <c r="H134">
        <v>0</v>
      </c>
      <c r="I134" t="s">
        <v>37</v>
      </c>
      <c r="J134">
        <v>131</v>
      </c>
      <c r="K134" t="s">
        <v>32</v>
      </c>
      <c r="L134">
        <v>109</v>
      </c>
      <c r="M134">
        <f>IF(D134=I134,VLOOKUP(D134,a_win_totals_lookup,MATCH(K134,a_wins_total_lookup_header,0)+1,0),VLOOKUP(D134,a_win_totals_lookup,MATCH(I134,a_wins_total_lookup_header,0)+1,0))</f>
        <v>0.57711263446281591</v>
      </c>
      <c r="N134">
        <f t="shared" ca="1" si="2"/>
        <v>1</v>
      </c>
    </row>
    <row r="135" spans="1:14" x14ac:dyDescent="0.25">
      <c r="A135">
        <v>400578359</v>
      </c>
      <c r="B135">
        <v>2015</v>
      </c>
      <c r="C135" s="1">
        <v>41948</v>
      </c>
      <c r="D135" t="s">
        <v>37</v>
      </c>
      <c r="E135">
        <v>1</v>
      </c>
      <c r="F135">
        <v>4</v>
      </c>
      <c r="G135">
        <v>1</v>
      </c>
      <c r="H135">
        <v>1</v>
      </c>
      <c r="I135" t="s">
        <v>37</v>
      </c>
      <c r="J135">
        <v>131</v>
      </c>
      <c r="K135" t="s">
        <v>32</v>
      </c>
      <c r="L135">
        <v>109</v>
      </c>
      <c r="M135">
        <f>IF(D135=I135,VLOOKUP(D135,a_win_totals_lookup,MATCH(K135,a_wins_total_lookup_header,0)+1,0),VLOOKUP(D135,a_win_totals_lookup,MATCH(I135,a_wins_total_lookup_header,0)+1,0))</f>
        <v>0.42288736553718415</v>
      </c>
      <c r="N135">
        <f t="shared" ca="1" si="2"/>
        <v>0</v>
      </c>
    </row>
    <row r="136" spans="1:14" x14ac:dyDescent="0.25">
      <c r="A136">
        <v>400578360</v>
      </c>
      <c r="B136">
        <v>2015</v>
      </c>
      <c r="C136" s="1">
        <v>41948</v>
      </c>
      <c r="D136" t="s">
        <v>36</v>
      </c>
      <c r="E136">
        <v>1</v>
      </c>
      <c r="F136">
        <v>4</v>
      </c>
      <c r="G136">
        <v>0</v>
      </c>
      <c r="H136">
        <v>1</v>
      </c>
      <c r="I136" t="s">
        <v>36</v>
      </c>
      <c r="J136">
        <v>121</v>
      </c>
      <c r="K136" t="s">
        <v>41</v>
      </c>
      <c r="L136">
        <v>104</v>
      </c>
      <c r="M136">
        <f>IF(D136=I136,VLOOKUP(D136,a_win_totals_lookup,MATCH(K136,a_wins_total_lookup_header,0)+1,0),VLOOKUP(D136,a_win_totals_lookup,MATCH(I136,a_wins_total_lookup_header,0)+1,0))</f>
        <v>0.47097431070275608</v>
      </c>
      <c r="N136">
        <f t="shared" ca="1" si="2"/>
        <v>0</v>
      </c>
    </row>
    <row r="137" spans="1:14" x14ac:dyDescent="0.25">
      <c r="A137">
        <v>400578360</v>
      </c>
      <c r="B137">
        <v>2015</v>
      </c>
      <c r="C137" s="1">
        <v>41948</v>
      </c>
      <c r="D137" t="s">
        <v>41</v>
      </c>
      <c r="E137">
        <v>0</v>
      </c>
      <c r="F137">
        <v>3</v>
      </c>
      <c r="G137">
        <v>2</v>
      </c>
      <c r="H137">
        <v>0</v>
      </c>
      <c r="I137" t="s">
        <v>36</v>
      </c>
      <c r="J137">
        <v>121</v>
      </c>
      <c r="K137" t="s">
        <v>41</v>
      </c>
      <c r="L137">
        <v>104</v>
      </c>
      <c r="M137">
        <f>IF(D137=I137,VLOOKUP(D137,a_win_totals_lookup,MATCH(K137,a_wins_total_lookup_header,0)+1,0),VLOOKUP(D137,a_win_totals_lookup,MATCH(I137,a_wins_total_lookup_header,0)+1,0))</f>
        <v>0.52902568929724392</v>
      </c>
      <c r="N137">
        <f t="shared" ca="1" si="2"/>
        <v>1</v>
      </c>
    </row>
    <row r="138" spans="1:14" x14ac:dyDescent="0.25">
      <c r="A138">
        <v>400578361</v>
      </c>
      <c r="B138">
        <v>2015</v>
      </c>
      <c r="C138" s="1">
        <v>41949</v>
      </c>
      <c r="D138" t="s">
        <v>16</v>
      </c>
      <c r="E138">
        <v>1</v>
      </c>
      <c r="F138">
        <v>6</v>
      </c>
      <c r="G138">
        <v>0</v>
      </c>
      <c r="H138">
        <v>1</v>
      </c>
      <c r="I138" t="s">
        <v>16</v>
      </c>
      <c r="J138">
        <v>98</v>
      </c>
      <c r="K138" t="s">
        <v>15</v>
      </c>
      <c r="L138">
        <v>81</v>
      </c>
      <c r="M138">
        <f>IF(D138=I138,VLOOKUP(D138,a_win_totals_lookup,MATCH(K138,a_wins_total_lookup_header,0)+1,0),VLOOKUP(D138,a_win_totals_lookup,MATCH(I138,a_wins_total_lookup_header,0)+1,0))</f>
        <v>0.43996111651765601</v>
      </c>
      <c r="N138">
        <f t="shared" ca="1" si="2"/>
        <v>1</v>
      </c>
    </row>
    <row r="139" spans="1:14" x14ac:dyDescent="0.25">
      <c r="A139">
        <v>400578361</v>
      </c>
      <c r="B139">
        <v>2015</v>
      </c>
      <c r="C139" s="1">
        <v>41949</v>
      </c>
      <c r="D139" t="s">
        <v>15</v>
      </c>
      <c r="E139">
        <v>0</v>
      </c>
      <c r="F139">
        <v>2</v>
      </c>
      <c r="G139">
        <v>2</v>
      </c>
      <c r="H139">
        <v>0</v>
      </c>
      <c r="I139" t="s">
        <v>16</v>
      </c>
      <c r="J139">
        <v>98</v>
      </c>
      <c r="K139" t="s">
        <v>15</v>
      </c>
      <c r="L139">
        <v>81</v>
      </c>
      <c r="M139">
        <f>IF(D139=I139,VLOOKUP(D139,a_win_totals_lookup,MATCH(K139,a_wins_total_lookup_header,0)+1,0),VLOOKUP(D139,a_win_totals_lookup,MATCH(I139,a_wins_total_lookup_header,0)+1,0))</f>
        <v>0.5600388834823441</v>
      </c>
      <c r="N139">
        <f t="shared" ca="1" si="2"/>
        <v>1</v>
      </c>
    </row>
    <row r="140" spans="1:14" x14ac:dyDescent="0.25">
      <c r="A140">
        <v>400578362</v>
      </c>
      <c r="B140">
        <v>2015</v>
      </c>
      <c r="C140" s="1">
        <v>41949</v>
      </c>
      <c r="D140" t="s">
        <v>14</v>
      </c>
      <c r="E140">
        <v>0</v>
      </c>
      <c r="F140">
        <v>3</v>
      </c>
      <c r="G140">
        <v>2</v>
      </c>
      <c r="H140">
        <v>0</v>
      </c>
      <c r="I140" t="s">
        <v>39</v>
      </c>
      <c r="J140">
        <v>108</v>
      </c>
      <c r="K140" t="s">
        <v>14</v>
      </c>
      <c r="L140">
        <v>87</v>
      </c>
      <c r="M140">
        <f>IF(D140=I140,VLOOKUP(D140,a_win_totals_lookup,MATCH(K140,a_wins_total_lookup_header,0)+1,0),VLOOKUP(D140,a_win_totals_lookup,MATCH(I140,a_wins_total_lookup_header,0)+1,0))</f>
        <v>0.52488627234984619</v>
      </c>
      <c r="N140">
        <f t="shared" ca="1" si="2"/>
        <v>0</v>
      </c>
    </row>
    <row r="141" spans="1:14" x14ac:dyDescent="0.25">
      <c r="A141">
        <v>400578362</v>
      </c>
      <c r="B141">
        <v>2015</v>
      </c>
      <c r="C141" s="1">
        <v>41949</v>
      </c>
      <c r="D141" t="s">
        <v>39</v>
      </c>
      <c r="E141">
        <v>1</v>
      </c>
      <c r="F141">
        <v>3</v>
      </c>
      <c r="G141">
        <v>2</v>
      </c>
      <c r="H141">
        <v>1</v>
      </c>
      <c r="I141" t="s">
        <v>39</v>
      </c>
      <c r="J141">
        <v>108</v>
      </c>
      <c r="K141" t="s">
        <v>14</v>
      </c>
      <c r="L141">
        <v>87</v>
      </c>
      <c r="M141">
        <f>IF(D141=I141,VLOOKUP(D141,a_win_totals_lookup,MATCH(K141,a_wins_total_lookup_header,0)+1,0),VLOOKUP(D141,a_win_totals_lookup,MATCH(I141,a_wins_total_lookup_header,0)+1,0))</f>
        <v>0.47511372765015386</v>
      </c>
      <c r="N141">
        <f t="shared" ca="1" si="2"/>
        <v>0</v>
      </c>
    </row>
    <row r="142" spans="1:14" x14ac:dyDescent="0.25">
      <c r="A142">
        <v>400578363</v>
      </c>
      <c r="B142">
        <v>2015</v>
      </c>
      <c r="C142" s="1">
        <v>41950</v>
      </c>
      <c r="D142" t="s">
        <v>26</v>
      </c>
      <c r="E142">
        <v>0</v>
      </c>
      <c r="F142">
        <v>1</v>
      </c>
      <c r="G142">
        <v>3</v>
      </c>
      <c r="H142">
        <v>0</v>
      </c>
      <c r="I142" t="s">
        <v>18</v>
      </c>
      <c r="J142">
        <v>122</v>
      </c>
      <c r="K142" t="s">
        <v>26</v>
      </c>
      <c r="L142">
        <v>119</v>
      </c>
      <c r="M142">
        <f>IF(D142=I142,VLOOKUP(D142,a_win_totals_lookup,MATCH(K142,a_wins_total_lookup_header,0)+1,0),VLOOKUP(D142,a_win_totals_lookup,MATCH(I142,a_wins_total_lookup_header,0)+1,0))</f>
        <v>0.47688642828156308</v>
      </c>
      <c r="N142">
        <f t="shared" ca="1" si="2"/>
        <v>0</v>
      </c>
    </row>
    <row r="143" spans="1:14" x14ac:dyDescent="0.25">
      <c r="A143">
        <v>400578363</v>
      </c>
      <c r="B143">
        <v>2015</v>
      </c>
      <c r="C143" s="1">
        <v>41950</v>
      </c>
      <c r="D143" t="s">
        <v>18</v>
      </c>
      <c r="E143">
        <v>1</v>
      </c>
      <c r="F143">
        <v>3</v>
      </c>
      <c r="G143">
        <v>3</v>
      </c>
      <c r="H143">
        <v>1</v>
      </c>
      <c r="I143" t="s">
        <v>18</v>
      </c>
      <c r="J143">
        <v>122</v>
      </c>
      <c r="K143" t="s">
        <v>26</v>
      </c>
      <c r="L143">
        <v>119</v>
      </c>
      <c r="M143">
        <f>IF(D143=I143,VLOOKUP(D143,a_win_totals_lookup,MATCH(K143,a_wins_total_lookup_header,0)+1,0),VLOOKUP(D143,a_win_totals_lookup,MATCH(I143,a_wins_total_lookup_header,0)+1,0))</f>
        <v>0.52311357171843698</v>
      </c>
      <c r="N143">
        <f t="shared" ca="1" si="2"/>
        <v>1</v>
      </c>
    </row>
    <row r="144" spans="1:14" x14ac:dyDescent="0.25">
      <c r="A144">
        <v>400578364</v>
      </c>
      <c r="B144">
        <v>2015</v>
      </c>
      <c r="C144" s="1">
        <v>41950</v>
      </c>
      <c r="D144" t="s">
        <v>29</v>
      </c>
      <c r="E144">
        <v>0</v>
      </c>
      <c r="F144">
        <v>2</v>
      </c>
      <c r="G144">
        <v>3</v>
      </c>
      <c r="H144">
        <v>0</v>
      </c>
      <c r="I144" t="s">
        <v>13</v>
      </c>
      <c r="J144">
        <v>112</v>
      </c>
      <c r="K144" t="s">
        <v>29</v>
      </c>
      <c r="L144">
        <v>103</v>
      </c>
      <c r="M144">
        <f>IF(D144=I144,VLOOKUP(D144,a_win_totals_lookup,MATCH(K144,a_wins_total_lookup_header,0)+1,0),VLOOKUP(D144,a_win_totals_lookup,MATCH(I144,a_wins_total_lookup_header,0)+1,0))</f>
        <v>0.44399285510679726</v>
      </c>
      <c r="N144">
        <f t="shared" ca="1" si="2"/>
        <v>0</v>
      </c>
    </row>
    <row r="145" spans="1:14" x14ac:dyDescent="0.25">
      <c r="A145">
        <v>400578364</v>
      </c>
      <c r="B145">
        <v>2015</v>
      </c>
      <c r="C145" s="1">
        <v>41950</v>
      </c>
      <c r="D145" t="s">
        <v>13</v>
      </c>
      <c r="E145">
        <v>1</v>
      </c>
      <c r="F145">
        <v>2</v>
      </c>
      <c r="G145">
        <v>4</v>
      </c>
      <c r="H145">
        <v>1</v>
      </c>
      <c r="I145" t="s">
        <v>13</v>
      </c>
      <c r="J145">
        <v>112</v>
      </c>
      <c r="K145" t="s">
        <v>29</v>
      </c>
      <c r="L145">
        <v>103</v>
      </c>
      <c r="M145">
        <f>IF(D145=I145,VLOOKUP(D145,a_win_totals_lookup,MATCH(K145,a_wins_total_lookup_header,0)+1,0),VLOOKUP(D145,a_win_totals_lookup,MATCH(I145,a_wins_total_lookup_header,0)+1,0))</f>
        <v>0.5560071448932028</v>
      </c>
      <c r="N145">
        <f t="shared" ca="1" si="2"/>
        <v>0</v>
      </c>
    </row>
    <row r="146" spans="1:14" x14ac:dyDescent="0.25">
      <c r="A146">
        <v>400578365</v>
      </c>
      <c r="B146">
        <v>2015</v>
      </c>
      <c r="C146" s="1">
        <v>41950</v>
      </c>
      <c r="D146" t="s">
        <v>30</v>
      </c>
      <c r="E146">
        <v>1</v>
      </c>
      <c r="F146">
        <v>5</v>
      </c>
      <c r="G146">
        <v>1</v>
      </c>
      <c r="H146">
        <v>0</v>
      </c>
      <c r="I146" t="s">
        <v>21</v>
      </c>
      <c r="J146">
        <v>115</v>
      </c>
      <c r="K146" t="s">
        <v>30</v>
      </c>
      <c r="L146">
        <v>118</v>
      </c>
      <c r="M146">
        <f>IF(D146=I146,VLOOKUP(D146,a_win_totals_lookup,MATCH(K146,a_wins_total_lookup_header,0)+1,0),VLOOKUP(D146,a_win_totals_lookup,MATCH(I146,a_wins_total_lookup_header,0)+1,0))</f>
        <v>0.80357563767142925</v>
      </c>
      <c r="N146">
        <f t="shared" ca="1" si="2"/>
        <v>0</v>
      </c>
    </row>
    <row r="147" spans="1:14" x14ac:dyDescent="0.25">
      <c r="A147">
        <v>400578365</v>
      </c>
      <c r="B147">
        <v>2015</v>
      </c>
      <c r="C147" s="1">
        <v>41950</v>
      </c>
      <c r="D147" t="s">
        <v>21</v>
      </c>
      <c r="E147">
        <v>0</v>
      </c>
      <c r="F147">
        <v>0</v>
      </c>
      <c r="G147">
        <v>6</v>
      </c>
      <c r="H147">
        <v>1</v>
      </c>
      <c r="I147" t="s">
        <v>21</v>
      </c>
      <c r="J147">
        <v>115</v>
      </c>
      <c r="K147" t="s">
        <v>30</v>
      </c>
      <c r="L147">
        <v>118</v>
      </c>
      <c r="M147">
        <f>IF(D147=I147,VLOOKUP(D147,a_win_totals_lookup,MATCH(K147,a_wins_total_lookup_header,0)+1,0),VLOOKUP(D147,a_win_totals_lookup,MATCH(I147,a_wins_total_lookup_header,0)+1,0))</f>
        <v>0.19642436232857072</v>
      </c>
      <c r="N147">
        <f t="shared" ca="1" si="2"/>
        <v>0</v>
      </c>
    </row>
    <row r="148" spans="1:14" x14ac:dyDescent="0.25">
      <c r="A148">
        <v>400578366</v>
      </c>
      <c r="B148">
        <v>2015</v>
      </c>
      <c r="C148" s="1">
        <v>41950</v>
      </c>
      <c r="D148" t="s">
        <v>22</v>
      </c>
      <c r="E148">
        <v>1</v>
      </c>
      <c r="F148">
        <v>2</v>
      </c>
      <c r="G148">
        <v>3</v>
      </c>
      <c r="H148">
        <v>1</v>
      </c>
      <c r="I148" t="s">
        <v>22</v>
      </c>
      <c r="J148">
        <v>101</v>
      </c>
      <c r="K148" t="s">
        <v>20</v>
      </c>
      <c r="L148">
        <v>98</v>
      </c>
      <c r="M148">
        <f>IF(D148=I148,VLOOKUP(D148,a_win_totals_lookup,MATCH(K148,a_wins_total_lookup_header,0)+1,0),VLOOKUP(D148,a_win_totals_lookup,MATCH(I148,a_wins_total_lookup_header,0)+1,0))</f>
        <v>0.39367898728550332</v>
      </c>
      <c r="N148">
        <f t="shared" ca="1" si="2"/>
        <v>0</v>
      </c>
    </row>
    <row r="149" spans="1:14" x14ac:dyDescent="0.25">
      <c r="A149">
        <v>400578366</v>
      </c>
      <c r="B149">
        <v>2015</v>
      </c>
      <c r="C149" s="1">
        <v>41950</v>
      </c>
      <c r="D149" t="s">
        <v>20</v>
      </c>
      <c r="E149">
        <v>0</v>
      </c>
      <c r="F149">
        <v>1</v>
      </c>
      <c r="G149">
        <v>5</v>
      </c>
      <c r="H149">
        <v>0</v>
      </c>
      <c r="I149" t="s">
        <v>22</v>
      </c>
      <c r="J149">
        <v>101</v>
      </c>
      <c r="K149" t="s">
        <v>20</v>
      </c>
      <c r="L149">
        <v>98</v>
      </c>
      <c r="M149">
        <f>IF(D149=I149,VLOOKUP(D149,a_win_totals_lookup,MATCH(K149,a_wins_total_lookup_header,0)+1,0),VLOOKUP(D149,a_win_totals_lookup,MATCH(I149,a_wins_total_lookup_header,0)+1,0))</f>
        <v>0.60632101271449668</v>
      </c>
      <c r="N149">
        <f t="shared" ca="1" si="2"/>
        <v>1</v>
      </c>
    </row>
    <row r="150" spans="1:14" x14ac:dyDescent="0.25">
      <c r="A150">
        <v>400578367</v>
      </c>
      <c r="B150">
        <v>2015</v>
      </c>
      <c r="C150" s="1">
        <v>41950</v>
      </c>
      <c r="D150" t="s">
        <v>23</v>
      </c>
      <c r="E150">
        <v>1</v>
      </c>
      <c r="F150">
        <v>3</v>
      </c>
      <c r="G150">
        <v>2</v>
      </c>
      <c r="H150">
        <v>1</v>
      </c>
      <c r="I150" t="s">
        <v>23</v>
      </c>
      <c r="J150">
        <v>110</v>
      </c>
      <c r="K150" t="s">
        <v>31</v>
      </c>
      <c r="L150">
        <v>99</v>
      </c>
      <c r="M150">
        <f>IF(D150=I150,VLOOKUP(D150,a_win_totals_lookup,MATCH(K150,a_wins_total_lookup_header,0)+1,0),VLOOKUP(D150,a_win_totals_lookup,MATCH(I150,a_wins_total_lookup_header,0)+1,0))</f>
        <v>0.5</v>
      </c>
      <c r="N150">
        <f t="shared" ca="1" si="2"/>
        <v>0</v>
      </c>
    </row>
    <row r="151" spans="1:14" x14ac:dyDescent="0.25">
      <c r="A151">
        <v>400578367</v>
      </c>
      <c r="B151">
        <v>2015</v>
      </c>
      <c r="C151" s="1">
        <v>41950</v>
      </c>
      <c r="D151" t="s">
        <v>31</v>
      </c>
      <c r="E151">
        <v>0</v>
      </c>
      <c r="F151">
        <v>2</v>
      </c>
      <c r="G151">
        <v>4</v>
      </c>
      <c r="H151">
        <v>0</v>
      </c>
      <c r="I151" t="s">
        <v>23</v>
      </c>
      <c r="J151">
        <v>110</v>
      </c>
      <c r="K151" t="s">
        <v>31</v>
      </c>
      <c r="L151">
        <v>99</v>
      </c>
      <c r="M151">
        <f>IF(D151=I151,VLOOKUP(D151,a_win_totals_lookup,MATCH(K151,a_wins_total_lookup_header,0)+1,0),VLOOKUP(D151,a_win_totals_lookup,MATCH(I151,a_wins_total_lookup_header,0)+1,0))</f>
        <v>0.5</v>
      </c>
      <c r="N151">
        <f t="shared" ca="1" si="2"/>
        <v>1</v>
      </c>
    </row>
    <row r="152" spans="1:14" x14ac:dyDescent="0.25">
      <c r="A152">
        <v>400578368</v>
      </c>
      <c r="B152">
        <v>2015</v>
      </c>
      <c r="C152" s="1">
        <v>41950</v>
      </c>
      <c r="D152" t="s">
        <v>33</v>
      </c>
      <c r="E152">
        <v>1</v>
      </c>
      <c r="F152">
        <v>2</v>
      </c>
      <c r="G152">
        <v>3</v>
      </c>
      <c r="H152">
        <v>1</v>
      </c>
      <c r="I152" t="s">
        <v>33</v>
      </c>
      <c r="J152">
        <v>98</v>
      </c>
      <c r="K152" t="s">
        <v>19</v>
      </c>
      <c r="L152">
        <v>95</v>
      </c>
      <c r="M152">
        <f>IF(D152=I152,VLOOKUP(D152,a_win_totals_lookup,MATCH(K152,a_wins_total_lookup_header,0)+1,0),VLOOKUP(D152,a_win_totals_lookup,MATCH(I152,a_wins_total_lookup_header,0)+1,0))</f>
        <v>0.60338468202473983</v>
      </c>
      <c r="N152">
        <f t="shared" ca="1" si="2"/>
        <v>0</v>
      </c>
    </row>
    <row r="153" spans="1:14" x14ac:dyDescent="0.25">
      <c r="A153">
        <v>400578368</v>
      </c>
      <c r="B153">
        <v>2015</v>
      </c>
      <c r="C153" s="1">
        <v>41950</v>
      </c>
      <c r="D153" t="s">
        <v>19</v>
      </c>
      <c r="E153">
        <v>0</v>
      </c>
      <c r="F153">
        <v>2</v>
      </c>
      <c r="G153">
        <v>4</v>
      </c>
      <c r="H153">
        <v>0</v>
      </c>
      <c r="I153" t="s">
        <v>33</v>
      </c>
      <c r="J153">
        <v>98</v>
      </c>
      <c r="K153" t="s">
        <v>19</v>
      </c>
      <c r="L153">
        <v>95</v>
      </c>
      <c r="M153">
        <f>IF(D153=I153,VLOOKUP(D153,a_win_totals_lookup,MATCH(K153,a_wins_total_lookup_header,0)+1,0),VLOOKUP(D153,a_win_totals_lookup,MATCH(I153,a_wins_total_lookup_header,0)+1,0))</f>
        <v>0.39661531797526017</v>
      </c>
      <c r="N153">
        <f t="shared" ca="1" si="2"/>
        <v>0</v>
      </c>
    </row>
    <row r="154" spans="1:14" x14ac:dyDescent="0.25">
      <c r="A154">
        <v>400578369</v>
      </c>
      <c r="B154">
        <v>2015</v>
      </c>
      <c r="C154" s="1">
        <v>41950</v>
      </c>
      <c r="D154" t="s">
        <v>27</v>
      </c>
      <c r="E154">
        <v>1</v>
      </c>
      <c r="F154">
        <v>5</v>
      </c>
      <c r="G154">
        <v>1</v>
      </c>
      <c r="H154">
        <v>1</v>
      </c>
      <c r="I154" t="s">
        <v>27</v>
      </c>
      <c r="J154">
        <v>103</v>
      </c>
      <c r="K154" t="s">
        <v>25</v>
      </c>
      <c r="L154">
        <v>84</v>
      </c>
      <c r="M154">
        <f>IF(D154=I154,VLOOKUP(D154,a_win_totals_lookup,MATCH(K154,a_wins_total_lookup_header,0)+1,0),VLOOKUP(D154,a_win_totals_lookup,MATCH(I154,a_wins_total_lookup_header,0)+1,0))</f>
        <v>0.53429204972678024</v>
      </c>
      <c r="N154">
        <f t="shared" ca="1" si="2"/>
        <v>1</v>
      </c>
    </row>
    <row r="155" spans="1:14" x14ac:dyDescent="0.25">
      <c r="A155">
        <v>400578369</v>
      </c>
      <c r="B155">
        <v>2015</v>
      </c>
      <c r="C155" s="1">
        <v>41950</v>
      </c>
      <c r="D155" t="s">
        <v>25</v>
      </c>
      <c r="E155">
        <v>0</v>
      </c>
      <c r="F155">
        <v>4</v>
      </c>
      <c r="G155">
        <v>2</v>
      </c>
      <c r="H155">
        <v>0</v>
      </c>
      <c r="I155" t="s">
        <v>27</v>
      </c>
      <c r="J155">
        <v>103</v>
      </c>
      <c r="K155" t="s">
        <v>25</v>
      </c>
      <c r="L155">
        <v>84</v>
      </c>
      <c r="M155">
        <f>IF(D155=I155,VLOOKUP(D155,a_win_totals_lookup,MATCH(K155,a_wins_total_lookup_header,0)+1,0),VLOOKUP(D155,a_win_totals_lookup,MATCH(I155,a_wins_total_lookup_header,0)+1,0))</f>
        <v>0.46570795027321976</v>
      </c>
      <c r="N155">
        <f t="shared" ca="1" si="2"/>
        <v>0</v>
      </c>
    </row>
    <row r="156" spans="1:14" x14ac:dyDescent="0.25">
      <c r="A156">
        <v>400578370</v>
      </c>
      <c r="B156">
        <v>2015</v>
      </c>
      <c r="C156" s="1">
        <v>41950</v>
      </c>
      <c r="D156" t="s">
        <v>28</v>
      </c>
      <c r="E156">
        <v>1</v>
      </c>
      <c r="F156">
        <v>6</v>
      </c>
      <c r="G156">
        <v>0</v>
      </c>
      <c r="H156">
        <v>0</v>
      </c>
      <c r="I156" t="s">
        <v>38</v>
      </c>
      <c r="J156">
        <v>89</v>
      </c>
      <c r="K156" t="s">
        <v>28</v>
      </c>
      <c r="L156">
        <v>91</v>
      </c>
      <c r="M156">
        <f>IF(D156=I156,VLOOKUP(D156,a_win_totals_lookup,MATCH(K156,a_wins_total_lookup_header,0)+1,0),VLOOKUP(D156,a_win_totals_lookup,MATCH(I156,a_wins_total_lookup_header,0)+1,0))</f>
        <v>0.47003673139148761</v>
      </c>
      <c r="N156">
        <f t="shared" ca="1" si="2"/>
        <v>0</v>
      </c>
    </row>
    <row r="157" spans="1:14" x14ac:dyDescent="0.25">
      <c r="A157">
        <v>400578370</v>
      </c>
      <c r="B157">
        <v>2015</v>
      </c>
      <c r="C157" s="1">
        <v>41950</v>
      </c>
      <c r="D157" t="s">
        <v>38</v>
      </c>
      <c r="E157">
        <v>0</v>
      </c>
      <c r="F157">
        <v>1</v>
      </c>
      <c r="G157">
        <v>5</v>
      </c>
      <c r="H157">
        <v>1</v>
      </c>
      <c r="I157" t="s">
        <v>38</v>
      </c>
      <c r="J157">
        <v>89</v>
      </c>
      <c r="K157" t="s">
        <v>28</v>
      </c>
      <c r="L157">
        <v>91</v>
      </c>
      <c r="M157">
        <f>IF(D157=I157,VLOOKUP(D157,a_win_totals_lookup,MATCH(K157,a_wins_total_lookup_header,0)+1,0),VLOOKUP(D157,a_win_totals_lookup,MATCH(I157,a_wins_total_lookup_header,0)+1,0))</f>
        <v>0.52996326860851239</v>
      </c>
      <c r="N157">
        <f t="shared" ca="1" si="2"/>
        <v>1</v>
      </c>
    </row>
    <row r="158" spans="1:14" x14ac:dyDescent="0.25">
      <c r="A158">
        <v>400578371</v>
      </c>
      <c r="B158">
        <v>2015</v>
      </c>
      <c r="C158" s="1">
        <v>41950</v>
      </c>
      <c r="D158" t="s">
        <v>35</v>
      </c>
      <c r="E158">
        <v>0</v>
      </c>
      <c r="F158">
        <v>3</v>
      </c>
      <c r="G158">
        <v>3</v>
      </c>
      <c r="H158">
        <v>1</v>
      </c>
      <c r="I158" t="s">
        <v>35</v>
      </c>
      <c r="J158">
        <v>112</v>
      </c>
      <c r="K158" t="s">
        <v>37</v>
      </c>
      <c r="L158">
        <v>114</v>
      </c>
      <c r="M158">
        <f>IF(D158=I158,VLOOKUP(D158,a_win_totals_lookup,MATCH(K158,a_wins_total_lookup_header,0)+1,0),VLOOKUP(D158,a_win_totals_lookup,MATCH(I158,a_wins_total_lookup_header,0)+1,0))</f>
        <v>0.61500767730198336</v>
      </c>
      <c r="N158">
        <f t="shared" ca="1" si="2"/>
        <v>0</v>
      </c>
    </row>
    <row r="159" spans="1:14" x14ac:dyDescent="0.25">
      <c r="A159">
        <v>400578371</v>
      </c>
      <c r="B159">
        <v>2015</v>
      </c>
      <c r="C159" s="1">
        <v>41950</v>
      </c>
      <c r="D159" t="s">
        <v>37</v>
      </c>
      <c r="E159">
        <v>1</v>
      </c>
      <c r="F159">
        <v>5</v>
      </c>
      <c r="G159">
        <v>1</v>
      </c>
      <c r="H159">
        <v>0</v>
      </c>
      <c r="I159" t="s">
        <v>35</v>
      </c>
      <c r="J159">
        <v>112</v>
      </c>
      <c r="K159" t="s">
        <v>37</v>
      </c>
      <c r="L159">
        <v>114</v>
      </c>
      <c r="M159">
        <f>IF(D159=I159,VLOOKUP(D159,a_win_totals_lookup,MATCH(K159,a_wins_total_lookup_header,0)+1,0),VLOOKUP(D159,a_win_totals_lookup,MATCH(I159,a_wins_total_lookup_header,0)+1,0))</f>
        <v>0.38499232269801659</v>
      </c>
      <c r="N159">
        <f t="shared" ca="1" si="2"/>
        <v>0</v>
      </c>
    </row>
    <row r="160" spans="1:14" x14ac:dyDescent="0.25">
      <c r="A160">
        <v>400578372</v>
      </c>
      <c r="B160">
        <v>2015</v>
      </c>
      <c r="C160" s="1">
        <v>41950</v>
      </c>
      <c r="D160" t="s">
        <v>14</v>
      </c>
      <c r="E160">
        <v>1</v>
      </c>
      <c r="F160">
        <v>4</v>
      </c>
      <c r="G160">
        <v>2</v>
      </c>
      <c r="H160">
        <v>0</v>
      </c>
      <c r="I160" t="s">
        <v>34</v>
      </c>
      <c r="J160">
        <v>82</v>
      </c>
      <c r="K160" t="s">
        <v>14</v>
      </c>
      <c r="L160">
        <v>105</v>
      </c>
      <c r="M160">
        <f>IF(D160=I160,VLOOKUP(D160,a_win_totals_lookup,MATCH(K160,a_wins_total_lookup_header,0)+1,0),VLOOKUP(D160,a_win_totals_lookup,MATCH(I160,a_wins_total_lookup_header,0)+1,0))</f>
        <v>0.71526442122822687</v>
      </c>
      <c r="N160">
        <f t="shared" ca="1" si="2"/>
        <v>1</v>
      </c>
    </row>
    <row r="161" spans="1:14" x14ac:dyDescent="0.25">
      <c r="A161">
        <v>400578372</v>
      </c>
      <c r="B161">
        <v>2015</v>
      </c>
      <c r="C161" s="1">
        <v>41950</v>
      </c>
      <c r="D161" t="s">
        <v>34</v>
      </c>
      <c r="E161">
        <v>0</v>
      </c>
      <c r="F161">
        <v>2</v>
      </c>
      <c r="G161">
        <v>4</v>
      </c>
      <c r="H161">
        <v>1</v>
      </c>
      <c r="I161" t="s">
        <v>34</v>
      </c>
      <c r="J161">
        <v>82</v>
      </c>
      <c r="K161" t="s">
        <v>14</v>
      </c>
      <c r="L161">
        <v>105</v>
      </c>
      <c r="M161">
        <f>IF(D161=I161,VLOOKUP(D161,a_win_totals_lookup,MATCH(K161,a_wins_total_lookup_header,0)+1,0),VLOOKUP(D161,a_win_totals_lookup,MATCH(I161,a_wins_total_lookup_header,0)+1,0))</f>
        <v>0.28473557877177313</v>
      </c>
      <c r="N161">
        <f t="shared" ca="1" si="2"/>
        <v>0</v>
      </c>
    </row>
    <row r="162" spans="1:14" x14ac:dyDescent="0.25">
      <c r="A162">
        <v>400578373</v>
      </c>
      <c r="B162">
        <v>2015</v>
      </c>
      <c r="C162" s="1">
        <v>41950</v>
      </c>
      <c r="D162" t="s">
        <v>40</v>
      </c>
      <c r="E162">
        <v>1</v>
      </c>
      <c r="F162">
        <v>2</v>
      </c>
      <c r="G162">
        <v>3</v>
      </c>
      <c r="H162">
        <v>0</v>
      </c>
      <c r="I162" t="s">
        <v>32</v>
      </c>
      <c r="J162">
        <v>101</v>
      </c>
      <c r="K162" t="s">
        <v>40</v>
      </c>
      <c r="L162">
        <v>110</v>
      </c>
      <c r="M162">
        <f>IF(D162=I162,VLOOKUP(D162,a_win_totals_lookup,MATCH(K162,a_wins_total_lookup_header,0)+1,0),VLOOKUP(D162,a_win_totals_lookup,MATCH(I162,a_wins_total_lookup_header,0)+1,0))</f>
        <v>0.64912982573812106</v>
      </c>
      <c r="N162">
        <f t="shared" ca="1" si="2"/>
        <v>1</v>
      </c>
    </row>
    <row r="163" spans="1:14" x14ac:dyDescent="0.25">
      <c r="A163">
        <v>400578373</v>
      </c>
      <c r="B163">
        <v>2015</v>
      </c>
      <c r="C163" s="1">
        <v>41950</v>
      </c>
      <c r="D163" t="s">
        <v>32</v>
      </c>
      <c r="E163">
        <v>0</v>
      </c>
      <c r="F163">
        <v>1</v>
      </c>
      <c r="G163">
        <v>4</v>
      </c>
      <c r="H163">
        <v>1</v>
      </c>
      <c r="I163" t="s">
        <v>32</v>
      </c>
      <c r="J163">
        <v>101</v>
      </c>
      <c r="K163" t="s">
        <v>40</v>
      </c>
      <c r="L163">
        <v>110</v>
      </c>
      <c r="M163">
        <f>IF(D163=I163,VLOOKUP(D163,a_win_totals_lookup,MATCH(K163,a_wins_total_lookup_header,0)+1,0),VLOOKUP(D163,a_win_totals_lookup,MATCH(I163,a_wins_total_lookup_header,0)+1,0))</f>
        <v>0.35087017426187905</v>
      </c>
      <c r="N163">
        <f t="shared" ca="1" si="2"/>
        <v>1</v>
      </c>
    </row>
    <row r="164" spans="1:14" x14ac:dyDescent="0.25">
      <c r="A164">
        <v>400578374</v>
      </c>
      <c r="B164">
        <v>2015</v>
      </c>
      <c r="C164" s="1">
        <v>41951</v>
      </c>
      <c r="D164" t="s">
        <v>41</v>
      </c>
      <c r="E164">
        <v>1</v>
      </c>
      <c r="F164">
        <v>4</v>
      </c>
      <c r="G164">
        <v>2</v>
      </c>
      <c r="H164">
        <v>1</v>
      </c>
      <c r="I164" t="s">
        <v>41</v>
      </c>
      <c r="J164">
        <v>106</v>
      </c>
      <c r="K164" t="s">
        <v>39</v>
      </c>
      <c r="L164">
        <v>102</v>
      </c>
      <c r="M164">
        <f>IF(D164=I164,VLOOKUP(D164,a_win_totals_lookup,MATCH(K164,a_wins_total_lookup_header,0)+1,0),VLOOKUP(D164,a_win_totals_lookup,MATCH(I164,a_wins_total_lookup_header,0)+1,0))</f>
        <v>0.56088868482079979</v>
      </c>
      <c r="N164">
        <f t="shared" ca="1" si="2"/>
        <v>1</v>
      </c>
    </row>
    <row r="165" spans="1:14" x14ac:dyDescent="0.25">
      <c r="A165">
        <v>400578374</v>
      </c>
      <c r="B165">
        <v>2015</v>
      </c>
      <c r="C165" s="1">
        <v>41951</v>
      </c>
      <c r="D165" t="s">
        <v>39</v>
      </c>
      <c r="E165">
        <v>0</v>
      </c>
      <c r="F165">
        <v>3</v>
      </c>
      <c r="G165">
        <v>3</v>
      </c>
      <c r="H165">
        <v>0</v>
      </c>
      <c r="I165" t="s">
        <v>41</v>
      </c>
      <c r="J165">
        <v>106</v>
      </c>
      <c r="K165" t="s">
        <v>39</v>
      </c>
      <c r="L165">
        <v>102</v>
      </c>
      <c r="M165">
        <f>IF(D165=I165,VLOOKUP(D165,a_win_totals_lookup,MATCH(K165,a_wins_total_lookup_header,0)+1,0),VLOOKUP(D165,a_win_totals_lookup,MATCH(I165,a_wins_total_lookup_header,0)+1,0))</f>
        <v>0.43911131517920021</v>
      </c>
      <c r="N165">
        <f t="shared" ca="1" si="2"/>
        <v>0</v>
      </c>
    </row>
    <row r="166" spans="1:14" x14ac:dyDescent="0.25">
      <c r="A166">
        <v>400578375</v>
      </c>
      <c r="B166">
        <v>2015</v>
      </c>
      <c r="C166" s="1">
        <v>41951</v>
      </c>
      <c r="D166" t="s">
        <v>20</v>
      </c>
      <c r="E166">
        <v>0</v>
      </c>
      <c r="F166">
        <v>1</v>
      </c>
      <c r="G166">
        <v>6</v>
      </c>
      <c r="H166">
        <v>1</v>
      </c>
      <c r="I166" t="s">
        <v>20</v>
      </c>
      <c r="J166">
        <v>90</v>
      </c>
      <c r="K166" t="s">
        <v>25</v>
      </c>
      <c r="L166">
        <v>97</v>
      </c>
      <c r="M166">
        <f>IF(D166=I166,VLOOKUP(D166,a_win_totals_lookup,MATCH(K166,a_wins_total_lookup_header,0)+1,0),VLOOKUP(D166,a_win_totals_lookup,MATCH(I166,a_wins_total_lookup_header,0)+1,0))</f>
        <v>0.35966777393646027</v>
      </c>
      <c r="N166">
        <f t="shared" ca="1" si="2"/>
        <v>1</v>
      </c>
    </row>
    <row r="167" spans="1:14" x14ac:dyDescent="0.25">
      <c r="A167">
        <v>400578375</v>
      </c>
      <c r="B167">
        <v>2015</v>
      </c>
      <c r="C167" s="1">
        <v>41951</v>
      </c>
      <c r="D167" t="s">
        <v>25</v>
      </c>
      <c r="E167">
        <v>1</v>
      </c>
      <c r="F167">
        <v>5</v>
      </c>
      <c r="G167">
        <v>2</v>
      </c>
      <c r="H167">
        <v>0</v>
      </c>
      <c r="I167" t="s">
        <v>20</v>
      </c>
      <c r="J167">
        <v>90</v>
      </c>
      <c r="K167" t="s">
        <v>25</v>
      </c>
      <c r="L167">
        <v>97</v>
      </c>
      <c r="M167">
        <f>IF(D167=I167,VLOOKUP(D167,a_win_totals_lookup,MATCH(K167,a_wins_total_lookup_header,0)+1,0),VLOOKUP(D167,a_win_totals_lookup,MATCH(I167,a_wins_total_lookup_header,0)+1,0))</f>
        <v>0.64033222606353968</v>
      </c>
      <c r="N167">
        <f t="shared" ca="1" si="2"/>
        <v>1</v>
      </c>
    </row>
    <row r="168" spans="1:14" x14ac:dyDescent="0.25">
      <c r="A168">
        <v>400578376</v>
      </c>
      <c r="B168">
        <v>2015</v>
      </c>
      <c r="C168" s="1">
        <v>41951</v>
      </c>
      <c r="D168" t="s">
        <v>26</v>
      </c>
      <c r="E168">
        <v>1</v>
      </c>
      <c r="F168">
        <v>2</v>
      </c>
      <c r="G168">
        <v>3</v>
      </c>
      <c r="H168">
        <v>1</v>
      </c>
      <c r="I168" t="s">
        <v>26</v>
      </c>
      <c r="J168">
        <v>103</v>
      </c>
      <c r="K168" t="s">
        <v>31</v>
      </c>
      <c r="L168">
        <v>96</v>
      </c>
      <c r="M168">
        <f>IF(D168=I168,VLOOKUP(D168,a_win_totals_lookup,MATCH(K168,a_wins_total_lookup_header,0)+1,0),VLOOKUP(D168,a_win_totals_lookup,MATCH(I168,a_wins_total_lookup_header,0)+1,0))</f>
        <v>0.53928878009305825</v>
      </c>
      <c r="N168">
        <f t="shared" ca="1" si="2"/>
        <v>0</v>
      </c>
    </row>
    <row r="169" spans="1:14" x14ac:dyDescent="0.25">
      <c r="A169">
        <v>400578376</v>
      </c>
      <c r="B169">
        <v>2015</v>
      </c>
      <c r="C169" s="1">
        <v>41951</v>
      </c>
      <c r="D169" t="s">
        <v>31</v>
      </c>
      <c r="E169">
        <v>0</v>
      </c>
      <c r="F169">
        <v>2</v>
      </c>
      <c r="G169">
        <v>5</v>
      </c>
      <c r="H169">
        <v>0</v>
      </c>
      <c r="I169" t="s">
        <v>26</v>
      </c>
      <c r="J169">
        <v>103</v>
      </c>
      <c r="K169" t="s">
        <v>31</v>
      </c>
      <c r="L169">
        <v>96</v>
      </c>
      <c r="M169">
        <f>IF(D169=I169,VLOOKUP(D169,a_win_totals_lookup,MATCH(K169,a_wins_total_lookup_header,0)+1,0),VLOOKUP(D169,a_win_totals_lookup,MATCH(I169,a_wins_total_lookup_header,0)+1,0))</f>
        <v>0.46071121990694175</v>
      </c>
      <c r="N169">
        <f t="shared" ca="1" si="2"/>
        <v>1</v>
      </c>
    </row>
    <row r="170" spans="1:14" x14ac:dyDescent="0.25">
      <c r="A170">
        <v>400578377</v>
      </c>
      <c r="B170">
        <v>2015</v>
      </c>
      <c r="C170" s="1">
        <v>41951</v>
      </c>
      <c r="D170" t="s">
        <v>24</v>
      </c>
      <c r="E170">
        <v>1</v>
      </c>
      <c r="F170">
        <v>4</v>
      </c>
      <c r="G170">
        <v>2</v>
      </c>
      <c r="H170">
        <v>1</v>
      </c>
      <c r="I170" t="s">
        <v>24</v>
      </c>
      <c r="J170">
        <v>102</v>
      </c>
      <c r="K170" t="s">
        <v>29</v>
      </c>
      <c r="L170">
        <v>92</v>
      </c>
      <c r="M170">
        <f>IF(D170=I170,VLOOKUP(D170,a_win_totals_lookup,MATCH(K170,a_wins_total_lookup_header,0)+1,0),VLOOKUP(D170,a_win_totals_lookup,MATCH(I170,a_wins_total_lookup_header,0)+1,0))</f>
        <v>0.70702360982542323</v>
      </c>
      <c r="N170">
        <f t="shared" ca="1" si="2"/>
        <v>1</v>
      </c>
    </row>
    <row r="171" spans="1:14" x14ac:dyDescent="0.25">
      <c r="A171">
        <v>400578377</v>
      </c>
      <c r="B171">
        <v>2015</v>
      </c>
      <c r="C171" s="1">
        <v>41951</v>
      </c>
      <c r="D171" t="s">
        <v>29</v>
      </c>
      <c r="E171">
        <v>0</v>
      </c>
      <c r="F171">
        <v>2</v>
      </c>
      <c r="G171">
        <v>4</v>
      </c>
      <c r="H171">
        <v>0</v>
      </c>
      <c r="I171" t="s">
        <v>24</v>
      </c>
      <c r="J171">
        <v>102</v>
      </c>
      <c r="K171" t="s">
        <v>29</v>
      </c>
      <c r="L171">
        <v>92</v>
      </c>
      <c r="M171">
        <f>IF(D171=I171,VLOOKUP(D171,a_win_totals_lookup,MATCH(K171,a_wins_total_lookup_header,0)+1,0),VLOOKUP(D171,a_win_totals_lookup,MATCH(I171,a_wins_total_lookup_header,0)+1,0))</f>
        <v>0.29297639017457672</v>
      </c>
      <c r="N171">
        <f t="shared" ca="1" si="2"/>
        <v>0</v>
      </c>
    </row>
    <row r="172" spans="1:14" x14ac:dyDescent="0.25">
      <c r="A172">
        <v>400578378</v>
      </c>
      <c r="B172">
        <v>2015</v>
      </c>
      <c r="C172" s="1">
        <v>41951</v>
      </c>
      <c r="D172" t="s">
        <v>22</v>
      </c>
      <c r="E172">
        <v>1</v>
      </c>
      <c r="F172">
        <v>3</v>
      </c>
      <c r="G172">
        <v>3</v>
      </c>
      <c r="H172">
        <v>0</v>
      </c>
      <c r="I172" t="s">
        <v>30</v>
      </c>
      <c r="J172">
        <v>101</v>
      </c>
      <c r="K172" t="s">
        <v>22</v>
      </c>
      <c r="L172">
        <v>106</v>
      </c>
      <c r="M172">
        <f>IF(D172=I172,VLOOKUP(D172,a_win_totals_lookup,MATCH(K172,a_wins_total_lookup_header,0)+1,0),VLOOKUP(D172,a_win_totals_lookup,MATCH(I172,a_wins_total_lookup_header,0)+1,0))</f>
        <v>0.22270013882530892</v>
      </c>
      <c r="N172">
        <f t="shared" ca="1" si="2"/>
        <v>0</v>
      </c>
    </row>
    <row r="173" spans="1:14" x14ac:dyDescent="0.25">
      <c r="A173">
        <v>400578378</v>
      </c>
      <c r="B173">
        <v>2015</v>
      </c>
      <c r="C173" s="1">
        <v>41951</v>
      </c>
      <c r="D173" t="s">
        <v>30</v>
      </c>
      <c r="E173">
        <v>0</v>
      </c>
      <c r="F173">
        <v>5</v>
      </c>
      <c r="G173">
        <v>2</v>
      </c>
      <c r="H173">
        <v>1</v>
      </c>
      <c r="I173" t="s">
        <v>30</v>
      </c>
      <c r="J173">
        <v>101</v>
      </c>
      <c r="K173" t="s">
        <v>22</v>
      </c>
      <c r="L173">
        <v>106</v>
      </c>
      <c r="M173">
        <f>IF(D173=I173,VLOOKUP(D173,a_win_totals_lookup,MATCH(K173,a_wins_total_lookup_header,0)+1,0),VLOOKUP(D173,a_win_totals_lookup,MATCH(I173,a_wins_total_lookup_header,0)+1,0))</f>
        <v>0.77729986117469119</v>
      </c>
      <c r="N173">
        <f t="shared" ca="1" si="2"/>
        <v>1</v>
      </c>
    </row>
    <row r="174" spans="1:14" x14ac:dyDescent="0.25">
      <c r="A174">
        <v>400578379</v>
      </c>
      <c r="B174">
        <v>2015</v>
      </c>
      <c r="C174" s="1">
        <v>41951</v>
      </c>
      <c r="D174" t="s">
        <v>36</v>
      </c>
      <c r="E174">
        <v>1</v>
      </c>
      <c r="F174">
        <v>5</v>
      </c>
      <c r="G174">
        <v>0</v>
      </c>
      <c r="H174">
        <v>0</v>
      </c>
      <c r="I174" t="s">
        <v>16</v>
      </c>
      <c r="J174">
        <v>87</v>
      </c>
      <c r="K174" t="s">
        <v>36</v>
      </c>
      <c r="L174">
        <v>98</v>
      </c>
      <c r="M174">
        <f>IF(D174=I174,VLOOKUP(D174,a_win_totals_lookup,MATCH(K174,a_wins_total_lookup_header,0)+1,0),VLOOKUP(D174,a_win_totals_lookup,MATCH(I174,a_wins_total_lookup_header,0)+1,0))</f>
        <v>0.54147759642487181</v>
      </c>
      <c r="N174">
        <f t="shared" ca="1" si="2"/>
        <v>1</v>
      </c>
    </row>
    <row r="175" spans="1:14" x14ac:dyDescent="0.25">
      <c r="A175">
        <v>400578379</v>
      </c>
      <c r="B175">
        <v>2015</v>
      </c>
      <c r="C175" s="1">
        <v>41951</v>
      </c>
      <c r="D175" t="s">
        <v>16</v>
      </c>
      <c r="E175">
        <v>0</v>
      </c>
      <c r="F175">
        <v>6</v>
      </c>
      <c r="G175">
        <v>1</v>
      </c>
      <c r="H175">
        <v>1</v>
      </c>
      <c r="I175" t="s">
        <v>16</v>
      </c>
      <c r="J175">
        <v>87</v>
      </c>
      <c r="K175" t="s">
        <v>36</v>
      </c>
      <c r="L175">
        <v>98</v>
      </c>
      <c r="M175">
        <f>IF(D175=I175,VLOOKUP(D175,a_win_totals_lookup,MATCH(K175,a_wins_total_lookup_header,0)+1,0),VLOOKUP(D175,a_win_totals_lookup,MATCH(I175,a_wins_total_lookup_header,0)+1,0))</f>
        <v>0.45852240357512825</v>
      </c>
      <c r="N175">
        <f t="shared" ca="1" si="2"/>
        <v>0</v>
      </c>
    </row>
    <row r="176" spans="1:14" x14ac:dyDescent="0.25">
      <c r="A176">
        <v>400578380</v>
      </c>
      <c r="B176">
        <v>2015</v>
      </c>
      <c r="C176" s="1">
        <v>41951</v>
      </c>
      <c r="D176" t="s">
        <v>28</v>
      </c>
      <c r="E176">
        <v>0</v>
      </c>
      <c r="F176">
        <v>6</v>
      </c>
      <c r="G176">
        <v>1</v>
      </c>
      <c r="H176">
        <v>0</v>
      </c>
      <c r="I176" t="s">
        <v>19</v>
      </c>
      <c r="J176">
        <v>93</v>
      </c>
      <c r="K176" t="s">
        <v>28</v>
      </c>
      <c r="L176">
        <v>92</v>
      </c>
      <c r="M176">
        <f>IF(D176=I176,VLOOKUP(D176,a_win_totals_lookup,MATCH(K176,a_wins_total_lookup_header,0)+1,0),VLOOKUP(D176,a_win_totals_lookup,MATCH(I176,a_wins_total_lookup_header,0)+1,0))</f>
        <v>0.73204545428846324</v>
      </c>
      <c r="N176">
        <f t="shared" ca="1" si="2"/>
        <v>0</v>
      </c>
    </row>
    <row r="177" spans="1:14" x14ac:dyDescent="0.25">
      <c r="A177">
        <v>400578380</v>
      </c>
      <c r="B177">
        <v>2015</v>
      </c>
      <c r="C177" s="1">
        <v>41951</v>
      </c>
      <c r="D177" t="s">
        <v>19</v>
      </c>
      <c r="E177">
        <v>1</v>
      </c>
      <c r="F177">
        <v>3</v>
      </c>
      <c r="G177">
        <v>4</v>
      </c>
      <c r="H177">
        <v>1</v>
      </c>
      <c r="I177" t="s">
        <v>19</v>
      </c>
      <c r="J177">
        <v>93</v>
      </c>
      <c r="K177" t="s">
        <v>28</v>
      </c>
      <c r="L177">
        <v>92</v>
      </c>
      <c r="M177">
        <f>IF(D177=I177,VLOOKUP(D177,a_win_totals_lookup,MATCH(K177,a_wins_total_lookup_header,0)+1,0),VLOOKUP(D177,a_win_totals_lookup,MATCH(I177,a_wins_total_lookup_header,0)+1,0))</f>
        <v>0.26795454571153682</v>
      </c>
      <c r="N177">
        <f t="shared" ca="1" si="2"/>
        <v>0</v>
      </c>
    </row>
    <row r="178" spans="1:14" x14ac:dyDescent="0.25">
      <c r="A178">
        <v>400578381</v>
      </c>
      <c r="B178">
        <v>2015</v>
      </c>
      <c r="C178" s="1">
        <v>41951</v>
      </c>
      <c r="D178" t="s">
        <v>12</v>
      </c>
      <c r="E178">
        <v>1</v>
      </c>
      <c r="F178">
        <v>3</v>
      </c>
      <c r="G178">
        <v>2</v>
      </c>
      <c r="H178">
        <v>0</v>
      </c>
      <c r="I178" t="s">
        <v>15</v>
      </c>
      <c r="J178">
        <v>99</v>
      </c>
      <c r="K178" t="s">
        <v>12</v>
      </c>
      <c r="L178">
        <v>100</v>
      </c>
      <c r="M178">
        <f>IF(D178=I178,VLOOKUP(D178,a_win_totals_lookup,MATCH(K178,a_wins_total_lookup_header,0)+1,0),VLOOKUP(D178,a_win_totals_lookup,MATCH(I178,a_wins_total_lookup_header,0)+1,0))</f>
        <v>0.37307955571959134</v>
      </c>
      <c r="N178">
        <f t="shared" ca="1" si="2"/>
        <v>1</v>
      </c>
    </row>
    <row r="179" spans="1:14" x14ac:dyDescent="0.25">
      <c r="A179">
        <v>400578381</v>
      </c>
      <c r="B179">
        <v>2015</v>
      </c>
      <c r="C179" s="1">
        <v>41951</v>
      </c>
      <c r="D179" t="s">
        <v>15</v>
      </c>
      <c r="E179">
        <v>0</v>
      </c>
      <c r="F179">
        <v>2</v>
      </c>
      <c r="G179">
        <v>3</v>
      </c>
      <c r="H179">
        <v>1</v>
      </c>
      <c r="I179" t="s">
        <v>15</v>
      </c>
      <c r="J179">
        <v>99</v>
      </c>
      <c r="K179" t="s">
        <v>12</v>
      </c>
      <c r="L179">
        <v>100</v>
      </c>
      <c r="M179">
        <f>IF(D179=I179,VLOOKUP(D179,a_win_totals_lookup,MATCH(K179,a_wins_total_lookup_header,0)+1,0),VLOOKUP(D179,a_win_totals_lookup,MATCH(I179,a_wins_total_lookup_header,0)+1,0))</f>
        <v>0.62692044428040861</v>
      </c>
      <c r="N179">
        <f t="shared" ca="1" si="2"/>
        <v>1</v>
      </c>
    </row>
    <row r="180" spans="1:14" x14ac:dyDescent="0.25">
      <c r="A180">
        <v>400578382</v>
      </c>
      <c r="B180">
        <v>2015</v>
      </c>
      <c r="C180" s="1">
        <v>41952</v>
      </c>
      <c r="D180" t="s">
        <v>23</v>
      </c>
      <c r="E180">
        <v>1</v>
      </c>
      <c r="F180">
        <v>4</v>
      </c>
      <c r="G180">
        <v>2</v>
      </c>
      <c r="H180">
        <v>1</v>
      </c>
      <c r="I180" t="s">
        <v>23</v>
      </c>
      <c r="J180">
        <v>104</v>
      </c>
      <c r="K180" t="s">
        <v>13</v>
      </c>
      <c r="L180">
        <v>96</v>
      </c>
      <c r="M180">
        <f>IF(D180=I180,VLOOKUP(D180,a_win_totals_lookup,MATCH(K180,a_wins_total_lookup_header,0)+1,0),VLOOKUP(D180,a_win_totals_lookup,MATCH(I180,a_wins_total_lookup_header,0)+1,0))</f>
        <v>0.61088100448941873</v>
      </c>
      <c r="N180">
        <f t="shared" ca="1" si="2"/>
        <v>1</v>
      </c>
    </row>
    <row r="181" spans="1:14" x14ac:dyDescent="0.25">
      <c r="A181">
        <v>400578382</v>
      </c>
      <c r="B181">
        <v>2015</v>
      </c>
      <c r="C181" s="1">
        <v>41952</v>
      </c>
      <c r="D181" t="s">
        <v>13</v>
      </c>
      <c r="E181">
        <v>0</v>
      </c>
      <c r="F181">
        <v>2</v>
      </c>
      <c r="G181">
        <v>5</v>
      </c>
      <c r="H181">
        <v>0</v>
      </c>
      <c r="I181" t="s">
        <v>23</v>
      </c>
      <c r="J181">
        <v>104</v>
      </c>
      <c r="K181" t="s">
        <v>13</v>
      </c>
      <c r="L181">
        <v>96</v>
      </c>
      <c r="M181">
        <f>IF(D181=I181,VLOOKUP(D181,a_win_totals_lookup,MATCH(K181,a_wins_total_lookup_header,0)+1,0),VLOOKUP(D181,a_win_totals_lookup,MATCH(I181,a_wins_total_lookup_header,0)+1,0))</f>
        <v>0.38911899551058127</v>
      </c>
      <c r="N181">
        <f t="shared" ca="1" si="2"/>
        <v>0</v>
      </c>
    </row>
    <row r="182" spans="1:14" x14ac:dyDescent="0.25">
      <c r="A182">
        <v>400578383</v>
      </c>
      <c r="B182">
        <v>2015</v>
      </c>
      <c r="C182" s="1">
        <v>41952</v>
      </c>
      <c r="D182" t="s">
        <v>33</v>
      </c>
      <c r="E182">
        <v>0</v>
      </c>
      <c r="F182">
        <v>2</v>
      </c>
      <c r="G182">
        <v>4</v>
      </c>
      <c r="H182">
        <v>1</v>
      </c>
      <c r="I182" t="s">
        <v>33</v>
      </c>
      <c r="J182">
        <v>96</v>
      </c>
      <c r="K182" t="s">
        <v>34</v>
      </c>
      <c r="L182">
        <v>97</v>
      </c>
      <c r="M182">
        <f>IF(D182=I182,VLOOKUP(D182,a_win_totals_lookup,MATCH(K182,a_wins_total_lookup_header,0)+1,0),VLOOKUP(D182,a_win_totals_lookup,MATCH(I182,a_wins_total_lookup_header,0)+1,0))</f>
        <v>0.56745226115407632</v>
      </c>
      <c r="N182">
        <f t="shared" ca="1" si="2"/>
        <v>0</v>
      </c>
    </row>
    <row r="183" spans="1:14" x14ac:dyDescent="0.25">
      <c r="A183">
        <v>400578383</v>
      </c>
      <c r="B183">
        <v>2015</v>
      </c>
      <c r="C183" s="1">
        <v>41952</v>
      </c>
      <c r="D183" t="s">
        <v>34</v>
      </c>
      <c r="E183">
        <v>1</v>
      </c>
      <c r="F183">
        <v>3</v>
      </c>
      <c r="G183">
        <v>4</v>
      </c>
      <c r="H183">
        <v>0</v>
      </c>
      <c r="I183" t="s">
        <v>33</v>
      </c>
      <c r="J183">
        <v>96</v>
      </c>
      <c r="K183" t="s">
        <v>34</v>
      </c>
      <c r="L183">
        <v>97</v>
      </c>
      <c r="M183">
        <f>IF(D183=I183,VLOOKUP(D183,a_win_totals_lookup,MATCH(K183,a_wins_total_lookup_header,0)+1,0),VLOOKUP(D183,a_win_totals_lookup,MATCH(I183,a_wins_total_lookup_header,0)+1,0))</f>
        <v>0.43254773884592373</v>
      </c>
      <c r="N183">
        <f t="shared" ca="1" si="2"/>
        <v>0</v>
      </c>
    </row>
    <row r="184" spans="1:14" x14ac:dyDescent="0.25">
      <c r="A184">
        <v>400578384</v>
      </c>
      <c r="B184">
        <v>2015</v>
      </c>
      <c r="C184" s="1">
        <v>41952</v>
      </c>
      <c r="D184" t="s">
        <v>38</v>
      </c>
      <c r="E184">
        <v>1</v>
      </c>
      <c r="F184">
        <v>2</v>
      </c>
      <c r="G184">
        <v>5</v>
      </c>
      <c r="H184">
        <v>1</v>
      </c>
      <c r="I184" t="s">
        <v>38</v>
      </c>
      <c r="J184">
        <v>101</v>
      </c>
      <c r="K184" t="s">
        <v>37</v>
      </c>
      <c r="L184">
        <v>93</v>
      </c>
      <c r="M184">
        <f>IF(D184=I184,VLOOKUP(D184,a_win_totals_lookup,MATCH(K184,a_wins_total_lookup_header,0)+1,0),VLOOKUP(D184,a_win_totals_lookup,MATCH(I184,a_wins_total_lookup_header,0)+1,0))</f>
        <v>0.69779347286419835</v>
      </c>
      <c r="N184">
        <f t="shared" ca="1" si="2"/>
        <v>1</v>
      </c>
    </row>
    <row r="185" spans="1:14" x14ac:dyDescent="0.25">
      <c r="A185">
        <v>400578384</v>
      </c>
      <c r="B185">
        <v>2015</v>
      </c>
      <c r="C185" s="1">
        <v>41952</v>
      </c>
      <c r="D185" t="s">
        <v>37</v>
      </c>
      <c r="E185">
        <v>0</v>
      </c>
      <c r="F185">
        <v>5</v>
      </c>
      <c r="G185">
        <v>2</v>
      </c>
      <c r="H185">
        <v>0</v>
      </c>
      <c r="I185" t="s">
        <v>38</v>
      </c>
      <c r="J185">
        <v>101</v>
      </c>
      <c r="K185" t="s">
        <v>37</v>
      </c>
      <c r="L185">
        <v>93</v>
      </c>
      <c r="M185">
        <f>IF(D185=I185,VLOOKUP(D185,a_win_totals_lookup,MATCH(K185,a_wins_total_lookup_header,0)+1,0),VLOOKUP(D185,a_win_totals_lookup,MATCH(I185,a_wins_total_lookup_header,0)+1,0))</f>
        <v>0.30220652713580148</v>
      </c>
      <c r="N185">
        <f t="shared" ca="1" si="2"/>
        <v>0</v>
      </c>
    </row>
    <row r="186" spans="1:14" x14ac:dyDescent="0.25">
      <c r="A186">
        <v>400578385</v>
      </c>
      <c r="B186">
        <v>2015</v>
      </c>
      <c r="C186" s="1">
        <v>41952</v>
      </c>
      <c r="D186" t="s">
        <v>21</v>
      </c>
      <c r="E186">
        <v>0</v>
      </c>
      <c r="F186">
        <v>0</v>
      </c>
      <c r="G186">
        <v>7</v>
      </c>
      <c r="H186">
        <v>0</v>
      </c>
      <c r="I186" t="s">
        <v>27</v>
      </c>
      <c r="J186">
        <v>120</v>
      </c>
      <c r="K186" t="s">
        <v>21</v>
      </c>
      <c r="L186">
        <v>88</v>
      </c>
      <c r="M186">
        <f>IF(D186=I186,VLOOKUP(D186,a_win_totals_lookup,MATCH(K186,a_wins_total_lookup_header,0)+1,0),VLOOKUP(D186,a_win_totals_lookup,MATCH(I186,a_wins_total_lookup_header,0)+1,0))</f>
        <v>0.21334857625709938</v>
      </c>
      <c r="N186">
        <f t="shared" ca="1" si="2"/>
        <v>0</v>
      </c>
    </row>
    <row r="187" spans="1:14" x14ac:dyDescent="0.25">
      <c r="A187">
        <v>400578385</v>
      </c>
      <c r="B187">
        <v>2015</v>
      </c>
      <c r="C187" s="1">
        <v>41952</v>
      </c>
      <c r="D187" t="s">
        <v>27</v>
      </c>
      <c r="E187">
        <v>1</v>
      </c>
      <c r="F187">
        <v>6</v>
      </c>
      <c r="G187">
        <v>1</v>
      </c>
      <c r="H187">
        <v>1</v>
      </c>
      <c r="I187" t="s">
        <v>27</v>
      </c>
      <c r="J187">
        <v>120</v>
      </c>
      <c r="K187" t="s">
        <v>21</v>
      </c>
      <c r="L187">
        <v>88</v>
      </c>
      <c r="M187">
        <f>IF(D187=I187,VLOOKUP(D187,a_win_totals_lookup,MATCH(K187,a_wins_total_lookup_header,0)+1,0),VLOOKUP(D187,a_win_totals_lookup,MATCH(I187,a_wins_total_lookup_header,0)+1,0))</f>
        <v>0.78665142374290065</v>
      </c>
      <c r="N187">
        <f t="shared" ca="1" si="2"/>
        <v>1</v>
      </c>
    </row>
    <row r="188" spans="1:14" x14ac:dyDescent="0.25">
      <c r="A188">
        <v>400578386</v>
      </c>
      <c r="B188">
        <v>2015</v>
      </c>
      <c r="C188" s="1">
        <v>41952</v>
      </c>
      <c r="D188" t="s">
        <v>14</v>
      </c>
      <c r="E188">
        <v>0</v>
      </c>
      <c r="F188">
        <v>4</v>
      </c>
      <c r="G188">
        <v>3</v>
      </c>
      <c r="H188">
        <v>1</v>
      </c>
      <c r="I188" t="s">
        <v>14</v>
      </c>
      <c r="J188">
        <v>96</v>
      </c>
      <c r="K188" t="s">
        <v>24</v>
      </c>
      <c r="L188">
        <v>105</v>
      </c>
      <c r="M188">
        <f>IF(D188=I188,VLOOKUP(D188,a_win_totals_lookup,MATCH(K188,a_wins_total_lookup_header,0)+1,0),VLOOKUP(D188,a_win_totals_lookup,MATCH(I188,a_wins_total_lookup_header,0)+1,0))</f>
        <v>0.56588759857073379</v>
      </c>
      <c r="N188">
        <f t="shared" ca="1" si="2"/>
        <v>1</v>
      </c>
    </row>
    <row r="189" spans="1:14" x14ac:dyDescent="0.25">
      <c r="A189">
        <v>400578386</v>
      </c>
      <c r="B189">
        <v>2015</v>
      </c>
      <c r="C189" s="1">
        <v>41952</v>
      </c>
      <c r="D189" t="s">
        <v>24</v>
      </c>
      <c r="E189">
        <v>1</v>
      </c>
      <c r="F189">
        <v>5</v>
      </c>
      <c r="G189">
        <v>2</v>
      </c>
      <c r="H189">
        <v>0</v>
      </c>
      <c r="I189" t="s">
        <v>14</v>
      </c>
      <c r="J189">
        <v>96</v>
      </c>
      <c r="K189" t="s">
        <v>24</v>
      </c>
      <c r="L189">
        <v>105</v>
      </c>
      <c r="M189">
        <f>IF(D189=I189,VLOOKUP(D189,a_win_totals_lookup,MATCH(K189,a_wins_total_lookup_header,0)+1,0),VLOOKUP(D189,a_win_totals_lookup,MATCH(I189,a_wins_total_lookup_header,0)+1,0))</f>
        <v>0.43411240142926621</v>
      </c>
      <c r="N189">
        <f t="shared" ca="1" si="2"/>
        <v>0</v>
      </c>
    </row>
    <row r="190" spans="1:14" x14ac:dyDescent="0.25">
      <c r="A190">
        <v>400578387</v>
      </c>
      <c r="B190">
        <v>2015</v>
      </c>
      <c r="C190" s="1">
        <v>41952</v>
      </c>
      <c r="D190" t="s">
        <v>36</v>
      </c>
      <c r="E190">
        <v>0</v>
      </c>
      <c r="F190">
        <v>5</v>
      </c>
      <c r="G190">
        <v>1</v>
      </c>
      <c r="H190">
        <v>0</v>
      </c>
      <c r="I190" t="s">
        <v>35</v>
      </c>
      <c r="J190">
        <v>107</v>
      </c>
      <c r="K190" t="s">
        <v>36</v>
      </c>
      <c r="L190">
        <v>95</v>
      </c>
      <c r="M190">
        <f>IF(D190=I190,VLOOKUP(D190,a_win_totals_lookup,MATCH(K190,a_wins_total_lookup_header,0)+1,0),VLOOKUP(D190,a_win_totals_lookup,MATCH(I190,a_wins_total_lookup_header,0)+1,0))</f>
        <v>0.58455563190980453</v>
      </c>
      <c r="N190">
        <f t="shared" ca="1" si="2"/>
        <v>1</v>
      </c>
    </row>
    <row r="191" spans="1:14" x14ac:dyDescent="0.25">
      <c r="A191">
        <v>400578387</v>
      </c>
      <c r="B191">
        <v>2015</v>
      </c>
      <c r="C191" s="1">
        <v>41952</v>
      </c>
      <c r="D191" t="s">
        <v>35</v>
      </c>
      <c r="E191">
        <v>1</v>
      </c>
      <c r="F191">
        <v>4</v>
      </c>
      <c r="G191">
        <v>3</v>
      </c>
      <c r="H191">
        <v>1</v>
      </c>
      <c r="I191" t="s">
        <v>35</v>
      </c>
      <c r="J191">
        <v>107</v>
      </c>
      <c r="K191" t="s">
        <v>36</v>
      </c>
      <c r="L191">
        <v>95</v>
      </c>
      <c r="M191">
        <f>IF(D191=I191,VLOOKUP(D191,a_win_totals_lookup,MATCH(K191,a_wins_total_lookup_header,0)+1,0),VLOOKUP(D191,a_win_totals_lookup,MATCH(I191,a_wins_total_lookup_header,0)+1,0))</f>
        <v>0.41544436809019553</v>
      </c>
      <c r="N191">
        <f t="shared" ca="1" si="2"/>
        <v>0</v>
      </c>
    </row>
    <row r="192" spans="1:14" x14ac:dyDescent="0.25">
      <c r="A192">
        <v>400578388</v>
      </c>
      <c r="B192">
        <v>2015</v>
      </c>
      <c r="C192" s="1">
        <v>41952</v>
      </c>
      <c r="D192" t="s">
        <v>32</v>
      </c>
      <c r="E192">
        <v>0</v>
      </c>
      <c r="F192">
        <v>1</v>
      </c>
      <c r="G192">
        <v>5</v>
      </c>
      <c r="H192">
        <v>0</v>
      </c>
      <c r="I192" t="s">
        <v>39</v>
      </c>
      <c r="J192">
        <v>116</v>
      </c>
      <c r="K192" t="s">
        <v>32</v>
      </c>
      <c r="L192">
        <v>100</v>
      </c>
      <c r="M192">
        <f>IF(D192=I192,VLOOKUP(D192,a_win_totals_lookup,MATCH(K192,a_wins_total_lookup_header,0)+1,0),VLOOKUP(D192,a_win_totals_lookup,MATCH(I192,a_wins_total_lookup_header,0)+1,0))</f>
        <v>0.40843302990522401</v>
      </c>
      <c r="N192">
        <f t="shared" ca="1" si="2"/>
        <v>0</v>
      </c>
    </row>
    <row r="193" spans="1:14" x14ac:dyDescent="0.25">
      <c r="A193">
        <v>400578388</v>
      </c>
      <c r="B193">
        <v>2015</v>
      </c>
      <c r="C193" s="1">
        <v>41952</v>
      </c>
      <c r="D193" t="s">
        <v>39</v>
      </c>
      <c r="E193">
        <v>1</v>
      </c>
      <c r="F193">
        <v>4</v>
      </c>
      <c r="G193">
        <v>3</v>
      </c>
      <c r="H193">
        <v>1</v>
      </c>
      <c r="I193" t="s">
        <v>39</v>
      </c>
      <c r="J193">
        <v>116</v>
      </c>
      <c r="K193" t="s">
        <v>32</v>
      </c>
      <c r="L193">
        <v>100</v>
      </c>
      <c r="M193">
        <f>IF(D193=I193,VLOOKUP(D193,a_win_totals_lookup,MATCH(K193,a_wins_total_lookup_header,0)+1,0),VLOOKUP(D193,a_win_totals_lookup,MATCH(I193,a_wins_total_lookup_header,0)+1,0))</f>
        <v>0.59156697009477588</v>
      </c>
      <c r="N193">
        <f t="shared" ca="1" si="2"/>
        <v>1</v>
      </c>
    </row>
    <row r="194" spans="1:14" x14ac:dyDescent="0.25">
      <c r="A194">
        <v>400578389</v>
      </c>
      <c r="B194">
        <v>2015</v>
      </c>
      <c r="C194" s="1">
        <v>41952</v>
      </c>
      <c r="D194" t="s">
        <v>18</v>
      </c>
      <c r="E194">
        <v>0</v>
      </c>
      <c r="F194">
        <v>3</v>
      </c>
      <c r="G194">
        <v>4</v>
      </c>
      <c r="H194">
        <v>0</v>
      </c>
      <c r="I194" t="s">
        <v>17</v>
      </c>
      <c r="J194">
        <v>107</v>
      </c>
      <c r="K194" t="s">
        <v>18</v>
      </c>
      <c r="L194">
        <v>92</v>
      </c>
      <c r="M194">
        <f>IF(D194=I194,VLOOKUP(D194,a_win_totals_lookup,MATCH(K194,a_wins_total_lookup_header,0)+1,0),VLOOKUP(D194,a_win_totals_lookup,MATCH(I194,a_wins_total_lookup_header,0)+1,0))</f>
        <v>0.63666806394856001</v>
      </c>
      <c r="N194">
        <f t="shared" ca="1" si="2"/>
        <v>0</v>
      </c>
    </row>
    <row r="195" spans="1:14" x14ac:dyDescent="0.25">
      <c r="A195">
        <v>400578389</v>
      </c>
      <c r="B195">
        <v>2015</v>
      </c>
      <c r="C195" s="1">
        <v>41952</v>
      </c>
      <c r="D195" t="s">
        <v>17</v>
      </c>
      <c r="E195">
        <v>1</v>
      </c>
      <c r="F195">
        <v>1</v>
      </c>
      <c r="G195">
        <v>5</v>
      </c>
      <c r="H195">
        <v>1</v>
      </c>
      <c r="I195" t="s">
        <v>17</v>
      </c>
      <c r="J195">
        <v>107</v>
      </c>
      <c r="K195" t="s">
        <v>18</v>
      </c>
      <c r="L195">
        <v>92</v>
      </c>
      <c r="M195">
        <f>IF(D195=I195,VLOOKUP(D195,a_win_totals_lookup,MATCH(K195,a_wins_total_lookup_header,0)+1,0),VLOOKUP(D195,a_win_totals_lookup,MATCH(I195,a_wins_total_lookup_header,0)+1,0))</f>
        <v>0.36333193605144004</v>
      </c>
      <c r="N195">
        <f t="shared" ref="N195:N258" ca="1" si="3">ROUND(0.5*RANDBETWEEN(-1,1)+M195,0)</f>
        <v>1</v>
      </c>
    </row>
    <row r="196" spans="1:14" x14ac:dyDescent="0.25">
      <c r="A196">
        <v>400578390</v>
      </c>
      <c r="B196">
        <v>2015</v>
      </c>
      <c r="C196" s="1">
        <v>41953</v>
      </c>
      <c r="D196" t="s">
        <v>40</v>
      </c>
      <c r="E196">
        <v>1</v>
      </c>
      <c r="F196">
        <v>3</v>
      </c>
      <c r="G196">
        <v>3</v>
      </c>
      <c r="H196">
        <v>1</v>
      </c>
      <c r="I196" t="s">
        <v>40</v>
      </c>
      <c r="J196">
        <v>118</v>
      </c>
      <c r="K196" t="s">
        <v>12</v>
      </c>
      <c r="L196">
        <v>111</v>
      </c>
      <c r="M196">
        <f>IF(D196=I196,VLOOKUP(D196,a_win_totals_lookup,MATCH(K196,a_wins_total_lookup_header,0)+1,0),VLOOKUP(D196,a_win_totals_lookup,MATCH(I196,a_wins_total_lookup_header,0)+1,0))</f>
        <v>0.63650670086846906</v>
      </c>
      <c r="N196">
        <f t="shared" ca="1" si="3"/>
        <v>0</v>
      </c>
    </row>
    <row r="197" spans="1:14" x14ac:dyDescent="0.25">
      <c r="A197">
        <v>400578390</v>
      </c>
      <c r="B197">
        <v>2015</v>
      </c>
      <c r="C197" s="1">
        <v>41953</v>
      </c>
      <c r="D197" t="s">
        <v>12</v>
      </c>
      <c r="E197">
        <v>0</v>
      </c>
      <c r="F197">
        <v>3</v>
      </c>
      <c r="G197">
        <v>3</v>
      </c>
      <c r="H197">
        <v>0</v>
      </c>
      <c r="I197" t="s">
        <v>40</v>
      </c>
      <c r="J197">
        <v>118</v>
      </c>
      <c r="K197" t="s">
        <v>12</v>
      </c>
      <c r="L197">
        <v>111</v>
      </c>
      <c r="M197">
        <f>IF(D197=I197,VLOOKUP(D197,a_win_totals_lookup,MATCH(K197,a_wins_total_lookup_header,0)+1,0),VLOOKUP(D197,a_win_totals_lookup,MATCH(I197,a_wins_total_lookup_header,0)+1,0))</f>
        <v>0.36349329913153089</v>
      </c>
      <c r="N197">
        <f t="shared" ca="1" si="3"/>
        <v>1</v>
      </c>
    </row>
    <row r="198" spans="1:14" x14ac:dyDescent="0.25">
      <c r="A198">
        <v>400578391</v>
      </c>
      <c r="B198">
        <v>2015</v>
      </c>
      <c r="C198" s="1">
        <v>41953</v>
      </c>
      <c r="D198" t="s">
        <v>20</v>
      </c>
      <c r="E198">
        <v>1</v>
      </c>
      <c r="F198">
        <v>2</v>
      </c>
      <c r="G198">
        <v>6</v>
      </c>
      <c r="H198">
        <v>1</v>
      </c>
      <c r="I198" t="s">
        <v>20</v>
      </c>
      <c r="J198">
        <v>97</v>
      </c>
      <c r="K198" t="s">
        <v>34</v>
      </c>
      <c r="L198">
        <v>86</v>
      </c>
      <c r="M198">
        <f>IF(D198=I198,VLOOKUP(D198,a_win_totals_lookup,MATCH(K198,a_wins_total_lookup_header,0)+1,0),VLOOKUP(D198,a_win_totals_lookup,MATCH(I198,a_wins_total_lookup_header,0)+1,0))</f>
        <v>0.55154153277934415</v>
      </c>
      <c r="N198">
        <f t="shared" ca="1" si="3"/>
        <v>0</v>
      </c>
    </row>
    <row r="199" spans="1:14" x14ac:dyDescent="0.25">
      <c r="A199">
        <v>400578391</v>
      </c>
      <c r="B199">
        <v>2015</v>
      </c>
      <c r="C199" s="1">
        <v>41953</v>
      </c>
      <c r="D199" t="s">
        <v>34</v>
      </c>
      <c r="E199">
        <v>0</v>
      </c>
      <c r="F199">
        <v>3</v>
      </c>
      <c r="G199">
        <v>5</v>
      </c>
      <c r="H199">
        <v>0</v>
      </c>
      <c r="I199" t="s">
        <v>20</v>
      </c>
      <c r="J199">
        <v>97</v>
      </c>
      <c r="K199" t="s">
        <v>34</v>
      </c>
      <c r="L199">
        <v>86</v>
      </c>
      <c r="M199">
        <f>IF(D199=I199,VLOOKUP(D199,a_win_totals_lookup,MATCH(K199,a_wins_total_lookup_header,0)+1,0),VLOOKUP(D199,a_win_totals_lookup,MATCH(I199,a_wins_total_lookup_header,0)+1,0))</f>
        <v>0.44845846722065585</v>
      </c>
      <c r="N199">
        <f t="shared" ca="1" si="3"/>
        <v>1</v>
      </c>
    </row>
    <row r="200" spans="1:14" x14ac:dyDescent="0.25">
      <c r="A200">
        <v>400578392</v>
      </c>
      <c r="B200">
        <v>2015</v>
      </c>
      <c r="C200" s="1">
        <v>41953</v>
      </c>
      <c r="D200" t="s">
        <v>26</v>
      </c>
      <c r="E200">
        <v>1</v>
      </c>
      <c r="F200">
        <v>3</v>
      </c>
      <c r="G200">
        <v>3</v>
      </c>
      <c r="H200">
        <v>0</v>
      </c>
      <c r="I200" t="s">
        <v>31</v>
      </c>
      <c r="J200">
        <v>85</v>
      </c>
      <c r="K200" t="s">
        <v>26</v>
      </c>
      <c r="L200">
        <v>91</v>
      </c>
      <c r="M200">
        <f>IF(D200=I200,VLOOKUP(D200,a_win_totals_lookup,MATCH(K200,a_wins_total_lookup_header,0)+1,0),VLOOKUP(D200,a_win_totals_lookup,MATCH(I200,a_wins_total_lookup_header,0)+1,0))</f>
        <v>0.53928878009305825</v>
      </c>
      <c r="N200">
        <f t="shared" ca="1" si="3"/>
        <v>1</v>
      </c>
    </row>
    <row r="201" spans="1:14" x14ac:dyDescent="0.25">
      <c r="A201">
        <v>400578392</v>
      </c>
      <c r="B201">
        <v>2015</v>
      </c>
      <c r="C201" s="1">
        <v>41953</v>
      </c>
      <c r="D201" t="s">
        <v>31</v>
      </c>
      <c r="E201">
        <v>0</v>
      </c>
      <c r="F201">
        <v>2</v>
      </c>
      <c r="G201">
        <v>6</v>
      </c>
      <c r="H201">
        <v>1</v>
      </c>
      <c r="I201" t="s">
        <v>31</v>
      </c>
      <c r="J201">
        <v>85</v>
      </c>
      <c r="K201" t="s">
        <v>26</v>
      </c>
      <c r="L201">
        <v>91</v>
      </c>
      <c r="M201">
        <f>IF(D201=I201,VLOOKUP(D201,a_win_totals_lookup,MATCH(K201,a_wins_total_lookup_header,0)+1,0),VLOOKUP(D201,a_win_totals_lookup,MATCH(I201,a_wins_total_lookup_header,0)+1,0))</f>
        <v>0.46071121990694175</v>
      </c>
      <c r="N201">
        <f t="shared" ca="1" si="3"/>
        <v>0</v>
      </c>
    </row>
    <row r="202" spans="1:14" x14ac:dyDescent="0.25">
      <c r="A202">
        <v>400578393</v>
      </c>
      <c r="B202">
        <v>2015</v>
      </c>
      <c r="C202" s="1">
        <v>41953</v>
      </c>
      <c r="D202" t="s">
        <v>30</v>
      </c>
      <c r="E202">
        <v>1</v>
      </c>
      <c r="F202">
        <v>6</v>
      </c>
      <c r="G202">
        <v>2</v>
      </c>
      <c r="H202">
        <v>1</v>
      </c>
      <c r="I202" t="s">
        <v>30</v>
      </c>
      <c r="J202">
        <v>102</v>
      </c>
      <c r="K202" t="s">
        <v>33</v>
      </c>
      <c r="L202">
        <v>91</v>
      </c>
      <c r="M202">
        <f>IF(D202=I202,VLOOKUP(D202,a_win_totals_lookup,MATCH(K202,a_wins_total_lookup_header,0)+1,0),VLOOKUP(D202,a_win_totals_lookup,MATCH(I202,a_wins_total_lookup_header,0)+1,0))</f>
        <v>0.67995464996754418</v>
      </c>
      <c r="N202">
        <f t="shared" ca="1" si="3"/>
        <v>1</v>
      </c>
    </row>
    <row r="203" spans="1:14" x14ac:dyDescent="0.25">
      <c r="A203">
        <v>400578393</v>
      </c>
      <c r="B203">
        <v>2015</v>
      </c>
      <c r="C203" s="1">
        <v>41953</v>
      </c>
      <c r="D203" t="s">
        <v>33</v>
      </c>
      <c r="E203">
        <v>0</v>
      </c>
      <c r="F203">
        <v>2</v>
      </c>
      <c r="G203">
        <v>5</v>
      </c>
      <c r="H203">
        <v>0</v>
      </c>
      <c r="I203" t="s">
        <v>30</v>
      </c>
      <c r="J203">
        <v>102</v>
      </c>
      <c r="K203" t="s">
        <v>33</v>
      </c>
      <c r="L203">
        <v>91</v>
      </c>
      <c r="M203">
        <f>IF(D203=I203,VLOOKUP(D203,a_win_totals_lookup,MATCH(K203,a_wins_total_lookup_header,0)+1,0),VLOOKUP(D203,a_win_totals_lookup,MATCH(I203,a_wins_total_lookup_header,0)+1,0))</f>
        <v>0.32004535003245588</v>
      </c>
      <c r="N203">
        <f t="shared" ca="1" si="3"/>
        <v>0</v>
      </c>
    </row>
    <row r="204" spans="1:14" x14ac:dyDescent="0.25">
      <c r="A204">
        <v>400578394</v>
      </c>
      <c r="B204">
        <v>2015</v>
      </c>
      <c r="C204" s="1">
        <v>41953</v>
      </c>
      <c r="D204" t="s">
        <v>41</v>
      </c>
      <c r="E204">
        <v>0</v>
      </c>
      <c r="F204">
        <v>4</v>
      </c>
      <c r="G204">
        <v>3</v>
      </c>
      <c r="H204">
        <v>1</v>
      </c>
      <c r="I204" t="s">
        <v>41</v>
      </c>
      <c r="J204">
        <v>85</v>
      </c>
      <c r="K204" t="s">
        <v>15</v>
      </c>
      <c r="L204">
        <v>89</v>
      </c>
      <c r="M204">
        <f>IF(D204=I204,VLOOKUP(D204,a_win_totals_lookup,MATCH(K204,a_wins_total_lookup_header,0)+1,0),VLOOKUP(D204,a_win_totals_lookup,MATCH(I204,a_wins_total_lookup_header,0)+1,0))</f>
        <v>0.5103000717980084</v>
      </c>
      <c r="N204">
        <f t="shared" ca="1" si="3"/>
        <v>1</v>
      </c>
    </row>
    <row r="205" spans="1:14" x14ac:dyDescent="0.25">
      <c r="A205">
        <v>400578394</v>
      </c>
      <c r="B205">
        <v>2015</v>
      </c>
      <c r="C205" s="1">
        <v>41953</v>
      </c>
      <c r="D205" t="s">
        <v>15</v>
      </c>
      <c r="E205">
        <v>1</v>
      </c>
      <c r="F205">
        <v>3</v>
      </c>
      <c r="G205">
        <v>3</v>
      </c>
      <c r="H205">
        <v>0</v>
      </c>
      <c r="I205" t="s">
        <v>41</v>
      </c>
      <c r="J205">
        <v>85</v>
      </c>
      <c r="K205" t="s">
        <v>15</v>
      </c>
      <c r="L205">
        <v>89</v>
      </c>
      <c r="M205">
        <f>IF(D205=I205,VLOOKUP(D205,a_win_totals_lookup,MATCH(K205,a_wins_total_lookup_header,0)+1,0),VLOOKUP(D205,a_win_totals_lookup,MATCH(I205,a_wins_total_lookup_header,0)+1,0))</f>
        <v>0.48969992820199154</v>
      </c>
      <c r="N205">
        <f t="shared" ca="1" si="3"/>
        <v>1</v>
      </c>
    </row>
    <row r="206" spans="1:14" x14ac:dyDescent="0.25">
      <c r="A206">
        <v>400578395</v>
      </c>
      <c r="B206">
        <v>2015</v>
      </c>
      <c r="C206" s="1">
        <v>41954</v>
      </c>
      <c r="D206" t="s">
        <v>13</v>
      </c>
      <c r="E206">
        <v>0</v>
      </c>
      <c r="F206">
        <v>2</v>
      </c>
      <c r="G206">
        <v>6</v>
      </c>
      <c r="H206">
        <v>0</v>
      </c>
      <c r="I206" t="s">
        <v>27</v>
      </c>
      <c r="J206">
        <v>104</v>
      </c>
      <c r="K206" t="s">
        <v>13</v>
      </c>
      <c r="L206">
        <v>100</v>
      </c>
      <c r="M206">
        <f>IF(D206=I206,VLOOKUP(D206,a_win_totals_lookup,MATCH(K206,a_wins_total_lookup_header,0)+1,0),VLOOKUP(D206,a_win_totals_lookup,MATCH(I206,a_wins_total_lookup_header,0)+1,0))</f>
        <v>0.28473557877177313</v>
      </c>
      <c r="N206">
        <f t="shared" ca="1" si="3"/>
        <v>1</v>
      </c>
    </row>
    <row r="207" spans="1:14" x14ac:dyDescent="0.25">
      <c r="A207">
        <v>400578395</v>
      </c>
      <c r="B207">
        <v>2015</v>
      </c>
      <c r="C207" s="1">
        <v>41954</v>
      </c>
      <c r="D207" t="s">
        <v>27</v>
      </c>
      <c r="E207">
        <v>1</v>
      </c>
      <c r="F207">
        <v>7</v>
      </c>
      <c r="G207">
        <v>1</v>
      </c>
      <c r="H207">
        <v>1</v>
      </c>
      <c r="I207" t="s">
        <v>27</v>
      </c>
      <c r="J207">
        <v>104</v>
      </c>
      <c r="K207" t="s">
        <v>13</v>
      </c>
      <c r="L207">
        <v>100</v>
      </c>
      <c r="M207">
        <f>IF(D207=I207,VLOOKUP(D207,a_win_totals_lookup,MATCH(K207,a_wins_total_lookup_header,0)+1,0),VLOOKUP(D207,a_win_totals_lookup,MATCH(I207,a_wins_total_lookup_header,0)+1,0))</f>
        <v>0.71526442122822687</v>
      </c>
      <c r="N207">
        <f t="shared" ca="1" si="3"/>
        <v>0</v>
      </c>
    </row>
    <row r="208" spans="1:14" x14ac:dyDescent="0.25">
      <c r="A208">
        <v>400578396</v>
      </c>
      <c r="B208">
        <v>2015</v>
      </c>
      <c r="C208" s="1">
        <v>41954</v>
      </c>
      <c r="D208" t="s">
        <v>17</v>
      </c>
      <c r="E208">
        <v>0</v>
      </c>
      <c r="F208">
        <v>1</v>
      </c>
      <c r="G208">
        <v>6</v>
      </c>
      <c r="H208">
        <v>0</v>
      </c>
      <c r="I208" t="s">
        <v>28</v>
      </c>
      <c r="J208">
        <v>107</v>
      </c>
      <c r="K208" t="s">
        <v>17</v>
      </c>
      <c r="L208">
        <v>102</v>
      </c>
      <c r="M208">
        <f>IF(D208=I208,VLOOKUP(D208,a_win_totals_lookup,MATCH(K208,a_wins_total_lookup_header,0)+1,0),VLOOKUP(D208,a_win_totals_lookup,MATCH(I208,a_wins_total_lookup_header,0)+1,0))</f>
        <v>0.32809457904793099</v>
      </c>
      <c r="N208">
        <f t="shared" ca="1" si="3"/>
        <v>1</v>
      </c>
    </row>
    <row r="209" spans="1:14" x14ac:dyDescent="0.25">
      <c r="A209">
        <v>400578396</v>
      </c>
      <c r="B209">
        <v>2015</v>
      </c>
      <c r="C209" s="1">
        <v>41954</v>
      </c>
      <c r="D209" t="s">
        <v>28</v>
      </c>
      <c r="E209">
        <v>1</v>
      </c>
      <c r="F209">
        <v>7</v>
      </c>
      <c r="G209">
        <v>1</v>
      </c>
      <c r="H209">
        <v>1</v>
      </c>
      <c r="I209" t="s">
        <v>28</v>
      </c>
      <c r="J209">
        <v>107</v>
      </c>
      <c r="K209" t="s">
        <v>17</v>
      </c>
      <c r="L209">
        <v>102</v>
      </c>
      <c r="M209">
        <f>IF(D209=I209,VLOOKUP(D209,a_win_totals_lookup,MATCH(K209,a_wins_total_lookup_header,0)+1,0),VLOOKUP(D209,a_win_totals_lookup,MATCH(I209,a_wins_total_lookup_header,0)+1,0))</f>
        <v>0.67190542095206907</v>
      </c>
      <c r="N209">
        <f t="shared" ca="1" si="3"/>
        <v>0</v>
      </c>
    </row>
    <row r="210" spans="1:14" x14ac:dyDescent="0.25">
      <c r="A210">
        <v>400578397</v>
      </c>
      <c r="B210">
        <v>2015</v>
      </c>
      <c r="C210" s="1">
        <v>41954</v>
      </c>
      <c r="D210" t="s">
        <v>19</v>
      </c>
      <c r="E210">
        <v>1</v>
      </c>
      <c r="F210">
        <v>4</v>
      </c>
      <c r="G210">
        <v>4</v>
      </c>
      <c r="H210">
        <v>1</v>
      </c>
      <c r="I210" t="s">
        <v>19</v>
      </c>
      <c r="J210">
        <v>85</v>
      </c>
      <c r="K210" t="s">
        <v>38</v>
      </c>
      <c r="L210">
        <v>78</v>
      </c>
      <c r="M210">
        <f>IF(D210=I210,VLOOKUP(D210,a_win_totals_lookup,MATCH(K210,a_wins_total_lookup_header,0)+1,0),VLOOKUP(D210,a_win_totals_lookup,MATCH(I210,a_wins_total_lookup_header,0)+1,0))</f>
        <v>0.24508092358960609</v>
      </c>
      <c r="N210">
        <f t="shared" ca="1" si="3"/>
        <v>0</v>
      </c>
    </row>
    <row r="211" spans="1:14" x14ac:dyDescent="0.25">
      <c r="A211">
        <v>400578397</v>
      </c>
      <c r="B211">
        <v>2015</v>
      </c>
      <c r="C211" s="1">
        <v>41954</v>
      </c>
      <c r="D211" t="s">
        <v>38</v>
      </c>
      <c r="E211">
        <v>0</v>
      </c>
      <c r="F211">
        <v>2</v>
      </c>
      <c r="G211">
        <v>6</v>
      </c>
      <c r="H211">
        <v>0</v>
      </c>
      <c r="I211" t="s">
        <v>19</v>
      </c>
      <c r="J211">
        <v>85</v>
      </c>
      <c r="K211" t="s">
        <v>38</v>
      </c>
      <c r="L211">
        <v>78</v>
      </c>
      <c r="M211">
        <f>IF(D211=I211,VLOOKUP(D211,a_win_totals_lookup,MATCH(K211,a_wins_total_lookup_header,0)+1,0),VLOOKUP(D211,a_win_totals_lookup,MATCH(I211,a_wins_total_lookup_header,0)+1,0))</f>
        <v>0.75491907641039391</v>
      </c>
      <c r="N211">
        <f t="shared" ca="1" si="3"/>
        <v>1</v>
      </c>
    </row>
    <row r="212" spans="1:14" x14ac:dyDescent="0.25">
      <c r="A212">
        <v>400578398</v>
      </c>
      <c r="B212">
        <v>2015</v>
      </c>
      <c r="C212" s="1">
        <v>41954</v>
      </c>
      <c r="D212" t="s">
        <v>14</v>
      </c>
      <c r="E212">
        <v>1</v>
      </c>
      <c r="F212">
        <v>5</v>
      </c>
      <c r="G212">
        <v>3</v>
      </c>
      <c r="H212">
        <v>1</v>
      </c>
      <c r="I212" t="s">
        <v>14</v>
      </c>
      <c r="J212">
        <v>106</v>
      </c>
      <c r="K212" t="s">
        <v>37</v>
      </c>
      <c r="L212">
        <v>98</v>
      </c>
      <c r="M212">
        <f>IF(D212=I212,VLOOKUP(D212,a_win_totals_lookup,MATCH(K212,a_wins_total_lookup_header,0)+1,0),VLOOKUP(D212,a_win_totals_lookup,MATCH(I212,a_wins_total_lookup_header,0)+1,0))</f>
        <v>0.68589687603228333</v>
      </c>
      <c r="N212">
        <f t="shared" ca="1" si="3"/>
        <v>1</v>
      </c>
    </row>
    <row r="213" spans="1:14" x14ac:dyDescent="0.25">
      <c r="A213">
        <v>400578398</v>
      </c>
      <c r="B213">
        <v>2015</v>
      </c>
      <c r="C213" s="1">
        <v>41954</v>
      </c>
      <c r="D213" t="s">
        <v>37</v>
      </c>
      <c r="E213">
        <v>0</v>
      </c>
      <c r="F213">
        <v>5</v>
      </c>
      <c r="G213">
        <v>3</v>
      </c>
      <c r="H213">
        <v>0</v>
      </c>
      <c r="I213" t="s">
        <v>14</v>
      </c>
      <c r="J213">
        <v>106</v>
      </c>
      <c r="K213" t="s">
        <v>37</v>
      </c>
      <c r="L213">
        <v>98</v>
      </c>
      <c r="M213">
        <f>IF(D213=I213,VLOOKUP(D213,a_win_totals_lookup,MATCH(K213,a_wins_total_lookup_header,0)+1,0),VLOOKUP(D213,a_win_totals_lookup,MATCH(I213,a_wins_total_lookup_header,0)+1,0))</f>
        <v>0.31410312396771667</v>
      </c>
      <c r="N213">
        <f t="shared" ca="1" si="3"/>
        <v>1</v>
      </c>
    </row>
    <row r="214" spans="1:14" x14ac:dyDescent="0.25">
      <c r="A214">
        <v>400578399</v>
      </c>
      <c r="B214">
        <v>2015</v>
      </c>
      <c r="C214" s="1">
        <v>41954</v>
      </c>
      <c r="D214" t="s">
        <v>18</v>
      </c>
      <c r="E214">
        <v>0</v>
      </c>
      <c r="F214">
        <v>3</v>
      </c>
      <c r="G214">
        <v>5</v>
      </c>
      <c r="H214">
        <v>0</v>
      </c>
      <c r="I214" t="s">
        <v>39</v>
      </c>
      <c r="J214">
        <v>102</v>
      </c>
      <c r="K214" t="s">
        <v>18</v>
      </c>
      <c r="L214">
        <v>100</v>
      </c>
      <c r="M214">
        <f>IF(D214=I214,VLOOKUP(D214,a_win_totals_lookup,MATCH(K214,a_wins_total_lookup_header,0)+1,0),VLOOKUP(D214,a_win_totals_lookup,MATCH(I214,a_wins_total_lookup_header,0)+1,0))</f>
        <v>0.46992461640552319</v>
      </c>
      <c r="N214">
        <f t="shared" ca="1" si="3"/>
        <v>0</v>
      </c>
    </row>
    <row r="215" spans="1:14" x14ac:dyDescent="0.25">
      <c r="A215">
        <v>400578399</v>
      </c>
      <c r="B215">
        <v>2015</v>
      </c>
      <c r="C215" s="1">
        <v>41954</v>
      </c>
      <c r="D215" t="s">
        <v>39</v>
      </c>
      <c r="E215">
        <v>1</v>
      </c>
      <c r="F215">
        <v>5</v>
      </c>
      <c r="G215">
        <v>3</v>
      </c>
      <c r="H215">
        <v>1</v>
      </c>
      <c r="I215" t="s">
        <v>39</v>
      </c>
      <c r="J215">
        <v>102</v>
      </c>
      <c r="K215" t="s">
        <v>18</v>
      </c>
      <c r="L215">
        <v>100</v>
      </c>
      <c r="M215">
        <f>IF(D215=I215,VLOOKUP(D215,a_win_totals_lookup,MATCH(K215,a_wins_total_lookup_header,0)+1,0),VLOOKUP(D215,a_win_totals_lookup,MATCH(I215,a_wins_total_lookup_header,0)+1,0))</f>
        <v>0.53007538359447692</v>
      </c>
      <c r="N215">
        <f t="shared" ca="1" si="3"/>
        <v>1</v>
      </c>
    </row>
    <row r="216" spans="1:14" x14ac:dyDescent="0.25">
      <c r="A216">
        <v>400578400</v>
      </c>
      <c r="B216">
        <v>2015</v>
      </c>
      <c r="C216" s="1">
        <v>41954</v>
      </c>
      <c r="D216" t="s">
        <v>36</v>
      </c>
      <c r="E216">
        <v>0</v>
      </c>
      <c r="F216">
        <v>5</v>
      </c>
      <c r="G216">
        <v>2</v>
      </c>
      <c r="H216">
        <v>1</v>
      </c>
      <c r="I216" t="s">
        <v>36</v>
      </c>
      <c r="J216">
        <v>100</v>
      </c>
      <c r="K216" t="s">
        <v>15</v>
      </c>
      <c r="L216">
        <v>113</v>
      </c>
      <c r="M216">
        <f>IF(D216=I216,VLOOKUP(D216,a_win_totals_lookup,MATCH(K216,a_wins_total_lookup_header,0)+1,0),VLOOKUP(D216,a_win_totals_lookup,MATCH(I216,a_wins_total_lookup_header,0)+1,0))</f>
        <v>0.48125196234618794</v>
      </c>
      <c r="N216">
        <f t="shared" ca="1" si="3"/>
        <v>0</v>
      </c>
    </row>
    <row r="217" spans="1:14" x14ac:dyDescent="0.25">
      <c r="A217">
        <v>400578400</v>
      </c>
      <c r="B217">
        <v>2015</v>
      </c>
      <c r="C217" s="1">
        <v>41954</v>
      </c>
      <c r="D217" t="s">
        <v>15</v>
      </c>
      <c r="E217">
        <v>1</v>
      </c>
      <c r="F217">
        <v>4</v>
      </c>
      <c r="G217">
        <v>3</v>
      </c>
      <c r="H217">
        <v>0</v>
      </c>
      <c r="I217" t="s">
        <v>36</v>
      </c>
      <c r="J217">
        <v>100</v>
      </c>
      <c r="K217" t="s">
        <v>15</v>
      </c>
      <c r="L217">
        <v>113</v>
      </c>
      <c r="M217">
        <f>IF(D217=I217,VLOOKUP(D217,a_win_totals_lookup,MATCH(K217,a_wins_total_lookup_header,0)+1,0),VLOOKUP(D217,a_win_totals_lookup,MATCH(I217,a_wins_total_lookup_header,0)+1,0))</f>
        <v>0.51874803765381217</v>
      </c>
      <c r="N217">
        <f t="shared" ca="1" si="3"/>
        <v>0</v>
      </c>
    </row>
    <row r="218" spans="1:14" x14ac:dyDescent="0.25">
      <c r="A218">
        <v>400578401</v>
      </c>
      <c r="B218">
        <v>2015</v>
      </c>
      <c r="C218" s="1">
        <v>41955</v>
      </c>
      <c r="D218" t="s">
        <v>33</v>
      </c>
      <c r="E218">
        <v>0</v>
      </c>
      <c r="F218">
        <v>2</v>
      </c>
      <c r="G218">
        <v>6</v>
      </c>
      <c r="H218">
        <v>0</v>
      </c>
      <c r="I218" t="s">
        <v>25</v>
      </c>
      <c r="J218">
        <v>107</v>
      </c>
      <c r="K218" t="s">
        <v>33</v>
      </c>
      <c r="L218">
        <v>103</v>
      </c>
      <c r="M218">
        <f>IF(D218=I218,VLOOKUP(D218,a_win_totals_lookup,MATCH(K218,a_wins_total_lookup_header,0)+1,0),VLOOKUP(D218,a_win_totals_lookup,MATCH(I218,a_wins_total_lookup_header,0)+1,0))</f>
        <v>0.37466773589115104</v>
      </c>
      <c r="N218">
        <f t="shared" ca="1" si="3"/>
        <v>0</v>
      </c>
    </row>
    <row r="219" spans="1:14" x14ac:dyDescent="0.25">
      <c r="A219">
        <v>400578401</v>
      </c>
      <c r="B219">
        <v>2015</v>
      </c>
      <c r="C219" s="1">
        <v>41955</v>
      </c>
      <c r="D219" t="s">
        <v>25</v>
      </c>
      <c r="E219">
        <v>1</v>
      </c>
      <c r="F219">
        <v>6</v>
      </c>
      <c r="G219">
        <v>2</v>
      </c>
      <c r="H219">
        <v>1</v>
      </c>
      <c r="I219" t="s">
        <v>25</v>
      </c>
      <c r="J219">
        <v>107</v>
      </c>
      <c r="K219" t="s">
        <v>33</v>
      </c>
      <c r="L219">
        <v>103</v>
      </c>
      <c r="M219">
        <f>IF(D219=I219,VLOOKUP(D219,a_win_totals_lookup,MATCH(K219,a_wins_total_lookup_header,0)+1,0),VLOOKUP(D219,a_win_totals_lookup,MATCH(I219,a_wins_total_lookup_header,0)+1,0))</f>
        <v>0.6253322641088489</v>
      </c>
      <c r="N219">
        <f t="shared" ca="1" si="3"/>
        <v>0</v>
      </c>
    </row>
    <row r="220" spans="1:14" x14ac:dyDescent="0.25">
      <c r="A220">
        <v>400578402</v>
      </c>
      <c r="B220">
        <v>2015</v>
      </c>
      <c r="C220" s="1">
        <v>41955</v>
      </c>
      <c r="D220" t="s">
        <v>26</v>
      </c>
      <c r="E220">
        <v>1</v>
      </c>
      <c r="F220">
        <v>4</v>
      </c>
      <c r="G220">
        <v>3</v>
      </c>
      <c r="H220">
        <v>1</v>
      </c>
      <c r="I220" t="s">
        <v>26</v>
      </c>
      <c r="J220">
        <v>100</v>
      </c>
      <c r="K220" t="s">
        <v>34</v>
      </c>
      <c r="L220">
        <v>97</v>
      </c>
      <c r="M220">
        <f>IF(D220=I220,VLOOKUP(D220,a_win_totals_lookup,MATCH(K220,a_wins_total_lookup_header,0)+1,0),VLOOKUP(D220,a_win_totals_lookup,MATCH(I220,a_wins_total_lookup_header,0)+1,0))</f>
        <v>0.64759781623680968</v>
      </c>
      <c r="N220">
        <f t="shared" ca="1" si="3"/>
        <v>1</v>
      </c>
    </row>
    <row r="221" spans="1:14" x14ac:dyDescent="0.25">
      <c r="A221">
        <v>400578402</v>
      </c>
      <c r="B221">
        <v>2015</v>
      </c>
      <c r="C221" s="1">
        <v>41955</v>
      </c>
      <c r="D221" t="s">
        <v>34</v>
      </c>
      <c r="E221">
        <v>0</v>
      </c>
      <c r="F221">
        <v>3</v>
      </c>
      <c r="G221">
        <v>6</v>
      </c>
      <c r="H221">
        <v>0</v>
      </c>
      <c r="I221" t="s">
        <v>26</v>
      </c>
      <c r="J221">
        <v>100</v>
      </c>
      <c r="K221" t="s">
        <v>34</v>
      </c>
      <c r="L221">
        <v>97</v>
      </c>
      <c r="M221">
        <f>IF(D221=I221,VLOOKUP(D221,a_win_totals_lookup,MATCH(K221,a_wins_total_lookup_header,0)+1,0),VLOOKUP(D221,a_win_totals_lookup,MATCH(I221,a_wins_total_lookup_header,0)+1,0))</f>
        <v>0.35240218376319032</v>
      </c>
      <c r="N221">
        <f t="shared" ca="1" si="3"/>
        <v>0</v>
      </c>
    </row>
    <row r="222" spans="1:14" x14ac:dyDescent="0.25">
      <c r="A222">
        <v>400578403</v>
      </c>
      <c r="B222">
        <v>2015</v>
      </c>
      <c r="C222" s="1">
        <v>41955</v>
      </c>
      <c r="D222" t="s">
        <v>22</v>
      </c>
      <c r="E222">
        <v>0</v>
      </c>
      <c r="F222">
        <v>3</v>
      </c>
      <c r="G222">
        <v>4</v>
      </c>
      <c r="H222">
        <v>1</v>
      </c>
      <c r="I222" t="s">
        <v>22</v>
      </c>
      <c r="J222">
        <v>94</v>
      </c>
      <c r="K222" t="s">
        <v>38</v>
      </c>
      <c r="L222">
        <v>109</v>
      </c>
      <c r="M222">
        <f>IF(D222=I222,VLOOKUP(D222,a_win_totals_lookup,MATCH(K222,a_wins_total_lookup_header,0)+1,0),VLOOKUP(D222,a_win_totals_lookup,MATCH(I222,a_wins_total_lookup_header,0)+1,0))</f>
        <v>0.23114261401714065</v>
      </c>
      <c r="N222">
        <f t="shared" ca="1" si="3"/>
        <v>0</v>
      </c>
    </row>
    <row r="223" spans="1:14" x14ac:dyDescent="0.25">
      <c r="A223">
        <v>400578403</v>
      </c>
      <c r="B223">
        <v>2015</v>
      </c>
      <c r="C223" s="1">
        <v>41955</v>
      </c>
      <c r="D223" t="s">
        <v>38</v>
      </c>
      <c r="E223">
        <v>1</v>
      </c>
      <c r="F223">
        <v>3</v>
      </c>
      <c r="G223">
        <v>6</v>
      </c>
      <c r="H223">
        <v>0</v>
      </c>
      <c r="I223" t="s">
        <v>22</v>
      </c>
      <c r="J223">
        <v>94</v>
      </c>
      <c r="K223" t="s">
        <v>38</v>
      </c>
      <c r="L223">
        <v>109</v>
      </c>
      <c r="M223">
        <f>IF(D223=I223,VLOOKUP(D223,a_win_totals_lookup,MATCH(K223,a_wins_total_lookup_header,0)+1,0),VLOOKUP(D223,a_win_totals_lookup,MATCH(I223,a_wins_total_lookup_header,0)+1,0))</f>
        <v>0.76885738598285935</v>
      </c>
      <c r="N223">
        <f t="shared" ca="1" si="3"/>
        <v>1</v>
      </c>
    </row>
    <row r="224" spans="1:14" x14ac:dyDescent="0.25">
      <c r="A224">
        <v>400578404</v>
      </c>
      <c r="B224">
        <v>2015</v>
      </c>
      <c r="C224" s="1">
        <v>41955</v>
      </c>
      <c r="D224" t="s">
        <v>20</v>
      </c>
      <c r="E224">
        <v>1</v>
      </c>
      <c r="F224">
        <v>3</v>
      </c>
      <c r="G224">
        <v>6</v>
      </c>
      <c r="H224">
        <v>0</v>
      </c>
      <c r="I224" t="s">
        <v>24</v>
      </c>
      <c r="J224">
        <v>75</v>
      </c>
      <c r="K224" t="s">
        <v>20</v>
      </c>
      <c r="L224">
        <v>81</v>
      </c>
      <c r="M224">
        <f>IF(D224=I224,VLOOKUP(D224,a_win_totals_lookup,MATCH(K224,a_wins_total_lookup_header,0)+1,0),VLOOKUP(D224,a_win_totals_lookup,MATCH(I224,a_wins_total_lookup_header,0)+1,0))</f>
        <v>0.38957517755485771</v>
      </c>
      <c r="N224">
        <f t="shared" ca="1" si="3"/>
        <v>0</v>
      </c>
    </row>
    <row r="225" spans="1:14" x14ac:dyDescent="0.25">
      <c r="A225">
        <v>400578404</v>
      </c>
      <c r="B225">
        <v>2015</v>
      </c>
      <c r="C225" s="1">
        <v>41955</v>
      </c>
      <c r="D225" t="s">
        <v>24</v>
      </c>
      <c r="E225">
        <v>0</v>
      </c>
      <c r="F225">
        <v>5</v>
      </c>
      <c r="G225">
        <v>3</v>
      </c>
      <c r="H225">
        <v>1</v>
      </c>
      <c r="I225" t="s">
        <v>24</v>
      </c>
      <c r="J225">
        <v>75</v>
      </c>
      <c r="K225" t="s">
        <v>20</v>
      </c>
      <c r="L225">
        <v>81</v>
      </c>
      <c r="M225">
        <f>IF(D225=I225,VLOOKUP(D225,a_win_totals_lookup,MATCH(K225,a_wins_total_lookup_header,0)+1,0),VLOOKUP(D225,a_win_totals_lookup,MATCH(I225,a_wins_total_lookup_header,0)+1,0))</f>
        <v>0.61042482244514229</v>
      </c>
      <c r="N225">
        <f t="shared" ca="1" si="3"/>
        <v>1</v>
      </c>
    </row>
    <row r="226" spans="1:14" x14ac:dyDescent="0.25">
      <c r="A226">
        <v>400578405</v>
      </c>
      <c r="B226">
        <v>2015</v>
      </c>
      <c r="C226" s="1">
        <v>41955</v>
      </c>
      <c r="D226" t="s">
        <v>31</v>
      </c>
      <c r="E226">
        <v>0</v>
      </c>
      <c r="F226">
        <v>2</v>
      </c>
      <c r="G226">
        <v>7</v>
      </c>
      <c r="H226">
        <v>1</v>
      </c>
      <c r="I226" t="s">
        <v>31</v>
      </c>
      <c r="J226">
        <v>95</v>
      </c>
      <c r="K226" t="s">
        <v>13</v>
      </c>
      <c r="L226">
        <v>97</v>
      </c>
      <c r="M226">
        <f>IF(D226=I226,VLOOKUP(D226,a_win_totals_lookup,MATCH(K226,a_wins_total_lookup_header,0)+1,0),VLOOKUP(D226,a_win_totals_lookup,MATCH(I226,a_wins_total_lookup_header,0)+1,0))</f>
        <v>0.61088100448941873</v>
      </c>
      <c r="N226">
        <f t="shared" ca="1" si="3"/>
        <v>0</v>
      </c>
    </row>
    <row r="227" spans="1:14" x14ac:dyDescent="0.25">
      <c r="A227">
        <v>400578405</v>
      </c>
      <c r="B227">
        <v>2015</v>
      </c>
      <c r="C227" s="1">
        <v>41955</v>
      </c>
      <c r="D227" t="s">
        <v>13</v>
      </c>
      <c r="E227">
        <v>1</v>
      </c>
      <c r="F227">
        <v>3</v>
      </c>
      <c r="G227">
        <v>6</v>
      </c>
      <c r="H227">
        <v>0</v>
      </c>
      <c r="I227" t="s">
        <v>31</v>
      </c>
      <c r="J227">
        <v>95</v>
      </c>
      <c r="K227" t="s">
        <v>13</v>
      </c>
      <c r="L227">
        <v>97</v>
      </c>
      <c r="M227">
        <f>IF(D227=I227,VLOOKUP(D227,a_win_totals_lookup,MATCH(K227,a_wins_total_lookup_header,0)+1,0),VLOOKUP(D227,a_win_totals_lookup,MATCH(I227,a_wins_total_lookup_header,0)+1,0))</f>
        <v>0.38911899551058127</v>
      </c>
      <c r="N227">
        <f t="shared" ca="1" si="3"/>
        <v>1</v>
      </c>
    </row>
    <row r="228" spans="1:14" x14ac:dyDescent="0.25">
      <c r="A228">
        <v>400578406</v>
      </c>
      <c r="B228">
        <v>2015</v>
      </c>
      <c r="C228" s="1">
        <v>41955</v>
      </c>
      <c r="D228" t="s">
        <v>17</v>
      </c>
      <c r="E228">
        <v>0</v>
      </c>
      <c r="F228">
        <v>1</v>
      </c>
      <c r="G228">
        <v>7</v>
      </c>
      <c r="H228">
        <v>0</v>
      </c>
      <c r="I228" t="s">
        <v>12</v>
      </c>
      <c r="J228">
        <v>109</v>
      </c>
      <c r="K228" t="s">
        <v>17</v>
      </c>
      <c r="L228">
        <v>102</v>
      </c>
      <c r="M228">
        <f>IF(D228=I228,VLOOKUP(D228,a_win_totals_lookup,MATCH(K228,a_wins_total_lookup_header,0)+1,0),VLOOKUP(D228,a_win_totals_lookup,MATCH(I228,a_wins_total_lookup_header,0)+1,0))</f>
        <v>0.40952872102451271</v>
      </c>
      <c r="N228">
        <f t="shared" ca="1" si="3"/>
        <v>0</v>
      </c>
    </row>
    <row r="229" spans="1:14" x14ac:dyDescent="0.25">
      <c r="A229">
        <v>400578406</v>
      </c>
      <c r="B229">
        <v>2015</v>
      </c>
      <c r="C229" s="1">
        <v>41955</v>
      </c>
      <c r="D229" t="s">
        <v>12</v>
      </c>
      <c r="E229">
        <v>1</v>
      </c>
      <c r="F229">
        <v>4</v>
      </c>
      <c r="G229">
        <v>3</v>
      </c>
      <c r="H229">
        <v>1</v>
      </c>
      <c r="I229" t="s">
        <v>12</v>
      </c>
      <c r="J229">
        <v>109</v>
      </c>
      <c r="K229" t="s">
        <v>17</v>
      </c>
      <c r="L229">
        <v>102</v>
      </c>
      <c r="M229">
        <f>IF(D229=I229,VLOOKUP(D229,a_win_totals_lookup,MATCH(K229,a_wins_total_lookup_header,0)+1,0),VLOOKUP(D229,a_win_totals_lookup,MATCH(I229,a_wins_total_lookup_header,0)+1,0))</f>
        <v>0.59047127897548735</v>
      </c>
      <c r="N229">
        <f t="shared" ca="1" si="3"/>
        <v>1</v>
      </c>
    </row>
    <row r="230" spans="1:14" x14ac:dyDescent="0.25">
      <c r="A230">
        <v>400578407</v>
      </c>
      <c r="B230">
        <v>2015</v>
      </c>
      <c r="C230" s="1">
        <v>41955</v>
      </c>
      <c r="D230" t="s">
        <v>32</v>
      </c>
      <c r="E230">
        <v>0</v>
      </c>
      <c r="F230">
        <v>1</v>
      </c>
      <c r="G230">
        <v>6</v>
      </c>
      <c r="H230">
        <v>1</v>
      </c>
      <c r="I230" t="s">
        <v>32</v>
      </c>
      <c r="J230">
        <v>113</v>
      </c>
      <c r="K230" t="s">
        <v>39</v>
      </c>
      <c r="L230">
        <v>130</v>
      </c>
      <c r="M230">
        <f>IF(D230=I230,VLOOKUP(D230,a_win_totals_lookup,MATCH(K230,a_wins_total_lookup_header,0)+1,0),VLOOKUP(D230,a_win_totals_lookup,MATCH(I230,a_wins_total_lookup_header,0)+1,0))</f>
        <v>0.40843302990522401</v>
      </c>
      <c r="N230">
        <f t="shared" ca="1" si="3"/>
        <v>1</v>
      </c>
    </row>
    <row r="231" spans="1:14" x14ac:dyDescent="0.25">
      <c r="A231">
        <v>400578407</v>
      </c>
      <c r="B231">
        <v>2015</v>
      </c>
      <c r="C231" s="1">
        <v>41955</v>
      </c>
      <c r="D231" t="s">
        <v>39</v>
      </c>
      <c r="E231">
        <v>1</v>
      </c>
      <c r="F231">
        <v>6</v>
      </c>
      <c r="G231">
        <v>3</v>
      </c>
      <c r="H231">
        <v>0</v>
      </c>
      <c r="I231" t="s">
        <v>32</v>
      </c>
      <c r="J231">
        <v>113</v>
      </c>
      <c r="K231" t="s">
        <v>39</v>
      </c>
      <c r="L231">
        <v>130</v>
      </c>
      <c r="M231">
        <f>IF(D231=I231,VLOOKUP(D231,a_win_totals_lookup,MATCH(K231,a_wins_total_lookup_header,0)+1,0),VLOOKUP(D231,a_win_totals_lookup,MATCH(I231,a_wins_total_lookup_header,0)+1,0))</f>
        <v>0.59156697009477588</v>
      </c>
      <c r="N231">
        <f t="shared" ca="1" si="3"/>
        <v>1</v>
      </c>
    </row>
    <row r="232" spans="1:14" x14ac:dyDescent="0.25">
      <c r="A232">
        <v>400578408</v>
      </c>
      <c r="B232">
        <v>2015</v>
      </c>
      <c r="C232" s="1">
        <v>41955</v>
      </c>
      <c r="D232" t="s">
        <v>23</v>
      </c>
      <c r="E232">
        <v>0</v>
      </c>
      <c r="F232">
        <v>4</v>
      </c>
      <c r="G232">
        <v>3</v>
      </c>
      <c r="H232">
        <v>0</v>
      </c>
      <c r="I232" t="s">
        <v>35</v>
      </c>
      <c r="J232">
        <v>112</v>
      </c>
      <c r="K232" t="s">
        <v>23</v>
      </c>
      <c r="L232">
        <v>104</v>
      </c>
      <c r="M232">
        <f>IF(D232=I232,VLOOKUP(D232,a_win_totals_lookup,MATCH(K232,a_wins_total_lookup_header,0)+1,0),VLOOKUP(D232,a_win_totals_lookup,MATCH(I232,a_wins_total_lookup_header,0)+1,0))</f>
        <v>0.46071121990694175</v>
      </c>
      <c r="N232">
        <f t="shared" ca="1" si="3"/>
        <v>0</v>
      </c>
    </row>
    <row r="233" spans="1:14" x14ac:dyDescent="0.25">
      <c r="A233">
        <v>400578408</v>
      </c>
      <c r="B233">
        <v>2015</v>
      </c>
      <c r="C233" s="1">
        <v>41955</v>
      </c>
      <c r="D233" t="s">
        <v>35</v>
      </c>
      <c r="E233">
        <v>1</v>
      </c>
      <c r="F233">
        <v>5</v>
      </c>
      <c r="G233">
        <v>3</v>
      </c>
      <c r="H233">
        <v>1</v>
      </c>
      <c r="I233" t="s">
        <v>35</v>
      </c>
      <c r="J233">
        <v>112</v>
      </c>
      <c r="K233" t="s">
        <v>23</v>
      </c>
      <c r="L233">
        <v>104</v>
      </c>
      <c r="M233">
        <f>IF(D233=I233,VLOOKUP(D233,a_win_totals_lookup,MATCH(K233,a_wins_total_lookup_header,0)+1,0),VLOOKUP(D233,a_win_totals_lookup,MATCH(I233,a_wins_total_lookup_header,0)+1,0))</f>
        <v>0.53928878009305825</v>
      </c>
      <c r="N233">
        <f t="shared" ca="1" si="3"/>
        <v>1</v>
      </c>
    </row>
    <row r="234" spans="1:14" x14ac:dyDescent="0.25">
      <c r="A234">
        <v>400578409</v>
      </c>
      <c r="B234">
        <v>2015</v>
      </c>
      <c r="C234" s="1">
        <v>41955</v>
      </c>
      <c r="D234" t="s">
        <v>16</v>
      </c>
      <c r="E234">
        <v>1</v>
      </c>
      <c r="F234">
        <v>7</v>
      </c>
      <c r="G234">
        <v>1</v>
      </c>
      <c r="H234">
        <v>0</v>
      </c>
      <c r="I234" t="s">
        <v>29</v>
      </c>
      <c r="J234">
        <v>101</v>
      </c>
      <c r="K234" t="s">
        <v>16</v>
      </c>
      <c r="L234">
        <v>113</v>
      </c>
      <c r="M234">
        <f>IF(D234=I234,VLOOKUP(D234,a_win_totals_lookup,MATCH(K234,a_wins_total_lookup_header,0)+1,0),VLOOKUP(D234,a_win_totals_lookup,MATCH(I234,a_wins_total_lookup_header,0)+1,0))</f>
        <v>0.73276177017311905</v>
      </c>
      <c r="N234">
        <f t="shared" ca="1" si="3"/>
        <v>1</v>
      </c>
    </row>
    <row r="235" spans="1:14" x14ac:dyDescent="0.25">
      <c r="A235">
        <v>400578409</v>
      </c>
      <c r="B235">
        <v>2015</v>
      </c>
      <c r="C235" s="1">
        <v>41955</v>
      </c>
      <c r="D235" t="s">
        <v>29</v>
      </c>
      <c r="E235">
        <v>0</v>
      </c>
      <c r="F235">
        <v>2</v>
      </c>
      <c r="G235">
        <v>5</v>
      </c>
      <c r="H235">
        <v>1</v>
      </c>
      <c r="I235" t="s">
        <v>29</v>
      </c>
      <c r="J235">
        <v>101</v>
      </c>
      <c r="K235" t="s">
        <v>16</v>
      </c>
      <c r="L235">
        <v>113</v>
      </c>
      <c r="M235">
        <f>IF(D235=I235,VLOOKUP(D235,a_win_totals_lookup,MATCH(K235,a_wins_total_lookup_header,0)+1,0),VLOOKUP(D235,a_win_totals_lookup,MATCH(I235,a_wins_total_lookup_header,0)+1,0))</f>
        <v>0.267238229826881</v>
      </c>
      <c r="N235">
        <f t="shared" ca="1" si="3"/>
        <v>0</v>
      </c>
    </row>
    <row r="236" spans="1:14" x14ac:dyDescent="0.25">
      <c r="A236">
        <v>400578410</v>
      </c>
      <c r="B236">
        <v>2015</v>
      </c>
      <c r="C236" s="1">
        <v>41956</v>
      </c>
      <c r="D236" t="s">
        <v>28</v>
      </c>
      <c r="E236">
        <v>1</v>
      </c>
      <c r="F236">
        <v>8</v>
      </c>
      <c r="G236">
        <v>1</v>
      </c>
      <c r="H236">
        <v>1</v>
      </c>
      <c r="I236" t="s">
        <v>28</v>
      </c>
      <c r="J236">
        <v>111</v>
      </c>
      <c r="K236" t="s">
        <v>37</v>
      </c>
      <c r="L236">
        <v>110</v>
      </c>
      <c r="M236">
        <f>IF(D236=I236,VLOOKUP(D236,a_win_totals_lookup,MATCH(K236,a_wins_total_lookup_header,0)+1,0),VLOOKUP(D236,a_win_totals_lookup,MATCH(I236,a_wins_total_lookup_header,0)+1,0))</f>
        <v>0.67190542095206907</v>
      </c>
      <c r="N236">
        <f t="shared" ca="1" si="3"/>
        <v>0</v>
      </c>
    </row>
    <row r="237" spans="1:14" x14ac:dyDescent="0.25">
      <c r="A237">
        <v>400578410</v>
      </c>
      <c r="B237">
        <v>2015</v>
      </c>
      <c r="C237" s="1">
        <v>41956</v>
      </c>
      <c r="D237" t="s">
        <v>37</v>
      </c>
      <c r="E237">
        <v>0</v>
      </c>
      <c r="F237">
        <v>5</v>
      </c>
      <c r="G237">
        <v>4</v>
      </c>
      <c r="H237">
        <v>0</v>
      </c>
      <c r="I237" t="s">
        <v>28</v>
      </c>
      <c r="J237">
        <v>111</v>
      </c>
      <c r="K237" t="s">
        <v>37</v>
      </c>
      <c r="L237">
        <v>110</v>
      </c>
      <c r="M237">
        <f>IF(D237=I237,VLOOKUP(D237,a_win_totals_lookup,MATCH(K237,a_wins_total_lookup_header,0)+1,0),VLOOKUP(D237,a_win_totals_lookup,MATCH(I237,a_wins_total_lookup_header,0)+1,0))</f>
        <v>0.32809457904793099</v>
      </c>
      <c r="N237">
        <f t="shared" ca="1" si="3"/>
        <v>1</v>
      </c>
    </row>
    <row r="238" spans="1:14" x14ac:dyDescent="0.25">
      <c r="A238">
        <v>400578411</v>
      </c>
      <c r="B238">
        <v>2015</v>
      </c>
      <c r="C238" s="1">
        <v>41956</v>
      </c>
      <c r="D238" t="s">
        <v>30</v>
      </c>
      <c r="E238">
        <v>1</v>
      </c>
      <c r="F238">
        <v>7</v>
      </c>
      <c r="G238">
        <v>2</v>
      </c>
      <c r="H238">
        <v>0</v>
      </c>
      <c r="I238" t="s">
        <v>27</v>
      </c>
      <c r="J238">
        <v>93</v>
      </c>
      <c r="K238" t="s">
        <v>30</v>
      </c>
      <c r="L238">
        <v>100</v>
      </c>
      <c r="M238">
        <f>IF(D238=I238,VLOOKUP(D238,a_win_totals_lookup,MATCH(K238,a_wins_total_lookup_header,0)+1,0),VLOOKUP(D238,a_win_totals_lookup,MATCH(I238,a_wins_total_lookup_header,0)+1,0))</f>
        <v>0.52596063059506537</v>
      </c>
      <c r="N238">
        <f t="shared" ca="1" si="3"/>
        <v>0</v>
      </c>
    </row>
    <row r="239" spans="1:14" x14ac:dyDescent="0.25">
      <c r="A239">
        <v>400578411</v>
      </c>
      <c r="B239">
        <v>2015</v>
      </c>
      <c r="C239" s="1">
        <v>41956</v>
      </c>
      <c r="D239" t="s">
        <v>27</v>
      </c>
      <c r="E239">
        <v>0</v>
      </c>
      <c r="F239">
        <v>7</v>
      </c>
      <c r="G239">
        <v>2</v>
      </c>
      <c r="H239">
        <v>1</v>
      </c>
      <c r="I239" t="s">
        <v>27</v>
      </c>
      <c r="J239">
        <v>93</v>
      </c>
      <c r="K239" t="s">
        <v>30</v>
      </c>
      <c r="L239">
        <v>100</v>
      </c>
      <c r="M239">
        <f>IF(D239=I239,VLOOKUP(D239,a_win_totals_lookup,MATCH(K239,a_wins_total_lookup_header,0)+1,0),VLOOKUP(D239,a_win_totals_lookup,MATCH(I239,a_wins_total_lookup_header,0)+1,0))</f>
        <v>0.47403936940493457</v>
      </c>
      <c r="N239">
        <f t="shared" ca="1" si="3"/>
        <v>0</v>
      </c>
    </row>
    <row r="240" spans="1:14" x14ac:dyDescent="0.25">
      <c r="A240">
        <v>400578412</v>
      </c>
      <c r="B240">
        <v>2015</v>
      </c>
      <c r="C240" s="1">
        <v>41956</v>
      </c>
      <c r="D240" t="s">
        <v>14</v>
      </c>
      <c r="E240">
        <v>1</v>
      </c>
      <c r="F240">
        <v>6</v>
      </c>
      <c r="G240">
        <v>3</v>
      </c>
      <c r="H240">
        <v>1</v>
      </c>
      <c r="I240" t="s">
        <v>14</v>
      </c>
      <c r="J240">
        <v>123</v>
      </c>
      <c r="K240" t="s">
        <v>21</v>
      </c>
      <c r="L240">
        <v>70</v>
      </c>
      <c r="M240">
        <f>IF(D240=I240,VLOOKUP(D240,a_win_totals_lookup,MATCH(K240,a_wins_total_lookup_header,0)+1,0),VLOOKUP(D240,a_win_totals_lookup,MATCH(I240,a_wins_total_lookup_header,0)+1,0))</f>
        <v>0.78665142374290065</v>
      </c>
      <c r="N240">
        <f t="shared" ca="1" si="3"/>
        <v>1</v>
      </c>
    </row>
    <row r="241" spans="1:14" x14ac:dyDescent="0.25">
      <c r="A241">
        <v>400578412</v>
      </c>
      <c r="B241">
        <v>2015</v>
      </c>
      <c r="C241" s="1">
        <v>41956</v>
      </c>
      <c r="D241" t="s">
        <v>21</v>
      </c>
      <c r="E241">
        <v>0</v>
      </c>
      <c r="F241">
        <v>0</v>
      </c>
      <c r="G241">
        <v>8</v>
      </c>
      <c r="H241">
        <v>0</v>
      </c>
      <c r="I241" t="s">
        <v>14</v>
      </c>
      <c r="J241">
        <v>123</v>
      </c>
      <c r="K241" t="s">
        <v>21</v>
      </c>
      <c r="L241">
        <v>70</v>
      </c>
      <c r="M241">
        <f>IF(D241=I241,VLOOKUP(D241,a_win_totals_lookup,MATCH(K241,a_wins_total_lookup_header,0)+1,0),VLOOKUP(D241,a_win_totals_lookup,MATCH(I241,a_wins_total_lookup_header,0)+1,0))</f>
        <v>0.21334857625709938</v>
      </c>
      <c r="N241">
        <f t="shared" ca="1" si="3"/>
        <v>1</v>
      </c>
    </row>
    <row r="242" spans="1:14" x14ac:dyDescent="0.25">
      <c r="A242">
        <v>400578413</v>
      </c>
      <c r="B242">
        <v>2015</v>
      </c>
      <c r="C242" s="1">
        <v>41956</v>
      </c>
      <c r="D242" t="s">
        <v>23</v>
      </c>
      <c r="E242">
        <v>0</v>
      </c>
      <c r="F242">
        <v>4</v>
      </c>
      <c r="G242">
        <v>4</v>
      </c>
      <c r="H242">
        <v>0</v>
      </c>
      <c r="I242" t="s">
        <v>36</v>
      </c>
      <c r="J242">
        <v>107</v>
      </c>
      <c r="K242" t="s">
        <v>23</v>
      </c>
      <c r="L242">
        <v>99</v>
      </c>
      <c r="M242">
        <f>IF(D242=I242,VLOOKUP(D242,a_win_totals_lookup,MATCH(K242,a_wins_total_lookup_header,0)+1,0),VLOOKUP(D242,a_win_totals_lookup,MATCH(I242,a_wins_total_lookup_header,0)+1,0))</f>
        <v>0.37777969425937236</v>
      </c>
      <c r="N242">
        <f t="shared" ca="1" si="3"/>
        <v>1</v>
      </c>
    </row>
    <row r="243" spans="1:14" x14ac:dyDescent="0.25">
      <c r="A243">
        <v>400578413</v>
      </c>
      <c r="B243">
        <v>2015</v>
      </c>
      <c r="C243" s="1">
        <v>41956</v>
      </c>
      <c r="D243" t="s">
        <v>36</v>
      </c>
      <c r="E243">
        <v>1</v>
      </c>
      <c r="F243">
        <v>6</v>
      </c>
      <c r="G243">
        <v>2</v>
      </c>
      <c r="H243">
        <v>1</v>
      </c>
      <c r="I243" t="s">
        <v>36</v>
      </c>
      <c r="J243">
        <v>107</v>
      </c>
      <c r="K243" t="s">
        <v>23</v>
      </c>
      <c r="L243">
        <v>99</v>
      </c>
      <c r="M243">
        <f>IF(D243=I243,VLOOKUP(D243,a_win_totals_lookup,MATCH(K243,a_wins_total_lookup_header,0)+1,0),VLOOKUP(D243,a_win_totals_lookup,MATCH(I243,a_wins_total_lookup_header,0)+1,0))</f>
        <v>0.62222030574062748</v>
      </c>
      <c r="N243">
        <f t="shared" ca="1" si="3"/>
        <v>1</v>
      </c>
    </row>
    <row r="244" spans="1:14" x14ac:dyDescent="0.25">
      <c r="A244">
        <v>400578414</v>
      </c>
      <c r="B244">
        <v>2015</v>
      </c>
      <c r="C244" s="1">
        <v>41957</v>
      </c>
      <c r="D244" t="s">
        <v>32</v>
      </c>
      <c r="E244">
        <v>1</v>
      </c>
      <c r="F244">
        <v>2</v>
      </c>
      <c r="G244">
        <v>6</v>
      </c>
      <c r="H244">
        <v>0</v>
      </c>
      <c r="I244" t="s">
        <v>20</v>
      </c>
      <c r="J244">
        <v>87</v>
      </c>
      <c r="K244" t="s">
        <v>32</v>
      </c>
      <c r="L244">
        <v>108</v>
      </c>
      <c r="M244">
        <f>IF(D244=I244,VLOOKUP(D244,a_win_totals_lookup,MATCH(K244,a_wins_total_lookup_header,0)+1,0),VLOOKUP(D244,a_win_totals_lookup,MATCH(I244,a_wins_total_lookup_header,0)+1,0))</f>
        <v>0.56072770135857142</v>
      </c>
      <c r="N244">
        <f t="shared" ca="1" si="3"/>
        <v>0</v>
      </c>
    </row>
    <row r="245" spans="1:14" x14ac:dyDescent="0.25">
      <c r="A245">
        <v>400578414</v>
      </c>
      <c r="B245">
        <v>2015</v>
      </c>
      <c r="C245" s="1">
        <v>41957</v>
      </c>
      <c r="D245" t="s">
        <v>20</v>
      </c>
      <c r="E245">
        <v>0</v>
      </c>
      <c r="F245">
        <v>3</v>
      </c>
      <c r="G245">
        <v>7</v>
      </c>
      <c r="H245">
        <v>1</v>
      </c>
      <c r="I245" t="s">
        <v>20</v>
      </c>
      <c r="J245">
        <v>87</v>
      </c>
      <c r="K245" t="s">
        <v>32</v>
      </c>
      <c r="L245">
        <v>108</v>
      </c>
      <c r="M245">
        <f>IF(D245=I245,VLOOKUP(D245,a_win_totals_lookup,MATCH(K245,a_wins_total_lookup_header,0)+1,0),VLOOKUP(D245,a_win_totals_lookup,MATCH(I245,a_wins_total_lookup_header,0)+1,0))</f>
        <v>0.43927229864142858</v>
      </c>
      <c r="N245">
        <f t="shared" ca="1" si="3"/>
        <v>1</v>
      </c>
    </row>
    <row r="246" spans="1:14" x14ac:dyDescent="0.25">
      <c r="A246">
        <v>400578415</v>
      </c>
      <c r="B246">
        <v>2015</v>
      </c>
      <c r="C246" s="1">
        <v>41957</v>
      </c>
      <c r="D246" t="s">
        <v>19</v>
      </c>
      <c r="E246">
        <v>0</v>
      </c>
      <c r="F246">
        <v>4</v>
      </c>
      <c r="G246">
        <v>5</v>
      </c>
      <c r="H246">
        <v>0</v>
      </c>
      <c r="I246" t="s">
        <v>13</v>
      </c>
      <c r="J246">
        <v>101</v>
      </c>
      <c r="K246" t="s">
        <v>19</v>
      </c>
      <c r="L246">
        <v>85</v>
      </c>
      <c r="M246">
        <f>IF(D246=I246,VLOOKUP(D246,a_win_totals_lookup,MATCH(K246,a_wins_total_lookup_header,0)+1,0),VLOOKUP(D246,a_win_totals_lookup,MATCH(I246,a_wins_total_lookup_header,0)+1,0))</f>
        <v>0.46303651516321748</v>
      </c>
      <c r="N246">
        <f t="shared" ca="1" si="3"/>
        <v>0</v>
      </c>
    </row>
    <row r="247" spans="1:14" x14ac:dyDescent="0.25">
      <c r="A247">
        <v>400578415</v>
      </c>
      <c r="B247">
        <v>2015</v>
      </c>
      <c r="C247" s="1">
        <v>41957</v>
      </c>
      <c r="D247" t="s">
        <v>13</v>
      </c>
      <c r="E247">
        <v>1</v>
      </c>
      <c r="F247">
        <v>4</v>
      </c>
      <c r="G247">
        <v>6</v>
      </c>
      <c r="H247">
        <v>1</v>
      </c>
      <c r="I247" t="s">
        <v>13</v>
      </c>
      <c r="J247">
        <v>101</v>
      </c>
      <c r="K247" t="s">
        <v>19</v>
      </c>
      <c r="L247">
        <v>85</v>
      </c>
      <c r="M247">
        <f>IF(D247=I247,VLOOKUP(D247,a_win_totals_lookup,MATCH(K247,a_wins_total_lookup_header,0)+1,0),VLOOKUP(D247,a_win_totals_lookup,MATCH(I247,a_wins_total_lookup_header,0)+1,0))</f>
        <v>0.53696348483678247</v>
      </c>
      <c r="N247">
        <f t="shared" ca="1" si="3"/>
        <v>0</v>
      </c>
    </row>
    <row r="248" spans="1:14" x14ac:dyDescent="0.25">
      <c r="A248">
        <v>400578416</v>
      </c>
      <c r="B248">
        <v>2015</v>
      </c>
      <c r="C248" s="1">
        <v>41957</v>
      </c>
      <c r="D248" t="s">
        <v>26</v>
      </c>
      <c r="E248">
        <v>1</v>
      </c>
      <c r="F248">
        <v>5</v>
      </c>
      <c r="G248">
        <v>3</v>
      </c>
      <c r="H248">
        <v>1</v>
      </c>
      <c r="I248" t="s">
        <v>26</v>
      </c>
      <c r="J248">
        <v>114</v>
      </c>
      <c r="K248" t="s">
        <v>24</v>
      </c>
      <c r="L248">
        <v>103</v>
      </c>
      <c r="M248">
        <f>IF(D248=I248,VLOOKUP(D248,a_win_totals_lookup,MATCH(K248,a_wins_total_lookup_header,0)+1,0),VLOOKUP(D248,a_win_totals_lookup,MATCH(I248,a_wins_total_lookup_header,0)+1,0))</f>
        <v>0.48812658255436298</v>
      </c>
      <c r="N248">
        <f t="shared" ca="1" si="3"/>
        <v>0</v>
      </c>
    </row>
    <row r="249" spans="1:14" x14ac:dyDescent="0.25">
      <c r="A249">
        <v>400578416</v>
      </c>
      <c r="B249">
        <v>2015</v>
      </c>
      <c r="C249" s="1">
        <v>41957</v>
      </c>
      <c r="D249" t="s">
        <v>24</v>
      </c>
      <c r="E249">
        <v>0</v>
      </c>
      <c r="F249">
        <v>5</v>
      </c>
      <c r="G249">
        <v>4</v>
      </c>
      <c r="H249">
        <v>0</v>
      </c>
      <c r="I249" t="s">
        <v>26</v>
      </c>
      <c r="J249">
        <v>114</v>
      </c>
      <c r="K249" t="s">
        <v>24</v>
      </c>
      <c r="L249">
        <v>103</v>
      </c>
      <c r="M249">
        <f>IF(D249=I249,VLOOKUP(D249,a_win_totals_lookup,MATCH(K249,a_wins_total_lookup_header,0)+1,0),VLOOKUP(D249,a_win_totals_lookup,MATCH(I249,a_wins_total_lookup_header,0)+1,0))</f>
        <v>0.51187341744563697</v>
      </c>
      <c r="N249">
        <f t="shared" ca="1" si="3"/>
        <v>1</v>
      </c>
    </row>
    <row r="250" spans="1:14" x14ac:dyDescent="0.25">
      <c r="A250">
        <v>400578417</v>
      </c>
      <c r="B250">
        <v>2015</v>
      </c>
      <c r="C250" s="1">
        <v>41957</v>
      </c>
      <c r="D250" t="s">
        <v>22</v>
      </c>
      <c r="E250">
        <v>0</v>
      </c>
      <c r="F250">
        <v>3</v>
      </c>
      <c r="G250">
        <v>5</v>
      </c>
      <c r="H250">
        <v>1</v>
      </c>
      <c r="I250" t="s">
        <v>22</v>
      </c>
      <c r="J250">
        <v>121</v>
      </c>
      <c r="K250" t="s">
        <v>40</v>
      </c>
      <c r="L250">
        <v>122</v>
      </c>
      <c r="M250">
        <f>IF(D250=I250,VLOOKUP(D250,a_win_totals_lookup,MATCH(K250,a_wins_total_lookup_header,0)+1,0),VLOOKUP(D250,a_win_totals_lookup,MATCH(I250,a_wins_total_lookup_header,0)+1,0))</f>
        <v>0.21564873302704085</v>
      </c>
      <c r="N250">
        <f t="shared" ca="1" si="3"/>
        <v>0</v>
      </c>
    </row>
    <row r="251" spans="1:14" x14ac:dyDescent="0.25">
      <c r="A251">
        <v>400578417</v>
      </c>
      <c r="B251">
        <v>2015</v>
      </c>
      <c r="C251" s="1">
        <v>41957</v>
      </c>
      <c r="D251" t="s">
        <v>40</v>
      </c>
      <c r="E251">
        <v>1</v>
      </c>
      <c r="F251">
        <v>4</v>
      </c>
      <c r="G251">
        <v>3</v>
      </c>
      <c r="H251">
        <v>0</v>
      </c>
      <c r="I251" t="s">
        <v>22</v>
      </c>
      <c r="J251">
        <v>121</v>
      </c>
      <c r="K251" t="s">
        <v>40</v>
      </c>
      <c r="L251">
        <v>122</v>
      </c>
      <c r="M251">
        <f>IF(D251=I251,VLOOKUP(D251,a_win_totals_lookup,MATCH(K251,a_wins_total_lookup_header,0)+1,0),VLOOKUP(D251,a_win_totals_lookup,MATCH(I251,a_wins_total_lookup_header,0)+1,0))</f>
        <v>0.7843512669729592</v>
      </c>
      <c r="N251">
        <f t="shared" ca="1" si="3"/>
        <v>1</v>
      </c>
    </row>
    <row r="252" spans="1:14" x14ac:dyDescent="0.25">
      <c r="A252">
        <v>400578418</v>
      </c>
      <c r="B252">
        <v>2015</v>
      </c>
      <c r="C252" s="1">
        <v>41957</v>
      </c>
      <c r="D252" t="s">
        <v>31</v>
      </c>
      <c r="E252">
        <v>0</v>
      </c>
      <c r="F252">
        <v>2</v>
      </c>
      <c r="G252">
        <v>8</v>
      </c>
      <c r="H252">
        <v>1</v>
      </c>
      <c r="I252" t="s">
        <v>31</v>
      </c>
      <c r="J252">
        <v>100</v>
      </c>
      <c r="K252" t="s">
        <v>34</v>
      </c>
      <c r="L252">
        <v>102</v>
      </c>
      <c r="M252">
        <f>IF(D252=I252,VLOOKUP(D252,a_win_totals_lookup,MATCH(K252,a_wins_total_lookup_header,0)+1,0),VLOOKUP(D252,a_win_totals_lookup,MATCH(I252,a_wins_total_lookup_header,0)+1,0))</f>
        <v>0.61088100448941873</v>
      </c>
      <c r="N252">
        <f t="shared" ca="1" si="3"/>
        <v>0</v>
      </c>
    </row>
    <row r="253" spans="1:14" x14ac:dyDescent="0.25">
      <c r="A253">
        <v>400578418</v>
      </c>
      <c r="B253">
        <v>2015</v>
      </c>
      <c r="C253" s="1">
        <v>41957</v>
      </c>
      <c r="D253" t="s">
        <v>34</v>
      </c>
      <c r="E253">
        <v>1</v>
      </c>
      <c r="F253">
        <v>4</v>
      </c>
      <c r="G253">
        <v>6</v>
      </c>
      <c r="H253">
        <v>0</v>
      </c>
      <c r="I253" t="s">
        <v>31</v>
      </c>
      <c r="J253">
        <v>100</v>
      </c>
      <c r="K253" t="s">
        <v>34</v>
      </c>
      <c r="L253">
        <v>102</v>
      </c>
      <c r="M253">
        <f>IF(D253=I253,VLOOKUP(D253,a_win_totals_lookup,MATCH(K253,a_wins_total_lookup_header,0)+1,0),VLOOKUP(D253,a_win_totals_lookup,MATCH(I253,a_wins_total_lookup_header,0)+1,0))</f>
        <v>0.38911899551058127</v>
      </c>
      <c r="N253">
        <f t="shared" ca="1" si="3"/>
        <v>0</v>
      </c>
    </row>
    <row r="254" spans="1:14" x14ac:dyDescent="0.25">
      <c r="A254">
        <v>400578419</v>
      </c>
      <c r="B254">
        <v>2015</v>
      </c>
      <c r="C254" s="1">
        <v>41957</v>
      </c>
      <c r="D254" t="s">
        <v>16</v>
      </c>
      <c r="E254">
        <v>1</v>
      </c>
      <c r="F254">
        <v>8</v>
      </c>
      <c r="G254">
        <v>1</v>
      </c>
      <c r="H254">
        <v>1</v>
      </c>
      <c r="I254" t="s">
        <v>16</v>
      </c>
      <c r="J254">
        <v>88</v>
      </c>
      <c r="K254" t="s">
        <v>21</v>
      </c>
      <c r="L254">
        <v>87</v>
      </c>
      <c r="M254">
        <f>IF(D254=I254,VLOOKUP(D254,a_win_totals_lookup,MATCH(K254,a_wins_total_lookup_header,0)+1,0),VLOOKUP(D254,a_win_totals_lookup,MATCH(I254,a_wins_total_lookup_header,0)+1,0))</f>
        <v>0.76268812927878615</v>
      </c>
      <c r="N254">
        <f t="shared" ca="1" si="3"/>
        <v>1</v>
      </c>
    </row>
    <row r="255" spans="1:14" x14ac:dyDescent="0.25">
      <c r="A255">
        <v>400578419</v>
      </c>
      <c r="B255">
        <v>2015</v>
      </c>
      <c r="C255" s="1">
        <v>41957</v>
      </c>
      <c r="D255" t="s">
        <v>21</v>
      </c>
      <c r="E255">
        <v>0</v>
      </c>
      <c r="F255">
        <v>0</v>
      </c>
      <c r="G255">
        <v>9</v>
      </c>
      <c r="H255">
        <v>0</v>
      </c>
      <c r="I255" t="s">
        <v>16</v>
      </c>
      <c r="J255">
        <v>88</v>
      </c>
      <c r="K255" t="s">
        <v>21</v>
      </c>
      <c r="L255">
        <v>87</v>
      </c>
      <c r="M255">
        <f>IF(D255=I255,VLOOKUP(D255,a_win_totals_lookup,MATCH(K255,a_wins_total_lookup_header,0)+1,0),VLOOKUP(D255,a_win_totals_lookup,MATCH(I255,a_wins_total_lookup_header,0)+1,0))</f>
        <v>0.23731187072121385</v>
      </c>
      <c r="N255">
        <f t="shared" ca="1" si="3"/>
        <v>0</v>
      </c>
    </row>
    <row r="256" spans="1:14" x14ac:dyDescent="0.25">
      <c r="A256">
        <v>400578420</v>
      </c>
      <c r="B256">
        <v>2015</v>
      </c>
      <c r="C256" s="1">
        <v>41957</v>
      </c>
      <c r="D256" t="s">
        <v>29</v>
      </c>
      <c r="E256">
        <v>0</v>
      </c>
      <c r="F256">
        <v>2</v>
      </c>
      <c r="G256">
        <v>6</v>
      </c>
      <c r="H256">
        <v>0</v>
      </c>
      <c r="I256" t="s">
        <v>12</v>
      </c>
      <c r="J256">
        <v>139</v>
      </c>
      <c r="K256" t="s">
        <v>29</v>
      </c>
      <c r="L256">
        <v>91</v>
      </c>
      <c r="M256">
        <f>IF(D256=I256,VLOOKUP(D256,a_win_totals_lookup,MATCH(K256,a_wins_total_lookup_header,0)+1,0),VLOOKUP(D256,a_win_totals_lookup,MATCH(I256,a_wins_total_lookup_header,0)+1,0))</f>
        <v>0.32498145759955055</v>
      </c>
      <c r="N256">
        <f t="shared" ca="1" si="3"/>
        <v>0</v>
      </c>
    </row>
    <row r="257" spans="1:14" x14ac:dyDescent="0.25">
      <c r="A257">
        <v>400578420</v>
      </c>
      <c r="B257">
        <v>2015</v>
      </c>
      <c r="C257" s="1">
        <v>41957</v>
      </c>
      <c r="D257" t="s">
        <v>12</v>
      </c>
      <c r="E257">
        <v>1</v>
      </c>
      <c r="F257">
        <v>5</v>
      </c>
      <c r="G257">
        <v>3</v>
      </c>
      <c r="H257">
        <v>1</v>
      </c>
      <c r="I257" t="s">
        <v>12</v>
      </c>
      <c r="J257">
        <v>139</v>
      </c>
      <c r="K257" t="s">
        <v>29</v>
      </c>
      <c r="L257">
        <v>91</v>
      </c>
      <c r="M257">
        <f>IF(D257=I257,VLOOKUP(D257,a_win_totals_lookup,MATCH(K257,a_wins_total_lookup_header,0)+1,0),VLOOKUP(D257,a_win_totals_lookup,MATCH(I257,a_wins_total_lookup_header,0)+1,0))</f>
        <v>0.67501854240044945</v>
      </c>
      <c r="N257">
        <f t="shared" ca="1" si="3"/>
        <v>1</v>
      </c>
    </row>
    <row r="258" spans="1:14" x14ac:dyDescent="0.25">
      <c r="A258">
        <v>400578421</v>
      </c>
      <c r="B258">
        <v>2015</v>
      </c>
      <c r="C258" s="1">
        <v>41957</v>
      </c>
      <c r="D258" t="s">
        <v>33</v>
      </c>
      <c r="E258">
        <v>1</v>
      </c>
      <c r="F258">
        <v>3</v>
      </c>
      <c r="G258">
        <v>6</v>
      </c>
      <c r="H258">
        <v>0</v>
      </c>
      <c r="I258" t="s">
        <v>38</v>
      </c>
      <c r="J258">
        <v>89</v>
      </c>
      <c r="K258" t="s">
        <v>33</v>
      </c>
      <c r="L258">
        <v>96</v>
      </c>
      <c r="M258">
        <f>IF(D258=I258,VLOOKUP(D258,a_win_totals_lookup,MATCH(K258,a_wins_total_lookup_header,0)+1,0),VLOOKUP(D258,a_win_totals_lookup,MATCH(I258,a_wins_total_lookup_header,0)+1,0))</f>
        <v>0.33060854271819196</v>
      </c>
      <c r="N258">
        <f t="shared" ca="1" si="3"/>
        <v>0</v>
      </c>
    </row>
    <row r="259" spans="1:14" x14ac:dyDescent="0.25">
      <c r="A259">
        <v>400578421</v>
      </c>
      <c r="B259">
        <v>2015</v>
      </c>
      <c r="C259" s="1">
        <v>41957</v>
      </c>
      <c r="D259" t="s">
        <v>38</v>
      </c>
      <c r="E259">
        <v>0</v>
      </c>
      <c r="F259">
        <v>3</v>
      </c>
      <c r="G259">
        <v>7</v>
      </c>
      <c r="H259">
        <v>1</v>
      </c>
      <c r="I259" t="s">
        <v>38</v>
      </c>
      <c r="J259">
        <v>89</v>
      </c>
      <c r="K259" t="s">
        <v>33</v>
      </c>
      <c r="L259">
        <v>96</v>
      </c>
      <c r="M259">
        <f>IF(D259=I259,VLOOKUP(D259,a_win_totals_lookup,MATCH(K259,a_wins_total_lookup_header,0)+1,0),VLOOKUP(D259,a_win_totals_lookup,MATCH(I259,a_wins_total_lookup_header,0)+1,0))</f>
        <v>0.66939145728180804</v>
      </c>
      <c r="N259">
        <f t="shared" ref="N259:N322" ca="1" si="4">ROUND(0.5*RANDBETWEEN(-1,1)+M259,0)</f>
        <v>0</v>
      </c>
    </row>
    <row r="260" spans="1:14" x14ac:dyDescent="0.25">
      <c r="A260">
        <v>400578422</v>
      </c>
      <c r="B260">
        <v>2015</v>
      </c>
      <c r="C260" s="1">
        <v>41957</v>
      </c>
      <c r="D260" t="s">
        <v>18</v>
      </c>
      <c r="E260">
        <v>1</v>
      </c>
      <c r="F260">
        <v>4</v>
      </c>
      <c r="G260">
        <v>5</v>
      </c>
      <c r="H260">
        <v>0</v>
      </c>
      <c r="I260" t="s">
        <v>35</v>
      </c>
      <c r="J260">
        <v>95</v>
      </c>
      <c r="K260" t="s">
        <v>18</v>
      </c>
      <c r="L260">
        <v>103</v>
      </c>
      <c r="M260">
        <f>IF(D260=I260,VLOOKUP(D260,a_win_totals_lookup,MATCH(K260,a_wins_total_lookup_header,0)+1,0),VLOOKUP(D260,a_win_totals_lookup,MATCH(I260,a_wins_total_lookup_header,0)+1,0))</f>
        <v>0.52311357171843698</v>
      </c>
      <c r="N260">
        <f t="shared" ca="1" si="4"/>
        <v>1</v>
      </c>
    </row>
    <row r="261" spans="1:14" x14ac:dyDescent="0.25">
      <c r="A261">
        <v>400578422</v>
      </c>
      <c r="B261">
        <v>2015</v>
      </c>
      <c r="C261" s="1">
        <v>41957</v>
      </c>
      <c r="D261" t="s">
        <v>35</v>
      </c>
      <c r="E261">
        <v>0</v>
      </c>
      <c r="F261">
        <v>5</v>
      </c>
      <c r="G261">
        <v>4</v>
      </c>
      <c r="H261">
        <v>1</v>
      </c>
      <c r="I261" t="s">
        <v>35</v>
      </c>
      <c r="J261">
        <v>95</v>
      </c>
      <c r="K261" t="s">
        <v>18</v>
      </c>
      <c r="L261">
        <v>103</v>
      </c>
      <c r="M261">
        <f>IF(D261=I261,VLOOKUP(D261,a_win_totals_lookup,MATCH(K261,a_wins_total_lookup_header,0)+1,0),VLOOKUP(D261,a_win_totals_lookup,MATCH(I261,a_wins_total_lookup_header,0)+1,0))</f>
        <v>0.47688642828156308</v>
      </c>
      <c r="N261">
        <f t="shared" ca="1" si="4"/>
        <v>1</v>
      </c>
    </row>
    <row r="262" spans="1:14" x14ac:dyDescent="0.25">
      <c r="A262">
        <v>400578423</v>
      </c>
      <c r="B262">
        <v>2015</v>
      </c>
      <c r="C262" s="1">
        <v>41957</v>
      </c>
      <c r="D262" t="s">
        <v>17</v>
      </c>
      <c r="E262">
        <v>0</v>
      </c>
      <c r="F262">
        <v>1</v>
      </c>
      <c r="G262">
        <v>8</v>
      </c>
      <c r="H262">
        <v>1</v>
      </c>
      <c r="I262" t="s">
        <v>17</v>
      </c>
      <c r="J262">
        <v>80</v>
      </c>
      <c r="K262" t="s">
        <v>15</v>
      </c>
      <c r="L262">
        <v>93</v>
      </c>
      <c r="M262">
        <f>IF(D262=I262,VLOOKUP(D262,a_win_totals_lookup,MATCH(K262,a_wins_total_lookup_header,0)+1,0),VLOOKUP(D262,a_win_totals_lookup,MATCH(I262,a_wins_total_lookup_header,0)+1,0))</f>
        <v>0.29215473840837614</v>
      </c>
      <c r="N262">
        <f t="shared" ca="1" si="4"/>
        <v>0</v>
      </c>
    </row>
    <row r="263" spans="1:14" x14ac:dyDescent="0.25">
      <c r="A263">
        <v>400578423</v>
      </c>
      <c r="B263">
        <v>2015</v>
      </c>
      <c r="C263" s="1">
        <v>41957</v>
      </c>
      <c r="D263" t="s">
        <v>15</v>
      </c>
      <c r="E263">
        <v>1</v>
      </c>
      <c r="F263">
        <v>5</v>
      </c>
      <c r="G263">
        <v>3</v>
      </c>
      <c r="H263">
        <v>0</v>
      </c>
      <c r="I263" t="s">
        <v>17</v>
      </c>
      <c r="J263">
        <v>80</v>
      </c>
      <c r="K263" t="s">
        <v>15</v>
      </c>
      <c r="L263">
        <v>93</v>
      </c>
      <c r="M263">
        <f>IF(D263=I263,VLOOKUP(D263,a_win_totals_lookup,MATCH(K263,a_wins_total_lookup_header,0)+1,0),VLOOKUP(D263,a_win_totals_lookup,MATCH(I263,a_wins_total_lookup_header,0)+1,0))</f>
        <v>0.70784526159162375</v>
      </c>
      <c r="N263">
        <f t="shared" ca="1" si="4"/>
        <v>0</v>
      </c>
    </row>
    <row r="264" spans="1:14" x14ac:dyDescent="0.25">
      <c r="A264">
        <v>400578424</v>
      </c>
      <c r="B264">
        <v>2015</v>
      </c>
      <c r="C264" s="1">
        <v>41958</v>
      </c>
      <c r="D264" t="s">
        <v>13</v>
      </c>
      <c r="E264">
        <v>0</v>
      </c>
      <c r="F264">
        <v>4</v>
      </c>
      <c r="G264">
        <v>7</v>
      </c>
      <c r="H264">
        <v>0</v>
      </c>
      <c r="I264" t="s">
        <v>25</v>
      </c>
      <c r="J264">
        <v>98</v>
      </c>
      <c r="K264" t="s">
        <v>13</v>
      </c>
      <c r="L264">
        <v>93</v>
      </c>
      <c r="M264">
        <f>IF(D264=I264,VLOOKUP(D264,a_win_totals_lookup,MATCH(K264,a_wins_total_lookup_header,0)+1,0),VLOOKUP(D264,a_win_totals_lookup,MATCH(I264,a_wins_total_lookup_header,0)+1,0))</f>
        <v>0.31352139396241918</v>
      </c>
      <c r="N264">
        <f t="shared" ca="1" si="4"/>
        <v>0</v>
      </c>
    </row>
    <row r="265" spans="1:14" x14ac:dyDescent="0.25">
      <c r="A265">
        <v>400578424</v>
      </c>
      <c r="B265">
        <v>2015</v>
      </c>
      <c r="C265" s="1">
        <v>41958</v>
      </c>
      <c r="D265" t="s">
        <v>25</v>
      </c>
      <c r="E265">
        <v>1</v>
      </c>
      <c r="F265">
        <v>7</v>
      </c>
      <c r="G265">
        <v>2</v>
      </c>
      <c r="H265">
        <v>1</v>
      </c>
      <c r="I265" t="s">
        <v>25</v>
      </c>
      <c r="J265">
        <v>98</v>
      </c>
      <c r="K265" t="s">
        <v>13</v>
      </c>
      <c r="L265">
        <v>93</v>
      </c>
      <c r="M265">
        <f>IF(D265=I265,VLOOKUP(D265,a_win_totals_lookup,MATCH(K265,a_wins_total_lookup_header,0)+1,0),VLOOKUP(D265,a_win_totals_lookup,MATCH(I265,a_wins_total_lookup_header,0)+1,0))</f>
        <v>0.68647860603758082</v>
      </c>
      <c r="N265">
        <f t="shared" ca="1" si="4"/>
        <v>1</v>
      </c>
    </row>
    <row r="266" spans="1:14" x14ac:dyDescent="0.25">
      <c r="A266">
        <v>400578425</v>
      </c>
      <c r="B266">
        <v>2015</v>
      </c>
      <c r="C266" s="1">
        <v>41958</v>
      </c>
      <c r="D266" t="s">
        <v>26</v>
      </c>
      <c r="E266">
        <v>0</v>
      </c>
      <c r="F266">
        <v>5</v>
      </c>
      <c r="G266">
        <v>4</v>
      </c>
      <c r="H266">
        <v>0</v>
      </c>
      <c r="I266" t="s">
        <v>40</v>
      </c>
      <c r="J266">
        <v>127</v>
      </c>
      <c r="K266" t="s">
        <v>26</v>
      </c>
      <c r="L266">
        <v>94</v>
      </c>
      <c r="M266">
        <f>IF(D266=I266,VLOOKUP(D266,a_win_totals_lookup,MATCH(K266,a_wins_total_lookup_header,0)+1,0),VLOOKUP(D266,a_win_totals_lookup,MATCH(I266,a_wins_total_lookup_header,0)+1,0))</f>
        <v>0.3875228826260283</v>
      </c>
      <c r="N266">
        <f t="shared" ca="1" si="4"/>
        <v>0</v>
      </c>
    </row>
    <row r="267" spans="1:14" x14ac:dyDescent="0.25">
      <c r="A267">
        <v>400578425</v>
      </c>
      <c r="B267">
        <v>2015</v>
      </c>
      <c r="C267" s="1">
        <v>41958</v>
      </c>
      <c r="D267" t="s">
        <v>40</v>
      </c>
      <c r="E267">
        <v>1</v>
      </c>
      <c r="F267">
        <v>5</v>
      </c>
      <c r="G267">
        <v>3</v>
      </c>
      <c r="H267">
        <v>1</v>
      </c>
      <c r="I267" t="s">
        <v>40</v>
      </c>
      <c r="J267">
        <v>127</v>
      </c>
      <c r="K267" t="s">
        <v>26</v>
      </c>
      <c r="L267">
        <v>94</v>
      </c>
      <c r="M267">
        <f>IF(D267=I267,VLOOKUP(D267,a_win_totals_lookup,MATCH(K267,a_wins_total_lookup_header,0)+1,0),VLOOKUP(D267,a_win_totals_lookup,MATCH(I267,a_wins_total_lookup_header,0)+1,0))</f>
        <v>0.6124771173739717</v>
      </c>
      <c r="N267">
        <f t="shared" ca="1" si="4"/>
        <v>0</v>
      </c>
    </row>
    <row r="268" spans="1:14" x14ac:dyDescent="0.25">
      <c r="A268">
        <v>400578426</v>
      </c>
      <c r="B268">
        <v>2015</v>
      </c>
      <c r="C268" s="1">
        <v>41958</v>
      </c>
      <c r="D268" t="s">
        <v>27</v>
      </c>
      <c r="E268">
        <v>1</v>
      </c>
      <c r="F268">
        <v>8</v>
      </c>
      <c r="G268">
        <v>2</v>
      </c>
      <c r="H268">
        <v>1</v>
      </c>
      <c r="I268" t="s">
        <v>27</v>
      </c>
      <c r="J268">
        <v>111</v>
      </c>
      <c r="K268" t="s">
        <v>34</v>
      </c>
      <c r="L268">
        <v>93</v>
      </c>
      <c r="M268">
        <f>IF(D268=I268,VLOOKUP(D268,a_win_totals_lookup,MATCH(K268,a_wins_total_lookup_header,0)+1,0),VLOOKUP(D268,a_win_totals_lookup,MATCH(I268,a_wins_total_lookup_header,0)+1,0))</f>
        <v>0.71526442122822687</v>
      </c>
      <c r="N268">
        <f t="shared" ca="1" si="4"/>
        <v>1</v>
      </c>
    </row>
    <row r="269" spans="1:14" x14ac:dyDescent="0.25">
      <c r="A269">
        <v>400578426</v>
      </c>
      <c r="B269">
        <v>2015</v>
      </c>
      <c r="C269" s="1">
        <v>41958</v>
      </c>
      <c r="D269" t="s">
        <v>34</v>
      </c>
      <c r="E269">
        <v>0</v>
      </c>
      <c r="F269">
        <v>4</v>
      </c>
      <c r="G269">
        <v>7</v>
      </c>
      <c r="H269">
        <v>0</v>
      </c>
      <c r="I269" t="s">
        <v>27</v>
      </c>
      <c r="J269">
        <v>111</v>
      </c>
      <c r="K269" t="s">
        <v>34</v>
      </c>
      <c r="L269">
        <v>93</v>
      </c>
      <c r="M269">
        <f>IF(D269=I269,VLOOKUP(D269,a_win_totals_lookup,MATCH(K269,a_wins_total_lookup_header,0)+1,0),VLOOKUP(D269,a_win_totals_lookup,MATCH(I269,a_wins_total_lookup_header,0)+1,0))</f>
        <v>0.28473557877177313</v>
      </c>
      <c r="N269">
        <f t="shared" ca="1" si="4"/>
        <v>0</v>
      </c>
    </row>
    <row r="270" spans="1:14" x14ac:dyDescent="0.25">
      <c r="A270">
        <v>400578427</v>
      </c>
      <c r="B270">
        <v>2015</v>
      </c>
      <c r="C270" s="1">
        <v>41958</v>
      </c>
      <c r="D270" t="s">
        <v>30</v>
      </c>
      <c r="E270">
        <v>0</v>
      </c>
      <c r="F270">
        <v>7</v>
      </c>
      <c r="G270">
        <v>3</v>
      </c>
      <c r="H270">
        <v>1</v>
      </c>
      <c r="I270" t="s">
        <v>30</v>
      </c>
      <c r="J270">
        <v>90</v>
      </c>
      <c r="K270" t="s">
        <v>20</v>
      </c>
      <c r="L270">
        <v>99</v>
      </c>
      <c r="M270">
        <f>IF(D270=I270,VLOOKUP(D270,a_win_totals_lookup,MATCH(K270,a_wins_total_lookup_header,0)+1,0),VLOOKUP(D270,a_win_totals_lookup,MATCH(I270,a_wins_total_lookup_header,0)+1,0))</f>
        <v>0.69383845122039145</v>
      </c>
      <c r="N270">
        <f t="shared" ca="1" si="4"/>
        <v>0</v>
      </c>
    </row>
    <row r="271" spans="1:14" x14ac:dyDescent="0.25">
      <c r="A271">
        <v>400578427</v>
      </c>
      <c r="B271">
        <v>2015</v>
      </c>
      <c r="C271" s="1">
        <v>41958</v>
      </c>
      <c r="D271" t="s">
        <v>20</v>
      </c>
      <c r="E271">
        <v>1</v>
      </c>
      <c r="F271">
        <v>4</v>
      </c>
      <c r="G271">
        <v>7</v>
      </c>
      <c r="H271">
        <v>0</v>
      </c>
      <c r="I271" t="s">
        <v>30</v>
      </c>
      <c r="J271">
        <v>90</v>
      </c>
      <c r="K271" t="s">
        <v>20</v>
      </c>
      <c r="L271">
        <v>99</v>
      </c>
      <c r="M271">
        <f>IF(D271=I271,VLOOKUP(D271,a_win_totals_lookup,MATCH(K271,a_wins_total_lookup_header,0)+1,0),VLOOKUP(D271,a_win_totals_lookup,MATCH(I271,a_wins_total_lookup_header,0)+1,0))</f>
        <v>0.30616154877960861</v>
      </c>
      <c r="N271">
        <f t="shared" ca="1" si="4"/>
        <v>0</v>
      </c>
    </row>
    <row r="272" spans="1:14" x14ac:dyDescent="0.25">
      <c r="A272">
        <v>400578428</v>
      </c>
      <c r="B272">
        <v>2015</v>
      </c>
      <c r="C272" s="1">
        <v>41958</v>
      </c>
      <c r="D272" t="s">
        <v>33</v>
      </c>
      <c r="E272">
        <v>0</v>
      </c>
      <c r="F272">
        <v>3</v>
      </c>
      <c r="G272">
        <v>7</v>
      </c>
      <c r="H272">
        <v>0</v>
      </c>
      <c r="I272" t="s">
        <v>28</v>
      </c>
      <c r="J272">
        <v>95</v>
      </c>
      <c r="K272" t="s">
        <v>33</v>
      </c>
      <c r="L272">
        <v>88</v>
      </c>
      <c r="M272">
        <f>IF(D272=I272,VLOOKUP(D272,a_win_totals_lookup,MATCH(K272,a_wins_total_lookup_header,0)+1,0),VLOOKUP(D272,a_win_totals_lookup,MATCH(I272,a_wins_total_lookup_header,0)+1,0))</f>
        <v>0.35768246842791368</v>
      </c>
      <c r="N272">
        <f t="shared" ca="1" si="4"/>
        <v>0</v>
      </c>
    </row>
    <row r="273" spans="1:14" x14ac:dyDescent="0.25">
      <c r="A273">
        <v>400578428</v>
      </c>
      <c r="B273">
        <v>2015</v>
      </c>
      <c r="C273" s="1">
        <v>41958</v>
      </c>
      <c r="D273" t="s">
        <v>28</v>
      </c>
      <c r="E273">
        <v>1</v>
      </c>
      <c r="F273">
        <v>9</v>
      </c>
      <c r="G273">
        <v>1</v>
      </c>
      <c r="H273">
        <v>1</v>
      </c>
      <c r="I273" t="s">
        <v>28</v>
      </c>
      <c r="J273">
        <v>95</v>
      </c>
      <c r="K273" t="s">
        <v>33</v>
      </c>
      <c r="L273">
        <v>88</v>
      </c>
      <c r="M273">
        <f>IF(D273=I273,VLOOKUP(D273,a_win_totals_lookup,MATCH(K273,a_wins_total_lookup_header,0)+1,0),VLOOKUP(D273,a_win_totals_lookup,MATCH(I273,a_wins_total_lookup_header,0)+1,0))</f>
        <v>0.64231753157208638</v>
      </c>
      <c r="N273">
        <f t="shared" ca="1" si="4"/>
        <v>1</v>
      </c>
    </row>
    <row r="274" spans="1:14" x14ac:dyDescent="0.25">
      <c r="A274">
        <v>400578429</v>
      </c>
      <c r="B274">
        <v>2015</v>
      </c>
      <c r="C274" s="1">
        <v>41958</v>
      </c>
      <c r="D274" t="s">
        <v>14</v>
      </c>
      <c r="E274">
        <v>1</v>
      </c>
      <c r="F274">
        <v>7</v>
      </c>
      <c r="G274">
        <v>3</v>
      </c>
      <c r="H274">
        <v>1</v>
      </c>
      <c r="I274" t="s">
        <v>14</v>
      </c>
      <c r="J274">
        <v>131</v>
      </c>
      <c r="K274" t="s">
        <v>29</v>
      </c>
      <c r="L274">
        <v>117</v>
      </c>
      <c r="M274">
        <f>IF(D274=I274,VLOOKUP(D274,a_win_totals_lookup,MATCH(K274,a_wins_total_lookup_header,0)+1,0),VLOOKUP(D274,a_win_totals_lookup,MATCH(I274,a_wins_total_lookup_header,0)+1,0))</f>
        <v>0.75879125867873198</v>
      </c>
      <c r="N274">
        <f t="shared" ca="1" si="4"/>
        <v>1</v>
      </c>
    </row>
    <row r="275" spans="1:14" x14ac:dyDescent="0.25">
      <c r="A275">
        <v>400578429</v>
      </c>
      <c r="B275">
        <v>2015</v>
      </c>
      <c r="C275" s="1">
        <v>41958</v>
      </c>
      <c r="D275" t="s">
        <v>29</v>
      </c>
      <c r="E275">
        <v>0</v>
      </c>
      <c r="F275">
        <v>2</v>
      </c>
      <c r="G275">
        <v>7</v>
      </c>
      <c r="H275">
        <v>0</v>
      </c>
      <c r="I275" t="s">
        <v>14</v>
      </c>
      <c r="J275">
        <v>131</v>
      </c>
      <c r="K275" t="s">
        <v>29</v>
      </c>
      <c r="L275">
        <v>117</v>
      </c>
      <c r="M275">
        <f>IF(D275=I275,VLOOKUP(D275,a_win_totals_lookup,MATCH(K275,a_wins_total_lookup_header,0)+1,0),VLOOKUP(D275,a_win_totals_lookup,MATCH(I275,a_wins_total_lookup_header,0)+1,0))</f>
        <v>0.24120874132126804</v>
      </c>
      <c r="N275">
        <f t="shared" ca="1" si="4"/>
        <v>0</v>
      </c>
    </row>
    <row r="276" spans="1:14" x14ac:dyDescent="0.25">
      <c r="A276">
        <v>400578430</v>
      </c>
      <c r="B276">
        <v>2015</v>
      </c>
      <c r="C276" s="1">
        <v>41958</v>
      </c>
      <c r="D276" t="s">
        <v>23</v>
      </c>
      <c r="E276">
        <v>0</v>
      </c>
      <c r="F276">
        <v>4</v>
      </c>
      <c r="G276">
        <v>5</v>
      </c>
      <c r="H276">
        <v>0</v>
      </c>
      <c r="I276" t="s">
        <v>39</v>
      </c>
      <c r="J276">
        <v>97</v>
      </c>
      <c r="K276" t="s">
        <v>23</v>
      </c>
      <c r="L276">
        <v>87</v>
      </c>
      <c r="M276">
        <f>IF(D276=I276,VLOOKUP(D276,a_win_totals_lookup,MATCH(K276,a_wins_total_lookup_header,0)+1,0),VLOOKUP(D276,a_win_totals_lookup,MATCH(I276,a_wins_total_lookup_header,0)+1,0))</f>
        <v>0.40843302990522401</v>
      </c>
      <c r="N276">
        <f t="shared" ca="1" si="4"/>
        <v>0</v>
      </c>
    </row>
    <row r="277" spans="1:14" x14ac:dyDescent="0.25">
      <c r="A277">
        <v>400578430</v>
      </c>
      <c r="B277">
        <v>2015</v>
      </c>
      <c r="C277" s="1">
        <v>41958</v>
      </c>
      <c r="D277" t="s">
        <v>39</v>
      </c>
      <c r="E277">
        <v>1</v>
      </c>
      <c r="F277">
        <v>7</v>
      </c>
      <c r="G277">
        <v>3</v>
      </c>
      <c r="H277">
        <v>1</v>
      </c>
      <c r="I277" t="s">
        <v>39</v>
      </c>
      <c r="J277">
        <v>97</v>
      </c>
      <c r="K277" t="s">
        <v>23</v>
      </c>
      <c r="L277">
        <v>87</v>
      </c>
      <c r="M277">
        <f>IF(D277=I277,VLOOKUP(D277,a_win_totals_lookup,MATCH(K277,a_wins_total_lookup_header,0)+1,0),VLOOKUP(D277,a_win_totals_lookup,MATCH(I277,a_wins_total_lookup_header,0)+1,0))</f>
        <v>0.59156697009477588</v>
      </c>
      <c r="N277">
        <f t="shared" ca="1" si="4"/>
        <v>1</v>
      </c>
    </row>
    <row r="278" spans="1:14" x14ac:dyDescent="0.25">
      <c r="A278">
        <v>400578431</v>
      </c>
      <c r="B278">
        <v>2015</v>
      </c>
      <c r="C278" s="1">
        <v>41958</v>
      </c>
      <c r="D278" t="s">
        <v>37</v>
      </c>
      <c r="E278">
        <v>1</v>
      </c>
      <c r="F278">
        <v>6</v>
      </c>
      <c r="G278">
        <v>4</v>
      </c>
      <c r="H278">
        <v>1</v>
      </c>
      <c r="I278" t="s">
        <v>37</v>
      </c>
      <c r="J278">
        <v>94</v>
      </c>
      <c r="K278" t="s">
        <v>15</v>
      </c>
      <c r="L278">
        <v>91</v>
      </c>
      <c r="M278">
        <f>IF(D278=I278,VLOOKUP(D278,a_win_totals_lookup,MATCH(K278,a_wins_total_lookup_header,0)+1,0),VLOOKUP(D278,a_win_totals_lookup,MATCH(I278,a_wins_total_lookup_header,0)+1,0))</f>
        <v>0.29215473840837614</v>
      </c>
      <c r="N278">
        <f t="shared" ca="1" si="4"/>
        <v>0</v>
      </c>
    </row>
    <row r="279" spans="1:14" x14ac:dyDescent="0.25">
      <c r="A279">
        <v>400578431</v>
      </c>
      <c r="B279">
        <v>2015</v>
      </c>
      <c r="C279" s="1">
        <v>41958</v>
      </c>
      <c r="D279" t="s">
        <v>15</v>
      </c>
      <c r="E279">
        <v>0</v>
      </c>
      <c r="F279">
        <v>5</v>
      </c>
      <c r="G279">
        <v>4</v>
      </c>
      <c r="H279">
        <v>0</v>
      </c>
      <c r="I279" t="s">
        <v>37</v>
      </c>
      <c r="J279">
        <v>94</v>
      </c>
      <c r="K279" t="s">
        <v>15</v>
      </c>
      <c r="L279">
        <v>91</v>
      </c>
      <c r="M279">
        <f>IF(D279=I279,VLOOKUP(D279,a_win_totals_lookup,MATCH(K279,a_wins_total_lookup_header,0)+1,0),VLOOKUP(D279,a_win_totals_lookup,MATCH(I279,a_wins_total_lookup_header,0)+1,0))</f>
        <v>0.70784526159162375</v>
      </c>
      <c r="N279">
        <f t="shared" ca="1" si="4"/>
        <v>1</v>
      </c>
    </row>
    <row r="280" spans="1:14" x14ac:dyDescent="0.25">
      <c r="A280">
        <v>400578432</v>
      </c>
      <c r="B280">
        <v>2015</v>
      </c>
      <c r="C280" s="1">
        <v>41958</v>
      </c>
      <c r="D280" t="s">
        <v>18</v>
      </c>
      <c r="E280">
        <v>0</v>
      </c>
      <c r="F280">
        <v>4</v>
      </c>
      <c r="G280">
        <v>6</v>
      </c>
      <c r="H280">
        <v>0</v>
      </c>
      <c r="I280" t="s">
        <v>36</v>
      </c>
      <c r="J280">
        <v>112</v>
      </c>
      <c r="K280" t="s">
        <v>18</v>
      </c>
      <c r="L280">
        <v>87</v>
      </c>
      <c r="M280">
        <f>IF(D280=I280,VLOOKUP(D280,a_win_totals_lookup,MATCH(K280,a_wins_total_lookup_header,0)+1,0),VLOOKUP(D280,a_win_totals_lookup,MATCH(I280,a_wins_total_lookup_header,0)+1,0))</f>
        <v>0.4380738300772628</v>
      </c>
      <c r="N280">
        <f t="shared" ca="1" si="4"/>
        <v>0</v>
      </c>
    </row>
    <row r="281" spans="1:14" x14ac:dyDescent="0.25">
      <c r="A281">
        <v>400578432</v>
      </c>
      <c r="B281">
        <v>2015</v>
      </c>
      <c r="C281" s="1">
        <v>41958</v>
      </c>
      <c r="D281" t="s">
        <v>36</v>
      </c>
      <c r="E281">
        <v>1</v>
      </c>
      <c r="F281">
        <v>7</v>
      </c>
      <c r="G281">
        <v>2</v>
      </c>
      <c r="H281">
        <v>1</v>
      </c>
      <c r="I281" t="s">
        <v>36</v>
      </c>
      <c r="J281">
        <v>112</v>
      </c>
      <c r="K281" t="s">
        <v>18</v>
      </c>
      <c r="L281">
        <v>87</v>
      </c>
      <c r="M281">
        <f>IF(D281=I281,VLOOKUP(D281,a_win_totals_lookup,MATCH(K281,a_wins_total_lookup_header,0)+1,0),VLOOKUP(D281,a_win_totals_lookup,MATCH(I281,a_wins_total_lookup_header,0)+1,0))</f>
        <v>0.56192616992273725</v>
      </c>
      <c r="N281">
        <f t="shared" ca="1" si="4"/>
        <v>1</v>
      </c>
    </row>
    <row r="282" spans="1:14" x14ac:dyDescent="0.25">
      <c r="A282">
        <v>400578433</v>
      </c>
      <c r="B282">
        <v>2015</v>
      </c>
      <c r="C282" s="1">
        <v>41958</v>
      </c>
      <c r="D282" t="s">
        <v>41</v>
      </c>
      <c r="E282">
        <v>1</v>
      </c>
      <c r="F282">
        <v>5</v>
      </c>
      <c r="G282">
        <v>3</v>
      </c>
      <c r="H282">
        <v>1</v>
      </c>
      <c r="I282" t="s">
        <v>41</v>
      </c>
      <c r="J282">
        <v>120</v>
      </c>
      <c r="K282" t="s">
        <v>35</v>
      </c>
      <c r="L282">
        <v>107</v>
      </c>
      <c r="M282">
        <f>IF(D282=I282,VLOOKUP(D282,a_win_totals_lookup,MATCH(K282,a_wins_total_lookup_header,0)+1,0),VLOOKUP(D282,a_win_totals_lookup,MATCH(I282,a_wins_total_lookup_header,0)+1,0))</f>
        <v>0.6124771173739717</v>
      </c>
      <c r="N282">
        <f t="shared" ca="1" si="4"/>
        <v>1</v>
      </c>
    </row>
    <row r="283" spans="1:14" x14ac:dyDescent="0.25">
      <c r="A283">
        <v>400578433</v>
      </c>
      <c r="B283">
        <v>2015</v>
      </c>
      <c r="C283" s="1">
        <v>41958</v>
      </c>
      <c r="D283" t="s">
        <v>35</v>
      </c>
      <c r="E283">
        <v>0</v>
      </c>
      <c r="F283">
        <v>5</v>
      </c>
      <c r="G283">
        <v>5</v>
      </c>
      <c r="H283">
        <v>0</v>
      </c>
      <c r="I283" t="s">
        <v>41</v>
      </c>
      <c r="J283">
        <v>120</v>
      </c>
      <c r="K283" t="s">
        <v>35</v>
      </c>
      <c r="L283">
        <v>107</v>
      </c>
      <c r="M283">
        <f>IF(D283=I283,VLOOKUP(D283,a_win_totals_lookup,MATCH(K283,a_wins_total_lookup_header,0)+1,0),VLOOKUP(D283,a_win_totals_lookup,MATCH(I283,a_wins_total_lookup_header,0)+1,0))</f>
        <v>0.3875228826260283</v>
      </c>
      <c r="N283">
        <f t="shared" ca="1" si="4"/>
        <v>0</v>
      </c>
    </row>
    <row r="284" spans="1:14" x14ac:dyDescent="0.25">
      <c r="A284">
        <v>400578434</v>
      </c>
      <c r="B284">
        <v>2015</v>
      </c>
      <c r="C284" s="1">
        <v>41959</v>
      </c>
      <c r="D284" t="s">
        <v>32</v>
      </c>
      <c r="E284">
        <v>0</v>
      </c>
      <c r="F284">
        <v>2</v>
      </c>
      <c r="G284">
        <v>7</v>
      </c>
      <c r="H284">
        <v>0</v>
      </c>
      <c r="I284" t="s">
        <v>31</v>
      </c>
      <c r="J284">
        <v>109</v>
      </c>
      <c r="K284" t="s">
        <v>32</v>
      </c>
      <c r="L284">
        <v>93</v>
      </c>
      <c r="M284">
        <f>IF(D284=I284,VLOOKUP(D284,a_win_totals_lookup,MATCH(K284,a_wins_total_lookup_header,0)+1,0),VLOOKUP(D284,a_win_totals_lookup,MATCH(I284,a_wins_total_lookup_header,0)+1,0))</f>
        <v>0.5</v>
      </c>
      <c r="N284">
        <f t="shared" ca="1" si="4"/>
        <v>1</v>
      </c>
    </row>
    <row r="285" spans="1:14" x14ac:dyDescent="0.25">
      <c r="A285">
        <v>400578434</v>
      </c>
      <c r="B285">
        <v>2015</v>
      </c>
      <c r="C285" s="1">
        <v>41959</v>
      </c>
      <c r="D285" t="s">
        <v>31</v>
      </c>
      <c r="E285">
        <v>1</v>
      </c>
      <c r="F285">
        <v>3</v>
      </c>
      <c r="G285">
        <v>8</v>
      </c>
      <c r="H285">
        <v>1</v>
      </c>
      <c r="I285" t="s">
        <v>31</v>
      </c>
      <c r="J285">
        <v>109</v>
      </c>
      <c r="K285" t="s">
        <v>32</v>
      </c>
      <c r="L285">
        <v>93</v>
      </c>
      <c r="M285">
        <f>IF(D285=I285,VLOOKUP(D285,a_win_totals_lookup,MATCH(K285,a_wins_total_lookup_header,0)+1,0),VLOOKUP(D285,a_win_totals_lookup,MATCH(I285,a_wins_total_lookup_header,0)+1,0))</f>
        <v>0.5</v>
      </c>
      <c r="N285">
        <f t="shared" ca="1" si="4"/>
        <v>1</v>
      </c>
    </row>
    <row r="286" spans="1:14" x14ac:dyDescent="0.25">
      <c r="A286">
        <v>400578435</v>
      </c>
      <c r="B286">
        <v>2015</v>
      </c>
      <c r="C286" s="1">
        <v>41959</v>
      </c>
      <c r="D286" t="s">
        <v>24</v>
      </c>
      <c r="E286">
        <v>0</v>
      </c>
      <c r="F286">
        <v>5</v>
      </c>
      <c r="G286">
        <v>5</v>
      </c>
      <c r="H286">
        <v>1</v>
      </c>
      <c r="I286" t="s">
        <v>24</v>
      </c>
      <c r="J286">
        <v>84</v>
      </c>
      <c r="K286" t="s">
        <v>19</v>
      </c>
      <c r="L286">
        <v>91</v>
      </c>
      <c r="M286">
        <f>IF(D286=I286,VLOOKUP(D286,a_win_totals_lookup,MATCH(K286,a_wins_total_lookup_header,0)+1,0),VLOOKUP(D286,a_win_totals_lookup,MATCH(I286,a_wins_total_lookup_header,0)+1,0))</f>
        <v>0.69085585364637281</v>
      </c>
      <c r="N286">
        <f t="shared" ca="1" si="4"/>
        <v>1</v>
      </c>
    </row>
    <row r="287" spans="1:14" x14ac:dyDescent="0.25">
      <c r="A287">
        <v>400578435</v>
      </c>
      <c r="B287">
        <v>2015</v>
      </c>
      <c r="C287" s="1">
        <v>41959</v>
      </c>
      <c r="D287" t="s">
        <v>19</v>
      </c>
      <c r="E287">
        <v>1</v>
      </c>
      <c r="F287">
        <v>5</v>
      </c>
      <c r="G287">
        <v>5</v>
      </c>
      <c r="H287">
        <v>0</v>
      </c>
      <c r="I287" t="s">
        <v>24</v>
      </c>
      <c r="J287">
        <v>84</v>
      </c>
      <c r="K287" t="s">
        <v>19</v>
      </c>
      <c r="L287">
        <v>91</v>
      </c>
      <c r="M287">
        <f>IF(D287=I287,VLOOKUP(D287,a_win_totals_lookup,MATCH(K287,a_wins_total_lookup_header,0)+1,0),VLOOKUP(D287,a_win_totals_lookup,MATCH(I287,a_wins_total_lookup_header,0)+1,0))</f>
        <v>0.30914414635362719</v>
      </c>
      <c r="N287">
        <f t="shared" ca="1" si="4"/>
        <v>0</v>
      </c>
    </row>
    <row r="288" spans="1:14" x14ac:dyDescent="0.25">
      <c r="A288">
        <v>400578436</v>
      </c>
      <c r="B288">
        <v>2015</v>
      </c>
      <c r="C288" s="1">
        <v>41959</v>
      </c>
      <c r="D288" t="s">
        <v>16</v>
      </c>
      <c r="E288">
        <v>1</v>
      </c>
      <c r="F288">
        <v>9</v>
      </c>
      <c r="G288">
        <v>1</v>
      </c>
      <c r="H288">
        <v>0</v>
      </c>
      <c r="I288" t="s">
        <v>38</v>
      </c>
      <c r="J288">
        <v>65</v>
      </c>
      <c r="K288" t="s">
        <v>16</v>
      </c>
      <c r="L288">
        <v>69</v>
      </c>
      <c r="M288">
        <f>IF(D288=I288,VLOOKUP(D288,a_win_totals_lookup,MATCH(K288,a_wins_total_lookup_header,0)+1,0),VLOOKUP(D288,a_win_totals_lookup,MATCH(I288,a_wins_total_lookup_header,0)+1,0))</f>
        <v>0.45185204074660917</v>
      </c>
      <c r="N288">
        <f t="shared" ca="1" si="4"/>
        <v>0</v>
      </c>
    </row>
    <row r="289" spans="1:14" x14ac:dyDescent="0.25">
      <c r="A289">
        <v>400578436</v>
      </c>
      <c r="B289">
        <v>2015</v>
      </c>
      <c r="C289" s="1">
        <v>41959</v>
      </c>
      <c r="D289" t="s">
        <v>38</v>
      </c>
      <c r="E289">
        <v>0</v>
      </c>
      <c r="F289">
        <v>3</v>
      </c>
      <c r="G289">
        <v>8</v>
      </c>
      <c r="H289">
        <v>1</v>
      </c>
      <c r="I289" t="s">
        <v>38</v>
      </c>
      <c r="J289">
        <v>65</v>
      </c>
      <c r="K289" t="s">
        <v>16</v>
      </c>
      <c r="L289">
        <v>69</v>
      </c>
      <c r="M289">
        <f>IF(D289=I289,VLOOKUP(D289,a_win_totals_lookup,MATCH(K289,a_wins_total_lookup_header,0)+1,0),VLOOKUP(D289,a_win_totals_lookup,MATCH(I289,a_wins_total_lookup_header,0)+1,0))</f>
        <v>0.54814795925339088</v>
      </c>
      <c r="N289">
        <f t="shared" ca="1" si="4"/>
        <v>1</v>
      </c>
    </row>
    <row r="290" spans="1:14" x14ac:dyDescent="0.25">
      <c r="A290">
        <v>400578437</v>
      </c>
      <c r="B290">
        <v>2015</v>
      </c>
      <c r="C290" s="1">
        <v>41959</v>
      </c>
      <c r="D290" t="s">
        <v>36</v>
      </c>
      <c r="E290">
        <v>1</v>
      </c>
      <c r="F290">
        <v>8</v>
      </c>
      <c r="G290">
        <v>2</v>
      </c>
      <c r="H290">
        <v>0</v>
      </c>
      <c r="I290" t="s">
        <v>17</v>
      </c>
      <c r="J290">
        <v>115</v>
      </c>
      <c r="K290" t="s">
        <v>36</v>
      </c>
      <c r="L290">
        <v>136</v>
      </c>
      <c r="M290">
        <f>IF(D290=I290,VLOOKUP(D290,a_win_totals_lookup,MATCH(K290,a_wins_total_lookup_header,0)+1,0),VLOOKUP(D290,a_win_totals_lookup,MATCH(I290,a_wins_total_lookup_header,0)+1,0))</f>
        <v>0.69209130562404242</v>
      </c>
      <c r="N290">
        <f t="shared" ca="1" si="4"/>
        <v>0</v>
      </c>
    </row>
    <row r="291" spans="1:14" x14ac:dyDescent="0.25">
      <c r="A291">
        <v>400578437</v>
      </c>
      <c r="B291">
        <v>2015</v>
      </c>
      <c r="C291" s="1">
        <v>41959</v>
      </c>
      <c r="D291" t="s">
        <v>17</v>
      </c>
      <c r="E291">
        <v>0</v>
      </c>
      <c r="F291">
        <v>1</v>
      </c>
      <c r="G291">
        <v>9</v>
      </c>
      <c r="H291">
        <v>1</v>
      </c>
      <c r="I291" t="s">
        <v>17</v>
      </c>
      <c r="J291">
        <v>115</v>
      </c>
      <c r="K291" t="s">
        <v>36</v>
      </c>
      <c r="L291">
        <v>136</v>
      </c>
      <c r="M291">
        <f>IF(D291=I291,VLOOKUP(D291,a_win_totals_lookup,MATCH(K291,a_wins_total_lookup_header,0)+1,0),VLOOKUP(D291,a_win_totals_lookup,MATCH(I291,a_wins_total_lookup_header,0)+1,0))</f>
        <v>0.30790869437595753</v>
      </c>
      <c r="N291">
        <f t="shared" ca="1" si="4"/>
        <v>0</v>
      </c>
    </row>
    <row r="292" spans="1:14" x14ac:dyDescent="0.25">
      <c r="A292">
        <v>400578438</v>
      </c>
      <c r="B292">
        <v>2015</v>
      </c>
      <c r="C292" s="1">
        <v>41960</v>
      </c>
      <c r="D292" t="s">
        <v>18</v>
      </c>
      <c r="E292">
        <v>0</v>
      </c>
      <c r="F292">
        <v>4</v>
      </c>
      <c r="G292">
        <v>7</v>
      </c>
      <c r="H292">
        <v>1</v>
      </c>
      <c r="I292" t="s">
        <v>18</v>
      </c>
      <c r="J292">
        <v>80</v>
      </c>
      <c r="K292" t="s">
        <v>14</v>
      </c>
      <c r="L292">
        <v>107</v>
      </c>
      <c r="M292">
        <f>IF(D292=I292,VLOOKUP(D292,a_win_totals_lookup,MATCH(K292,a_wins_total_lookup_header,0)+1,0),VLOOKUP(D292,a_win_totals_lookup,MATCH(I292,a_wins_total_lookup_header,0)+1,0))</f>
        <v>0.4452024002195884</v>
      </c>
      <c r="N292">
        <f t="shared" ca="1" si="4"/>
        <v>0</v>
      </c>
    </row>
    <row r="293" spans="1:14" x14ac:dyDescent="0.25">
      <c r="A293">
        <v>400578438</v>
      </c>
      <c r="B293">
        <v>2015</v>
      </c>
      <c r="C293" s="1">
        <v>41960</v>
      </c>
      <c r="D293" t="s">
        <v>14</v>
      </c>
      <c r="E293">
        <v>1</v>
      </c>
      <c r="F293">
        <v>8</v>
      </c>
      <c r="G293">
        <v>3</v>
      </c>
      <c r="H293">
        <v>0</v>
      </c>
      <c r="I293" t="s">
        <v>18</v>
      </c>
      <c r="J293">
        <v>80</v>
      </c>
      <c r="K293" t="s">
        <v>14</v>
      </c>
      <c r="L293">
        <v>107</v>
      </c>
      <c r="M293">
        <f>IF(D293=I293,VLOOKUP(D293,a_win_totals_lookup,MATCH(K293,a_wins_total_lookup_header,0)+1,0),VLOOKUP(D293,a_win_totals_lookup,MATCH(I293,a_wins_total_lookup_header,0)+1,0))</f>
        <v>0.55479759978041154</v>
      </c>
      <c r="N293">
        <f t="shared" ca="1" si="4"/>
        <v>0</v>
      </c>
    </row>
    <row r="294" spans="1:14" x14ac:dyDescent="0.25">
      <c r="A294">
        <v>400578439</v>
      </c>
      <c r="B294">
        <v>2015</v>
      </c>
      <c r="C294" s="1">
        <v>41960</v>
      </c>
      <c r="D294" t="s">
        <v>40</v>
      </c>
      <c r="E294">
        <v>0</v>
      </c>
      <c r="F294">
        <v>5</v>
      </c>
      <c r="G294">
        <v>4</v>
      </c>
      <c r="H294">
        <v>1</v>
      </c>
      <c r="I294" t="s">
        <v>40</v>
      </c>
      <c r="J294">
        <v>97</v>
      </c>
      <c r="K294" t="s">
        <v>32</v>
      </c>
      <c r="L294">
        <v>106</v>
      </c>
      <c r="M294">
        <f>IF(D294=I294,VLOOKUP(D294,a_win_totals_lookup,MATCH(K294,a_wins_total_lookup_header,0)+1,0),VLOOKUP(D294,a_win_totals_lookup,MATCH(I294,a_wins_total_lookup_header,0)+1,0))</f>
        <v>0.64912982573812106</v>
      </c>
      <c r="N294">
        <f t="shared" ca="1" si="4"/>
        <v>1</v>
      </c>
    </row>
    <row r="295" spans="1:14" x14ac:dyDescent="0.25">
      <c r="A295">
        <v>400578439</v>
      </c>
      <c r="B295">
        <v>2015</v>
      </c>
      <c r="C295" s="1">
        <v>41960</v>
      </c>
      <c r="D295" t="s">
        <v>32</v>
      </c>
      <c r="E295">
        <v>1</v>
      </c>
      <c r="F295">
        <v>3</v>
      </c>
      <c r="G295">
        <v>7</v>
      </c>
      <c r="H295">
        <v>0</v>
      </c>
      <c r="I295" t="s">
        <v>40</v>
      </c>
      <c r="J295">
        <v>97</v>
      </c>
      <c r="K295" t="s">
        <v>32</v>
      </c>
      <c r="L295">
        <v>106</v>
      </c>
      <c r="M295">
        <f>IF(D295=I295,VLOOKUP(D295,a_win_totals_lookup,MATCH(K295,a_wins_total_lookup_header,0)+1,0),VLOOKUP(D295,a_win_totals_lookup,MATCH(I295,a_wins_total_lookup_header,0)+1,0))</f>
        <v>0.35087017426187905</v>
      </c>
      <c r="N295">
        <f t="shared" ca="1" si="4"/>
        <v>0</v>
      </c>
    </row>
    <row r="296" spans="1:14" x14ac:dyDescent="0.25">
      <c r="A296">
        <v>400578440</v>
      </c>
      <c r="B296">
        <v>2015</v>
      </c>
      <c r="C296" s="1">
        <v>41960</v>
      </c>
      <c r="D296" t="s">
        <v>22</v>
      </c>
      <c r="E296">
        <v>0</v>
      </c>
      <c r="F296">
        <v>3</v>
      </c>
      <c r="G296">
        <v>6</v>
      </c>
      <c r="H296">
        <v>1</v>
      </c>
      <c r="I296" t="s">
        <v>22</v>
      </c>
      <c r="J296">
        <v>114</v>
      </c>
      <c r="K296" t="s">
        <v>35</v>
      </c>
      <c r="L296">
        <v>118</v>
      </c>
      <c r="M296">
        <f>IF(D296=I296,VLOOKUP(D296,a_win_totals_lookup,MATCH(K296,a_wins_total_lookup_header,0)+1,0),VLOOKUP(D296,a_win_totals_lookup,MATCH(I296,a_wins_total_lookup_header,0)+1,0))</f>
        <v>0.30291197689006377</v>
      </c>
      <c r="N296">
        <f t="shared" ca="1" si="4"/>
        <v>1</v>
      </c>
    </row>
    <row r="297" spans="1:14" x14ac:dyDescent="0.25">
      <c r="A297">
        <v>400578440</v>
      </c>
      <c r="B297">
        <v>2015</v>
      </c>
      <c r="C297" s="1">
        <v>41960</v>
      </c>
      <c r="D297" t="s">
        <v>35</v>
      </c>
      <c r="E297">
        <v>1</v>
      </c>
      <c r="F297">
        <v>6</v>
      </c>
      <c r="G297">
        <v>5</v>
      </c>
      <c r="H297">
        <v>0</v>
      </c>
      <c r="I297" t="s">
        <v>22</v>
      </c>
      <c r="J297">
        <v>114</v>
      </c>
      <c r="K297" t="s">
        <v>35</v>
      </c>
      <c r="L297">
        <v>118</v>
      </c>
      <c r="M297">
        <f>IF(D297=I297,VLOOKUP(D297,a_win_totals_lookup,MATCH(K297,a_wins_total_lookup_header,0)+1,0),VLOOKUP(D297,a_win_totals_lookup,MATCH(I297,a_wins_total_lookup_header,0)+1,0))</f>
        <v>0.69708802310993623</v>
      </c>
      <c r="N297">
        <f t="shared" ca="1" si="4"/>
        <v>0</v>
      </c>
    </row>
    <row r="298" spans="1:14" x14ac:dyDescent="0.25">
      <c r="A298">
        <v>400578441</v>
      </c>
      <c r="B298">
        <v>2015</v>
      </c>
      <c r="C298" s="1">
        <v>41960</v>
      </c>
      <c r="D298" t="s">
        <v>23</v>
      </c>
      <c r="E298">
        <v>0</v>
      </c>
      <c r="F298">
        <v>4</v>
      </c>
      <c r="G298">
        <v>6</v>
      </c>
      <c r="H298">
        <v>1</v>
      </c>
      <c r="I298" t="s">
        <v>23</v>
      </c>
      <c r="J298">
        <v>83</v>
      </c>
      <c r="K298" t="s">
        <v>24</v>
      </c>
      <c r="L298">
        <v>95</v>
      </c>
      <c r="M298">
        <f>IF(D298=I298,VLOOKUP(D298,a_win_totals_lookup,MATCH(K298,a_wins_total_lookup_header,0)+1,0),VLOOKUP(D298,a_win_totals_lookup,MATCH(I298,a_wins_total_lookup_header,0)+1,0))</f>
        <v>0.4489330916958254</v>
      </c>
      <c r="N298">
        <f t="shared" ca="1" si="4"/>
        <v>1</v>
      </c>
    </row>
    <row r="299" spans="1:14" x14ac:dyDescent="0.25">
      <c r="A299">
        <v>400578441</v>
      </c>
      <c r="B299">
        <v>2015</v>
      </c>
      <c r="C299" s="1">
        <v>41960</v>
      </c>
      <c r="D299" t="s">
        <v>24</v>
      </c>
      <c r="E299">
        <v>1</v>
      </c>
      <c r="F299">
        <v>6</v>
      </c>
      <c r="G299">
        <v>5</v>
      </c>
      <c r="H299">
        <v>0</v>
      </c>
      <c r="I299" t="s">
        <v>23</v>
      </c>
      <c r="J299">
        <v>83</v>
      </c>
      <c r="K299" t="s">
        <v>24</v>
      </c>
      <c r="L299">
        <v>95</v>
      </c>
      <c r="M299">
        <f>IF(D299=I299,VLOOKUP(D299,a_win_totals_lookup,MATCH(K299,a_wins_total_lookup_header,0)+1,0),VLOOKUP(D299,a_win_totals_lookup,MATCH(I299,a_wins_total_lookup_header,0)+1,0))</f>
        <v>0.5510669083041746</v>
      </c>
      <c r="N299">
        <f t="shared" ca="1" si="4"/>
        <v>1</v>
      </c>
    </row>
    <row r="300" spans="1:14" x14ac:dyDescent="0.25">
      <c r="A300">
        <v>400578442</v>
      </c>
      <c r="B300">
        <v>2015</v>
      </c>
      <c r="C300" s="1">
        <v>41960</v>
      </c>
      <c r="D300" t="s">
        <v>33</v>
      </c>
      <c r="E300">
        <v>0</v>
      </c>
      <c r="F300">
        <v>3</v>
      </c>
      <c r="G300">
        <v>8</v>
      </c>
      <c r="H300">
        <v>1</v>
      </c>
      <c r="I300" t="s">
        <v>33</v>
      </c>
      <c r="J300">
        <v>93</v>
      </c>
      <c r="K300" t="s">
        <v>13</v>
      </c>
      <c r="L300">
        <v>107</v>
      </c>
      <c r="M300">
        <f>IF(D300=I300,VLOOKUP(D300,a_win_totals_lookup,MATCH(K300,a_wins_total_lookup_header,0)+1,0),VLOOKUP(D300,a_win_totals_lookup,MATCH(I300,a_wins_total_lookup_header,0)+1,0))</f>
        <v>0.56745226115407632</v>
      </c>
      <c r="N300">
        <f t="shared" ca="1" si="4"/>
        <v>0</v>
      </c>
    </row>
    <row r="301" spans="1:14" x14ac:dyDescent="0.25">
      <c r="A301">
        <v>400578442</v>
      </c>
      <c r="B301">
        <v>2015</v>
      </c>
      <c r="C301" s="1">
        <v>41960</v>
      </c>
      <c r="D301" t="s">
        <v>13</v>
      </c>
      <c r="E301">
        <v>1</v>
      </c>
      <c r="F301">
        <v>5</v>
      </c>
      <c r="G301">
        <v>7</v>
      </c>
      <c r="H301">
        <v>0</v>
      </c>
      <c r="I301" t="s">
        <v>33</v>
      </c>
      <c r="J301">
        <v>93</v>
      </c>
      <c r="K301" t="s">
        <v>13</v>
      </c>
      <c r="L301">
        <v>107</v>
      </c>
      <c r="M301">
        <f>IF(D301=I301,VLOOKUP(D301,a_win_totals_lookup,MATCH(K301,a_wins_total_lookup_header,0)+1,0),VLOOKUP(D301,a_win_totals_lookup,MATCH(I301,a_wins_total_lookup_header,0)+1,0))</f>
        <v>0.43254773884592373</v>
      </c>
      <c r="N301">
        <f t="shared" ca="1" si="4"/>
        <v>0</v>
      </c>
    </row>
    <row r="302" spans="1:14" x14ac:dyDescent="0.25">
      <c r="A302">
        <v>400578443</v>
      </c>
      <c r="B302">
        <v>2015</v>
      </c>
      <c r="C302" s="1">
        <v>41960</v>
      </c>
      <c r="D302" t="s">
        <v>16</v>
      </c>
      <c r="E302">
        <v>0</v>
      </c>
      <c r="F302">
        <v>9</v>
      </c>
      <c r="G302">
        <v>2</v>
      </c>
      <c r="H302">
        <v>0</v>
      </c>
      <c r="I302" t="s">
        <v>28</v>
      </c>
      <c r="J302">
        <v>119</v>
      </c>
      <c r="K302" t="s">
        <v>16</v>
      </c>
      <c r="L302">
        <v>93</v>
      </c>
      <c r="M302">
        <f>IF(D302=I302,VLOOKUP(D302,a_win_totals_lookup,MATCH(K302,a_wins_total_lookup_header,0)+1,0),VLOOKUP(D302,a_win_totals_lookup,MATCH(I302,a_wins_total_lookup_header,0)+1,0))</f>
        <v>0.48170976222854806</v>
      </c>
      <c r="N302">
        <f t="shared" ca="1" si="4"/>
        <v>1</v>
      </c>
    </row>
    <row r="303" spans="1:14" x14ac:dyDescent="0.25">
      <c r="A303">
        <v>400578443</v>
      </c>
      <c r="B303">
        <v>2015</v>
      </c>
      <c r="C303" s="1">
        <v>41960</v>
      </c>
      <c r="D303" t="s">
        <v>28</v>
      </c>
      <c r="E303">
        <v>1</v>
      </c>
      <c r="F303">
        <v>10</v>
      </c>
      <c r="G303">
        <v>1</v>
      </c>
      <c r="H303">
        <v>1</v>
      </c>
      <c r="I303" t="s">
        <v>28</v>
      </c>
      <c r="J303">
        <v>119</v>
      </c>
      <c r="K303" t="s">
        <v>16</v>
      </c>
      <c r="L303">
        <v>93</v>
      </c>
      <c r="M303">
        <f>IF(D303=I303,VLOOKUP(D303,a_win_totals_lookup,MATCH(K303,a_wins_total_lookup_header,0)+1,0),VLOOKUP(D303,a_win_totals_lookup,MATCH(I303,a_wins_total_lookup_header,0)+1,0))</f>
        <v>0.51829023777145189</v>
      </c>
      <c r="N303">
        <f t="shared" ca="1" si="4"/>
        <v>1</v>
      </c>
    </row>
    <row r="304" spans="1:14" x14ac:dyDescent="0.25">
      <c r="A304">
        <v>400578444</v>
      </c>
      <c r="B304">
        <v>2015</v>
      </c>
      <c r="C304" s="1">
        <v>41960</v>
      </c>
      <c r="D304" t="s">
        <v>21</v>
      </c>
      <c r="E304">
        <v>0</v>
      </c>
      <c r="F304">
        <v>0</v>
      </c>
      <c r="G304">
        <v>10</v>
      </c>
      <c r="H304">
        <v>0</v>
      </c>
      <c r="I304" t="s">
        <v>15</v>
      </c>
      <c r="J304">
        <v>100</v>
      </c>
      <c r="K304" t="s">
        <v>21</v>
      </c>
      <c r="L304">
        <v>75</v>
      </c>
      <c r="M304">
        <f>IF(D304=I304,VLOOKUP(D304,a_win_totals_lookup,MATCH(K304,a_wins_total_lookup_header,0)+1,0),VLOOKUP(D304,a_win_totals_lookup,MATCH(I304,a_wins_total_lookup_header,0)+1,0))</f>
        <v>0.19642436232857072</v>
      </c>
      <c r="N304">
        <f t="shared" ca="1" si="4"/>
        <v>0</v>
      </c>
    </row>
    <row r="305" spans="1:14" x14ac:dyDescent="0.25">
      <c r="A305">
        <v>400578444</v>
      </c>
      <c r="B305">
        <v>2015</v>
      </c>
      <c r="C305" s="1">
        <v>41960</v>
      </c>
      <c r="D305" t="s">
        <v>15</v>
      </c>
      <c r="E305">
        <v>1</v>
      </c>
      <c r="F305">
        <v>6</v>
      </c>
      <c r="G305">
        <v>4</v>
      </c>
      <c r="H305">
        <v>1</v>
      </c>
      <c r="I305" t="s">
        <v>15</v>
      </c>
      <c r="J305">
        <v>100</v>
      </c>
      <c r="K305" t="s">
        <v>21</v>
      </c>
      <c r="L305">
        <v>75</v>
      </c>
      <c r="M305">
        <f>IF(D305=I305,VLOOKUP(D305,a_win_totals_lookup,MATCH(K305,a_wins_total_lookup_header,0)+1,0),VLOOKUP(D305,a_win_totals_lookup,MATCH(I305,a_wins_total_lookup_header,0)+1,0))</f>
        <v>0.80357563767142925</v>
      </c>
      <c r="N305">
        <f t="shared" ca="1" si="4"/>
        <v>1</v>
      </c>
    </row>
    <row r="306" spans="1:14" x14ac:dyDescent="0.25">
      <c r="A306">
        <v>400578445</v>
      </c>
      <c r="B306">
        <v>2015</v>
      </c>
      <c r="C306" s="1">
        <v>41960</v>
      </c>
      <c r="D306" t="s">
        <v>12</v>
      </c>
      <c r="E306">
        <v>0</v>
      </c>
      <c r="F306">
        <v>5</v>
      </c>
      <c r="G306">
        <v>4</v>
      </c>
      <c r="H306">
        <v>0</v>
      </c>
      <c r="I306" t="s">
        <v>39</v>
      </c>
      <c r="J306">
        <v>102</v>
      </c>
      <c r="K306" t="s">
        <v>12</v>
      </c>
      <c r="L306">
        <v>93</v>
      </c>
      <c r="M306">
        <f>IF(D306=I306,VLOOKUP(D306,a_win_totals_lookup,MATCH(K306,a_wins_total_lookup_header,0)+1,0),VLOOKUP(D306,a_win_totals_lookup,MATCH(I306,a_wins_total_lookup_header,0)+1,0))</f>
        <v>0.42178146370054864</v>
      </c>
      <c r="N306">
        <f t="shared" ca="1" si="4"/>
        <v>0</v>
      </c>
    </row>
    <row r="307" spans="1:14" x14ac:dyDescent="0.25">
      <c r="A307">
        <v>400578445</v>
      </c>
      <c r="B307">
        <v>2015</v>
      </c>
      <c r="C307" s="1">
        <v>41960</v>
      </c>
      <c r="D307" t="s">
        <v>39</v>
      </c>
      <c r="E307">
        <v>1</v>
      </c>
      <c r="F307">
        <v>8</v>
      </c>
      <c r="G307">
        <v>3</v>
      </c>
      <c r="H307">
        <v>1</v>
      </c>
      <c r="I307" t="s">
        <v>39</v>
      </c>
      <c r="J307">
        <v>102</v>
      </c>
      <c r="K307" t="s">
        <v>12</v>
      </c>
      <c r="L307">
        <v>93</v>
      </c>
      <c r="M307">
        <f>IF(D307=I307,VLOOKUP(D307,a_win_totals_lookup,MATCH(K307,a_wins_total_lookup_header,0)+1,0),VLOOKUP(D307,a_win_totals_lookup,MATCH(I307,a_wins_total_lookup_header,0)+1,0))</f>
        <v>0.57821853629945141</v>
      </c>
      <c r="N307">
        <f t="shared" ca="1" si="4"/>
        <v>1</v>
      </c>
    </row>
    <row r="308" spans="1:14" x14ac:dyDescent="0.25">
      <c r="A308">
        <v>400578446</v>
      </c>
      <c r="B308">
        <v>2015</v>
      </c>
      <c r="C308" s="1">
        <v>41960</v>
      </c>
      <c r="D308" t="s">
        <v>30</v>
      </c>
      <c r="E308">
        <v>1</v>
      </c>
      <c r="F308">
        <v>8</v>
      </c>
      <c r="G308">
        <v>3</v>
      </c>
      <c r="H308">
        <v>0</v>
      </c>
      <c r="I308" t="s">
        <v>41</v>
      </c>
      <c r="J308">
        <v>89</v>
      </c>
      <c r="K308" t="s">
        <v>30</v>
      </c>
      <c r="L308">
        <v>105</v>
      </c>
      <c r="M308">
        <f>IF(D308=I308,VLOOKUP(D308,a_win_totals_lookup,MATCH(K308,a_wins_total_lookup_header,0)+1,0),VLOOKUP(D308,a_win_totals_lookup,MATCH(I308,a_wins_total_lookup_header,0)+1,0))</f>
        <v>0.48969992820199154</v>
      </c>
      <c r="N308">
        <f t="shared" ca="1" si="4"/>
        <v>1</v>
      </c>
    </row>
    <row r="309" spans="1:14" x14ac:dyDescent="0.25">
      <c r="A309">
        <v>400578446</v>
      </c>
      <c r="B309">
        <v>2015</v>
      </c>
      <c r="C309" s="1">
        <v>41960</v>
      </c>
      <c r="D309" t="s">
        <v>41</v>
      </c>
      <c r="E309">
        <v>0</v>
      </c>
      <c r="F309">
        <v>5</v>
      </c>
      <c r="G309">
        <v>4</v>
      </c>
      <c r="H309">
        <v>1</v>
      </c>
      <c r="I309" t="s">
        <v>41</v>
      </c>
      <c r="J309">
        <v>89</v>
      </c>
      <c r="K309" t="s">
        <v>30</v>
      </c>
      <c r="L309">
        <v>105</v>
      </c>
      <c r="M309">
        <f>IF(D309=I309,VLOOKUP(D309,a_win_totals_lookup,MATCH(K309,a_wins_total_lookup_header,0)+1,0),VLOOKUP(D309,a_win_totals_lookup,MATCH(I309,a_wins_total_lookup_header,0)+1,0))</f>
        <v>0.5103000717980084</v>
      </c>
      <c r="N309">
        <f t="shared" ca="1" si="4"/>
        <v>1</v>
      </c>
    </row>
    <row r="310" spans="1:14" x14ac:dyDescent="0.25">
      <c r="A310">
        <v>400578447</v>
      </c>
      <c r="B310">
        <v>2015</v>
      </c>
      <c r="C310" s="1">
        <v>41961</v>
      </c>
      <c r="D310" t="s">
        <v>26</v>
      </c>
      <c r="E310">
        <v>0</v>
      </c>
      <c r="F310">
        <v>5</v>
      </c>
      <c r="G310">
        <v>5</v>
      </c>
      <c r="H310">
        <v>1</v>
      </c>
      <c r="I310" t="s">
        <v>26</v>
      </c>
      <c r="J310">
        <v>109</v>
      </c>
      <c r="K310" t="s">
        <v>17</v>
      </c>
      <c r="L310">
        <v>114</v>
      </c>
      <c r="M310">
        <f>IF(D310=I310,VLOOKUP(D310,a_win_totals_lookup,MATCH(K310,a_wins_total_lookup_header,0)+1,0),VLOOKUP(D310,a_win_totals_lookup,MATCH(I310,a_wins_total_lookup_header,0)+1,0))</f>
        <v>0.61500767730198336</v>
      </c>
      <c r="N310">
        <f t="shared" ca="1" si="4"/>
        <v>0</v>
      </c>
    </row>
    <row r="311" spans="1:14" x14ac:dyDescent="0.25">
      <c r="A311">
        <v>400578447</v>
      </c>
      <c r="B311">
        <v>2015</v>
      </c>
      <c r="C311" s="1">
        <v>41961</v>
      </c>
      <c r="D311" t="s">
        <v>17</v>
      </c>
      <c r="E311">
        <v>1</v>
      </c>
      <c r="F311">
        <v>2</v>
      </c>
      <c r="G311">
        <v>9</v>
      </c>
      <c r="H311">
        <v>0</v>
      </c>
      <c r="I311" t="s">
        <v>26</v>
      </c>
      <c r="J311">
        <v>109</v>
      </c>
      <c r="K311" t="s">
        <v>17</v>
      </c>
      <c r="L311">
        <v>114</v>
      </c>
      <c r="M311">
        <f>IF(D311=I311,VLOOKUP(D311,a_win_totals_lookup,MATCH(K311,a_wins_total_lookup_header,0)+1,0),VLOOKUP(D311,a_win_totals_lookup,MATCH(I311,a_wins_total_lookup_header,0)+1,0))</f>
        <v>0.38499232269801659</v>
      </c>
      <c r="N311">
        <f t="shared" ca="1" si="4"/>
        <v>1</v>
      </c>
    </row>
    <row r="312" spans="1:14" x14ac:dyDescent="0.25">
      <c r="A312">
        <v>400578448</v>
      </c>
      <c r="B312">
        <v>2015</v>
      </c>
      <c r="C312" s="1">
        <v>41961</v>
      </c>
      <c r="D312" t="s">
        <v>19</v>
      </c>
      <c r="E312">
        <v>1</v>
      </c>
      <c r="F312">
        <v>6</v>
      </c>
      <c r="G312">
        <v>5</v>
      </c>
      <c r="H312">
        <v>1</v>
      </c>
      <c r="I312" t="s">
        <v>19</v>
      </c>
      <c r="J312">
        <v>117</v>
      </c>
      <c r="K312" t="s">
        <v>31</v>
      </c>
      <c r="L312">
        <v>113</v>
      </c>
      <c r="M312">
        <f>IF(D312=I312,VLOOKUP(D312,a_win_totals_lookup,MATCH(K312,a_wins_total_lookup_header,0)+1,0),VLOOKUP(D312,a_win_totals_lookup,MATCH(I312,a_wins_total_lookup_header,0)+1,0))</f>
        <v>0.35454020664525671</v>
      </c>
      <c r="N312">
        <f t="shared" ca="1" si="4"/>
        <v>0</v>
      </c>
    </row>
    <row r="313" spans="1:14" x14ac:dyDescent="0.25">
      <c r="A313">
        <v>400578448</v>
      </c>
      <c r="B313">
        <v>2015</v>
      </c>
      <c r="C313" s="1">
        <v>41961</v>
      </c>
      <c r="D313" t="s">
        <v>31</v>
      </c>
      <c r="E313">
        <v>0</v>
      </c>
      <c r="F313">
        <v>3</v>
      </c>
      <c r="G313">
        <v>9</v>
      </c>
      <c r="H313">
        <v>0</v>
      </c>
      <c r="I313" t="s">
        <v>19</v>
      </c>
      <c r="J313">
        <v>117</v>
      </c>
      <c r="K313" t="s">
        <v>31</v>
      </c>
      <c r="L313">
        <v>113</v>
      </c>
      <c r="M313">
        <f>IF(D313=I313,VLOOKUP(D313,a_win_totals_lookup,MATCH(K313,a_wins_total_lookup_header,0)+1,0),VLOOKUP(D313,a_win_totals_lookup,MATCH(I313,a_wins_total_lookup_header,0)+1,0))</f>
        <v>0.64545979335474335</v>
      </c>
      <c r="N313">
        <f t="shared" ca="1" si="4"/>
        <v>1</v>
      </c>
    </row>
    <row r="314" spans="1:14" x14ac:dyDescent="0.25">
      <c r="A314">
        <v>400578449</v>
      </c>
      <c r="B314">
        <v>2015</v>
      </c>
      <c r="C314" s="1">
        <v>41961</v>
      </c>
      <c r="D314" t="s">
        <v>38</v>
      </c>
      <c r="E314">
        <v>0</v>
      </c>
      <c r="F314">
        <v>3</v>
      </c>
      <c r="G314">
        <v>9</v>
      </c>
      <c r="H314">
        <v>0</v>
      </c>
      <c r="I314" t="s">
        <v>34</v>
      </c>
      <c r="J314">
        <v>98</v>
      </c>
      <c r="K314" t="s">
        <v>38</v>
      </c>
      <c r="L314">
        <v>81</v>
      </c>
      <c r="M314">
        <f>IF(D314=I314,VLOOKUP(D314,a_win_totals_lookup,MATCH(K314,a_wins_total_lookup_header,0)+1,0),VLOOKUP(D314,a_win_totals_lookup,MATCH(I314,a_wins_total_lookup_header,0)+1,0))</f>
        <v>0.72649226385047183</v>
      </c>
      <c r="N314">
        <f t="shared" ca="1" si="4"/>
        <v>1</v>
      </c>
    </row>
    <row r="315" spans="1:14" x14ac:dyDescent="0.25">
      <c r="A315">
        <v>400578449</v>
      </c>
      <c r="B315">
        <v>2015</v>
      </c>
      <c r="C315" s="1">
        <v>41961</v>
      </c>
      <c r="D315" t="s">
        <v>34</v>
      </c>
      <c r="E315">
        <v>1</v>
      </c>
      <c r="F315">
        <v>5</v>
      </c>
      <c r="G315">
        <v>7</v>
      </c>
      <c r="H315">
        <v>1</v>
      </c>
      <c r="I315" t="s">
        <v>34</v>
      </c>
      <c r="J315">
        <v>98</v>
      </c>
      <c r="K315" t="s">
        <v>38</v>
      </c>
      <c r="L315">
        <v>81</v>
      </c>
      <c r="M315">
        <f>IF(D315=I315,VLOOKUP(D315,a_win_totals_lookup,MATCH(K315,a_wins_total_lookup_header,0)+1,0),VLOOKUP(D315,a_win_totals_lookup,MATCH(I315,a_wins_total_lookup_header,0)+1,0))</f>
        <v>0.27350773614952834</v>
      </c>
      <c r="N315">
        <f t="shared" ca="1" si="4"/>
        <v>0</v>
      </c>
    </row>
    <row r="316" spans="1:14" x14ac:dyDescent="0.25">
      <c r="A316">
        <v>400578450</v>
      </c>
      <c r="B316">
        <v>2015</v>
      </c>
      <c r="C316" s="1">
        <v>41961</v>
      </c>
      <c r="D316" t="s">
        <v>12</v>
      </c>
      <c r="E316">
        <v>1</v>
      </c>
      <c r="F316">
        <v>6</v>
      </c>
      <c r="G316">
        <v>4</v>
      </c>
      <c r="H316">
        <v>0</v>
      </c>
      <c r="I316" t="s">
        <v>37</v>
      </c>
      <c r="J316">
        <v>100</v>
      </c>
      <c r="K316" t="s">
        <v>12</v>
      </c>
      <c r="L316">
        <v>106</v>
      </c>
      <c r="M316">
        <f>IF(D316=I316,VLOOKUP(D316,a_win_totals_lookup,MATCH(K316,a_wins_total_lookup_header,0)+1,0),VLOOKUP(D316,a_win_totals_lookup,MATCH(I316,a_wins_total_lookup_header,0)+1,0))</f>
        <v>0.59047127897548735</v>
      </c>
      <c r="N316">
        <f t="shared" ca="1" si="4"/>
        <v>1</v>
      </c>
    </row>
    <row r="317" spans="1:14" x14ac:dyDescent="0.25">
      <c r="A317">
        <v>400578450</v>
      </c>
      <c r="B317">
        <v>2015</v>
      </c>
      <c r="C317" s="1">
        <v>41961</v>
      </c>
      <c r="D317" t="s">
        <v>37</v>
      </c>
      <c r="E317">
        <v>0</v>
      </c>
      <c r="F317">
        <v>6</v>
      </c>
      <c r="G317">
        <v>5</v>
      </c>
      <c r="H317">
        <v>1</v>
      </c>
      <c r="I317" t="s">
        <v>37</v>
      </c>
      <c r="J317">
        <v>100</v>
      </c>
      <c r="K317" t="s">
        <v>12</v>
      </c>
      <c r="L317">
        <v>106</v>
      </c>
      <c r="M317">
        <f>IF(D317=I317,VLOOKUP(D317,a_win_totals_lookup,MATCH(K317,a_wins_total_lookup_header,0)+1,0),VLOOKUP(D317,a_win_totals_lookup,MATCH(I317,a_wins_total_lookup_header,0)+1,0))</f>
        <v>0.40952872102451271</v>
      </c>
      <c r="N317">
        <f t="shared" ca="1" si="4"/>
        <v>0</v>
      </c>
    </row>
    <row r="318" spans="1:14" x14ac:dyDescent="0.25">
      <c r="A318">
        <v>400578451</v>
      </c>
      <c r="B318">
        <v>2015</v>
      </c>
      <c r="C318" s="1">
        <v>41962</v>
      </c>
      <c r="D318" t="s">
        <v>40</v>
      </c>
      <c r="E318">
        <v>0</v>
      </c>
      <c r="F318">
        <v>5</v>
      </c>
      <c r="G318">
        <v>5</v>
      </c>
      <c r="H318">
        <v>1</v>
      </c>
      <c r="I318" t="s">
        <v>40</v>
      </c>
      <c r="J318">
        <v>90</v>
      </c>
      <c r="K318" t="s">
        <v>15</v>
      </c>
      <c r="L318">
        <v>92</v>
      </c>
      <c r="M318">
        <f>IF(D318=I318,VLOOKUP(D318,a_win_totals_lookup,MATCH(K318,a_wins_total_lookup_header,0)+1,0),VLOOKUP(D318,a_win_totals_lookup,MATCH(I318,a_wins_total_lookup_header,0)+1,0))</f>
        <v>0.5103000717980084</v>
      </c>
      <c r="N318">
        <f t="shared" ca="1" si="4"/>
        <v>1</v>
      </c>
    </row>
    <row r="319" spans="1:14" x14ac:dyDescent="0.25">
      <c r="A319">
        <v>400578451</v>
      </c>
      <c r="B319">
        <v>2015</v>
      </c>
      <c r="C319" s="1">
        <v>41962</v>
      </c>
      <c r="D319" t="s">
        <v>15</v>
      </c>
      <c r="E319">
        <v>1</v>
      </c>
      <c r="F319">
        <v>7</v>
      </c>
      <c r="G319">
        <v>4</v>
      </c>
      <c r="H319">
        <v>0</v>
      </c>
      <c r="I319" t="s">
        <v>40</v>
      </c>
      <c r="J319">
        <v>90</v>
      </c>
      <c r="K319" t="s">
        <v>15</v>
      </c>
      <c r="L319">
        <v>92</v>
      </c>
      <c r="M319">
        <f>IF(D319=I319,VLOOKUP(D319,a_win_totals_lookup,MATCH(K319,a_wins_total_lookup_header,0)+1,0),VLOOKUP(D319,a_win_totals_lookup,MATCH(I319,a_wins_total_lookup_header,0)+1,0))</f>
        <v>0.48969992820199154</v>
      </c>
      <c r="N319">
        <f t="shared" ca="1" si="4"/>
        <v>0</v>
      </c>
    </row>
    <row r="320" spans="1:14" x14ac:dyDescent="0.25">
      <c r="A320">
        <v>400578452</v>
      </c>
      <c r="B320">
        <v>2015</v>
      </c>
      <c r="C320" s="1">
        <v>41962</v>
      </c>
      <c r="D320" t="s">
        <v>18</v>
      </c>
      <c r="E320">
        <v>0</v>
      </c>
      <c r="F320">
        <v>4</v>
      </c>
      <c r="G320">
        <v>8</v>
      </c>
      <c r="H320">
        <v>0</v>
      </c>
      <c r="I320" t="s">
        <v>20</v>
      </c>
      <c r="J320">
        <v>88</v>
      </c>
      <c r="K320" t="s">
        <v>18</v>
      </c>
      <c r="L320">
        <v>86</v>
      </c>
      <c r="M320">
        <f>IF(D320=I320,VLOOKUP(D320,a_win_totals_lookup,MATCH(K320,a_wins_total_lookup_header,0)+1,0),VLOOKUP(D320,a_win_totals_lookup,MATCH(I320,a_wins_total_lookup_header,0)+1,0))</f>
        <v>0.62107555647590951</v>
      </c>
      <c r="N320">
        <f t="shared" ca="1" si="4"/>
        <v>0</v>
      </c>
    </row>
    <row r="321" spans="1:14" x14ac:dyDescent="0.25">
      <c r="A321">
        <v>400578452</v>
      </c>
      <c r="B321">
        <v>2015</v>
      </c>
      <c r="C321" s="1">
        <v>41962</v>
      </c>
      <c r="D321" t="s">
        <v>20</v>
      </c>
      <c r="E321">
        <v>1</v>
      </c>
      <c r="F321">
        <v>5</v>
      </c>
      <c r="G321">
        <v>7</v>
      </c>
      <c r="H321">
        <v>1</v>
      </c>
      <c r="I321" t="s">
        <v>20</v>
      </c>
      <c r="J321">
        <v>88</v>
      </c>
      <c r="K321" t="s">
        <v>18</v>
      </c>
      <c r="L321">
        <v>86</v>
      </c>
      <c r="M321">
        <f>IF(D321=I321,VLOOKUP(D321,a_win_totals_lookup,MATCH(K321,a_wins_total_lookup_header,0)+1,0),VLOOKUP(D321,a_win_totals_lookup,MATCH(I321,a_wins_total_lookup_header,0)+1,0))</f>
        <v>0.37892444352409055</v>
      </c>
      <c r="N321">
        <f t="shared" ca="1" si="4"/>
        <v>0</v>
      </c>
    </row>
    <row r="322" spans="1:14" x14ac:dyDescent="0.25">
      <c r="A322">
        <v>400578453</v>
      </c>
      <c r="B322">
        <v>2015</v>
      </c>
      <c r="C322" s="1">
        <v>41962</v>
      </c>
      <c r="D322" t="s">
        <v>41</v>
      </c>
      <c r="E322">
        <v>1</v>
      </c>
      <c r="F322">
        <v>6</v>
      </c>
      <c r="G322">
        <v>4</v>
      </c>
      <c r="H322">
        <v>0</v>
      </c>
      <c r="I322" t="s">
        <v>13</v>
      </c>
      <c r="J322">
        <v>90</v>
      </c>
      <c r="K322" t="s">
        <v>41</v>
      </c>
      <c r="L322">
        <v>114</v>
      </c>
      <c r="M322">
        <f>IF(D322=I322,VLOOKUP(D322,a_win_totals_lookup,MATCH(K322,a_wins_total_lookup_header,0)+1,0),VLOOKUP(D322,a_win_totals_lookup,MATCH(I322,a_wins_total_lookup_header,0)+1,0))</f>
        <v>0.74387996100574205</v>
      </c>
      <c r="N322">
        <f t="shared" ca="1" si="4"/>
        <v>1</v>
      </c>
    </row>
    <row r="323" spans="1:14" x14ac:dyDescent="0.25">
      <c r="A323">
        <v>400578453</v>
      </c>
      <c r="B323">
        <v>2015</v>
      </c>
      <c r="C323" s="1">
        <v>41962</v>
      </c>
      <c r="D323" t="s">
        <v>13</v>
      </c>
      <c r="E323">
        <v>0</v>
      </c>
      <c r="F323">
        <v>5</v>
      </c>
      <c r="G323">
        <v>8</v>
      </c>
      <c r="H323">
        <v>1</v>
      </c>
      <c r="I323" t="s">
        <v>13</v>
      </c>
      <c r="J323">
        <v>90</v>
      </c>
      <c r="K323" t="s">
        <v>41</v>
      </c>
      <c r="L323">
        <v>114</v>
      </c>
      <c r="M323">
        <f>IF(D323=I323,VLOOKUP(D323,a_win_totals_lookup,MATCH(K323,a_wins_total_lookup_header,0)+1,0),VLOOKUP(D323,a_win_totals_lookup,MATCH(I323,a_wins_total_lookup_header,0)+1,0))</f>
        <v>0.25612003899425795</v>
      </c>
      <c r="N323">
        <f t="shared" ref="N323:N386" ca="1" si="5">ROUND(0.5*RANDBETWEEN(-1,1)+M323,0)</f>
        <v>1</v>
      </c>
    </row>
    <row r="324" spans="1:14" x14ac:dyDescent="0.25">
      <c r="A324">
        <v>400578454</v>
      </c>
      <c r="B324">
        <v>2015</v>
      </c>
      <c r="C324" s="1">
        <v>41962</v>
      </c>
      <c r="D324" t="s">
        <v>22</v>
      </c>
      <c r="E324">
        <v>1</v>
      </c>
      <c r="F324">
        <v>4</v>
      </c>
      <c r="G324">
        <v>6</v>
      </c>
      <c r="H324">
        <v>0</v>
      </c>
      <c r="I324" t="s">
        <v>21</v>
      </c>
      <c r="J324">
        <v>90</v>
      </c>
      <c r="K324" t="s">
        <v>22</v>
      </c>
      <c r="L324">
        <v>101</v>
      </c>
      <c r="M324">
        <f>IF(D324=I324,VLOOKUP(D324,a_win_totals_lookup,MATCH(K324,a_wins_total_lookup_header,0)+1,0),VLOOKUP(D324,a_win_totals_lookup,MATCH(I324,a_wins_total_lookup_header,0)+1,0))</f>
        <v>0.53961526258126746</v>
      </c>
      <c r="N324">
        <f t="shared" ca="1" si="5"/>
        <v>1</v>
      </c>
    </row>
    <row r="325" spans="1:14" x14ac:dyDescent="0.25">
      <c r="A325">
        <v>400578454</v>
      </c>
      <c r="B325">
        <v>2015</v>
      </c>
      <c r="C325" s="1">
        <v>41962</v>
      </c>
      <c r="D325" t="s">
        <v>21</v>
      </c>
      <c r="E325">
        <v>0</v>
      </c>
      <c r="F325">
        <v>0</v>
      </c>
      <c r="G325">
        <v>11</v>
      </c>
      <c r="H325">
        <v>1</v>
      </c>
      <c r="I325" t="s">
        <v>21</v>
      </c>
      <c r="J325">
        <v>90</v>
      </c>
      <c r="K325" t="s">
        <v>22</v>
      </c>
      <c r="L325">
        <v>101</v>
      </c>
      <c r="M325">
        <f>IF(D325=I325,VLOOKUP(D325,a_win_totals_lookup,MATCH(K325,a_wins_total_lookup_header,0)+1,0),VLOOKUP(D325,a_win_totals_lookup,MATCH(I325,a_wins_total_lookup_header,0)+1,0))</f>
        <v>0.46038473741873248</v>
      </c>
      <c r="N325">
        <f t="shared" ca="1" si="5"/>
        <v>0</v>
      </c>
    </row>
    <row r="326" spans="1:14" x14ac:dyDescent="0.25">
      <c r="A326">
        <v>400578455</v>
      </c>
      <c r="B326">
        <v>2015</v>
      </c>
      <c r="C326" s="1">
        <v>41962</v>
      </c>
      <c r="D326" t="s">
        <v>14</v>
      </c>
      <c r="E326">
        <v>1</v>
      </c>
      <c r="F326">
        <v>9</v>
      </c>
      <c r="G326">
        <v>3</v>
      </c>
      <c r="H326">
        <v>0</v>
      </c>
      <c r="I326" t="s">
        <v>25</v>
      </c>
      <c r="J326">
        <v>102</v>
      </c>
      <c r="K326" t="s">
        <v>14</v>
      </c>
      <c r="L326">
        <v>105</v>
      </c>
      <c r="M326">
        <f>IF(D326=I326,VLOOKUP(D326,a_win_totals_lookup,MATCH(K326,a_wins_total_lookup_header,0)+1,0),VLOOKUP(D326,a_win_totals_lookup,MATCH(I326,a_wins_total_lookup_header,0)+1,0))</f>
        <v>0.53429204972678024</v>
      </c>
      <c r="N326">
        <f t="shared" ca="1" si="5"/>
        <v>0</v>
      </c>
    </row>
    <row r="327" spans="1:14" x14ac:dyDescent="0.25">
      <c r="A327">
        <v>400578455</v>
      </c>
      <c r="B327">
        <v>2015</v>
      </c>
      <c r="C327" s="1">
        <v>41962</v>
      </c>
      <c r="D327" t="s">
        <v>25</v>
      </c>
      <c r="E327">
        <v>0</v>
      </c>
      <c r="F327">
        <v>7</v>
      </c>
      <c r="G327">
        <v>3</v>
      </c>
      <c r="H327">
        <v>1</v>
      </c>
      <c r="I327" t="s">
        <v>25</v>
      </c>
      <c r="J327">
        <v>102</v>
      </c>
      <c r="K327" t="s">
        <v>14</v>
      </c>
      <c r="L327">
        <v>105</v>
      </c>
      <c r="M327">
        <f>IF(D327=I327,VLOOKUP(D327,a_win_totals_lookup,MATCH(K327,a_wins_total_lookup_header,0)+1,0),VLOOKUP(D327,a_win_totals_lookup,MATCH(I327,a_wins_total_lookup_header,0)+1,0))</f>
        <v>0.46570795027321976</v>
      </c>
      <c r="N327">
        <f t="shared" ca="1" si="5"/>
        <v>0</v>
      </c>
    </row>
    <row r="328" spans="1:14" x14ac:dyDescent="0.25">
      <c r="A328">
        <v>400578456</v>
      </c>
      <c r="B328">
        <v>2015</v>
      </c>
      <c r="C328" s="1">
        <v>41962</v>
      </c>
      <c r="D328" t="s">
        <v>23</v>
      </c>
      <c r="E328">
        <v>0</v>
      </c>
      <c r="F328">
        <v>4</v>
      </c>
      <c r="G328">
        <v>7</v>
      </c>
      <c r="H328">
        <v>1</v>
      </c>
      <c r="I328" t="s">
        <v>23</v>
      </c>
      <c r="J328">
        <v>118</v>
      </c>
      <c r="K328" t="s">
        <v>19</v>
      </c>
      <c r="L328">
        <v>122</v>
      </c>
      <c r="M328">
        <f>IF(D328=I328,VLOOKUP(D328,a_win_totals_lookup,MATCH(K328,a_wins_total_lookup_header,0)+1,0),VLOOKUP(D328,a_win_totals_lookup,MATCH(I328,a_wins_total_lookup_header,0)+1,0))</f>
        <v>0.64545979335474335</v>
      </c>
      <c r="N328">
        <f t="shared" ca="1" si="5"/>
        <v>0</v>
      </c>
    </row>
    <row r="329" spans="1:14" x14ac:dyDescent="0.25">
      <c r="A329">
        <v>400578456</v>
      </c>
      <c r="B329">
        <v>2015</v>
      </c>
      <c r="C329" s="1">
        <v>41962</v>
      </c>
      <c r="D329" t="s">
        <v>19</v>
      </c>
      <c r="E329">
        <v>1</v>
      </c>
      <c r="F329">
        <v>7</v>
      </c>
      <c r="G329">
        <v>5</v>
      </c>
      <c r="H329">
        <v>0</v>
      </c>
      <c r="I329" t="s">
        <v>23</v>
      </c>
      <c r="J329">
        <v>118</v>
      </c>
      <c r="K329" t="s">
        <v>19</v>
      </c>
      <c r="L329">
        <v>122</v>
      </c>
      <c r="M329">
        <f>IF(D329=I329,VLOOKUP(D329,a_win_totals_lookup,MATCH(K329,a_wins_total_lookup_header,0)+1,0),VLOOKUP(D329,a_win_totals_lookup,MATCH(I329,a_wins_total_lookup_header,0)+1,0))</f>
        <v>0.35454020664525671</v>
      </c>
      <c r="N329">
        <f t="shared" ca="1" si="5"/>
        <v>0</v>
      </c>
    </row>
    <row r="330" spans="1:14" x14ac:dyDescent="0.25">
      <c r="A330">
        <v>400578457</v>
      </c>
      <c r="B330">
        <v>2015</v>
      </c>
      <c r="C330" s="1">
        <v>41962</v>
      </c>
      <c r="D330" t="s">
        <v>33</v>
      </c>
      <c r="E330">
        <v>0</v>
      </c>
      <c r="F330">
        <v>3</v>
      </c>
      <c r="G330">
        <v>9</v>
      </c>
      <c r="H330">
        <v>1</v>
      </c>
      <c r="I330" t="s">
        <v>33</v>
      </c>
      <c r="J330">
        <v>86</v>
      </c>
      <c r="K330" t="s">
        <v>35</v>
      </c>
      <c r="L330">
        <v>88</v>
      </c>
      <c r="M330">
        <f>IF(D330=I330,VLOOKUP(D330,a_win_totals_lookup,MATCH(K330,a_wins_total_lookup_header,0)+1,0),VLOOKUP(D330,a_win_totals_lookup,MATCH(I330,a_wins_total_lookup_header,0)+1,0))</f>
        <v>0.41653041686165959</v>
      </c>
      <c r="N330">
        <f t="shared" ca="1" si="5"/>
        <v>0</v>
      </c>
    </row>
    <row r="331" spans="1:14" x14ac:dyDescent="0.25">
      <c r="A331">
        <v>400578457</v>
      </c>
      <c r="B331">
        <v>2015</v>
      </c>
      <c r="C331" s="1">
        <v>41962</v>
      </c>
      <c r="D331" t="s">
        <v>35</v>
      </c>
      <c r="E331">
        <v>1</v>
      </c>
      <c r="F331">
        <v>7</v>
      </c>
      <c r="G331">
        <v>5</v>
      </c>
      <c r="H331">
        <v>0</v>
      </c>
      <c r="I331" t="s">
        <v>33</v>
      </c>
      <c r="J331">
        <v>86</v>
      </c>
      <c r="K331" t="s">
        <v>35</v>
      </c>
      <c r="L331">
        <v>88</v>
      </c>
      <c r="M331">
        <f>IF(D331=I331,VLOOKUP(D331,a_win_totals_lookup,MATCH(K331,a_wins_total_lookup_header,0)+1,0),VLOOKUP(D331,a_win_totals_lookup,MATCH(I331,a_wins_total_lookup_header,0)+1,0))</f>
        <v>0.58346958313834041</v>
      </c>
      <c r="N331">
        <f t="shared" ca="1" si="5"/>
        <v>1</v>
      </c>
    </row>
    <row r="332" spans="1:14" x14ac:dyDescent="0.25">
      <c r="A332">
        <v>400578458</v>
      </c>
      <c r="B332">
        <v>2015</v>
      </c>
      <c r="C332" s="1">
        <v>41962</v>
      </c>
      <c r="D332" t="s">
        <v>28</v>
      </c>
      <c r="E332">
        <v>0</v>
      </c>
      <c r="F332">
        <v>10</v>
      </c>
      <c r="G332">
        <v>2</v>
      </c>
      <c r="H332">
        <v>0</v>
      </c>
      <c r="I332" t="s">
        <v>27</v>
      </c>
      <c r="J332">
        <v>96</v>
      </c>
      <c r="K332" t="s">
        <v>28</v>
      </c>
      <c r="L332">
        <v>92</v>
      </c>
      <c r="M332">
        <f>IF(D332=I332,VLOOKUP(D332,a_win_totals_lookup,MATCH(K332,a_wins_total_lookup_header,0)+1,0),VLOOKUP(D332,a_win_totals_lookup,MATCH(I332,a_wins_total_lookup_header,0)+1,0))</f>
        <v>0.48395794110210644</v>
      </c>
      <c r="N332">
        <f t="shared" ca="1" si="5"/>
        <v>1</v>
      </c>
    </row>
    <row r="333" spans="1:14" x14ac:dyDescent="0.25">
      <c r="A333">
        <v>400578458</v>
      </c>
      <c r="B333">
        <v>2015</v>
      </c>
      <c r="C333" s="1">
        <v>41962</v>
      </c>
      <c r="D333" t="s">
        <v>27</v>
      </c>
      <c r="E333">
        <v>1</v>
      </c>
      <c r="F333">
        <v>9</v>
      </c>
      <c r="G333">
        <v>2</v>
      </c>
      <c r="H333">
        <v>1</v>
      </c>
      <c r="I333" t="s">
        <v>27</v>
      </c>
      <c r="J333">
        <v>96</v>
      </c>
      <c r="K333" t="s">
        <v>28</v>
      </c>
      <c r="L333">
        <v>92</v>
      </c>
      <c r="M333">
        <f>IF(D333=I333,VLOOKUP(D333,a_win_totals_lookup,MATCH(K333,a_wins_total_lookup_header,0)+1,0),VLOOKUP(D333,a_win_totals_lookup,MATCH(I333,a_wins_total_lookup_header,0)+1,0))</f>
        <v>0.51604205889789367</v>
      </c>
      <c r="N333">
        <f t="shared" ca="1" si="5"/>
        <v>0</v>
      </c>
    </row>
    <row r="334" spans="1:14" x14ac:dyDescent="0.25">
      <c r="A334">
        <v>400578459</v>
      </c>
      <c r="B334">
        <v>2015</v>
      </c>
      <c r="C334" s="1">
        <v>41962</v>
      </c>
      <c r="D334" t="s">
        <v>29</v>
      </c>
      <c r="E334">
        <v>1</v>
      </c>
      <c r="F334">
        <v>3</v>
      </c>
      <c r="G334">
        <v>7</v>
      </c>
      <c r="H334">
        <v>1</v>
      </c>
      <c r="I334" t="s">
        <v>29</v>
      </c>
      <c r="J334">
        <v>115</v>
      </c>
      <c r="K334" t="s">
        <v>31</v>
      </c>
      <c r="L334">
        <v>99</v>
      </c>
      <c r="M334">
        <f>IF(D334=I334,VLOOKUP(D334,a_win_totals_lookup,MATCH(K334,a_wins_total_lookup_header,0)+1,0),VLOOKUP(D334,a_win_totals_lookup,MATCH(I334,a_wins_total_lookup_header,0)+1,0))</f>
        <v>0.33715695553306341</v>
      </c>
      <c r="N334">
        <f t="shared" ca="1" si="5"/>
        <v>1</v>
      </c>
    </row>
    <row r="335" spans="1:14" x14ac:dyDescent="0.25">
      <c r="A335">
        <v>400578459</v>
      </c>
      <c r="B335">
        <v>2015</v>
      </c>
      <c r="C335" s="1">
        <v>41962</v>
      </c>
      <c r="D335" t="s">
        <v>31</v>
      </c>
      <c r="E335">
        <v>0</v>
      </c>
      <c r="F335">
        <v>3</v>
      </c>
      <c r="G335">
        <v>10</v>
      </c>
      <c r="H335">
        <v>0</v>
      </c>
      <c r="I335" t="s">
        <v>29</v>
      </c>
      <c r="J335">
        <v>115</v>
      </c>
      <c r="K335" t="s">
        <v>31</v>
      </c>
      <c r="L335">
        <v>99</v>
      </c>
      <c r="M335">
        <f>IF(D335=I335,VLOOKUP(D335,a_win_totals_lookup,MATCH(K335,a_wins_total_lookup_header,0)+1,0),VLOOKUP(D335,a_win_totals_lookup,MATCH(I335,a_wins_total_lookup_header,0)+1,0))</f>
        <v>0.66284304446693665</v>
      </c>
      <c r="N335">
        <f t="shared" ca="1" si="5"/>
        <v>1</v>
      </c>
    </row>
    <row r="336" spans="1:14" x14ac:dyDescent="0.25">
      <c r="A336">
        <v>400578460</v>
      </c>
      <c r="B336">
        <v>2015</v>
      </c>
      <c r="C336" s="1">
        <v>41962</v>
      </c>
      <c r="D336" t="s">
        <v>32</v>
      </c>
      <c r="E336">
        <v>1</v>
      </c>
      <c r="F336">
        <v>4</v>
      </c>
      <c r="G336">
        <v>7</v>
      </c>
      <c r="H336">
        <v>1</v>
      </c>
      <c r="I336" t="s">
        <v>32</v>
      </c>
      <c r="J336">
        <v>107</v>
      </c>
      <c r="K336" t="s">
        <v>38</v>
      </c>
      <c r="L336">
        <v>100</v>
      </c>
      <c r="M336">
        <f>IF(D336=I336,VLOOKUP(D336,a_win_totals_lookup,MATCH(K336,a_wins_total_lookup_header,0)+1,0),VLOOKUP(D336,a_win_totals_lookup,MATCH(I336,a_wins_total_lookup_header,0)+1,0))</f>
        <v>0.37147810462585762</v>
      </c>
      <c r="N336">
        <f t="shared" ca="1" si="5"/>
        <v>0</v>
      </c>
    </row>
    <row r="337" spans="1:14" x14ac:dyDescent="0.25">
      <c r="A337">
        <v>400578460</v>
      </c>
      <c r="B337">
        <v>2015</v>
      </c>
      <c r="C337" s="1">
        <v>41962</v>
      </c>
      <c r="D337" t="s">
        <v>38</v>
      </c>
      <c r="E337">
        <v>0</v>
      </c>
      <c r="F337">
        <v>3</v>
      </c>
      <c r="G337">
        <v>10</v>
      </c>
      <c r="H337">
        <v>0</v>
      </c>
      <c r="I337" t="s">
        <v>32</v>
      </c>
      <c r="J337">
        <v>107</v>
      </c>
      <c r="K337" t="s">
        <v>38</v>
      </c>
      <c r="L337">
        <v>100</v>
      </c>
      <c r="M337">
        <f>IF(D337=I337,VLOOKUP(D337,a_win_totals_lookup,MATCH(K337,a_wins_total_lookup_header,0)+1,0),VLOOKUP(D337,a_win_totals_lookup,MATCH(I337,a_wins_total_lookup_header,0)+1,0))</f>
        <v>0.62852189537414238</v>
      </c>
      <c r="N337">
        <f t="shared" ca="1" si="5"/>
        <v>0</v>
      </c>
    </row>
    <row r="338" spans="1:14" x14ac:dyDescent="0.25">
      <c r="A338">
        <v>400578461</v>
      </c>
      <c r="B338">
        <v>2015</v>
      </c>
      <c r="C338" s="1">
        <v>41962</v>
      </c>
      <c r="D338" t="s">
        <v>16</v>
      </c>
      <c r="E338">
        <v>0</v>
      </c>
      <c r="F338">
        <v>9</v>
      </c>
      <c r="G338">
        <v>3</v>
      </c>
      <c r="H338">
        <v>1</v>
      </c>
      <c r="I338" t="s">
        <v>16</v>
      </c>
      <c r="J338">
        <v>92</v>
      </c>
      <c r="K338" t="s">
        <v>17</v>
      </c>
      <c r="L338">
        <v>98</v>
      </c>
      <c r="M338">
        <f>IF(D338=I338,VLOOKUP(D338,a_win_totals_lookup,MATCH(K338,a_wins_total_lookup_header,0)+1,0),VLOOKUP(D338,a_win_totals_lookup,MATCH(I338,a_wins_total_lookup_header,0)+1,0))</f>
        <v>0.65557177266505795</v>
      </c>
      <c r="N338">
        <f t="shared" ca="1" si="5"/>
        <v>1</v>
      </c>
    </row>
    <row r="339" spans="1:14" x14ac:dyDescent="0.25">
      <c r="A339">
        <v>400578461</v>
      </c>
      <c r="B339">
        <v>2015</v>
      </c>
      <c r="C339" s="1">
        <v>41962</v>
      </c>
      <c r="D339" t="s">
        <v>17</v>
      </c>
      <c r="E339">
        <v>1</v>
      </c>
      <c r="F339">
        <v>3</v>
      </c>
      <c r="G339">
        <v>9</v>
      </c>
      <c r="H339">
        <v>0</v>
      </c>
      <c r="I339" t="s">
        <v>16</v>
      </c>
      <c r="J339">
        <v>92</v>
      </c>
      <c r="K339" t="s">
        <v>17</v>
      </c>
      <c r="L339">
        <v>98</v>
      </c>
      <c r="M339">
        <f>IF(D339=I339,VLOOKUP(D339,a_win_totals_lookup,MATCH(K339,a_wins_total_lookup_header,0)+1,0),VLOOKUP(D339,a_win_totals_lookup,MATCH(I339,a_wins_total_lookup_header,0)+1,0))</f>
        <v>0.34442822733494199</v>
      </c>
      <c r="N339">
        <f t="shared" ca="1" si="5"/>
        <v>0</v>
      </c>
    </row>
    <row r="340" spans="1:14" x14ac:dyDescent="0.25">
      <c r="A340">
        <v>400578462</v>
      </c>
      <c r="B340">
        <v>2015</v>
      </c>
      <c r="C340" s="1">
        <v>41963</v>
      </c>
      <c r="D340" t="s">
        <v>41</v>
      </c>
      <c r="E340">
        <v>1</v>
      </c>
      <c r="F340">
        <v>7</v>
      </c>
      <c r="G340">
        <v>4</v>
      </c>
      <c r="H340">
        <v>0</v>
      </c>
      <c r="I340" t="s">
        <v>24</v>
      </c>
      <c r="J340">
        <v>93</v>
      </c>
      <c r="K340" t="s">
        <v>41</v>
      </c>
      <c r="L340">
        <v>110</v>
      </c>
      <c r="M340">
        <f>IF(D340=I340,VLOOKUP(D340,a_win_totals_lookup,MATCH(K340,a_wins_total_lookup_header,0)+1,0),VLOOKUP(D340,a_win_totals_lookup,MATCH(I340,a_wins_total_lookup_header,0)+1,0))</f>
        <v>0.60114400626087006</v>
      </c>
      <c r="N340">
        <f t="shared" ca="1" si="5"/>
        <v>1</v>
      </c>
    </row>
    <row r="341" spans="1:14" x14ac:dyDescent="0.25">
      <c r="A341">
        <v>400578462</v>
      </c>
      <c r="B341">
        <v>2015</v>
      </c>
      <c r="C341" s="1">
        <v>41963</v>
      </c>
      <c r="D341" t="s">
        <v>24</v>
      </c>
      <c r="E341">
        <v>0</v>
      </c>
      <c r="F341">
        <v>6</v>
      </c>
      <c r="G341">
        <v>6</v>
      </c>
      <c r="H341">
        <v>1</v>
      </c>
      <c r="I341" t="s">
        <v>24</v>
      </c>
      <c r="J341">
        <v>93</v>
      </c>
      <c r="K341" t="s">
        <v>41</v>
      </c>
      <c r="L341">
        <v>110</v>
      </c>
      <c r="M341">
        <f>IF(D341=I341,VLOOKUP(D341,a_win_totals_lookup,MATCH(K341,a_wins_total_lookup_header,0)+1,0),VLOOKUP(D341,a_win_totals_lookup,MATCH(I341,a_wins_total_lookup_header,0)+1,0))</f>
        <v>0.39885599373912994</v>
      </c>
      <c r="N341">
        <f t="shared" ca="1" si="5"/>
        <v>0</v>
      </c>
    </row>
    <row r="342" spans="1:14" x14ac:dyDescent="0.25">
      <c r="A342">
        <v>400578463</v>
      </c>
      <c r="B342">
        <v>2015</v>
      </c>
      <c r="C342" s="1">
        <v>41963</v>
      </c>
      <c r="D342" t="s">
        <v>30</v>
      </c>
      <c r="E342">
        <v>0</v>
      </c>
      <c r="F342">
        <v>8</v>
      </c>
      <c r="G342">
        <v>4</v>
      </c>
      <c r="H342">
        <v>0</v>
      </c>
      <c r="I342" t="s">
        <v>37</v>
      </c>
      <c r="J342">
        <v>103</v>
      </c>
      <c r="K342" t="s">
        <v>30</v>
      </c>
      <c r="L342">
        <v>88</v>
      </c>
      <c r="M342">
        <f>IF(D342=I342,VLOOKUP(D342,a_win_totals_lookup,MATCH(K342,a_wins_total_lookup_header,0)+1,0),VLOOKUP(D342,a_win_totals_lookup,MATCH(I342,a_wins_total_lookup_header,0)+1,0))</f>
        <v>0.70784526159162375</v>
      </c>
      <c r="N342">
        <f t="shared" ca="1" si="5"/>
        <v>0</v>
      </c>
    </row>
    <row r="343" spans="1:14" x14ac:dyDescent="0.25">
      <c r="A343">
        <v>400578463</v>
      </c>
      <c r="B343">
        <v>2015</v>
      </c>
      <c r="C343" s="1">
        <v>41963</v>
      </c>
      <c r="D343" t="s">
        <v>37</v>
      </c>
      <c r="E343">
        <v>1</v>
      </c>
      <c r="F343">
        <v>7</v>
      </c>
      <c r="G343">
        <v>5</v>
      </c>
      <c r="H343">
        <v>1</v>
      </c>
      <c r="I343" t="s">
        <v>37</v>
      </c>
      <c r="J343">
        <v>103</v>
      </c>
      <c r="K343" t="s">
        <v>30</v>
      </c>
      <c r="L343">
        <v>88</v>
      </c>
      <c r="M343">
        <f>IF(D343=I343,VLOOKUP(D343,a_win_totals_lookup,MATCH(K343,a_wins_total_lookup_header,0)+1,0),VLOOKUP(D343,a_win_totals_lookup,MATCH(I343,a_wins_total_lookup_header,0)+1,0))</f>
        <v>0.29215473840837614</v>
      </c>
      <c r="N343">
        <f t="shared" ca="1" si="5"/>
        <v>0</v>
      </c>
    </row>
    <row r="344" spans="1:14" x14ac:dyDescent="0.25">
      <c r="A344">
        <v>400578464</v>
      </c>
      <c r="B344">
        <v>2015</v>
      </c>
      <c r="C344" s="1">
        <v>41964</v>
      </c>
      <c r="D344" t="s">
        <v>18</v>
      </c>
      <c r="E344">
        <v>0</v>
      </c>
      <c r="F344">
        <v>4</v>
      </c>
      <c r="G344">
        <v>9</v>
      </c>
      <c r="H344">
        <v>1</v>
      </c>
      <c r="I344" t="s">
        <v>18</v>
      </c>
      <c r="J344">
        <v>100</v>
      </c>
      <c r="K344" t="s">
        <v>13</v>
      </c>
      <c r="L344">
        <v>105</v>
      </c>
      <c r="M344">
        <f>IF(D344=I344,VLOOKUP(D344,a_win_totals_lookup,MATCH(K344,a_wins_total_lookup_header,0)+1,0),VLOOKUP(D344,a_win_totals_lookup,MATCH(I344,a_wins_total_lookup_header,0)+1,0))</f>
        <v>0.66841321269200027</v>
      </c>
      <c r="N344">
        <f t="shared" ca="1" si="5"/>
        <v>0</v>
      </c>
    </row>
    <row r="345" spans="1:14" x14ac:dyDescent="0.25">
      <c r="A345">
        <v>400578464</v>
      </c>
      <c r="B345">
        <v>2015</v>
      </c>
      <c r="C345" s="1">
        <v>41964</v>
      </c>
      <c r="D345" t="s">
        <v>13</v>
      </c>
      <c r="E345">
        <v>1</v>
      </c>
      <c r="F345">
        <v>6</v>
      </c>
      <c r="G345">
        <v>8</v>
      </c>
      <c r="H345">
        <v>0</v>
      </c>
      <c r="I345" t="s">
        <v>18</v>
      </c>
      <c r="J345">
        <v>100</v>
      </c>
      <c r="K345" t="s">
        <v>13</v>
      </c>
      <c r="L345">
        <v>105</v>
      </c>
      <c r="M345">
        <f>IF(D345=I345,VLOOKUP(D345,a_win_totals_lookup,MATCH(K345,a_wins_total_lookup_header,0)+1,0),VLOOKUP(D345,a_win_totals_lookup,MATCH(I345,a_wins_total_lookup_header,0)+1,0))</f>
        <v>0.33158678730799973</v>
      </c>
      <c r="N345">
        <f t="shared" ca="1" si="5"/>
        <v>1</v>
      </c>
    </row>
    <row r="346" spans="1:14" x14ac:dyDescent="0.25">
      <c r="A346">
        <v>400578465</v>
      </c>
      <c r="B346">
        <v>2015</v>
      </c>
      <c r="C346" s="1">
        <v>41964</v>
      </c>
      <c r="D346" t="s">
        <v>21</v>
      </c>
      <c r="E346">
        <v>0</v>
      </c>
      <c r="F346">
        <v>0</v>
      </c>
      <c r="G346">
        <v>12</v>
      </c>
      <c r="H346">
        <v>1</v>
      </c>
      <c r="I346" t="s">
        <v>21</v>
      </c>
      <c r="J346">
        <v>96</v>
      </c>
      <c r="K346" t="s">
        <v>35</v>
      </c>
      <c r="L346">
        <v>122</v>
      </c>
      <c r="M346">
        <f>IF(D346=I346,VLOOKUP(D346,a_win_totals_lookup,MATCH(K346,a_wins_total_lookup_header,0)+1,0),VLOOKUP(D346,a_win_totals_lookup,MATCH(I346,a_wins_total_lookup_header,0)+1,0))</f>
        <v>0.27046526209701249</v>
      </c>
      <c r="N346">
        <f t="shared" ca="1" si="5"/>
        <v>1</v>
      </c>
    </row>
    <row r="347" spans="1:14" x14ac:dyDescent="0.25">
      <c r="A347">
        <v>400578465</v>
      </c>
      <c r="B347">
        <v>2015</v>
      </c>
      <c r="C347" s="1">
        <v>41964</v>
      </c>
      <c r="D347" t="s">
        <v>35</v>
      </c>
      <c r="E347">
        <v>1</v>
      </c>
      <c r="F347">
        <v>8</v>
      </c>
      <c r="G347">
        <v>5</v>
      </c>
      <c r="H347">
        <v>0</v>
      </c>
      <c r="I347" t="s">
        <v>21</v>
      </c>
      <c r="J347">
        <v>96</v>
      </c>
      <c r="K347" t="s">
        <v>35</v>
      </c>
      <c r="L347">
        <v>122</v>
      </c>
      <c r="M347">
        <f>IF(D347=I347,VLOOKUP(D347,a_win_totals_lookup,MATCH(K347,a_wins_total_lookup_header,0)+1,0),VLOOKUP(D347,a_win_totals_lookup,MATCH(I347,a_wins_total_lookup_header,0)+1,0))</f>
        <v>0.72953473790298751</v>
      </c>
      <c r="N347">
        <f t="shared" ca="1" si="5"/>
        <v>1</v>
      </c>
    </row>
    <row r="348" spans="1:14" x14ac:dyDescent="0.25">
      <c r="A348">
        <v>400578466</v>
      </c>
      <c r="B348">
        <v>2015</v>
      </c>
      <c r="C348" s="1">
        <v>41964</v>
      </c>
      <c r="D348" t="s">
        <v>26</v>
      </c>
      <c r="E348">
        <v>1</v>
      </c>
      <c r="F348">
        <v>6</v>
      </c>
      <c r="G348">
        <v>5</v>
      </c>
      <c r="H348">
        <v>1</v>
      </c>
      <c r="I348" t="s">
        <v>26</v>
      </c>
      <c r="J348">
        <v>99</v>
      </c>
      <c r="K348" t="s">
        <v>33</v>
      </c>
      <c r="L348">
        <v>89</v>
      </c>
      <c r="M348">
        <f>IF(D348=I348,VLOOKUP(D348,a_win_totals_lookup,MATCH(K348,a_wins_total_lookup_header,0)+1,0),VLOOKUP(D348,a_win_totals_lookup,MATCH(I348,a_wins_total_lookup_header,0)+1,0))</f>
        <v>0.58346958313834041</v>
      </c>
      <c r="N348">
        <f t="shared" ca="1" si="5"/>
        <v>1</v>
      </c>
    </row>
    <row r="349" spans="1:14" x14ac:dyDescent="0.25">
      <c r="A349">
        <v>400578466</v>
      </c>
      <c r="B349">
        <v>2015</v>
      </c>
      <c r="C349" s="1">
        <v>41964</v>
      </c>
      <c r="D349" t="s">
        <v>33</v>
      </c>
      <c r="E349">
        <v>0</v>
      </c>
      <c r="F349">
        <v>3</v>
      </c>
      <c r="G349">
        <v>10</v>
      </c>
      <c r="H349">
        <v>0</v>
      </c>
      <c r="I349" t="s">
        <v>26</v>
      </c>
      <c r="J349">
        <v>99</v>
      </c>
      <c r="K349" t="s">
        <v>33</v>
      </c>
      <c r="L349">
        <v>89</v>
      </c>
      <c r="M349">
        <f>IF(D349=I349,VLOOKUP(D349,a_win_totals_lookup,MATCH(K349,a_wins_total_lookup_header,0)+1,0),VLOOKUP(D349,a_win_totals_lookup,MATCH(I349,a_wins_total_lookup_header,0)+1,0))</f>
        <v>0.41653041686165959</v>
      </c>
      <c r="N349">
        <f t="shared" ca="1" si="5"/>
        <v>0</v>
      </c>
    </row>
    <row r="350" spans="1:14" x14ac:dyDescent="0.25">
      <c r="A350">
        <v>400578467</v>
      </c>
      <c r="B350">
        <v>2015</v>
      </c>
      <c r="C350" s="1">
        <v>41964</v>
      </c>
      <c r="D350" t="s">
        <v>19</v>
      </c>
      <c r="E350">
        <v>0</v>
      </c>
      <c r="F350">
        <v>7</v>
      </c>
      <c r="G350">
        <v>6</v>
      </c>
      <c r="H350">
        <v>0</v>
      </c>
      <c r="I350" t="s">
        <v>27</v>
      </c>
      <c r="J350">
        <v>124</v>
      </c>
      <c r="K350" t="s">
        <v>19</v>
      </c>
      <c r="L350">
        <v>82</v>
      </c>
      <c r="M350">
        <f>IF(D350=I350,VLOOKUP(D350,a_win_totals_lookup,MATCH(K350,a_wins_total_lookup_header,0)+1,0),VLOOKUP(D350,a_win_totals_lookup,MATCH(I350,a_wins_total_lookup_header,0)+1,0))</f>
        <v>0.25555230020051067</v>
      </c>
      <c r="N350">
        <f t="shared" ca="1" si="5"/>
        <v>0</v>
      </c>
    </row>
    <row r="351" spans="1:14" x14ac:dyDescent="0.25">
      <c r="A351">
        <v>400578467</v>
      </c>
      <c r="B351">
        <v>2015</v>
      </c>
      <c r="C351" s="1">
        <v>41964</v>
      </c>
      <c r="D351" t="s">
        <v>27</v>
      </c>
      <c r="E351">
        <v>1</v>
      </c>
      <c r="F351">
        <v>10</v>
      </c>
      <c r="G351">
        <v>2</v>
      </c>
      <c r="H351">
        <v>1</v>
      </c>
      <c r="I351" t="s">
        <v>27</v>
      </c>
      <c r="J351">
        <v>124</v>
      </c>
      <c r="K351" t="s">
        <v>19</v>
      </c>
      <c r="L351">
        <v>82</v>
      </c>
      <c r="M351">
        <f>IF(D351=I351,VLOOKUP(D351,a_win_totals_lookup,MATCH(K351,a_wins_total_lookup_header,0)+1,0),VLOOKUP(D351,a_win_totals_lookup,MATCH(I351,a_wins_total_lookup_header,0)+1,0))</f>
        <v>0.74444769979948933</v>
      </c>
      <c r="N351">
        <f t="shared" ca="1" si="5"/>
        <v>1</v>
      </c>
    </row>
    <row r="352" spans="1:14" x14ac:dyDescent="0.25">
      <c r="A352">
        <v>400578468</v>
      </c>
      <c r="B352">
        <v>2015</v>
      </c>
      <c r="C352" s="1">
        <v>41964</v>
      </c>
      <c r="D352" t="s">
        <v>22</v>
      </c>
      <c r="E352">
        <v>0</v>
      </c>
      <c r="F352">
        <v>4</v>
      </c>
      <c r="G352">
        <v>7</v>
      </c>
      <c r="H352">
        <v>0</v>
      </c>
      <c r="I352" t="s">
        <v>28</v>
      </c>
      <c r="J352">
        <v>117</v>
      </c>
      <c r="K352" t="s">
        <v>22</v>
      </c>
      <c r="L352">
        <v>100</v>
      </c>
      <c r="M352">
        <f>IF(D352=I352,VLOOKUP(D352,a_win_totals_lookup,MATCH(K352,a_wins_total_lookup_header,0)+1,0),VLOOKUP(D352,a_win_totals_lookup,MATCH(I352,a_wins_total_lookup_header,0)+1,0))</f>
        <v>0.25315159149597988</v>
      </c>
      <c r="N352">
        <f t="shared" ca="1" si="5"/>
        <v>0</v>
      </c>
    </row>
    <row r="353" spans="1:14" x14ac:dyDescent="0.25">
      <c r="A353">
        <v>400578468</v>
      </c>
      <c r="B353">
        <v>2015</v>
      </c>
      <c r="C353" s="1">
        <v>41964</v>
      </c>
      <c r="D353" t="s">
        <v>28</v>
      </c>
      <c r="E353">
        <v>1</v>
      </c>
      <c r="F353">
        <v>11</v>
      </c>
      <c r="G353">
        <v>2</v>
      </c>
      <c r="H353">
        <v>1</v>
      </c>
      <c r="I353" t="s">
        <v>28</v>
      </c>
      <c r="J353">
        <v>117</v>
      </c>
      <c r="K353" t="s">
        <v>22</v>
      </c>
      <c r="L353">
        <v>100</v>
      </c>
      <c r="M353">
        <f>IF(D353=I353,VLOOKUP(D353,a_win_totals_lookup,MATCH(K353,a_wins_total_lookup_header,0)+1,0),VLOOKUP(D353,a_win_totals_lookup,MATCH(I353,a_wins_total_lookup_header,0)+1,0))</f>
        <v>0.74684840850402012</v>
      </c>
      <c r="N353">
        <f t="shared" ca="1" si="5"/>
        <v>1</v>
      </c>
    </row>
    <row r="354" spans="1:14" x14ac:dyDescent="0.25">
      <c r="A354">
        <v>400578469</v>
      </c>
      <c r="B354">
        <v>2015</v>
      </c>
      <c r="C354" s="1">
        <v>41964</v>
      </c>
      <c r="D354" t="s">
        <v>29</v>
      </c>
      <c r="E354">
        <v>0</v>
      </c>
      <c r="F354">
        <v>3</v>
      </c>
      <c r="G354">
        <v>8</v>
      </c>
      <c r="H354">
        <v>1</v>
      </c>
      <c r="I354" t="s">
        <v>29</v>
      </c>
      <c r="J354">
        <v>92</v>
      </c>
      <c r="K354" t="s">
        <v>15</v>
      </c>
      <c r="L354">
        <v>121</v>
      </c>
      <c r="M354">
        <f>IF(D354=I354,VLOOKUP(D354,a_win_totals_lookup,MATCH(K354,a_wins_total_lookup_header,0)+1,0),VLOOKUP(D354,a_win_totals_lookup,MATCH(I354,a_wins_total_lookup_header,0)+1,0))</f>
        <v>0.22270013882530892</v>
      </c>
      <c r="N354">
        <f t="shared" ca="1" si="5"/>
        <v>1</v>
      </c>
    </row>
    <row r="355" spans="1:14" x14ac:dyDescent="0.25">
      <c r="A355">
        <v>400578469</v>
      </c>
      <c r="B355">
        <v>2015</v>
      </c>
      <c r="C355" s="1">
        <v>41964</v>
      </c>
      <c r="D355" t="s">
        <v>15</v>
      </c>
      <c r="E355">
        <v>1</v>
      </c>
      <c r="F355">
        <v>8</v>
      </c>
      <c r="G355">
        <v>4</v>
      </c>
      <c r="H355">
        <v>0</v>
      </c>
      <c r="I355" t="s">
        <v>29</v>
      </c>
      <c r="J355">
        <v>92</v>
      </c>
      <c r="K355" t="s">
        <v>15</v>
      </c>
      <c r="L355">
        <v>121</v>
      </c>
      <c r="M355">
        <f>IF(D355=I355,VLOOKUP(D355,a_win_totals_lookup,MATCH(K355,a_wins_total_lookup_header,0)+1,0),VLOOKUP(D355,a_win_totals_lookup,MATCH(I355,a_wins_total_lookup_header,0)+1,0))</f>
        <v>0.77729986117469119</v>
      </c>
      <c r="N355">
        <f t="shared" ca="1" si="5"/>
        <v>1</v>
      </c>
    </row>
    <row r="356" spans="1:14" x14ac:dyDescent="0.25">
      <c r="A356">
        <v>400578470</v>
      </c>
      <c r="B356">
        <v>2015</v>
      </c>
      <c r="C356" s="1">
        <v>41964</v>
      </c>
      <c r="D356" t="s">
        <v>23</v>
      </c>
      <c r="E356">
        <v>1</v>
      </c>
      <c r="F356">
        <v>5</v>
      </c>
      <c r="G356">
        <v>7</v>
      </c>
      <c r="H356">
        <v>0</v>
      </c>
      <c r="I356" t="s">
        <v>38</v>
      </c>
      <c r="J356">
        <v>92</v>
      </c>
      <c r="K356" t="s">
        <v>23</v>
      </c>
      <c r="L356">
        <v>94</v>
      </c>
      <c r="M356">
        <f>IF(D356=I356,VLOOKUP(D356,a_win_totals_lookup,MATCH(K356,a_wins_total_lookup_header,0)+1,0),VLOOKUP(D356,a_win_totals_lookup,MATCH(I356,a_wins_total_lookup_header,0)+1,0))</f>
        <v>0.37147810462585762</v>
      </c>
      <c r="N356">
        <f t="shared" ca="1" si="5"/>
        <v>0</v>
      </c>
    </row>
    <row r="357" spans="1:14" x14ac:dyDescent="0.25">
      <c r="A357">
        <v>400578470</v>
      </c>
      <c r="B357">
        <v>2015</v>
      </c>
      <c r="C357" s="1">
        <v>41964</v>
      </c>
      <c r="D357" t="s">
        <v>38</v>
      </c>
      <c r="E357">
        <v>0</v>
      </c>
      <c r="F357">
        <v>3</v>
      </c>
      <c r="G357">
        <v>11</v>
      </c>
      <c r="H357">
        <v>1</v>
      </c>
      <c r="I357" t="s">
        <v>38</v>
      </c>
      <c r="J357">
        <v>92</v>
      </c>
      <c r="K357" t="s">
        <v>23</v>
      </c>
      <c r="L357">
        <v>94</v>
      </c>
      <c r="M357">
        <f>IF(D357=I357,VLOOKUP(D357,a_win_totals_lookup,MATCH(K357,a_wins_total_lookup_header,0)+1,0),VLOOKUP(D357,a_win_totals_lookup,MATCH(I357,a_wins_total_lookup_header,0)+1,0))</f>
        <v>0.62852189537414238</v>
      </c>
      <c r="N357">
        <f t="shared" ca="1" si="5"/>
        <v>1</v>
      </c>
    </row>
    <row r="358" spans="1:14" x14ac:dyDescent="0.25">
      <c r="A358">
        <v>400578471</v>
      </c>
      <c r="B358">
        <v>2015</v>
      </c>
      <c r="C358" s="1">
        <v>41964</v>
      </c>
      <c r="D358" t="s">
        <v>40</v>
      </c>
      <c r="E358">
        <v>0</v>
      </c>
      <c r="F358">
        <v>5</v>
      </c>
      <c r="G358">
        <v>6</v>
      </c>
      <c r="H358">
        <v>0</v>
      </c>
      <c r="I358" t="s">
        <v>25</v>
      </c>
      <c r="J358">
        <v>91</v>
      </c>
      <c r="K358" t="s">
        <v>40</v>
      </c>
      <c r="L358">
        <v>78</v>
      </c>
      <c r="M358">
        <f>IF(D358=I358,VLOOKUP(D358,a_win_totals_lookup,MATCH(K358,a_wins_total_lookup_header,0)+1,0),VLOOKUP(D358,a_win_totals_lookup,MATCH(I358,a_wins_total_lookup_header,0)+1,0))</f>
        <v>0.57016539281455259</v>
      </c>
      <c r="N358">
        <f t="shared" ca="1" si="5"/>
        <v>0</v>
      </c>
    </row>
    <row r="359" spans="1:14" x14ac:dyDescent="0.25">
      <c r="A359">
        <v>400578471</v>
      </c>
      <c r="B359">
        <v>2015</v>
      </c>
      <c r="C359" s="1">
        <v>41964</v>
      </c>
      <c r="D359" t="s">
        <v>25</v>
      </c>
      <c r="E359">
        <v>1</v>
      </c>
      <c r="F359">
        <v>8</v>
      </c>
      <c r="G359">
        <v>3</v>
      </c>
      <c r="H359">
        <v>1</v>
      </c>
      <c r="I359" t="s">
        <v>25</v>
      </c>
      <c r="J359">
        <v>91</v>
      </c>
      <c r="K359" t="s">
        <v>40</v>
      </c>
      <c r="L359">
        <v>78</v>
      </c>
      <c r="M359">
        <f>IF(D359=I359,VLOOKUP(D359,a_win_totals_lookup,MATCH(K359,a_wins_total_lookup_header,0)+1,0),VLOOKUP(D359,a_win_totals_lookup,MATCH(I359,a_wins_total_lookup_header,0)+1,0))</f>
        <v>0.42983460718544747</v>
      </c>
      <c r="N359">
        <f t="shared" ca="1" si="5"/>
        <v>0</v>
      </c>
    </row>
    <row r="360" spans="1:14" x14ac:dyDescent="0.25">
      <c r="A360">
        <v>400578472</v>
      </c>
      <c r="B360">
        <v>2015</v>
      </c>
      <c r="C360" s="1">
        <v>41964</v>
      </c>
      <c r="D360" t="s">
        <v>14</v>
      </c>
      <c r="E360">
        <v>1</v>
      </c>
      <c r="F360">
        <v>10</v>
      </c>
      <c r="G360">
        <v>3</v>
      </c>
      <c r="H360">
        <v>1</v>
      </c>
      <c r="I360" t="s">
        <v>14</v>
      </c>
      <c r="J360">
        <v>140</v>
      </c>
      <c r="K360" t="s">
        <v>17</v>
      </c>
      <c r="L360">
        <v>106</v>
      </c>
      <c r="M360">
        <f>IF(D360=I360,VLOOKUP(D360,a_win_totals_lookup,MATCH(K360,a_wins_total_lookup_header,0)+1,0),VLOOKUP(D360,a_win_totals_lookup,MATCH(I360,a_wins_total_lookup_header,0)+1,0))</f>
        <v>0.68589687603228333</v>
      </c>
      <c r="N360">
        <f t="shared" ca="1" si="5"/>
        <v>1</v>
      </c>
    </row>
    <row r="361" spans="1:14" x14ac:dyDescent="0.25">
      <c r="A361">
        <v>400578472</v>
      </c>
      <c r="B361">
        <v>2015</v>
      </c>
      <c r="C361" s="1">
        <v>41964</v>
      </c>
      <c r="D361" t="s">
        <v>17</v>
      </c>
      <c r="E361">
        <v>0</v>
      </c>
      <c r="F361">
        <v>3</v>
      </c>
      <c r="G361">
        <v>10</v>
      </c>
      <c r="H361">
        <v>0</v>
      </c>
      <c r="I361" t="s">
        <v>14</v>
      </c>
      <c r="J361">
        <v>140</v>
      </c>
      <c r="K361" t="s">
        <v>17</v>
      </c>
      <c r="L361">
        <v>106</v>
      </c>
      <c r="M361">
        <f>IF(D361=I361,VLOOKUP(D361,a_win_totals_lookup,MATCH(K361,a_wins_total_lookup_header,0)+1,0),VLOOKUP(D361,a_win_totals_lookup,MATCH(I361,a_wins_total_lookup_header,0)+1,0))</f>
        <v>0.31410312396771667</v>
      </c>
      <c r="N361">
        <f t="shared" ca="1" si="5"/>
        <v>1</v>
      </c>
    </row>
    <row r="362" spans="1:14" x14ac:dyDescent="0.25">
      <c r="A362">
        <v>400578473</v>
      </c>
      <c r="B362">
        <v>2015</v>
      </c>
      <c r="C362" s="1">
        <v>41964</v>
      </c>
      <c r="D362" t="s">
        <v>32</v>
      </c>
      <c r="E362">
        <v>1</v>
      </c>
      <c r="F362">
        <v>5</v>
      </c>
      <c r="G362">
        <v>7</v>
      </c>
      <c r="H362">
        <v>1</v>
      </c>
      <c r="I362" t="s">
        <v>32</v>
      </c>
      <c r="J362">
        <v>117</v>
      </c>
      <c r="K362" t="s">
        <v>12</v>
      </c>
      <c r="L362">
        <v>97</v>
      </c>
      <c r="M362">
        <f>IF(D362=I362,VLOOKUP(D362,a_win_totals_lookup,MATCH(K362,a_wins_total_lookup_header,0)+1,0),VLOOKUP(D362,a_win_totals_lookup,MATCH(I362,a_wins_total_lookup_header,0)+1,0))</f>
        <v>0.48625786874528693</v>
      </c>
      <c r="N362">
        <f t="shared" ca="1" si="5"/>
        <v>1</v>
      </c>
    </row>
    <row r="363" spans="1:14" x14ac:dyDescent="0.25">
      <c r="A363">
        <v>400578473</v>
      </c>
      <c r="B363">
        <v>2015</v>
      </c>
      <c r="C363" s="1">
        <v>41964</v>
      </c>
      <c r="D363" t="s">
        <v>12</v>
      </c>
      <c r="E363">
        <v>0</v>
      </c>
      <c r="F363">
        <v>6</v>
      </c>
      <c r="G363">
        <v>5</v>
      </c>
      <c r="H363">
        <v>0</v>
      </c>
      <c r="I363" t="s">
        <v>32</v>
      </c>
      <c r="J363">
        <v>117</v>
      </c>
      <c r="K363" t="s">
        <v>12</v>
      </c>
      <c r="L363">
        <v>97</v>
      </c>
      <c r="M363">
        <f>IF(D363=I363,VLOOKUP(D363,a_win_totals_lookup,MATCH(K363,a_wins_total_lookup_header,0)+1,0),VLOOKUP(D363,a_win_totals_lookup,MATCH(I363,a_wins_total_lookup_header,0)+1,0))</f>
        <v>0.51374213125471302</v>
      </c>
      <c r="N363">
        <f t="shared" ca="1" si="5"/>
        <v>1</v>
      </c>
    </row>
    <row r="364" spans="1:14" x14ac:dyDescent="0.25">
      <c r="A364">
        <v>400578474</v>
      </c>
      <c r="B364">
        <v>2015</v>
      </c>
      <c r="C364" s="1">
        <v>41964</v>
      </c>
      <c r="D364" t="s">
        <v>36</v>
      </c>
      <c r="E364">
        <v>1</v>
      </c>
      <c r="F364">
        <v>9</v>
      </c>
      <c r="G364">
        <v>2</v>
      </c>
      <c r="H364">
        <v>1</v>
      </c>
      <c r="I364" t="s">
        <v>36</v>
      </c>
      <c r="J364">
        <v>101</v>
      </c>
      <c r="K364" t="s">
        <v>34</v>
      </c>
      <c r="L364">
        <v>88</v>
      </c>
      <c r="M364">
        <f>IF(D364=I364,VLOOKUP(D364,a_win_totals_lookup,MATCH(K364,a_wins_total_lookup_header,0)+1,0),VLOOKUP(D364,a_win_totals_lookup,MATCH(I364,a_wins_total_lookup_header,0)+1,0))</f>
        <v>0.72111517802286307</v>
      </c>
      <c r="N364">
        <f t="shared" ca="1" si="5"/>
        <v>1</v>
      </c>
    </row>
    <row r="365" spans="1:14" x14ac:dyDescent="0.25">
      <c r="A365">
        <v>400578474</v>
      </c>
      <c r="B365">
        <v>2015</v>
      </c>
      <c r="C365" s="1">
        <v>41964</v>
      </c>
      <c r="D365" t="s">
        <v>34</v>
      </c>
      <c r="E365">
        <v>0</v>
      </c>
      <c r="F365">
        <v>5</v>
      </c>
      <c r="G365">
        <v>8</v>
      </c>
      <c r="H365">
        <v>0</v>
      </c>
      <c r="I365" t="s">
        <v>36</v>
      </c>
      <c r="J365">
        <v>101</v>
      </c>
      <c r="K365" t="s">
        <v>34</v>
      </c>
      <c r="L365">
        <v>88</v>
      </c>
      <c r="M365">
        <f>IF(D365=I365,VLOOKUP(D365,a_win_totals_lookup,MATCH(K365,a_wins_total_lookup_header,0)+1,0),VLOOKUP(D365,a_win_totals_lookup,MATCH(I365,a_wins_total_lookup_header,0)+1,0))</f>
        <v>0.27888482197713693</v>
      </c>
      <c r="N365">
        <f t="shared" ca="1" si="5"/>
        <v>0</v>
      </c>
    </row>
    <row r="366" spans="1:14" x14ac:dyDescent="0.25">
      <c r="A366">
        <v>400578475</v>
      </c>
      <c r="B366">
        <v>2015</v>
      </c>
      <c r="C366" s="1">
        <v>41964</v>
      </c>
      <c r="D366" t="s">
        <v>30</v>
      </c>
      <c r="E366">
        <v>0</v>
      </c>
      <c r="F366">
        <v>8</v>
      </c>
      <c r="G366">
        <v>5</v>
      </c>
      <c r="H366">
        <v>0</v>
      </c>
      <c r="I366" t="s">
        <v>39</v>
      </c>
      <c r="J366">
        <v>105</v>
      </c>
      <c r="K366" t="s">
        <v>30</v>
      </c>
      <c r="L366">
        <v>87</v>
      </c>
      <c r="M366">
        <f>IF(D366=I366,VLOOKUP(D366,a_win_totals_lookup,MATCH(K366,a_wins_total_lookup_header,0)+1,0),VLOOKUP(D366,a_win_totals_lookup,MATCH(I366,a_wins_total_lookup_header,0)+1,0))</f>
        <v>0.55071584036741195</v>
      </c>
      <c r="N366">
        <f t="shared" ca="1" si="5"/>
        <v>1</v>
      </c>
    </row>
    <row r="367" spans="1:14" x14ac:dyDescent="0.25">
      <c r="A367">
        <v>400578475</v>
      </c>
      <c r="B367">
        <v>2015</v>
      </c>
      <c r="C367" s="1">
        <v>41964</v>
      </c>
      <c r="D367" t="s">
        <v>39</v>
      </c>
      <c r="E367">
        <v>1</v>
      </c>
      <c r="F367">
        <v>9</v>
      </c>
      <c r="G367">
        <v>3</v>
      </c>
      <c r="H367">
        <v>1</v>
      </c>
      <c r="I367" t="s">
        <v>39</v>
      </c>
      <c r="J367">
        <v>105</v>
      </c>
      <c r="K367" t="s">
        <v>30</v>
      </c>
      <c r="L367">
        <v>87</v>
      </c>
      <c r="M367">
        <f>IF(D367=I367,VLOOKUP(D367,a_win_totals_lookup,MATCH(K367,a_wins_total_lookup_header,0)+1,0),VLOOKUP(D367,a_win_totals_lookup,MATCH(I367,a_wins_total_lookup_header,0)+1,0))</f>
        <v>0.44928415963258811</v>
      </c>
      <c r="N367">
        <f t="shared" ca="1" si="5"/>
        <v>0</v>
      </c>
    </row>
    <row r="368" spans="1:14" x14ac:dyDescent="0.25">
      <c r="A368">
        <v>400578477</v>
      </c>
      <c r="B368">
        <v>2015</v>
      </c>
      <c r="C368" s="1">
        <v>41965</v>
      </c>
      <c r="D368" t="s">
        <v>24</v>
      </c>
      <c r="E368">
        <v>1</v>
      </c>
      <c r="F368">
        <v>7</v>
      </c>
      <c r="G368">
        <v>6</v>
      </c>
      <c r="H368">
        <v>0</v>
      </c>
      <c r="I368" t="s">
        <v>13</v>
      </c>
      <c r="J368">
        <v>92</v>
      </c>
      <c r="K368" t="s">
        <v>24</v>
      </c>
      <c r="L368">
        <v>99</v>
      </c>
      <c r="M368">
        <f>IF(D368=I368,VLOOKUP(D368,a_win_totals_lookup,MATCH(K368,a_wins_total_lookup_header,0)+1,0),VLOOKUP(D368,a_win_totals_lookup,MATCH(I368,a_wins_total_lookup_header,0)+1,0))</f>
        <v>0.65836112820019976</v>
      </c>
      <c r="N368">
        <f t="shared" ca="1" si="5"/>
        <v>1</v>
      </c>
    </row>
    <row r="369" spans="1:14" x14ac:dyDescent="0.25">
      <c r="A369">
        <v>400578477</v>
      </c>
      <c r="B369">
        <v>2015</v>
      </c>
      <c r="C369" s="1">
        <v>41965</v>
      </c>
      <c r="D369" t="s">
        <v>13</v>
      </c>
      <c r="E369">
        <v>0</v>
      </c>
      <c r="F369">
        <v>6</v>
      </c>
      <c r="G369">
        <v>9</v>
      </c>
      <c r="H369">
        <v>1</v>
      </c>
      <c r="I369" t="s">
        <v>13</v>
      </c>
      <c r="J369">
        <v>92</v>
      </c>
      <c r="K369" t="s">
        <v>24</v>
      </c>
      <c r="L369">
        <v>99</v>
      </c>
      <c r="M369">
        <f>IF(D369=I369,VLOOKUP(D369,a_win_totals_lookup,MATCH(K369,a_wins_total_lookup_header,0)+1,0),VLOOKUP(D369,a_win_totals_lookup,MATCH(I369,a_wins_total_lookup_header,0)+1,0))</f>
        <v>0.34163887179980024</v>
      </c>
      <c r="N369">
        <f t="shared" ca="1" si="5"/>
        <v>1</v>
      </c>
    </row>
    <row r="370" spans="1:14" x14ac:dyDescent="0.25">
      <c r="A370">
        <v>400578478</v>
      </c>
      <c r="B370">
        <v>2015</v>
      </c>
      <c r="C370" s="1">
        <v>41965</v>
      </c>
      <c r="D370" t="s">
        <v>40</v>
      </c>
      <c r="E370">
        <v>0</v>
      </c>
      <c r="F370">
        <v>5</v>
      </c>
      <c r="G370">
        <v>7</v>
      </c>
      <c r="H370">
        <v>1</v>
      </c>
      <c r="I370" t="s">
        <v>40</v>
      </c>
      <c r="J370">
        <v>93</v>
      </c>
      <c r="K370" t="s">
        <v>27</v>
      </c>
      <c r="L370">
        <v>110</v>
      </c>
      <c r="M370">
        <f>IF(D370=I370,VLOOKUP(D370,a_win_totals_lookup,MATCH(K370,a_wins_total_lookup_header,0)+1,0),VLOOKUP(D370,a_win_totals_lookup,MATCH(I370,a_wins_total_lookup_header,0)+1,0))</f>
        <v>0.53622195991228083</v>
      </c>
      <c r="N370">
        <f t="shared" ca="1" si="5"/>
        <v>0</v>
      </c>
    </row>
    <row r="371" spans="1:14" x14ac:dyDescent="0.25">
      <c r="A371">
        <v>400578478</v>
      </c>
      <c r="B371">
        <v>2015</v>
      </c>
      <c r="C371" s="1">
        <v>41965</v>
      </c>
      <c r="D371" t="s">
        <v>27</v>
      </c>
      <c r="E371">
        <v>1</v>
      </c>
      <c r="F371">
        <v>11</v>
      </c>
      <c r="G371">
        <v>2</v>
      </c>
      <c r="H371">
        <v>0</v>
      </c>
      <c r="I371" t="s">
        <v>40</v>
      </c>
      <c r="J371">
        <v>93</v>
      </c>
      <c r="K371" t="s">
        <v>27</v>
      </c>
      <c r="L371">
        <v>110</v>
      </c>
      <c r="M371">
        <f>IF(D371=I371,VLOOKUP(D371,a_win_totals_lookup,MATCH(K371,a_wins_total_lookup_header,0)+1,0),VLOOKUP(D371,a_win_totals_lookup,MATCH(I371,a_wins_total_lookup_header,0)+1,0))</f>
        <v>0.46377804008771911</v>
      </c>
      <c r="N371">
        <f t="shared" ca="1" si="5"/>
        <v>0</v>
      </c>
    </row>
    <row r="372" spans="1:14" x14ac:dyDescent="0.25">
      <c r="A372">
        <v>400578479</v>
      </c>
      <c r="B372">
        <v>2015</v>
      </c>
      <c r="C372" s="1">
        <v>41965</v>
      </c>
      <c r="D372" t="s">
        <v>31</v>
      </c>
      <c r="E372">
        <v>1</v>
      </c>
      <c r="F372">
        <v>4</v>
      </c>
      <c r="G372">
        <v>10</v>
      </c>
      <c r="H372">
        <v>1</v>
      </c>
      <c r="I372" t="s">
        <v>31</v>
      </c>
      <c r="J372">
        <v>91</v>
      </c>
      <c r="K372" t="s">
        <v>21</v>
      </c>
      <c r="L372">
        <v>83</v>
      </c>
      <c r="M372">
        <f>IF(D372=I372,VLOOKUP(D372,a_win_totals_lookup,MATCH(K372,a_wins_total_lookup_header,0)+1,0),VLOOKUP(D372,a_win_totals_lookup,MATCH(I372,a_wins_total_lookup_header,0)+1,0))</f>
        <v>0.69736543414984997</v>
      </c>
      <c r="N372">
        <f t="shared" ca="1" si="5"/>
        <v>0</v>
      </c>
    </row>
    <row r="373" spans="1:14" x14ac:dyDescent="0.25">
      <c r="A373">
        <v>400578479</v>
      </c>
      <c r="B373">
        <v>2015</v>
      </c>
      <c r="C373" s="1">
        <v>41965</v>
      </c>
      <c r="D373" t="s">
        <v>21</v>
      </c>
      <c r="E373">
        <v>0</v>
      </c>
      <c r="F373">
        <v>0</v>
      </c>
      <c r="G373">
        <v>13</v>
      </c>
      <c r="H373">
        <v>0</v>
      </c>
      <c r="I373" t="s">
        <v>31</v>
      </c>
      <c r="J373">
        <v>91</v>
      </c>
      <c r="K373" t="s">
        <v>21</v>
      </c>
      <c r="L373">
        <v>83</v>
      </c>
      <c r="M373">
        <f>IF(D373=I373,VLOOKUP(D373,a_win_totals_lookup,MATCH(K373,a_wins_total_lookup_header,0)+1,0),VLOOKUP(D373,a_win_totals_lookup,MATCH(I373,a_wins_total_lookup_header,0)+1,0))</f>
        <v>0.30263456585015008</v>
      </c>
      <c r="N373">
        <f t="shared" ca="1" si="5"/>
        <v>0</v>
      </c>
    </row>
    <row r="374" spans="1:14" x14ac:dyDescent="0.25">
      <c r="A374">
        <v>400578480</v>
      </c>
      <c r="B374">
        <v>2015</v>
      </c>
      <c r="C374" s="1">
        <v>41965</v>
      </c>
      <c r="D374" t="s">
        <v>14</v>
      </c>
      <c r="E374">
        <v>0</v>
      </c>
      <c r="F374">
        <v>10</v>
      </c>
      <c r="G374">
        <v>4</v>
      </c>
      <c r="H374">
        <v>0</v>
      </c>
      <c r="I374" t="s">
        <v>16</v>
      </c>
      <c r="J374">
        <v>95</v>
      </c>
      <c r="K374" t="s">
        <v>14</v>
      </c>
      <c r="L374">
        <v>92</v>
      </c>
      <c r="M374">
        <f>IF(D374=I374,VLOOKUP(D374,a_win_totals_lookup,MATCH(K374,a_wins_total_lookup_header,0)+1,0),VLOOKUP(D374,a_win_totals_lookup,MATCH(I374,a_wins_total_lookup_header,0)+1,0))</f>
        <v>0.53429204972678024</v>
      </c>
      <c r="N374">
        <f t="shared" ca="1" si="5"/>
        <v>1</v>
      </c>
    </row>
    <row r="375" spans="1:14" x14ac:dyDescent="0.25">
      <c r="A375">
        <v>400578480</v>
      </c>
      <c r="B375">
        <v>2015</v>
      </c>
      <c r="C375" s="1">
        <v>41965</v>
      </c>
      <c r="D375" t="s">
        <v>16</v>
      </c>
      <c r="E375">
        <v>1</v>
      </c>
      <c r="F375">
        <v>10</v>
      </c>
      <c r="G375">
        <v>3</v>
      </c>
      <c r="H375">
        <v>1</v>
      </c>
      <c r="I375" t="s">
        <v>16</v>
      </c>
      <c r="J375">
        <v>95</v>
      </c>
      <c r="K375" t="s">
        <v>14</v>
      </c>
      <c r="L375">
        <v>92</v>
      </c>
      <c r="M375">
        <f>IF(D375=I375,VLOOKUP(D375,a_win_totals_lookup,MATCH(K375,a_wins_total_lookup_header,0)+1,0),VLOOKUP(D375,a_win_totals_lookup,MATCH(I375,a_wins_total_lookup_header,0)+1,0))</f>
        <v>0.46570795027321976</v>
      </c>
      <c r="N375">
        <f t="shared" ca="1" si="5"/>
        <v>1</v>
      </c>
    </row>
    <row r="376" spans="1:14" x14ac:dyDescent="0.25">
      <c r="A376">
        <v>400578481</v>
      </c>
      <c r="B376">
        <v>2015</v>
      </c>
      <c r="C376" s="1">
        <v>41965</v>
      </c>
      <c r="D376" t="s">
        <v>29</v>
      </c>
      <c r="E376">
        <v>0</v>
      </c>
      <c r="F376">
        <v>3</v>
      </c>
      <c r="G376">
        <v>9</v>
      </c>
      <c r="H376">
        <v>1</v>
      </c>
      <c r="I376" t="s">
        <v>29</v>
      </c>
      <c r="J376">
        <v>101</v>
      </c>
      <c r="K376" t="s">
        <v>37</v>
      </c>
      <c r="L376">
        <v>113</v>
      </c>
      <c r="M376">
        <f>IF(D376=I376,VLOOKUP(D376,a_win_totals_lookup,MATCH(K376,a_wins_total_lookup_header,0)+1,0),VLOOKUP(D376,a_win_totals_lookup,MATCH(I376,a_wins_total_lookup_header,0)+1,0))</f>
        <v>0.40973570236484297</v>
      </c>
      <c r="N376">
        <f t="shared" ca="1" si="5"/>
        <v>0</v>
      </c>
    </row>
    <row r="377" spans="1:14" x14ac:dyDescent="0.25">
      <c r="A377">
        <v>400578481</v>
      </c>
      <c r="B377">
        <v>2015</v>
      </c>
      <c r="C377" s="1">
        <v>41965</v>
      </c>
      <c r="D377" t="s">
        <v>37</v>
      </c>
      <c r="E377">
        <v>1</v>
      </c>
      <c r="F377">
        <v>8</v>
      </c>
      <c r="G377">
        <v>5</v>
      </c>
      <c r="H377">
        <v>0</v>
      </c>
      <c r="I377" t="s">
        <v>29</v>
      </c>
      <c r="J377">
        <v>101</v>
      </c>
      <c r="K377" t="s">
        <v>37</v>
      </c>
      <c r="L377">
        <v>113</v>
      </c>
      <c r="M377">
        <f>IF(D377=I377,VLOOKUP(D377,a_win_totals_lookup,MATCH(K377,a_wins_total_lookup_header,0)+1,0),VLOOKUP(D377,a_win_totals_lookup,MATCH(I377,a_wins_total_lookup_header,0)+1,0))</f>
        <v>0.59026429763515698</v>
      </c>
      <c r="N377">
        <f t="shared" ca="1" si="5"/>
        <v>0</v>
      </c>
    </row>
    <row r="378" spans="1:14" x14ac:dyDescent="0.25">
      <c r="A378">
        <v>400578482</v>
      </c>
      <c r="B378">
        <v>2015</v>
      </c>
      <c r="C378" s="1">
        <v>41965</v>
      </c>
      <c r="D378" t="s">
        <v>19</v>
      </c>
      <c r="E378">
        <v>0</v>
      </c>
      <c r="F378">
        <v>7</v>
      </c>
      <c r="G378">
        <v>7</v>
      </c>
      <c r="H378">
        <v>1</v>
      </c>
      <c r="I378" t="s">
        <v>19</v>
      </c>
      <c r="J378">
        <v>100</v>
      </c>
      <c r="K378" t="s">
        <v>25</v>
      </c>
      <c r="L378">
        <v>111</v>
      </c>
      <c r="M378">
        <f>IF(D378=I378,VLOOKUP(D378,a_win_totals_lookup,MATCH(K378,a_wins_total_lookup_header,0)+1,0),VLOOKUP(D378,a_win_totals_lookup,MATCH(I378,a_wins_total_lookup_header,0)+1,0))</f>
        <v>0.28255326282471421</v>
      </c>
      <c r="N378">
        <f t="shared" ca="1" si="5"/>
        <v>1</v>
      </c>
    </row>
    <row r="379" spans="1:14" x14ac:dyDescent="0.25">
      <c r="A379">
        <v>400578482</v>
      </c>
      <c r="B379">
        <v>2015</v>
      </c>
      <c r="C379" s="1">
        <v>41965</v>
      </c>
      <c r="D379" t="s">
        <v>25</v>
      </c>
      <c r="E379">
        <v>1</v>
      </c>
      <c r="F379">
        <v>9</v>
      </c>
      <c r="G379">
        <v>3</v>
      </c>
      <c r="H379">
        <v>0</v>
      </c>
      <c r="I379" t="s">
        <v>19</v>
      </c>
      <c r="J379">
        <v>100</v>
      </c>
      <c r="K379" t="s">
        <v>25</v>
      </c>
      <c r="L379">
        <v>111</v>
      </c>
      <c r="M379">
        <f>IF(D379=I379,VLOOKUP(D379,a_win_totals_lookup,MATCH(K379,a_wins_total_lookup_header,0)+1,0),VLOOKUP(D379,a_win_totals_lookup,MATCH(I379,a_wins_total_lookup_header,0)+1,0))</f>
        <v>0.71744673717528584</v>
      </c>
      <c r="N379">
        <f t="shared" ca="1" si="5"/>
        <v>1</v>
      </c>
    </row>
    <row r="380" spans="1:14" x14ac:dyDescent="0.25">
      <c r="A380">
        <v>400578483</v>
      </c>
      <c r="B380">
        <v>2015</v>
      </c>
      <c r="C380" s="1">
        <v>41965</v>
      </c>
      <c r="D380" t="s">
        <v>23</v>
      </c>
      <c r="E380">
        <v>0</v>
      </c>
      <c r="F380">
        <v>5</v>
      </c>
      <c r="G380">
        <v>8</v>
      </c>
      <c r="H380">
        <v>0</v>
      </c>
      <c r="I380" t="s">
        <v>15</v>
      </c>
      <c r="J380">
        <v>99</v>
      </c>
      <c r="K380" t="s">
        <v>23</v>
      </c>
      <c r="L380">
        <v>87</v>
      </c>
      <c r="M380">
        <f>IF(D380=I380,VLOOKUP(D380,a_win_totals_lookup,MATCH(K380,a_wins_total_lookup_header,0)+1,0),VLOOKUP(D380,a_win_totals_lookup,MATCH(I380,a_wins_total_lookup_header,0)+1,0))</f>
        <v>0.36031197606974674</v>
      </c>
      <c r="N380">
        <f t="shared" ca="1" si="5"/>
        <v>0</v>
      </c>
    </row>
    <row r="381" spans="1:14" x14ac:dyDescent="0.25">
      <c r="A381">
        <v>400578483</v>
      </c>
      <c r="B381">
        <v>2015</v>
      </c>
      <c r="C381" s="1">
        <v>41965</v>
      </c>
      <c r="D381" t="s">
        <v>15</v>
      </c>
      <c r="E381">
        <v>1</v>
      </c>
      <c r="F381">
        <v>9</v>
      </c>
      <c r="G381">
        <v>4</v>
      </c>
      <c r="H381">
        <v>1</v>
      </c>
      <c r="I381" t="s">
        <v>15</v>
      </c>
      <c r="J381">
        <v>99</v>
      </c>
      <c r="K381" t="s">
        <v>23</v>
      </c>
      <c r="L381">
        <v>87</v>
      </c>
      <c r="M381">
        <f>IF(D381=I381,VLOOKUP(D381,a_win_totals_lookup,MATCH(K381,a_wins_total_lookup_header,0)+1,0),VLOOKUP(D381,a_win_totals_lookup,MATCH(I381,a_wins_total_lookup_header,0)+1,0))</f>
        <v>0.63968802393025326</v>
      </c>
      <c r="N381">
        <f t="shared" ca="1" si="5"/>
        <v>0</v>
      </c>
    </row>
    <row r="382" spans="1:14" x14ac:dyDescent="0.25">
      <c r="A382">
        <v>400578484</v>
      </c>
      <c r="B382">
        <v>2015</v>
      </c>
      <c r="C382" s="1">
        <v>41965</v>
      </c>
      <c r="D382" t="s">
        <v>12</v>
      </c>
      <c r="E382">
        <v>1</v>
      </c>
      <c r="F382">
        <v>7</v>
      </c>
      <c r="G382">
        <v>5</v>
      </c>
      <c r="H382">
        <v>0</v>
      </c>
      <c r="I382" t="s">
        <v>34</v>
      </c>
      <c r="J382">
        <v>94</v>
      </c>
      <c r="K382" t="s">
        <v>12</v>
      </c>
      <c r="L382">
        <v>106</v>
      </c>
      <c r="M382">
        <f>IF(D382=I382,VLOOKUP(D382,a_win_totals_lookup,MATCH(K382,a_wins_total_lookup_header,0)+1,0),VLOOKUP(D382,a_win_totals_lookup,MATCH(I382,a_wins_total_lookup_header,0)+1,0))</f>
        <v>0.62386816358907304</v>
      </c>
      <c r="N382">
        <f t="shared" ca="1" si="5"/>
        <v>0</v>
      </c>
    </row>
    <row r="383" spans="1:14" x14ac:dyDescent="0.25">
      <c r="A383">
        <v>400578484</v>
      </c>
      <c r="B383">
        <v>2015</v>
      </c>
      <c r="C383" s="1">
        <v>41965</v>
      </c>
      <c r="D383" t="s">
        <v>34</v>
      </c>
      <c r="E383">
        <v>0</v>
      </c>
      <c r="F383">
        <v>5</v>
      </c>
      <c r="G383">
        <v>9</v>
      </c>
      <c r="H383">
        <v>1</v>
      </c>
      <c r="I383" t="s">
        <v>34</v>
      </c>
      <c r="J383">
        <v>94</v>
      </c>
      <c r="K383" t="s">
        <v>12</v>
      </c>
      <c r="L383">
        <v>106</v>
      </c>
      <c r="M383">
        <f>IF(D383=I383,VLOOKUP(D383,a_win_totals_lookup,MATCH(K383,a_wins_total_lookup_header,0)+1,0),VLOOKUP(D383,a_win_totals_lookup,MATCH(I383,a_wins_total_lookup_header,0)+1,0))</f>
        <v>0.37613183641092696</v>
      </c>
      <c r="N383">
        <f t="shared" ca="1" si="5"/>
        <v>1</v>
      </c>
    </row>
    <row r="384" spans="1:14" x14ac:dyDescent="0.25">
      <c r="A384">
        <v>400578485</v>
      </c>
      <c r="B384">
        <v>2015</v>
      </c>
      <c r="C384" s="1">
        <v>41966</v>
      </c>
      <c r="D384" t="s">
        <v>41</v>
      </c>
      <c r="E384">
        <v>0</v>
      </c>
      <c r="F384">
        <v>7</v>
      </c>
      <c r="G384">
        <v>5</v>
      </c>
      <c r="H384">
        <v>0</v>
      </c>
      <c r="I384" t="s">
        <v>28</v>
      </c>
      <c r="J384">
        <v>107</v>
      </c>
      <c r="K384" t="s">
        <v>41</v>
      </c>
      <c r="L384">
        <v>91</v>
      </c>
      <c r="M384">
        <f>IF(D384=I384,VLOOKUP(D384,a_win_totals_lookup,MATCH(K384,a_wins_total_lookup_header,0)+1,0),VLOOKUP(D384,a_win_totals_lookup,MATCH(I384,a_wins_total_lookup_header,0)+1,0))</f>
        <v>0.5521428232847434</v>
      </c>
      <c r="N384">
        <f t="shared" ca="1" si="5"/>
        <v>1</v>
      </c>
    </row>
    <row r="385" spans="1:14" x14ac:dyDescent="0.25">
      <c r="A385">
        <v>400578485</v>
      </c>
      <c r="B385">
        <v>2015</v>
      </c>
      <c r="C385" s="1">
        <v>41966</v>
      </c>
      <c r="D385" t="s">
        <v>28</v>
      </c>
      <c r="E385">
        <v>1</v>
      </c>
      <c r="F385">
        <v>12</v>
      </c>
      <c r="G385">
        <v>2</v>
      </c>
      <c r="H385">
        <v>1</v>
      </c>
      <c r="I385" t="s">
        <v>28</v>
      </c>
      <c r="J385">
        <v>107</v>
      </c>
      <c r="K385" t="s">
        <v>41</v>
      </c>
      <c r="L385">
        <v>91</v>
      </c>
      <c r="M385">
        <f>IF(D385=I385,VLOOKUP(D385,a_win_totals_lookup,MATCH(K385,a_wins_total_lookup_header,0)+1,0),VLOOKUP(D385,a_win_totals_lookup,MATCH(I385,a_wins_total_lookup_header,0)+1,0))</f>
        <v>0.44785717671525666</v>
      </c>
      <c r="N385">
        <f t="shared" ca="1" si="5"/>
        <v>1</v>
      </c>
    </row>
    <row r="386" spans="1:14" x14ac:dyDescent="0.25">
      <c r="A386">
        <v>400578486</v>
      </c>
      <c r="B386">
        <v>2015</v>
      </c>
      <c r="C386" s="1">
        <v>41966</v>
      </c>
      <c r="D386" t="s">
        <v>22</v>
      </c>
      <c r="E386">
        <v>0</v>
      </c>
      <c r="F386">
        <v>4</v>
      </c>
      <c r="G386">
        <v>8</v>
      </c>
      <c r="H386">
        <v>1</v>
      </c>
      <c r="I386" t="s">
        <v>22</v>
      </c>
      <c r="J386">
        <v>88</v>
      </c>
      <c r="K386" t="s">
        <v>39</v>
      </c>
      <c r="L386">
        <v>94</v>
      </c>
      <c r="M386">
        <f>IF(D386=I386,VLOOKUP(D386,a_win_totals_lookup,MATCH(K386,a_wins_total_lookup_header,0)+1,0),VLOOKUP(D386,a_win_totals_lookup,MATCH(I386,a_wins_total_lookup_header,0)+1,0))</f>
        <v>0.25990995831593727</v>
      </c>
      <c r="N386">
        <f t="shared" ca="1" si="5"/>
        <v>0</v>
      </c>
    </row>
    <row r="387" spans="1:14" x14ac:dyDescent="0.25">
      <c r="A387">
        <v>400578486</v>
      </c>
      <c r="B387">
        <v>2015</v>
      </c>
      <c r="C387" s="1">
        <v>41966</v>
      </c>
      <c r="D387" t="s">
        <v>39</v>
      </c>
      <c r="E387">
        <v>1</v>
      </c>
      <c r="F387">
        <v>10</v>
      </c>
      <c r="G387">
        <v>3</v>
      </c>
      <c r="H387">
        <v>0</v>
      </c>
      <c r="I387" t="s">
        <v>22</v>
      </c>
      <c r="J387">
        <v>88</v>
      </c>
      <c r="K387" t="s">
        <v>39</v>
      </c>
      <c r="L387">
        <v>94</v>
      </c>
      <c r="M387">
        <f>IF(D387=I387,VLOOKUP(D387,a_win_totals_lookup,MATCH(K387,a_wins_total_lookup_header,0)+1,0),VLOOKUP(D387,a_win_totals_lookup,MATCH(I387,a_wins_total_lookup_header,0)+1,0))</f>
        <v>0.74009004168406278</v>
      </c>
      <c r="N387">
        <f t="shared" ref="N387:N450" ca="1" si="6">ROUND(0.5*RANDBETWEEN(-1,1)+M387,0)</f>
        <v>1</v>
      </c>
    </row>
    <row r="388" spans="1:14" x14ac:dyDescent="0.25">
      <c r="A388">
        <v>400578487</v>
      </c>
      <c r="B388">
        <v>2015</v>
      </c>
      <c r="C388" s="1">
        <v>41966</v>
      </c>
      <c r="D388" t="s">
        <v>18</v>
      </c>
      <c r="E388">
        <v>0</v>
      </c>
      <c r="F388">
        <v>4</v>
      </c>
      <c r="G388">
        <v>10</v>
      </c>
      <c r="H388">
        <v>0</v>
      </c>
      <c r="I388" t="s">
        <v>24</v>
      </c>
      <c r="J388">
        <v>94</v>
      </c>
      <c r="K388" t="s">
        <v>18</v>
      </c>
      <c r="L388">
        <v>93</v>
      </c>
      <c r="M388">
        <f>IF(D388=I388,VLOOKUP(D388,a_win_totals_lookup,MATCH(K388,a_wins_total_lookup_header,0)+1,0),VLOOKUP(D388,a_win_totals_lookup,MATCH(I388,a_wins_total_lookup_header,0)+1,0))</f>
        <v>0.51125250669337374</v>
      </c>
      <c r="N388">
        <f t="shared" ca="1" si="6"/>
        <v>0</v>
      </c>
    </row>
    <row r="389" spans="1:14" x14ac:dyDescent="0.25">
      <c r="A389">
        <v>400578487</v>
      </c>
      <c r="B389">
        <v>2015</v>
      </c>
      <c r="C389" s="1">
        <v>41966</v>
      </c>
      <c r="D389" t="s">
        <v>24</v>
      </c>
      <c r="E389">
        <v>1</v>
      </c>
      <c r="F389">
        <v>8</v>
      </c>
      <c r="G389">
        <v>6</v>
      </c>
      <c r="H389">
        <v>1</v>
      </c>
      <c r="I389" t="s">
        <v>24</v>
      </c>
      <c r="J389">
        <v>94</v>
      </c>
      <c r="K389" t="s">
        <v>18</v>
      </c>
      <c r="L389">
        <v>93</v>
      </c>
      <c r="M389">
        <f>IF(D389=I389,VLOOKUP(D389,a_win_totals_lookup,MATCH(K389,a_wins_total_lookup_header,0)+1,0),VLOOKUP(D389,a_win_totals_lookup,MATCH(I389,a_wins_total_lookup_header,0)+1,0))</f>
        <v>0.4887474933066262</v>
      </c>
      <c r="N389">
        <f t="shared" ca="1" si="6"/>
        <v>0</v>
      </c>
    </row>
    <row r="390" spans="1:14" x14ac:dyDescent="0.25">
      <c r="A390">
        <v>400578488</v>
      </c>
      <c r="B390">
        <v>2015</v>
      </c>
      <c r="C390" s="1">
        <v>41966</v>
      </c>
      <c r="D390" t="s">
        <v>36</v>
      </c>
      <c r="E390">
        <v>1</v>
      </c>
      <c r="F390">
        <v>10</v>
      </c>
      <c r="G390">
        <v>2</v>
      </c>
      <c r="H390">
        <v>0</v>
      </c>
      <c r="I390" t="s">
        <v>38</v>
      </c>
      <c r="J390">
        <v>86</v>
      </c>
      <c r="K390" t="s">
        <v>36</v>
      </c>
      <c r="L390">
        <v>91</v>
      </c>
      <c r="M390">
        <f>IF(D390=I390,VLOOKUP(D390,a_win_totals_lookup,MATCH(K390,a_wins_total_lookup_header,0)+1,0),VLOOKUP(D390,a_win_totals_lookup,MATCH(I390,a_wins_total_lookup_header,0)+1,0))</f>
        <v>0.49327592359171141</v>
      </c>
      <c r="N390">
        <f t="shared" ca="1" si="6"/>
        <v>0</v>
      </c>
    </row>
    <row r="391" spans="1:14" x14ac:dyDescent="0.25">
      <c r="A391">
        <v>400578488</v>
      </c>
      <c r="B391">
        <v>2015</v>
      </c>
      <c r="C391" s="1">
        <v>41966</v>
      </c>
      <c r="D391" t="s">
        <v>38</v>
      </c>
      <c r="E391">
        <v>0</v>
      </c>
      <c r="F391">
        <v>3</v>
      </c>
      <c r="G391">
        <v>12</v>
      </c>
      <c r="H391">
        <v>1</v>
      </c>
      <c r="I391" t="s">
        <v>38</v>
      </c>
      <c r="J391">
        <v>86</v>
      </c>
      <c r="K391" t="s">
        <v>36</v>
      </c>
      <c r="L391">
        <v>91</v>
      </c>
      <c r="M391">
        <f>IF(D391=I391,VLOOKUP(D391,a_win_totals_lookup,MATCH(K391,a_wins_total_lookup_header,0)+1,0),VLOOKUP(D391,a_win_totals_lookup,MATCH(I391,a_wins_total_lookup_header,0)+1,0))</f>
        <v>0.50672407640828865</v>
      </c>
      <c r="N391">
        <f t="shared" ca="1" si="6"/>
        <v>0</v>
      </c>
    </row>
    <row r="392" spans="1:14" x14ac:dyDescent="0.25">
      <c r="A392">
        <v>400578489</v>
      </c>
      <c r="B392">
        <v>2015</v>
      </c>
      <c r="C392" s="1">
        <v>41966</v>
      </c>
      <c r="D392" t="s">
        <v>32</v>
      </c>
      <c r="E392">
        <v>1</v>
      </c>
      <c r="F392">
        <v>6</v>
      </c>
      <c r="G392">
        <v>7</v>
      </c>
      <c r="H392">
        <v>0</v>
      </c>
      <c r="I392" t="s">
        <v>17</v>
      </c>
      <c r="J392">
        <v>94</v>
      </c>
      <c r="K392" t="s">
        <v>32</v>
      </c>
      <c r="L392">
        <v>101</v>
      </c>
      <c r="M392">
        <f>IF(D392=I392,VLOOKUP(D392,a_win_totals_lookup,MATCH(K392,a_wins_total_lookup_header,0)+1,0),VLOOKUP(D392,a_win_totals_lookup,MATCH(I392,a_wins_total_lookup_header,0)+1,0))</f>
        <v>0.57711263446281591</v>
      </c>
      <c r="N392">
        <f t="shared" ca="1" si="6"/>
        <v>0</v>
      </c>
    </row>
    <row r="393" spans="1:14" x14ac:dyDescent="0.25">
      <c r="A393">
        <v>400578489</v>
      </c>
      <c r="B393">
        <v>2015</v>
      </c>
      <c r="C393" s="1">
        <v>41966</v>
      </c>
      <c r="D393" t="s">
        <v>17</v>
      </c>
      <c r="E393">
        <v>0</v>
      </c>
      <c r="F393">
        <v>3</v>
      </c>
      <c r="G393">
        <v>11</v>
      </c>
      <c r="H393">
        <v>1</v>
      </c>
      <c r="I393" t="s">
        <v>17</v>
      </c>
      <c r="J393">
        <v>94</v>
      </c>
      <c r="K393" t="s">
        <v>32</v>
      </c>
      <c r="L393">
        <v>101</v>
      </c>
      <c r="M393">
        <f>IF(D393=I393,VLOOKUP(D393,a_win_totals_lookup,MATCH(K393,a_wins_total_lookup_header,0)+1,0),VLOOKUP(D393,a_win_totals_lookup,MATCH(I393,a_wins_total_lookup_header,0)+1,0))</f>
        <v>0.42288736553718415</v>
      </c>
      <c r="N393">
        <f t="shared" ca="1" si="6"/>
        <v>0</v>
      </c>
    </row>
    <row r="394" spans="1:14" x14ac:dyDescent="0.25">
      <c r="A394">
        <v>400578490</v>
      </c>
      <c r="B394">
        <v>2015</v>
      </c>
      <c r="C394" s="1">
        <v>41967</v>
      </c>
      <c r="D394" t="s">
        <v>18</v>
      </c>
      <c r="E394">
        <v>0</v>
      </c>
      <c r="F394">
        <v>4</v>
      </c>
      <c r="G394">
        <v>11</v>
      </c>
      <c r="H394">
        <v>1</v>
      </c>
      <c r="I394" t="s">
        <v>18</v>
      </c>
      <c r="J394">
        <v>92</v>
      </c>
      <c r="K394" t="s">
        <v>41</v>
      </c>
      <c r="L394">
        <v>113</v>
      </c>
      <c r="M394">
        <f>IF(D394=I394,VLOOKUP(D394,a_win_totals_lookup,MATCH(K394,a_wins_total_lookup_header,0)+1,0),VLOOKUP(D394,a_win_totals_lookup,MATCH(I394,a_wins_total_lookup_header,0)+1,0))</f>
        <v>0.40969739834145852</v>
      </c>
      <c r="N394">
        <f t="shared" ca="1" si="6"/>
        <v>0</v>
      </c>
    </row>
    <row r="395" spans="1:14" x14ac:dyDescent="0.25">
      <c r="A395">
        <v>400578490</v>
      </c>
      <c r="B395">
        <v>2015</v>
      </c>
      <c r="C395" s="1">
        <v>41967</v>
      </c>
      <c r="D395" t="s">
        <v>41</v>
      </c>
      <c r="E395">
        <v>1</v>
      </c>
      <c r="F395">
        <v>8</v>
      </c>
      <c r="G395">
        <v>5</v>
      </c>
      <c r="H395">
        <v>0</v>
      </c>
      <c r="I395" t="s">
        <v>18</v>
      </c>
      <c r="J395">
        <v>92</v>
      </c>
      <c r="K395" t="s">
        <v>41</v>
      </c>
      <c r="L395">
        <v>113</v>
      </c>
      <c r="M395">
        <f>IF(D395=I395,VLOOKUP(D395,a_win_totals_lookup,MATCH(K395,a_wins_total_lookup_header,0)+1,0),VLOOKUP(D395,a_win_totals_lookup,MATCH(I395,a_wins_total_lookup_header,0)+1,0))</f>
        <v>0.59030260165854143</v>
      </c>
      <c r="N395">
        <f t="shared" ca="1" si="6"/>
        <v>1</v>
      </c>
    </row>
    <row r="396" spans="1:14" x14ac:dyDescent="0.25">
      <c r="A396">
        <v>400578491</v>
      </c>
      <c r="B396">
        <v>2015</v>
      </c>
      <c r="C396" s="1">
        <v>41967</v>
      </c>
      <c r="D396" t="s">
        <v>40</v>
      </c>
      <c r="E396">
        <v>1</v>
      </c>
      <c r="F396">
        <v>6</v>
      </c>
      <c r="G396">
        <v>7</v>
      </c>
      <c r="H396">
        <v>1</v>
      </c>
      <c r="I396" t="s">
        <v>40</v>
      </c>
      <c r="J396">
        <v>106</v>
      </c>
      <c r="K396" t="s">
        <v>13</v>
      </c>
      <c r="L396">
        <v>74</v>
      </c>
      <c r="M396">
        <f>IF(D396=I396,VLOOKUP(D396,a_win_totals_lookup,MATCH(K396,a_wins_total_lookup_header,0)+1,0),VLOOKUP(D396,a_win_totals_lookup,MATCH(I396,a_wins_total_lookup_header,0)+1,0))</f>
        <v>0.74387996100574205</v>
      </c>
      <c r="N396">
        <f t="shared" ca="1" si="6"/>
        <v>1</v>
      </c>
    </row>
    <row r="397" spans="1:14" x14ac:dyDescent="0.25">
      <c r="A397">
        <v>400578491</v>
      </c>
      <c r="B397">
        <v>2015</v>
      </c>
      <c r="C397" s="1">
        <v>41967</v>
      </c>
      <c r="D397" t="s">
        <v>13</v>
      </c>
      <c r="E397">
        <v>0</v>
      </c>
      <c r="F397">
        <v>6</v>
      </c>
      <c r="G397">
        <v>10</v>
      </c>
      <c r="H397">
        <v>0</v>
      </c>
      <c r="I397" t="s">
        <v>40</v>
      </c>
      <c r="J397">
        <v>106</v>
      </c>
      <c r="K397" t="s">
        <v>13</v>
      </c>
      <c r="L397">
        <v>74</v>
      </c>
      <c r="M397">
        <f>IF(D397=I397,VLOOKUP(D397,a_win_totals_lookup,MATCH(K397,a_wins_total_lookup_header,0)+1,0),VLOOKUP(D397,a_win_totals_lookup,MATCH(I397,a_wins_total_lookup_header,0)+1,0))</f>
        <v>0.25612003899425795</v>
      </c>
      <c r="N397">
        <f t="shared" ca="1" si="6"/>
        <v>0</v>
      </c>
    </row>
    <row r="398" spans="1:14" x14ac:dyDescent="0.25">
      <c r="A398">
        <v>400578492</v>
      </c>
      <c r="B398">
        <v>2015</v>
      </c>
      <c r="C398" s="1">
        <v>41967</v>
      </c>
      <c r="D398" t="s">
        <v>21</v>
      </c>
      <c r="E398">
        <v>0</v>
      </c>
      <c r="F398">
        <v>0</v>
      </c>
      <c r="G398">
        <v>14</v>
      </c>
      <c r="H398">
        <v>1</v>
      </c>
      <c r="I398" t="s">
        <v>21</v>
      </c>
      <c r="J398">
        <v>104</v>
      </c>
      <c r="K398" t="s">
        <v>39</v>
      </c>
      <c r="L398">
        <v>114</v>
      </c>
      <c r="M398">
        <f>IF(D398=I398,VLOOKUP(D398,a_win_totals_lookup,MATCH(K398,a_wins_total_lookup_header,0)+1,0),VLOOKUP(D398,a_win_totals_lookup,MATCH(I398,a_wins_total_lookup_header,0)+1,0))</f>
        <v>0.2305460497630403</v>
      </c>
      <c r="N398">
        <f t="shared" ca="1" si="6"/>
        <v>0</v>
      </c>
    </row>
    <row r="399" spans="1:14" x14ac:dyDescent="0.25">
      <c r="A399">
        <v>400578492</v>
      </c>
      <c r="B399">
        <v>2015</v>
      </c>
      <c r="C399" s="1">
        <v>41967</v>
      </c>
      <c r="D399" t="s">
        <v>39</v>
      </c>
      <c r="E399">
        <v>1</v>
      </c>
      <c r="F399">
        <v>11</v>
      </c>
      <c r="G399">
        <v>3</v>
      </c>
      <c r="H399">
        <v>0</v>
      </c>
      <c r="I399" t="s">
        <v>21</v>
      </c>
      <c r="J399">
        <v>104</v>
      </c>
      <c r="K399" t="s">
        <v>39</v>
      </c>
      <c r="L399">
        <v>114</v>
      </c>
      <c r="M399">
        <f>IF(D399=I399,VLOOKUP(D399,a_win_totals_lookup,MATCH(K399,a_wins_total_lookup_header,0)+1,0),VLOOKUP(D399,a_win_totals_lookup,MATCH(I399,a_wins_total_lookup_header,0)+1,0))</f>
        <v>0.76945395023695973</v>
      </c>
      <c r="N399">
        <f t="shared" ca="1" si="6"/>
        <v>1</v>
      </c>
    </row>
    <row r="400" spans="1:14" x14ac:dyDescent="0.25">
      <c r="A400">
        <v>400578493</v>
      </c>
      <c r="B400">
        <v>2015</v>
      </c>
      <c r="C400" s="1">
        <v>41967</v>
      </c>
      <c r="D400" t="s">
        <v>35</v>
      </c>
      <c r="E400">
        <v>0</v>
      </c>
      <c r="F400">
        <v>9</v>
      </c>
      <c r="G400">
        <v>6</v>
      </c>
      <c r="H400">
        <v>0</v>
      </c>
      <c r="I400" t="s">
        <v>27</v>
      </c>
      <c r="J400">
        <v>104</v>
      </c>
      <c r="K400" t="s">
        <v>35</v>
      </c>
      <c r="L400">
        <v>100</v>
      </c>
      <c r="M400">
        <f>IF(D400=I400,VLOOKUP(D400,a_win_totals_lookup,MATCH(K400,a_wins_total_lookup_header,0)+1,0),VLOOKUP(D400,a_win_totals_lookup,MATCH(I400,a_wins_total_lookup_header,0)+1,0))</f>
        <v>0.42248155809117843</v>
      </c>
      <c r="N400">
        <f t="shared" ca="1" si="6"/>
        <v>1</v>
      </c>
    </row>
    <row r="401" spans="1:14" x14ac:dyDescent="0.25">
      <c r="A401">
        <v>400578493</v>
      </c>
      <c r="B401">
        <v>2015</v>
      </c>
      <c r="C401" s="1">
        <v>41967</v>
      </c>
      <c r="D401" t="s">
        <v>27</v>
      </c>
      <c r="E401">
        <v>1</v>
      </c>
      <c r="F401">
        <v>12</v>
      </c>
      <c r="G401">
        <v>2</v>
      </c>
      <c r="H401">
        <v>1</v>
      </c>
      <c r="I401" t="s">
        <v>27</v>
      </c>
      <c r="J401">
        <v>104</v>
      </c>
      <c r="K401" t="s">
        <v>35</v>
      </c>
      <c r="L401">
        <v>100</v>
      </c>
      <c r="M401">
        <f>IF(D401=I401,VLOOKUP(D401,a_win_totals_lookup,MATCH(K401,a_wins_total_lookup_header,0)+1,0),VLOOKUP(D401,a_win_totals_lookup,MATCH(I401,a_wins_total_lookup_header,0)+1,0))</f>
        <v>0.57751844190882151</v>
      </c>
      <c r="N401">
        <f t="shared" ca="1" si="6"/>
        <v>1</v>
      </c>
    </row>
    <row r="402" spans="1:14" x14ac:dyDescent="0.25">
      <c r="A402">
        <v>400578494</v>
      </c>
      <c r="B402">
        <v>2015</v>
      </c>
      <c r="C402" s="1">
        <v>41967</v>
      </c>
      <c r="D402" t="s">
        <v>16</v>
      </c>
      <c r="E402">
        <v>1</v>
      </c>
      <c r="F402">
        <v>11</v>
      </c>
      <c r="G402">
        <v>3</v>
      </c>
      <c r="H402">
        <v>1</v>
      </c>
      <c r="I402" t="s">
        <v>16</v>
      </c>
      <c r="J402">
        <v>91</v>
      </c>
      <c r="K402" t="s">
        <v>31</v>
      </c>
      <c r="L402">
        <v>86</v>
      </c>
      <c r="M402">
        <f>IF(D402=I402,VLOOKUP(D402,a_win_totals_lookup,MATCH(K402,a_wins_total_lookup_header,0)+1,0),VLOOKUP(D402,a_win_totals_lookup,MATCH(I402,a_wins_total_lookup_header,0)+1,0))</f>
        <v>0.5824138662182502</v>
      </c>
      <c r="N402">
        <f t="shared" ca="1" si="6"/>
        <v>0</v>
      </c>
    </row>
    <row r="403" spans="1:14" x14ac:dyDescent="0.25">
      <c r="A403">
        <v>400578494</v>
      </c>
      <c r="B403">
        <v>2015</v>
      </c>
      <c r="C403" s="1">
        <v>41967</v>
      </c>
      <c r="D403" t="s">
        <v>31</v>
      </c>
      <c r="E403">
        <v>0</v>
      </c>
      <c r="F403">
        <v>4</v>
      </c>
      <c r="G403">
        <v>11</v>
      </c>
      <c r="H403">
        <v>0</v>
      </c>
      <c r="I403" t="s">
        <v>16</v>
      </c>
      <c r="J403">
        <v>91</v>
      </c>
      <c r="K403" t="s">
        <v>31</v>
      </c>
      <c r="L403">
        <v>86</v>
      </c>
      <c r="M403">
        <f>IF(D403=I403,VLOOKUP(D403,a_win_totals_lookup,MATCH(K403,a_wins_total_lookup_header,0)+1,0),VLOOKUP(D403,a_win_totals_lookup,MATCH(I403,a_wins_total_lookup_header,0)+1,0))</f>
        <v>0.41758613378174975</v>
      </c>
      <c r="N403">
        <f t="shared" ca="1" si="6"/>
        <v>1</v>
      </c>
    </row>
    <row r="404" spans="1:14" x14ac:dyDescent="0.25">
      <c r="A404">
        <v>400578495</v>
      </c>
      <c r="B404">
        <v>2015</v>
      </c>
      <c r="C404" s="1">
        <v>41967</v>
      </c>
      <c r="D404" t="s">
        <v>14</v>
      </c>
      <c r="E404">
        <v>0</v>
      </c>
      <c r="F404">
        <v>10</v>
      </c>
      <c r="G404">
        <v>5</v>
      </c>
      <c r="H404">
        <v>1</v>
      </c>
      <c r="I404" t="s">
        <v>14</v>
      </c>
      <c r="J404">
        <v>100</v>
      </c>
      <c r="K404" t="s">
        <v>20</v>
      </c>
      <c r="L404">
        <v>111</v>
      </c>
      <c r="M404">
        <f>IF(D404=I404,VLOOKUP(D404,a_win_totals_lookup,MATCH(K404,a_wins_total_lookup_header,0)+1,0),VLOOKUP(D404,a_win_totals_lookup,MATCH(I404,a_wins_total_lookup_header,0)+1,0))</f>
        <v>0.67132639370189251</v>
      </c>
      <c r="N404">
        <f t="shared" ca="1" si="6"/>
        <v>0</v>
      </c>
    </row>
    <row r="405" spans="1:14" x14ac:dyDescent="0.25">
      <c r="A405">
        <v>400578495</v>
      </c>
      <c r="B405">
        <v>2015</v>
      </c>
      <c r="C405" s="1">
        <v>41967</v>
      </c>
      <c r="D405" t="s">
        <v>20</v>
      </c>
      <c r="E405">
        <v>1</v>
      </c>
      <c r="F405">
        <v>6</v>
      </c>
      <c r="G405">
        <v>8</v>
      </c>
      <c r="H405">
        <v>0</v>
      </c>
      <c r="I405" t="s">
        <v>14</v>
      </c>
      <c r="J405">
        <v>100</v>
      </c>
      <c r="K405" t="s">
        <v>20</v>
      </c>
      <c r="L405">
        <v>111</v>
      </c>
      <c r="M405">
        <f>IF(D405=I405,VLOOKUP(D405,a_win_totals_lookup,MATCH(K405,a_wins_total_lookup_header,0)+1,0),VLOOKUP(D405,a_win_totals_lookup,MATCH(I405,a_wins_total_lookup_header,0)+1,0))</f>
        <v>0.32867360629810738</v>
      </c>
      <c r="N405">
        <f t="shared" ca="1" si="6"/>
        <v>0</v>
      </c>
    </row>
    <row r="406" spans="1:14" x14ac:dyDescent="0.25">
      <c r="A406">
        <v>400578496</v>
      </c>
      <c r="B406">
        <v>2015</v>
      </c>
      <c r="C406" s="1">
        <v>41967</v>
      </c>
      <c r="D406" t="s">
        <v>30</v>
      </c>
      <c r="E406">
        <v>1</v>
      </c>
      <c r="F406">
        <v>9</v>
      </c>
      <c r="G406">
        <v>5</v>
      </c>
      <c r="H406">
        <v>0</v>
      </c>
      <c r="I406" t="s">
        <v>34</v>
      </c>
      <c r="J406">
        <v>95</v>
      </c>
      <c r="K406" t="s">
        <v>30</v>
      </c>
      <c r="L406">
        <v>97</v>
      </c>
      <c r="M406">
        <f>IF(D406=I406,VLOOKUP(D406,a_win_totals_lookup,MATCH(K406,a_wins_total_lookup_header,0)+1,0),VLOOKUP(D406,a_win_totals_lookup,MATCH(I406,a_wins_total_lookup_header,0)+1,0))</f>
        <v>0.73595070405215601</v>
      </c>
      <c r="N406">
        <f t="shared" ca="1" si="6"/>
        <v>1</v>
      </c>
    </row>
    <row r="407" spans="1:14" x14ac:dyDescent="0.25">
      <c r="A407">
        <v>400578496</v>
      </c>
      <c r="B407">
        <v>2015</v>
      </c>
      <c r="C407" s="1">
        <v>41967</v>
      </c>
      <c r="D407" t="s">
        <v>34</v>
      </c>
      <c r="E407">
        <v>0</v>
      </c>
      <c r="F407">
        <v>5</v>
      </c>
      <c r="G407">
        <v>10</v>
      </c>
      <c r="H407">
        <v>1</v>
      </c>
      <c r="I407" t="s">
        <v>34</v>
      </c>
      <c r="J407">
        <v>95</v>
      </c>
      <c r="K407" t="s">
        <v>30</v>
      </c>
      <c r="L407">
        <v>97</v>
      </c>
      <c r="M407">
        <f>IF(D407=I407,VLOOKUP(D407,a_win_totals_lookup,MATCH(K407,a_wins_total_lookup_header,0)+1,0),VLOOKUP(D407,a_win_totals_lookup,MATCH(I407,a_wins_total_lookup_header,0)+1,0))</f>
        <v>0.26404929594784404</v>
      </c>
      <c r="N407">
        <f t="shared" ca="1" si="6"/>
        <v>0</v>
      </c>
    </row>
    <row r="408" spans="1:14" x14ac:dyDescent="0.25">
      <c r="A408">
        <v>400578497</v>
      </c>
      <c r="B408">
        <v>2015</v>
      </c>
      <c r="C408" s="1">
        <v>41968</v>
      </c>
      <c r="D408" t="s">
        <v>26</v>
      </c>
      <c r="E408">
        <v>1</v>
      </c>
      <c r="F408">
        <v>7</v>
      </c>
      <c r="G408">
        <v>5</v>
      </c>
      <c r="H408">
        <v>0</v>
      </c>
      <c r="I408" t="s">
        <v>25</v>
      </c>
      <c r="J408">
        <v>102</v>
      </c>
      <c r="K408" t="s">
        <v>26</v>
      </c>
      <c r="L408">
        <v>106</v>
      </c>
      <c r="M408">
        <f>IF(D408=I408,VLOOKUP(D408,a_win_totals_lookup,MATCH(K408,a_wins_total_lookup_header,0)+1,0),VLOOKUP(D408,a_win_totals_lookup,MATCH(I408,a_wins_total_lookup_header,0)+1,0))</f>
        <v>0.45630903898702979</v>
      </c>
      <c r="N408">
        <f t="shared" ca="1" si="6"/>
        <v>1</v>
      </c>
    </row>
    <row r="409" spans="1:14" x14ac:dyDescent="0.25">
      <c r="A409">
        <v>400578497</v>
      </c>
      <c r="B409">
        <v>2015</v>
      </c>
      <c r="C409" s="1">
        <v>41968</v>
      </c>
      <c r="D409" t="s">
        <v>25</v>
      </c>
      <c r="E409">
        <v>0</v>
      </c>
      <c r="F409">
        <v>9</v>
      </c>
      <c r="G409">
        <v>4</v>
      </c>
      <c r="H409">
        <v>1</v>
      </c>
      <c r="I409" t="s">
        <v>25</v>
      </c>
      <c r="J409">
        <v>102</v>
      </c>
      <c r="K409" t="s">
        <v>26</v>
      </c>
      <c r="L409">
        <v>106</v>
      </c>
      <c r="M409">
        <f>IF(D409=I409,VLOOKUP(D409,a_win_totals_lookup,MATCH(K409,a_wins_total_lookup_header,0)+1,0),VLOOKUP(D409,a_win_totals_lookup,MATCH(I409,a_wins_total_lookup_header,0)+1,0))</f>
        <v>0.54369096101297021</v>
      </c>
      <c r="N409">
        <f t="shared" ca="1" si="6"/>
        <v>0</v>
      </c>
    </row>
    <row r="410" spans="1:14" x14ac:dyDescent="0.25">
      <c r="A410">
        <v>400578498</v>
      </c>
      <c r="B410">
        <v>2015</v>
      </c>
      <c r="C410" s="1">
        <v>41968</v>
      </c>
      <c r="D410" t="s">
        <v>36</v>
      </c>
      <c r="E410">
        <v>1</v>
      </c>
      <c r="F410">
        <v>11</v>
      </c>
      <c r="G410">
        <v>2</v>
      </c>
      <c r="H410">
        <v>0</v>
      </c>
      <c r="I410" t="s">
        <v>24</v>
      </c>
      <c r="J410">
        <v>97</v>
      </c>
      <c r="K410" t="s">
        <v>36</v>
      </c>
      <c r="L410">
        <v>114</v>
      </c>
      <c r="M410">
        <f>IF(D410=I410,VLOOKUP(D410,a_win_totals_lookup,MATCH(K410,a_wins_total_lookup_header,0)+1,0),VLOOKUP(D410,a_win_totals_lookup,MATCH(I410,a_wins_total_lookup_header,0)+1,0))</f>
        <v>0.57297527274302607</v>
      </c>
      <c r="N410">
        <f t="shared" ca="1" si="6"/>
        <v>0</v>
      </c>
    </row>
    <row r="411" spans="1:14" x14ac:dyDescent="0.25">
      <c r="A411">
        <v>400578498</v>
      </c>
      <c r="B411">
        <v>2015</v>
      </c>
      <c r="C411" s="1">
        <v>41968</v>
      </c>
      <c r="D411" t="s">
        <v>24</v>
      </c>
      <c r="E411">
        <v>0</v>
      </c>
      <c r="F411">
        <v>8</v>
      </c>
      <c r="G411">
        <v>7</v>
      </c>
      <c r="H411">
        <v>1</v>
      </c>
      <c r="I411" t="s">
        <v>24</v>
      </c>
      <c r="J411">
        <v>97</v>
      </c>
      <c r="K411" t="s">
        <v>36</v>
      </c>
      <c r="L411">
        <v>114</v>
      </c>
      <c r="M411">
        <f>IF(D411=I411,VLOOKUP(D411,a_win_totals_lookup,MATCH(K411,a_wins_total_lookup_header,0)+1,0),VLOOKUP(D411,a_win_totals_lookup,MATCH(I411,a_wins_total_lookup_header,0)+1,0))</f>
        <v>0.42702472725697388</v>
      </c>
      <c r="N411">
        <f t="shared" ca="1" si="6"/>
        <v>0</v>
      </c>
    </row>
    <row r="412" spans="1:14" x14ac:dyDescent="0.25">
      <c r="A412">
        <v>400578499</v>
      </c>
      <c r="B412">
        <v>2015</v>
      </c>
      <c r="C412" s="1">
        <v>41968</v>
      </c>
      <c r="D412" t="s">
        <v>33</v>
      </c>
      <c r="E412">
        <v>0</v>
      </c>
      <c r="F412">
        <v>3</v>
      </c>
      <c r="G412">
        <v>11</v>
      </c>
      <c r="H412">
        <v>0</v>
      </c>
      <c r="I412" t="s">
        <v>19</v>
      </c>
      <c r="J412">
        <v>98</v>
      </c>
      <c r="K412" t="s">
        <v>33</v>
      </c>
      <c r="L412">
        <v>86</v>
      </c>
      <c r="M412">
        <f>IF(D412=I412,VLOOKUP(D412,a_win_totals_lookup,MATCH(K412,a_wins_total_lookup_header,0)+1,0),VLOOKUP(D412,a_win_totals_lookup,MATCH(I412,a_wins_total_lookup_header,0)+1,0))</f>
        <v>0.60338468202473983</v>
      </c>
      <c r="N412">
        <f t="shared" ca="1" si="6"/>
        <v>1</v>
      </c>
    </row>
    <row r="413" spans="1:14" x14ac:dyDescent="0.25">
      <c r="A413">
        <v>400578499</v>
      </c>
      <c r="B413">
        <v>2015</v>
      </c>
      <c r="C413" s="1">
        <v>41968</v>
      </c>
      <c r="D413" t="s">
        <v>19</v>
      </c>
      <c r="E413">
        <v>1</v>
      </c>
      <c r="F413">
        <v>8</v>
      </c>
      <c r="G413">
        <v>7</v>
      </c>
      <c r="H413">
        <v>1</v>
      </c>
      <c r="I413" t="s">
        <v>19</v>
      </c>
      <c r="J413">
        <v>98</v>
      </c>
      <c r="K413" t="s">
        <v>33</v>
      </c>
      <c r="L413">
        <v>86</v>
      </c>
      <c r="M413">
        <f>IF(D413=I413,VLOOKUP(D413,a_win_totals_lookup,MATCH(K413,a_wins_total_lookup_header,0)+1,0),VLOOKUP(D413,a_win_totals_lookup,MATCH(I413,a_wins_total_lookup_header,0)+1,0))</f>
        <v>0.39661531797526017</v>
      </c>
      <c r="N413">
        <f t="shared" ca="1" si="6"/>
        <v>0</v>
      </c>
    </row>
    <row r="414" spans="1:14" x14ac:dyDescent="0.25">
      <c r="A414">
        <v>400578500</v>
      </c>
      <c r="B414">
        <v>2015</v>
      </c>
      <c r="C414" s="1">
        <v>41968</v>
      </c>
      <c r="D414" t="s">
        <v>12</v>
      </c>
      <c r="E414">
        <v>0</v>
      </c>
      <c r="F414">
        <v>7</v>
      </c>
      <c r="G414">
        <v>6</v>
      </c>
      <c r="H414">
        <v>1</v>
      </c>
      <c r="I414" t="s">
        <v>12</v>
      </c>
      <c r="J414">
        <v>89</v>
      </c>
      <c r="K414" t="s">
        <v>37</v>
      </c>
      <c r="L414">
        <v>99</v>
      </c>
      <c r="M414">
        <f>IF(D414=I414,VLOOKUP(D414,a_win_totals_lookup,MATCH(K414,a_wins_total_lookup_header,0)+1,0),VLOOKUP(D414,a_win_totals_lookup,MATCH(I414,a_wins_total_lookup_header,0)+1,0))</f>
        <v>0.59047127897548735</v>
      </c>
      <c r="N414">
        <f t="shared" ca="1" si="6"/>
        <v>1</v>
      </c>
    </row>
    <row r="415" spans="1:14" x14ac:dyDescent="0.25">
      <c r="A415">
        <v>400578500</v>
      </c>
      <c r="B415">
        <v>2015</v>
      </c>
      <c r="C415" s="1">
        <v>41968</v>
      </c>
      <c r="D415" t="s">
        <v>37</v>
      </c>
      <c r="E415">
        <v>1</v>
      </c>
      <c r="F415">
        <v>9</v>
      </c>
      <c r="G415">
        <v>5</v>
      </c>
      <c r="H415">
        <v>0</v>
      </c>
      <c r="I415" t="s">
        <v>12</v>
      </c>
      <c r="J415">
        <v>89</v>
      </c>
      <c r="K415" t="s">
        <v>37</v>
      </c>
      <c r="L415">
        <v>99</v>
      </c>
      <c r="M415">
        <f>IF(D415=I415,VLOOKUP(D415,a_win_totals_lookup,MATCH(K415,a_wins_total_lookup_header,0)+1,0),VLOOKUP(D415,a_win_totals_lookup,MATCH(I415,a_wins_total_lookup_header,0)+1,0))</f>
        <v>0.40952872102451271</v>
      </c>
      <c r="N415">
        <f t="shared" ca="1" si="6"/>
        <v>1</v>
      </c>
    </row>
    <row r="416" spans="1:14" x14ac:dyDescent="0.25">
      <c r="A416">
        <v>400578501</v>
      </c>
      <c r="B416">
        <v>2015</v>
      </c>
      <c r="C416" s="1">
        <v>41968</v>
      </c>
      <c r="D416" t="s">
        <v>30</v>
      </c>
      <c r="E416">
        <v>0</v>
      </c>
      <c r="F416">
        <v>9</v>
      </c>
      <c r="G416">
        <v>6</v>
      </c>
      <c r="H416">
        <v>0</v>
      </c>
      <c r="I416" t="s">
        <v>32</v>
      </c>
      <c r="J416">
        <v>114</v>
      </c>
      <c r="K416" t="s">
        <v>30</v>
      </c>
      <c r="L416">
        <v>109</v>
      </c>
      <c r="M416">
        <f>IF(D416=I416,VLOOKUP(D416,a_win_totals_lookup,MATCH(K416,a_wins_total_lookup_header,0)+1,0),VLOOKUP(D416,a_win_totals_lookup,MATCH(I416,a_wins_total_lookup_header,0)+1,0))</f>
        <v>0.63968802393025326</v>
      </c>
      <c r="N416">
        <f t="shared" ca="1" si="6"/>
        <v>0</v>
      </c>
    </row>
    <row r="417" spans="1:14" x14ac:dyDescent="0.25">
      <c r="A417">
        <v>400578501</v>
      </c>
      <c r="B417">
        <v>2015</v>
      </c>
      <c r="C417" s="1">
        <v>41968</v>
      </c>
      <c r="D417" t="s">
        <v>32</v>
      </c>
      <c r="E417">
        <v>1</v>
      </c>
      <c r="F417">
        <v>7</v>
      </c>
      <c r="G417">
        <v>7</v>
      </c>
      <c r="H417">
        <v>1</v>
      </c>
      <c r="I417" t="s">
        <v>32</v>
      </c>
      <c r="J417">
        <v>114</v>
      </c>
      <c r="K417" t="s">
        <v>30</v>
      </c>
      <c r="L417">
        <v>109</v>
      </c>
      <c r="M417">
        <f>IF(D417=I417,VLOOKUP(D417,a_win_totals_lookup,MATCH(K417,a_wins_total_lookup_header,0)+1,0),VLOOKUP(D417,a_win_totals_lookup,MATCH(I417,a_wins_total_lookup_header,0)+1,0))</f>
        <v>0.36031197606974674</v>
      </c>
      <c r="N417">
        <f t="shared" ca="1" si="6"/>
        <v>0</v>
      </c>
    </row>
    <row r="418" spans="1:14" x14ac:dyDescent="0.25">
      <c r="A418">
        <v>400578502</v>
      </c>
      <c r="B418">
        <v>2015</v>
      </c>
      <c r="C418" s="1">
        <v>41969</v>
      </c>
      <c r="D418" t="s">
        <v>18</v>
      </c>
      <c r="E418">
        <v>0</v>
      </c>
      <c r="F418">
        <v>4</v>
      </c>
      <c r="G418">
        <v>12</v>
      </c>
      <c r="H418">
        <v>1</v>
      </c>
      <c r="I418" t="s">
        <v>18</v>
      </c>
      <c r="J418">
        <v>97</v>
      </c>
      <c r="K418" t="s">
        <v>39</v>
      </c>
      <c r="L418">
        <v>105</v>
      </c>
      <c r="M418">
        <f>IF(D418=I418,VLOOKUP(D418,a_win_totals_lookup,MATCH(K418,a_wins_total_lookup_header,0)+1,0),VLOOKUP(D418,a_win_totals_lookup,MATCH(I418,a_wins_total_lookup_header,0)+1,0))</f>
        <v>0.46992461640552319</v>
      </c>
      <c r="N418">
        <f t="shared" ca="1" si="6"/>
        <v>0</v>
      </c>
    </row>
    <row r="419" spans="1:14" x14ac:dyDescent="0.25">
      <c r="A419">
        <v>400578502</v>
      </c>
      <c r="B419">
        <v>2015</v>
      </c>
      <c r="C419" s="1">
        <v>41969</v>
      </c>
      <c r="D419" t="s">
        <v>39</v>
      </c>
      <c r="E419">
        <v>1</v>
      </c>
      <c r="F419">
        <v>12</v>
      </c>
      <c r="G419">
        <v>3</v>
      </c>
      <c r="H419">
        <v>0</v>
      </c>
      <c r="I419" t="s">
        <v>18</v>
      </c>
      <c r="J419">
        <v>97</v>
      </c>
      <c r="K419" t="s">
        <v>39</v>
      </c>
      <c r="L419">
        <v>105</v>
      </c>
      <c r="M419">
        <f>IF(D419=I419,VLOOKUP(D419,a_win_totals_lookup,MATCH(K419,a_wins_total_lookup_header,0)+1,0),VLOOKUP(D419,a_win_totals_lookup,MATCH(I419,a_wins_total_lookup_header,0)+1,0))</f>
        <v>0.53007538359447692</v>
      </c>
      <c r="N419">
        <f t="shared" ca="1" si="6"/>
        <v>1</v>
      </c>
    </row>
    <row r="420" spans="1:14" x14ac:dyDescent="0.25">
      <c r="A420">
        <v>400578503</v>
      </c>
      <c r="B420">
        <v>2015</v>
      </c>
      <c r="C420" s="1">
        <v>41969</v>
      </c>
      <c r="D420" t="s">
        <v>40</v>
      </c>
      <c r="E420">
        <v>1</v>
      </c>
      <c r="F420">
        <v>7</v>
      </c>
      <c r="G420">
        <v>7</v>
      </c>
      <c r="H420">
        <v>1</v>
      </c>
      <c r="I420" t="s">
        <v>40</v>
      </c>
      <c r="J420">
        <v>113</v>
      </c>
      <c r="K420" t="s">
        <v>25</v>
      </c>
      <c r="L420">
        <v>87</v>
      </c>
      <c r="M420">
        <f>IF(D420=I420,VLOOKUP(D420,a_win_totals_lookup,MATCH(K420,a_wins_total_lookup_header,0)+1,0),VLOOKUP(D420,a_win_totals_lookup,MATCH(I420,a_wins_total_lookup_header,0)+1,0))</f>
        <v>0.57016539281455259</v>
      </c>
      <c r="N420">
        <f t="shared" ca="1" si="6"/>
        <v>1</v>
      </c>
    </row>
    <row r="421" spans="1:14" x14ac:dyDescent="0.25">
      <c r="A421">
        <v>400578503</v>
      </c>
      <c r="B421">
        <v>2015</v>
      </c>
      <c r="C421" s="1">
        <v>41969</v>
      </c>
      <c r="D421" t="s">
        <v>25</v>
      </c>
      <c r="E421">
        <v>0</v>
      </c>
      <c r="F421">
        <v>9</v>
      </c>
      <c r="G421">
        <v>5</v>
      </c>
      <c r="H421">
        <v>0</v>
      </c>
      <c r="I421" t="s">
        <v>40</v>
      </c>
      <c r="J421">
        <v>113</v>
      </c>
      <c r="K421" t="s">
        <v>25</v>
      </c>
      <c r="L421">
        <v>87</v>
      </c>
      <c r="M421">
        <f>IF(D421=I421,VLOOKUP(D421,a_win_totals_lookup,MATCH(K421,a_wins_total_lookup_header,0)+1,0),VLOOKUP(D421,a_win_totals_lookup,MATCH(I421,a_wins_total_lookup_header,0)+1,0))</f>
        <v>0.42983460718544747</v>
      </c>
      <c r="N421">
        <f t="shared" ca="1" si="6"/>
        <v>0</v>
      </c>
    </row>
    <row r="422" spans="1:14" x14ac:dyDescent="0.25">
      <c r="A422">
        <v>400578504</v>
      </c>
      <c r="B422">
        <v>2015</v>
      </c>
      <c r="C422" s="1">
        <v>41969</v>
      </c>
      <c r="D422" t="s">
        <v>36</v>
      </c>
      <c r="E422">
        <v>1</v>
      </c>
      <c r="F422">
        <v>12</v>
      </c>
      <c r="G422">
        <v>2</v>
      </c>
      <c r="H422">
        <v>0</v>
      </c>
      <c r="I422" t="s">
        <v>13</v>
      </c>
      <c r="J422">
        <v>96</v>
      </c>
      <c r="K422" t="s">
        <v>36</v>
      </c>
      <c r="L422">
        <v>111</v>
      </c>
      <c r="M422">
        <f>IF(D422=I422,VLOOKUP(D422,a_win_totals_lookup,MATCH(K422,a_wins_total_lookup_header,0)+1,0),VLOOKUP(D422,a_win_totals_lookup,MATCH(I422,a_wins_total_lookup_header,0)+1,0))</f>
        <v>0.72111517802286307</v>
      </c>
      <c r="N422">
        <f t="shared" ca="1" si="6"/>
        <v>0</v>
      </c>
    </row>
    <row r="423" spans="1:14" x14ac:dyDescent="0.25">
      <c r="A423">
        <v>400578504</v>
      </c>
      <c r="B423">
        <v>2015</v>
      </c>
      <c r="C423" s="1">
        <v>41969</v>
      </c>
      <c r="D423" t="s">
        <v>13</v>
      </c>
      <c r="E423">
        <v>0</v>
      </c>
      <c r="F423">
        <v>6</v>
      </c>
      <c r="G423">
        <v>11</v>
      </c>
      <c r="H423">
        <v>1</v>
      </c>
      <c r="I423" t="s">
        <v>13</v>
      </c>
      <c r="J423">
        <v>96</v>
      </c>
      <c r="K423" t="s">
        <v>36</v>
      </c>
      <c r="L423">
        <v>111</v>
      </c>
      <c r="M423">
        <f>IF(D423=I423,VLOOKUP(D423,a_win_totals_lookup,MATCH(K423,a_wins_total_lookup_header,0)+1,0),VLOOKUP(D423,a_win_totals_lookup,MATCH(I423,a_wins_total_lookup_header,0)+1,0))</f>
        <v>0.27888482197713693</v>
      </c>
      <c r="N423">
        <f t="shared" ca="1" si="6"/>
        <v>0</v>
      </c>
    </row>
    <row r="424" spans="1:14" x14ac:dyDescent="0.25">
      <c r="A424">
        <v>400578505</v>
      </c>
      <c r="B424">
        <v>2015</v>
      </c>
      <c r="C424" s="1">
        <v>41969</v>
      </c>
      <c r="D424" t="s">
        <v>23</v>
      </c>
      <c r="E424">
        <v>1</v>
      </c>
      <c r="F424">
        <v>6</v>
      </c>
      <c r="G424">
        <v>8</v>
      </c>
      <c r="H424">
        <v>0</v>
      </c>
      <c r="I424" t="s">
        <v>21</v>
      </c>
      <c r="J424">
        <v>91</v>
      </c>
      <c r="K424" t="s">
        <v>23</v>
      </c>
      <c r="L424">
        <v>99</v>
      </c>
      <c r="M424">
        <f>IF(D424=I424,VLOOKUP(D424,a_win_totals_lookup,MATCH(K424,a_wins_total_lookup_header,0)+1,0),VLOOKUP(D424,a_win_totals_lookup,MATCH(I424,a_wins_total_lookup_header,0)+1,0))</f>
        <v>0.69736543414984997</v>
      </c>
      <c r="N424">
        <f t="shared" ca="1" si="6"/>
        <v>0</v>
      </c>
    </row>
    <row r="425" spans="1:14" x14ac:dyDescent="0.25">
      <c r="A425">
        <v>400578505</v>
      </c>
      <c r="B425">
        <v>2015</v>
      </c>
      <c r="C425" s="1">
        <v>41969</v>
      </c>
      <c r="D425" t="s">
        <v>21</v>
      </c>
      <c r="E425">
        <v>0</v>
      </c>
      <c r="F425">
        <v>0</v>
      </c>
      <c r="G425">
        <v>15</v>
      </c>
      <c r="H425">
        <v>1</v>
      </c>
      <c r="I425" t="s">
        <v>21</v>
      </c>
      <c r="J425">
        <v>91</v>
      </c>
      <c r="K425" t="s">
        <v>23</v>
      </c>
      <c r="L425">
        <v>99</v>
      </c>
      <c r="M425">
        <f>IF(D425=I425,VLOOKUP(D425,a_win_totals_lookup,MATCH(K425,a_wins_total_lookup_header,0)+1,0),VLOOKUP(D425,a_win_totals_lookup,MATCH(I425,a_wins_total_lookup_header,0)+1,0))</f>
        <v>0.30263456585015008</v>
      </c>
      <c r="N425">
        <f t="shared" ca="1" si="6"/>
        <v>1</v>
      </c>
    </row>
    <row r="426" spans="1:14" x14ac:dyDescent="0.25">
      <c r="A426">
        <v>400578506</v>
      </c>
      <c r="B426">
        <v>2015</v>
      </c>
      <c r="C426" s="1">
        <v>41969</v>
      </c>
      <c r="D426" t="s">
        <v>14</v>
      </c>
      <c r="E426">
        <v>1</v>
      </c>
      <c r="F426">
        <v>11</v>
      </c>
      <c r="G426">
        <v>5</v>
      </c>
      <c r="H426">
        <v>1</v>
      </c>
      <c r="I426" t="s">
        <v>14</v>
      </c>
      <c r="J426">
        <v>109</v>
      </c>
      <c r="K426" t="s">
        <v>31</v>
      </c>
      <c r="L426">
        <v>102</v>
      </c>
      <c r="M426">
        <f>IF(D426=I426,VLOOKUP(D426,a_win_totals_lookup,MATCH(K426,a_wins_total_lookup_header,0)+1,0),VLOOKUP(D426,a_win_totals_lookup,MATCH(I426,a_wins_total_lookup_header,0)+1,0))</f>
        <v>0.61540135422811282</v>
      </c>
      <c r="N426">
        <f t="shared" ca="1" si="6"/>
        <v>1</v>
      </c>
    </row>
    <row r="427" spans="1:14" x14ac:dyDescent="0.25">
      <c r="A427">
        <v>400578506</v>
      </c>
      <c r="B427">
        <v>2015</v>
      </c>
      <c r="C427" s="1">
        <v>41969</v>
      </c>
      <c r="D427" t="s">
        <v>31</v>
      </c>
      <c r="E427">
        <v>0</v>
      </c>
      <c r="F427">
        <v>4</v>
      </c>
      <c r="G427">
        <v>12</v>
      </c>
      <c r="H427">
        <v>0</v>
      </c>
      <c r="I427" t="s">
        <v>14</v>
      </c>
      <c r="J427">
        <v>109</v>
      </c>
      <c r="K427" t="s">
        <v>31</v>
      </c>
      <c r="L427">
        <v>102</v>
      </c>
      <c r="M427">
        <f>IF(D427=I427,VLOOKUP(D427,a_win_totals_lookup,MATCH(K427,a_wins_total_lookup_header,0)+1,0),VLOOKUP(D427,a_win_totals_lookup,MATCH(I427,a_wins_total_lookup_header,0)+1,0))</f>
        <v>0.38459864577188729</v>
      </c>
      <c r="N427">
        <f t="shared" ca="1" si="6"/>
        <v>0</v>
      </c>
    </row>
    <row r="428" spans="1:14" x14ac:dyDescent="0.25">
      <c r="A428">
        <v>400578507</v>
      </c>
      <c r="B428">
        <v>2015</v>
      </c>
      <c r="C428" s="1">
        <v>41969</v>
      </c>
      <c r="D428" t="s">
        <v>26</v>
      </c>
      <c r="E428">
        <v>0</v>
      </c>
      <c r="F428">
        <v>7</v>
      </c>
      <c r="G428">
        <v>6</v>
      </c>
      <c r="H428">
        <v>1</v>
      </c>
      <c r="I428" t="s">
        <v>26</v>
      </c>
      <c r="J428">
        <v>115</v>
      </c>
      <c r="K428" t="s">
        <v>27</v>
      </c>
      <c r="L428">
        <v>126</v>
      </c>
      <c r="M428">
        <f>IF(D428=I428,VLOOKUP(D428,a_win_totals_lookup,MATCH(K428,a_wins_total_lookup_header,0)+1,0),VLOOKUP(D428,a_win_totals_lookup,MATCH(I428,a_wins_total_lookup_header,0)+1,0))</f>
        <v>0.42248155809117843</v>
      </c>
      <c r="N428">
        <f t="shared" ca="1" si="6"/>
        <v>1</v>
      </c>
    </row>
    <row r="429" spans="1:14" x14ac:dyDescent="0.25">
      <c r="A429">
        <v>400578507</v>
      </c>
      <c r="B429">
        <v>2015</v>
      </c>
      <c r="C429" s="1">
        <v>41969</v>
      </c>
      <c r="D429" t="s">
        <v>27</v>
      </c>
      <c r="E429">
        <v>1</v>
      </c>
      <c r="F429">
        <v>13</v>
      </c>
      <c r="G429">
        <v>2</v>
      </c>
      <c r="H429">
        <v>0</v>
      </c>
      <c r="I429" t="s">
        <v>26</v>
      </c>
      <c r="J429">
        <v>115</v>
      </c>
      <c r="K429" t="s">
        <v>27</v>
      </c>
      <c r="L429">
        <v>126</v>
      </c>
      <c r="M429">
        <f>IF(D429=I429,VLOOKUP(D429,a_win_totals_lookup,MATCH(K429,a_wins_total_lookup_header,0)+1,0),VLOOKUP(D429,a_win_totals_lookup,MATCH(I429,a_wins_total_lookup_header,0)+1,0))</f>
        <v>0.57751844190882151</v>
      </c>
      <c r="N429">
        <f t="shared" ca="1" si="6"/>
        <v>1</v>
      </c>
    </row>
    <row r="430" spans="1:14" x14ac:dyDescent="0.25">
      <c r="A430">
        <v>400578508</v>
      </c>
      <c r="B430">
        <v>2015</v>
      </c>
      <c r="C430" s="1">
        <v>41969</v>
      </c>
      <c r="D430" t="s">
        <v>33</v>
      </c>
      <c r="E430">
        <v>0</v>
      </c>
      <c r="F430">
        <v>3</v>
      </c>
      <c r="G430">
        <v>12</v>
      </c>
      <c r="H430">
        <v>1</v>
      </c>
      <c r="I430" t="s">
        <v>33</v>
      </c>
      <c r="J430">
        <v>98</v>
      </c>
      <c r="K430" t="s">
        <v>41</v>
      </c>
      <c r="L430">
        <v>104</v>
      </c>
      <c r="M430">
        <f>IF(D430=I430,VLOOKUP(D430,a_win_totals_lookup,MATCH(K430,a_wins_total_lookup_header,0)+1,0),VLOOKUP(D430,a_win_totals_lookup,MATCH(I430,a_wins_total_lookup_header,0)+1,0))</f>
        <v>0.31114548025336697</v>
      </c>
      <c r="N430">
        <f t="shared" ca="1" si="6"/>
        <v>0</v>
      </c>
    </row>
    <row r="431" spans="1:14" x14ac:dyDescent="0.25">
      <c r="A431">
        <v>400578508</v>
      </c>
      <c r="B431">
        <v>2015</v>
      </c>
      <c r="C431" s="1">
        <v>41969</v>
      </c>
      <c r="D431" t="s">
        <v>41</v>
      </c>
      <c r="E431">
        <v>1</v>
      </c>
      <c r="F431">
        <v>9</v>
      </c>
      <c r="G431">
        <v>5</v>
      </c>
      <c r="H431">
        <v>0</v>
      </c>
      <c r="I431" t="s">
        <v>33</v>
      </c>
      <c r="J431">
        <v>98</v>
      </c>
      <c r="K431" t="s">
        <v>41</v>
      </c>
      <c r="L431">
        <v>104</v>
      </c>
      <c r="M431">
        <f>IF(D431=I431,VLOOKUP(D431,a_win_totals_lookup,MATCH(K431,a_wins_total_lookup_header,0)+1,0),VLOOKUP(D431,a_win_totals_lookup,MATCH(I431,a_wins_total_lookup_header,0)+1,0))</f>
        <v>0.68885451974663314</v>
      </c>
      <c r="N431">
        <f t="shared" ca="1" si="6"/>
        <v>1</v>
      </c>
    </row>
    <row r="432" spans="1:14" x14ac:dyDescent="0.25">
      <c r="A432">
        <v>400578509</v>
      </c>
      <c r="B432">
        <v>2015</v>
      </c>
      <c r="C432" s="1">
        <v>41969</v>
      </c>
      <c r="D432" t="s">
        <v>16</v>
      </c>
      <c r="E432">
        <v>1</v>
      </c>
      <c r="F432">
        <v>12</v>
      </c>
      <c r="G432">
        <v>3</v>
      </c>
      <c r="H432">
        <v>1</v>
      </c>
      <c r="I432" t="s">
        <v>16</v>
      </c>
      <c r="J432">
        <v>102</v>
      </c>
      <c r="K432" t="s">
        <v>37</v>
      </c>
      <c r="L432">
        <v>89</v>
      </c>
      <c r="M432">
        <f>IF(D432=I432,VLOOKUP(D432,a_win_totals_lookup,MATCH(K432,a_wins_total_lookup_header,0)+1,0),VLOOKUP(D432,a_win_totals_lookup,MATCH(I432,a_wins_total_lookup_header,0)+1,0))</f>
        <v>0.65557177266505795</v>
      </c>
      <c r="N432">
        <f t="shared" ca="1" si="6"/>
        <v>1</v>
      </c>
    </row>
    <row r="433" spans="1:14" x14ac:dyDescent="0.25">
      <c r="A433">
        <v>400578509</v>
      </c>
      <c r="B433">
        <v>2015</v>
      </c>
      <c r="C433" s="1">
        <v>41969</v>
      </c>
      <c r="D433" t="s">
        <v>37</v>
      </c>
      <c r="E433">
        <v>0</v>
      </c>
      <c r="F433">
        <v>9</v>
      </c>
      <c r="G433">
        <v>6</v>
      </c>
      <c r="H433">
        <v>0</v>
      </c>
      <c r="I433" t="s">
        <v>16</v>
      </c>
      <c r="J433">
        <v>102</v>
      </c>
      <c r="K433" t="s">
        <v>37</v>
      </c>
      <c r="L433">
        <v>89</v>
      </c>
      <c r="M433">
        <f>IF(D433=I433,VLOOKUP(D433,a_win_totals_lookup,MATCH(K433,a_wins_total_lookup_header,0)+1,0),VLOOKUP(D433,a_win_totals_lookup,MATCH(I433,a_wins_total_lookup_header,0)+1,0))</f>
        <v>0.34442822733494199</v>
      </c>
      <c r="N433">
        <f t="shared" ca="1" si="6"/>
        <v>0</v>
      </c>
    </row>
    <row r="434" spans="1:14" x14ac:dyDescent="0.25">
      <c r="A434">
        <v>400578510</v>
      </c>
      <c r="B434">
        <v>2015</v>
      </c>
      <c r="C434" s="1">
        <v>41969</v>
      </c>
      <c r="D434" t="s">
        <v>19</v>
      </c>
      <c r="E434">
        <v>1</v>
      </c>
      <c r="F434">
        <v>9</v>
      </c>
      <c r="G434">
        <v>7</v>
      </c>
      <c r="H434">
        <v>0</v>
      </c>
      <c r="I434" t="s">
        <v>29</v>
      </c>
      <c r="J434">
        <v>86</v>
      </c>
      <c r="K434" t="s">
        <v>19</v>
      </c>
      <c r="L434">
        <v>103</v>
      </c>
      <c r="M434">
        <f>IF(D434=I434,VLOOKUP(D434,a_win_totals_lookup,MATCH(K434,a_wins_total_lookup_header,0)+1,0),VLOOKUP(D434,a_win_totals_lookup,MATCH(I434,a_wins_total_lookup_header,0)+1,0))</f>
        <v>0.51920267504662998</v>
      </c>
      <c r="N434">
        <f t="shared" ca="1" si="6"/>
        <v>1</v>
      </c>
    </row>
    <row r="435" spans="1:14" x14ac:dyDescent="0.25">
      <c r="A435">
        <v>400578510</v>
      </c>
      <c r="B435">
        <v>2015</v>
      </c>
      <c r="C435" s="1">
        <v>41969</v>
      </c>
      <c r="D435" t="s">
        <v>29</v>
      </c>
      <c r="E435">
        <v>0</v>
      </c>
      <c r="F435">
        <v>3</v>
      </c>
      <c r="G435">
        <v>10</v>
      </c>
      <c r="H435">
        <v>1</v>
      </c>
      <c r="I435" t="s">
        <v>29</v>
      </c>
      <c r="J435">
        <v>86</v>
      </c>
      <c r="K435" t="s">
        <v>19</v>
      </c>
      <c r="L435">
        <v>103</v>
      </c>
      <c r="M435">
        <f>IF(D435=I435,VLOOKUP(D435,a_win_totals_lookup,MATCH(K435,a_wins_total_lookup_header,0)+1,0),VLOOKUP(D435,a_win_totals_lookup,MATCH(I435,a_wins_total_lookup_header,0)+1,0))</f>
        <v>0.48079732495336996</v>
      </c>
      <c r="N435">
        <f t="shared" ca="1" si="6"/>
        <v>0</v>
      </c>
    </row>
    <row r="436" spans="1:14" x14ac:dyDescent="0.25">
      <c r="A436">
        <v>400578511</v>
      </c>
      <c r="B436">
        <v>2015</v>
      </c>
      <c r="C436" s="1">
        <v>41969</v>
      </c>
      <c r="D436" t="s">
        <v>38</v>
      </c>
      <c r="E436">
        <v>1</v>
      </c>
      <c r="F436">
        <v>4</v>
      </c>
      <c r="G436">
        <v>12</v>
      </c>
      <c r="H436">
        <v>1</v>
      </c>
      <c r="I436" t="s">
        <v>38</v>
      </c>
      <c r="J436">
        <v>97</v>
      </c>
      <c r="K436" t="s">
        <v>34</v>
      </c>
      <c r="L436">
        <v>82</v>
      </c>
      <c r="M436">
        <f>IF(D436=I436,VLOOKUP(D436,a_win_totals_lookup,MATCH(K436,a_wins_total_lookup_header,0)+1,0),VLOOKUP(D436,a_win_totals_lookup,MATCH(I436,a_wins_total_lookup_header,0)+1,0))</f>
        <v>0.72649226385047183</v>
      </c>
      <c r="N436">
        <f t="shared" ca="1" si="6"/>
        <v>0</v>
      </c>
    </row>
    <row r="437" spans="1:14" x14ac:dyDescent="0.25">
      <c r="A437">
        <v>400578511</v>
      </c>
      <c r="B437">
        <v>2015</v>
      </c>
      <c r="C437" s="1">
        <v>41969</v>
      </c>
      <c r="D437" t="s">
        <v>34</v>
      </c>
      <c r="E437">
        <v>0</v>
      </c>
      <c r="F437">
        <v>5</v>
      </c>
      <c r="G437">
        <v>11</v>
      </c>
      <c r="H437">
        <v>0</v>
      </c>
      <c r="I437" t="s">
        <v>38</v>
      </c>
      <c r="J437">
        <v>97</v>
      </c>
      <c r="K437" t="s">
        <v>34</v>
      </c>
      <c r="L437">
        <v>82</v>
      </c>
      <c r="M437">
        <f>IF(D437=I437,VLOOKUP(D437,a_win_totals_lookup,MATCH(K437,a_wins_total_lookup_header,0)+1,0),VLOOKUP(D437,a_win_totals_lookup,MATCH(I437,a_wins_total_lookup_header,0)+1,0))</f>
        <v>0.27350773614952834</v>
      </c>
      <c r="N437">
        <f t="shared" ca="1" si="6"/>
        <v>1</v>
      </c>
    </row>
    <row r="438" spans="1:14" x14ac:dyDescent="0.25">
      <c r="A438">
        <v>400578512</v>
      </c>
      <c r="B438">
        <v>2015</v>
      </c>
      <c r="C438" s="1">
        <v>41969</v>
      </c>
      <c r="D438" t="s">
        <v>20</v>
      </c>
      <c r="E438">
        <v>0</v>
      </c>
      <c r="F438">
        <v>6</v>
      </c>
      <c r="G438">
        <v>9</v>
      </c>
      <c r="H438">
        <v>0</v>
      </c>
      <c r="I438" t="s">
        <v>15</v>
      </c>
      <c r="J438">
        <v>106</v>
      </c>
      <c r="K438" t="s">
        <v>20</v>
      </c>
      <c r="L438">
        <v>100</v>
      </c>
      <c r="M438">
        <f>IF(D438=I438,VLOOKUP(D438,a_win_totals_lookup,MATCH(K438,a_wins_total_lookup_header,0)+1,0),VLOOKUP(D438,a_win_totals_lookup,MATCH(I438,a_wins_total_lookup_header,0)+1,0))</f>
        <v>0.30616154877960861</v>
      </c>
      <c r="N438">
        <f t="shared" ca="1" si="6"/>
        <v>0</v>
      </c>
    </row>
    <row r="439" spans="1:14" x14ac:dyDescent="0.25">
      <c r="A439">
        <v>400578512</v>
      </c>
      <c r="B439">
        <v>2015</v>
      </c>
      <c r="C439" s="1">
        <v>41969</v>
      </c>
      <c r="D439" t="s">
        <v>15</v>
      </c>
      <c r="E439">
        <v>1</v>
      </c>
      <c r="F439">
        <v>10</v>
      </c>
      <c r="G439">
        <v>4</v>
      </c>
      <c r="H439">
        <v>1</v>
      </c>
      <c r="I439" t="s">
        <v>15</v>
      </c>
      <c r="J439">
        <v>106</v>
      </c>
      <c r="K439" t="s">
        <v>20</v>
      </c>
      <c r="L439">
        <v>100</v>
      </c>
      <c r="M439">
        <f>IF(D439=I439,VLOOKUP(D439,a_win_totals_lookup,MATCH(K439,a_wins_total_lookup_header,0)+1,0),VLOOKUP(D439,a_win_totals_lookup,MATCH(I439,a_wins_total_lookup_header,0)+1,0))</f>
        <v>0.69383845122039145</v>
      </c>
      <c r="N439">
        <f t="shared" ca="1" si="6"/>
        <v>0</v>
      </c>
    </row>
    <row r="440" spans="1:14" x14ac:dyDescent="0.25">
      <c r="A440">
        <v>400578513</v>
      </c>
      <c r="B440">
        <v>2015</v>
      </c>
      <c r="C440" s="1">
        <v>41969</v>
      </c>
      <c r="D440" t="s">
        <v>32</v>
      </c>
      <c r="E440">
        <v>0</v>
      </c>
      <c r="F440">
        <v>7</v>
      </c>
      <c r="G440">
        <v>8</v>
      </c>
      <c r="H440">
        <v>0</v>
      </c>
      <c r="I440" t="s">
        <v>35</v>
      </c>
      <c r="J440">
        <v>120</v>
      </c>
      <c r="K440" t="s">
        <v>32</v>
      </c>
      <c r="L440">
        <v>112</v>
      </c>
      <c r="M440">
        <f>IF(D440=I440,VLOOKUP(D440,a_win_totals_lookup,MATCH(K440,a_wins_total_lookup_header,0)+1,0),VLOOKUP(D440,a_win_totals_lookup,MATCH(I440,a_wins_total_lookup_header,0)+1,0))</f>
        <v>0.46071121990694175</v>
      </c>
      <c r="N440">
        <f t="shared" ca="1" si="6"/>
        <v>0</v>
      </c>
    </row>
    <row r="441" spans="1:14" x14ac:dyDescent="0.25">
      <c r="A441">
        <v>400578513</v>
      </c>
      <c r="B441">
        <v>2015</v>
      </c>
      <c r="C441" s="1">
        <v>41969</v>
      </c>
      <c r="D441" t="s">
        <v>35</v>
      </c>
      <c r="E441">
        <v>1</v>
      </c>
      <c r="F441">
        <v>10</v>
      </c>
      <c r="G441">
        <v>6</v>
      </c>
      <c r="H441">
        <v>1</v>
      </c>
      <c r="I441" t="s">
        <v>35</v>
      </c>
      <c r="J441">
        <v>120</v>
      </c>
      <c r="K441" t="s">
        <v>32</v>
      </c>
      <c r="L441">
        <v>112</v>
      </c>
      <c r="M441">
        <f>IF(D441=I441,VLOOKUP(D441,a_win_totals_lookup,MATCH(K441,a_wins_total_lookup_header,0)+1,0),VLOOKUP(D441,a_win_totals_lookup,MATCH(I441,a_wins_total_lookup_header,0)+1,0))</f>
        <v>0.53928878009305825</v>
      </c>
      <c r="N441">
        <f t="shared" ca="1" si="6"/>
        <v>1</v>
      </c>
    </row>
    <row r="442" spans="1:14" x14ac:dyDescent="0.25">
      <c r="A442">
        <v>400578514</v>
      </c>
      <c r="B442">
        <v>2015</v>
      </c>
      <c r="C442" s="1">
        <v>41969</v>
      </c>
      <c r="D442" t="s">
        <v>17</v>
      </c>
      <c r="E442">
        <v>0</v>
      </c>
      <c r="F442">
        <v>3</v>
      </c>
      <c r="G442">
        <v>12</v>
      </c>
      <c r="H442">
        <v>1</v>
      </c>
      <c r="I442" t="s">
        <v>17</v>
      </c>
      <c r="J442">
        <v>93</v>
      </c>
      <c r="K442" t="s">
        <v>28</v>
      </c>
      <c r="L442">
        <v>99</v>
      </c>
      <c r="M442">
        <f>IF(D442=I442,VLOOKUP(D442,a_win_totals_lookup,MATCH(K442,a_wins_total_lookup_header,0)+1,0),VLOOKUP(D442,a_win_totals_lookup,MATCH(I442,a_wins_total_lookup_header,0)+1,0))</f>
        <v>0.32809457904793099</v>
      </c>
      <c r="N442">
        <f t="shared" ca="1" si="6"/>
        <v>1</v>
      </c>
    </row>
    <row r="443" spans="1:14" x14ac:dyDescent="0.25">
      <c r="A443">
        <v>400578514</v>
      </c>
      <c r="B443">
        <v>2015</v>
      </c>
      <c r="C443" s="1">
        <v>41969</v>
      </c>
      <c r="D443" t="s">
        <v>28</v>
      </c>
      <c r="E443">
        <v>1</v>
      </c>
      <c r="F443">
        <v>13</v>
      </c>
      <c r="G443">
        <v>2</v>
      </c>
      <c r="H443">
        <v>0</v>
      </c>
      <c r="I443" t="s">
        <v>17</v>
      </c>
      <c r="J443">
        <v>93</v>
      </c>
      <c r="K443" t="s">
        <v>28</v>
      </c>
      <c r="L443">
        <v>99</v>
      </c>
      <c r="M443">
        <f>IF(D443=I443,VLOOKUP(D443,a_win_totals_lookup,MATCH(K443,a_wins_total_lookup_header,0)+1,0),VLOOKUP(D443,a_win_totals_lookup,MATCH(I443,a_wins_total_lookup_header,0)+1,0))</f>
        <v>0.67190542095206907</v>
      </c>
      <c r="N443">
        <f t="shared" ca="1" si="6"/>
        <v>1</v>
      </c>
    </row>
    <row r="444" spans="1:14" x14ac:dyDescent="0.25">
      <c r="A444">
        <v>400578515</v>
      </c>
      <c r="B444">
        <v>2015</v>
      </c>
      <c r="C444" s="1">
        <v>41971</v>
      </c>
      <c r="D444" t="s">
        <v>22</v>
      </c>
      <c r="E444">
        <v>0</v>
      </c>
      <c r="F444">
        <v>4</v>
      </c>
      <c r="G444">
        <v>9</v>
      </c>
      <c r="H444">
        <v>1</v>
      </c>
      <c r="I444" t="s">
        <v>22</v>
      </c>
      <c r="J444">
        <v>102</v>
      </c>
      <c r="K444" t="s">
        <v>30</v>
      </c>
      <c r="L444">
        <v>109</v>
      </c>
      <c r="M444">
        <f>IF(D444=I444,VLOOKUP(D444,a_win_totals_lookup,MATCH(K444,a_wins_total_lookup_header,0)+1,0),VLOOKUP(D444,a_win_totals_lookup,MATCH(I444,a_wins_total_lookup_header,0)+1,0))</f>
        <v>0.22270013882530892</v>
      </c>
      <c r="N444">
        <f t="shared" ca="1" si="6"/>
        <v>0</v>
      </c>
    </row>
    <row r="445" spans="1:14" x14ac:dyDescent="0.25">
      <c r="A445">
        <v>400578515</v>
      </c>
      <c r="B445">
        <v>2015</v>
      </c>
      <c r="C445" s="1">
        <v>41971</v>
      </c>
      <c r="D445" t="s">
        <v>30</v>
      </c>
      <c r="E445">
        <v>1</v>
      </c>
      <c r="F445">
        <v>10</v>
      </c>
      <c r="G445">
        <v>6</v>
      </c>
      <c r="H445">
        <v>0</v>
      </c>
      <c r="I445" t="s">
        <v>22</v>
      </c>
      <c r="J445">
        <v>102</v>
      </c>
      <c r="K445" t="s">
        <v>30</v>
      </c>
      <c r="L445">
        <v>109</v>
      </c>
      <c r="M445">
        <f>IF(D445=I445,VLOOKUP(D445,a_win_totals_lookup,MATCH(K445,a_wins_total_lookup_header,0)+1,0),VLOOKUP(D445,a_win_totals_lookup,MATCH(I445,a_wins_total_lookup_header,0)+1,0))</f>
        <v>0.77729986117469119</v>
      </c>
      <c r="N445">
        <f t="shared" ca="1" si="6"/>
        <v>1</v>
      </c>
    </row>
    <row r="446" spans="1:14" x14ac:dyDescent="0.25">
      <c r="A446">
        <v>400578516</v>
      </c>
      <c r="B446">
        <v>2015</v>
      </c>
      <c r="C446" s="1">
        <v>41971</v>
      </c>
      <c r="D446" t="s">
        <v>18</v>
      </c>
      <c r="E446">
        <v>0</v>
      </c>
      <c r="F446">
        <v>4</v>
      </c>
      <c r="G446">
        <v>13</v>
      </c>
      <c r="H446">
        <v>1</v>
      </c>
      <c r="I446" t="s">
        <v>18</v>
      </c>
      <c r="J446">
        <v>101</v>
      </c>
      <c r="K446" t="s">
        <v>36</v>
      </c>
      <c r="L446">
        <v>106</v>
      </c>
      <c r="M446">
        <f>IF(D446=I446,VLOOKUP(D446,a_win_totals_lookup,MATCH(K446,a_wins_total_lookup_header,0)+1,0),VLOOKUP(D446,a_win_totals_lookup,MATCH(I446,a_wins_total_lookup_header,0)+1,0))</f>
        <v>0.4380738300772628</v>
      </c>
      <c r="N446">
        <f t="shared" ca="1" si="6"/>
        <v>0</v>
      </c>
    </row>
    <row r="447" spans="1:14" x14ac:dyDescent="0.25">
      <c r="A447">
        <v>400578516</v>
      </c>
      <c r="B447">
        <v>2015</v>
      </c>
      <c r="C447" s="1">
        <v>41971</v>
      </c>
      <c r="D447" t="s">
        <v>36</v>
      </c>
      <c r="E447">
        <v>1</v>
      </c>
      <c r="F447">
        <v>13</v>
      </c>
      <c r="G447">
        <v>2</v>
      </c>
      <c r="H447">
        <v>0</v>
      </c>
      <c r="I447" t="s">
        <v>18</v>
      </c>
      <c r="J447">
        <v>101</v>
      </c>
      <c r="K447" t="s">
        <v>36</v>
      </c>
      <c r="L447">
        <v>106</v>
      </c>
      <c r="M447">
        <f>IF(D447=I447,VLOOKUP(D447,a_win_totals_lookup,MATCH(K447,a_wins_total_lookup_header,0)+1,0),VLOOKUP(D447,a_win_totals_lookup,MATCH(I447,a_wins_total_lookup_header,0)+1,0))</f>
        <v>0.56192616992273725</v>
      </c>
      <c r="N447">
        <f t="shared" ca="1" si="6"/>
        <v>1</v>
      </c>
    </row>
    <row r="448" spans="1:14" x14ac:dyDescent="0.25">
      <c r="A448">
        <v>400578517</v>
      </c>
      <c r="B448">
        <v>2015</v>
      </c>
      <c r="C448" s="1">
        <v>41971</v>
      </c>
      <c r="D448" t="s">
        <v>26</v>
      </c>
      <c r="E448">
        <v>1</v>
      </c>
      <c r="F448">
        <v>8</v>
      </c>
      <c r="G448">
        <v>6</v>
      </c>
      <c r="H448">
        <v>1</v>
      </c>
      <c r="I448" t="s">
        <v>26</v>
      </c>
      <c r="J448">
        <v>100</v>
      </c>
      <c r="K448" t="s">
        <v>12</v>
      </c>
      <c r="L448">
        <v>91</v>
      </c>
      <c r="M448">
        <f>IF(D448=I448,VLOOKUP(D448,a_win_totals_lookup,MATCH(K448,a_wins_total_lookup_header,0)+1,0),VLOOKUP(D448,a_win_totals_lookup,MATCH(I448,a_wins_total_lookup_header,0)+1,0))</f>
        <v>0.52560193997306337</v>
      </c>
      <c r="N448">
        <f t="shared" ca="1" si="6"/>
        <v>0</v>
      </c>
    </row>
    <row r="449" spans="1:14" x14ac:dyDescent="0.25">
      <c r="A449">
        <v>400578517</v>
      </c>
      <c r="B449">
        <v>2015</v>
      </c>
      <c r="C449" s="1">
        <v>41971</v>
      </c>
      <c r="D449" t="s">
        <v>12</v>
      </c>
      <c r="E449">
        <v>0</v>
      </c>
      <c r="F449">
        <v>7</v>
      </c>
      <c r="G449">
        <v>7</v>
      </c>
      <c r="H449">
        <v>0</v>
      </c>
      <c r="I449" t="s">
        <v>26</v>
      </c>
      <c r="J449">
        <v>100</v>
      </c>
      <c r="K449" t="s">
        <v>12</v>
      </c>
      <c r="L449">
        <v>91</v>
      </c>
      <c r="M449">
        <f>IF(D449=I449,VLOOKUP(D449,a_win_totals_lookup,MATCH(K449,a_wins_total_lookup_header,0)+1,0),VLOOKUP(D449,a_win_totals_lookup,MATCH(I449,a_wins_total_lookup_header,0)+1,0))</f>
        <v>0.47439806002693663</v>
      </c>
      <c r="N449">
        <f t="shared" ca="1" si="6"/>
        <v>0</v>
      </c>
    </row>
    <row r="450" spans="1:14" x14ac:dyDescent="0.25">
      <c r="A450">
        <v>400578518</v>
      </c>
      <c r="B450">
        <v>2015</v>
      </c>
      <c r="C450" s="1">
        <v>41971</v>
      </c>
      <c r="D450" t="s">
        <v>33</v>
      </c>
      <c r="E450">
        <v>0</v>
      </c>
      <c r="F450">
        <v>3</v>
      </c>
      <c r="G450">
        <v>13</v>
      </c>
      <c r="H450">
        <v>1</v>
      </c>
      <c r="I450" t="s">
        <v>33</v>
      </c>
      <c r="J450">
        <v>88</v>
      </c>
      <c r="K450" t="s">
        <v>19</v>
      </c>
      <c r="L450">
        <v>104</v>
      </c>
      <c r="M450">
        <f>IF(D450=I450,VLOOKUP(D450,a_win_totals_lookup,MATCH(K450,a_wins_total_lookup_header,0)+1,0),VLOOKUP(D450,a_win_totals_lookup,MATCH(I450,a_wins_total_lookup_header,0)+1,0))</f>
        <v>0.60338468202473983</v>
      </c>
      <c r="N450">
        <f t="shared" ca="1" si="6"/>
        <v>1</v>
      </c>
    </row>
    <row r="451" spans="1:14" x14ac:dyDescent="0.25">
      <c r="A451">
        <v>400578518</v>
      </c>
      <c r="B451">
        <v>2015</v>
      </c>
      <c r="C451" s="1">
        <v>41971</v>
      </c>
      <c r="D451" t="s">
        <v>19</v>
      </c>
      <c r="E451">
        <v>1</v>
      </c>
      <c r="F451">
        <v>10</v>
      </c>
      <c r="G451">
        <v>7</v>
      </c>
      <c r="H451">
        <v>0</v>
      </c>
      <c r="I451" t="s">
        <v>33</v>
      </c>
      <c r="J451">
        <v>88</v>
      </c>
      <c r="K451" t="s">
        <v>19</v>
      </c>
      <c r="L451">
        <v>104</v>
      </c>
      <c r="M451">
        <f>IF(D451=I451,VLOOKUP(D451,a_win_totals_lookup,MATCH(K451,a_wins_total_lookup_header,0)+1,0),VLOOKUP(D451,a_win_totals_lookup,MATCH(I451,a_wins_total_lookup_header,0)+1,0))</f>
        <v>0.39661531797526017</v>
      </c>
      <c r="N451">
        <f t="shared" ref="N451:N514" ca="1" si="7">ROUND(0.5*RANDBETWEEN(-1,1)+M451,0)</f>
        <v>0</v>
      </c>
    </row>
    <row r="452" spans="1:14" x14ac:dyDescent="0.25">
      <c r="A452">
        <v>400578519</v>
      </c>
      <c r="B452">
        <v>2015</v>
      </c>
      <c r="C452" s="1">
        <v>41971</v>
      </c>
      <c r="D452" t="s">
        <v>14</v>
      </c>
      <c r="E452">
        <v>1</v>
      </c>
      <c r="F452">
        <v>12</v>
      </c>
      <c r="G452">
        <v>5</v>
      </c>
      <c r="H452">
        <v>0</v>
      </c>
      <c r="I452" t="s">
        <v>27</v>
      </c>
      <c r="J452">
        <v>102</v>
      </c>
      <c r="K452" t="s">
        <v>14</v>
      </c>
      <c r="L452">
        <v>106</v>
      </c>
      <c r="M452">
        <f>IF(D452=I452,VLOOKUP(D452,a_win_totals_lookup,MATCH(K452,a_wins_total_lookup_header,0)+1,0),VLOOKUP(D452,a_win_totals_lookup,MATCH(I452,a_wins_total_lookup_header,0)+1,0))</f>
        <v>0.5</v>
      </c>
      <c r="N452">
        <f t="shared" ca="1" si="7"/>
        <v>0</v>
      </c>
    </row>
    <row r="453" spans="1:14" x14ac:dyDescent="0.25">
      <c r="A453">
        <v>400578519</v>
      </c>
      <c r="B453">
        <v>2015</v>
      </c>
      <c r="C453" s="1">
        <v>41971</v>
      </c>
      <c r="D453" t="s">
        <v>27</v>
      </c>
      <c r="E453">
        <v>0</v>
      </c>
      <c r="F453">
        <v>13</v>
      </c>
      <c r="G453">
        <v>3</v>
      </c>
      <c r="H453">
        <v>1</v>
      </c>
      <c r="I453" t="s">
        <v>27</v>
      </c>
      <c r="J453">
        <v>102</v>
      </c>
      <c r="K453" t="s">
        <v>14</v>
      </c>
      <c r="L453">
        <v>106</v>
      </c>
      <c r="M453">
        <f>IF(D453=I453,VLOOKUP(D453,a_win_totals_lookup,MATCH(K453,a_wins_total_lookup_header,0)+1,0),VLOOKUP(D453,a_win_totals_lookup,MATCH(I453,a_wins_total_lookup_header,0)+1,0))</f>
        <v>0.5</v>
      </c>
      <c r="N453">
        <f t="shared" ca="1" si="7"/>
        <v>1</v>
      </c>
    </row>
    <row r="454" spans="1:14" x14ac:dyDescent="0.25">
      <c r="A454">
        <v>400578520</v>
      </c>
      <c r="B454">
        <v>2015</v>
      </c>
      <c r="C454" s="1">
        <v>41971</v>
      </c>
      <c r="D454" t="s">
        <v>16</v>
      </c>
      <c r="E454">
        <v>0</v>
      </c>
      <c r="F454">
        <v>12</v>
      </c>
      <c r="G454">
        <v>4</v>
      </c>
      <c r="H454">
        <v>1</v>
      </c>
      <c r="I454" t="s">
        <v>16</v>
      </c>
      <c r="J454">
        <v>85</v>
      </c>
      <c r="K454" t="s">
        <v>41</v>
      </c>
      <c r="L454">
        <v>102</v>
      </c>
      <c r="M454">
        <f>IF(D454=I454,VLOOKUP(D454,a_win_totals_lookup,MATCH(K454,a_wins_total_lookup_header,0)+1,0),VLOOKUP(D454,a_win_totals_lookup,MATCH(I454,a_wins_total_lookup_header,0)+1,0))</f>
        <v>0.42983460718544747</v>
      </c>
      <c r="N454">
        <f t="shared" ca="1" si="7"/>
        <v>0</v>
      </c>
    </row>
    <row r="455" spans="1:14" x14ac:dyDescent="0.25">
      <c r="A455">
        <v>400578520</v>
      </c>
      <c r="B455">
        <v>2015</v>
      </c>
      <c r="C455" s="1">
        <v>41971</v>
      </c>
      <c r="D455" t="s">
        <v>41</v>
      </c>
      <c r="E455">
        <v>1</v>
      </c>
      <c r="F455">
        <v>10</v>
      </c>
      <c r="G455">
        <v>5</v>
      </c>
      <c r="H455">
        <v>0</v>
      </c>
      <c r="I455" t="s">
        <v>16</v>
      </c>
      <c r="J455">
        <v>85</v>
      </c>
      <c r="K455" t="s">
        <v>41</v>
      </c>
      <c r="L455">
        <v>102</v>
      </c>
      <c r="M455">
        <f>IF(D455=I455,VLOOKUP(D455,a_win_totals_lookup,MATCH(K455,a_wins_total_lookup_header,0)+1,0),VLOOKUP(D455,a_win_totals_lookup,MATCH(I455,a_wins_total_lookup_header,0)+1,0))</f>
        <v>0.57016539281455259</v>
      </c>
      <c r="N455">
        <f t="shared" ca="1" si="7"/>
        <v>1</v>
      </c>
    </row>
    <row r="456" spans="1:14" x14ac:dyDescent="0.25">
      <c r="A456">
        <v>400578521</v>
      </c>
      <c r="B456">
        <v>2015</v>
      </c>
      <c r="C456" s="1">
        <v>41971</v>
      </c>
      <c r="D456" t="s">
        <v>31</v>
      </c>
      <c r="E456">
        <v>0</v>
      </c>
      <c r="F456">
        <v>4</v>
      </c>
      <c r="G456">
        <v>13</v>
      </c>
      <c r="H456">
        <v>0</v>
      </c>
      <c r="I456" t="s">
        <v>38</v>
      </c>
      <c r="J456">
        <v>105</v>
      </c>
      <c r="K456" t="s">
        <v>31</v>
      </c>
      <c r="L456">
        <v>78</v>
      </c>
      <c r="M456">
        <f>IF(D456=I456,VLOOKUP(D456,a_win_totals_lookup,MATCH(K456,a_wins_total_lookup_header,0)+1,0),VLOOKUP(D456,a_win_totals_lookup,MATCH(I456,a_wins_total_lookup_header,0)+1,0))</f>
        <v>0.37147810462585762</v>
      </c>
      <c r="N456">
        <f t="shared" ca="1" si="7"/>
        <v>1</v>
      </c>
    </row>
    <row r="457" spans="1:14" x14ac:dyDescent="0.25">
      <c r="A457">
        <v>400578521</v>
      </c>
      <c r="B457">
        <v>2015</v>
      </c>
      <c r="C457" s="1">
        <v>41971</v>
      </c>
      <c r="D457" t="s">
        <v>38</v>
      </c>
      <c r="E457">
        <v>1</v>
      </c>
      <c r="F457">
        <v>5</v>
      </c>
      <c r="G457">
        <v>12</v>
      </c>
      <c r="H457">
        <v>1</v>
      </c>
      <c r="I457" t="s">
        <v>38</v>
      </c>
      <c r="J457">
        <v>105</v>
      </c>
      <c r="K457" t="s">
        <v>31</v>
      </c>
      <c r="L457">
        <v>78</v>
      </c>
      <c r="M457">
        <f>IF(D457=I457,VLOOKUP(D457,a_win_totals_lookup,MATCH(K457,a_wins_total_lookup_header,0)+1,0),VLOOKUP(D457,a_win_totals_lookup,MATCH(I457,a_wins_total_lookup_header,0)+1,0))</f>
        <v>0.62852189537414238</v>
      </c>
      <c r="N457">
        <f t="shared" ca="1" si="7"/>
        <v>1</v>
      </c>
    </row>
    <row r="458" spans="1:14" x14ac:dyDescent="0.25">
      <c r="A458">
        <v>400578522</v>
      </c>
      <c r="B458">
        <v>2015</v>
      </c>
      <c r="C458" s="1">
        <v>41971</v>
      </c>
      <c r="D458" t="s">
        <v>20</v>
      </c>
      <c r="E458">
        <v>1</v>
      </c>
      <c r="F458">
        <v>7</v>
      </c>
      <c r="G458">
        <v>9</v>
      </c>
      <c r="H458">
        <v>1</v>
      </c>
      <c r="I458" t="s">
        <v>20</v>
      </c>
      <c r="J458">
        <v>98</v>
      </c>
      <c r="K458" t="s">
        <v>13</v>
      </c>
      <c r="L458">
        <v>83</v>
      </c>
      <c r="M458">
        <f>IF(D458=I458,VLOOKUP(D458,a_win_totals_lookup,MATCH(K458,a_wins_total_lookup_header,0)+1,0),VLOOKUP(D458,a_win_totals_lookup,MATCH(I458,a_wins_total_lookup_header,0)+1,0))</f>
        <v>0.55154153277934415</v>
      </c>
      <c r="N458">
        <f t="shared" ca="1" si="7"/>
        <v>1</v>
      </c>
    </row>
    <row r="459" spans="1:14" x14ac:dyDescent="0.25">
      <c r="A459">
        <v>400578522</v>
      </c>
      <c r="B459">
        <v>2015</v>
      </c>
      <c r="C459" s="1">
        <v>41971</v>
      </c>
      <c r="D459" t="s">
        <v>13</v>
      </c>
      <c r="E459">
        <v>0</v>
      </c>
      <c r="F459">
        <v>6</v>
      </c>
      <c r="G459">
        <v>12</v>
      </c>
      <c r="H459">
        <v>0</v>
      </c>
      <c r="I459" t="s">
        <v>20</v>
      </c>
      <c r="J459">
        <v>98</v>
      </c>
      <c r="K459" t="s">
        <v>13</v>
      </c>
      <c r="L459">
        <v>83</v>
      </c>
      <c r="M459">
        <f>IF(D459=I459,VLOOKUP(D459,a_win_totals_lookup,MATCH(K459,a_wins_total_lookup_header,0)+1,0),VLOOKUP(D459,a_win_totals_lookup,MATCH(I459,a_wins_total_lookup_header,0)+1,0))</f>
        <v>0.44845846722065585</v>
      </c>
      <c r="N459">
        <f t="shared" ca="1" si="7"/>
        <v>0</v>
      </c>
    </row>
    <row r="460" spans="1:14" x14ac:dyDescent="0.25">
      <c r="A460">
        <v>400578523</v>
      </c>
      <c r="B460">
        <v>2015</v>
      </c>
      <c r="C460" s="1">
        <v>41971</v>
      </c>
      <c r="D460" t="s">
        <v>37</v>
      </c>
      <c r="E460">
        <v>0</v>
      </c>
      <c r="F460">
        <v>9</v>
      </c>
      <c r="G460">
        <v>7</v>
      </c>
      <c r="H460">
        <v>0</v>
      </c>
      <c r="I460" t="s">
        <v>15</v>
      </c>
      <c r="J460">
        <v>112</v>
      </c>
      <c r="K460" t="s">
        <v>37</v>
      </c>
      <c r="L460">
        <v>104</v>
      </c>
      <c r="M460">
        <f>IF(D460=I460,VLOOKUP(D460,a_win_totals_lookup,MATCH(K460,a_wins_total_lookup_header,0)+1,0),VLOOKUP(D460,a_win_totals_lookup,MATCH(I460,a_wins_total_lookup_header,0)+1,0))</f>
        <v>0.29215473840837614</v>
      </c>
      <c r="N460">
        <f t="shared" ca="1" si="7"/>
        <v>1</v>
      </c>
    </row>
    <row r="461" spans="1:14" x14ac:dyDescent="0.25">
      <c r="A461">
        <v>400578523</v>
      </c>
      <c r="B461">
        <v>2015</v>
      </c>
      <c r="C461" s="1">
        <v>41971</v>
      </c>
      <c r="D461" t="s">
        <v>15</v>
      </c>
      <c r="E461">
        <v>1</v>
      </c>
      <c r="F461">
        <v>11</v>
      </c>
      <c r="G461">
        <v>4</v>
      </c>
      <c r="H461">
        <v>1</v>
      </c>
      <c r="I461" t="s">
        <v>15</v>
      </c>
      <c r="J461">
        <v>112</v>
      </c>
      <c r="K461" t="s">
        <v>37</v>
      </c>
      <c r="L461">
        <v>104</v>
      </c>
      <c r="M461">
        <f>IF(D461=I461,VLOOKUP(D461,a_win_totals_lookup,MATCH(K461,a_wins_total_lookup_header,0)+1,0),VLOOKUP(D461,a_win_totals_lookup,MATCH(I461,a_wins_total_lookup_header,0)+1,0))</f>
        <v>0.70784526159162375</v>
      </c>
      <c r="N461">
        <f t="shared" ca="1" si="7"/>
        <v>1</v>
      </c>
    </row>
    <row r="462" spans="1:14" x14ac:dyDescent="0.25">
      <c r="A462">
        <v>400578524</v>
      </c>
      <c r="B462">
        <v>2015</v>
      </c>
      <c r="C462" s="1">
        <v>41971</v>
      </c>
      <c r="D462" t="s">
        <v>32</v>
      </c>
      <c r="E462">
        <v>1</v>
      </c>
      <c r="F462">
        <v>8</v>
      </c>
      <c r="G462">
        <v>8</v>
      </c>
      <c r="H462">
        <v>1</v>
      </c>
      <c r="I462" t="s">
        <v>32</v>
      </c>
      <c r="J462">
        <v>122</v>
      </c>
      <c r="K462" t="s">
        <v>35</v>
      </c>
      <c r="L462">
        <v>97</v>
      </c>
      <c r="M462">
        <f>IF(D462=I462,VLOOKUP(D462,a_win_totals_lookup,MATCH(K462,a_wins_total_lookup_header,0)+1,0),VLOOKUP(D462,a_win_totals_lookup,MATCH(I462,a_wins_total_lookup_header,0)+1,0))</f>
        <v>0.46071121990694175</v>
      </c>
      <c r="N462">
        <f t="shared" ca="1" si="7"/>
        <v>0</v>
      </c>
    </row>
    <row r="463" spans="1:14" x14ac:dyDescent="0.25">
      <c r="A463">
        <v>400578524</v>
      </c>
      <c r="B463">
        <v>2015</v>
      </c>
      <c r="C463" s="1">
        <v>41971</v>
      </c>
      <c r="D463" t="s">
        <v>35</v>
      </c>
      <c r="E463">
        <v>0</v>
      </c>
      <c r="F463">
        <v>10</v>
      </c>
      <c r="G463">
        <v>7</v>
      </c>
      <c r="H463">
        <v>0</v>
      </c>
      <c r="I463" t="s">
        <v>32</v>
      </c>
      <c r="J463">
        <v>122</v>
      </c>
      <c r="K463" t="s">
        <v>35</v>
      </c>
      <c r="L463">
        <v>97</v>
      </c>
      <c r="M463">
        <f>IF(D463=I463,VLOOKUP(D463,a_win_totals_lookup,MATCH(K463,a_wins_total_lookup_header,0)+1,0),VLOOKUP(D463,a_win_totals_lookup,MATCH(I463,a_wins_total_lookup_header,0)+1,0))</f>
        <v>0.53928878009305825</v>
      </c>
      <c r="N463">
        <f t="shared" ca="1" si="7"/>
        <v>0</v>
      </c>
    </row>
    <row r="464" spans="1:14" x14ac:dyDescent="0.25">
      <c r="A464">
        <v>400578525</v>
      </c>
      <c r="B464">
        <v>2015</v>
      </c>
      <c r="C464" s="1">
        <v>41971</v>
      </c>
      <c r="D464" t="s">
        <v>28</v>
      </c>
      <c r="E464">
        <v>1</v>
      </c>
      <c r="F464">
        <v>14</v>
      </c>
      <c r="G464">
        <v>2</v>
      </c>
      <c r="H464">
        <v>0</v>
      </c>
      <c r="I464" t="s">
        <v>39</v>
      </c>
      <c r="J464">
        <v>99</v>
      </c>
      <c r="K464" t="s">
        <v>28</v>
      </c>
      <c r="L464">
        <v>112</v>
      </c>
      <c r="M464">
        <f>IF(D464=I464,VLOOKUP(D464,a_win_totals_lookup,MATCH(K464,a_wins_total_lookup_header,0)+1,0),VLOOKUP(D464,a_win_totals_lookup,MATCH(I464,a_wins_total_lookup_header,0)+1,0))</f>
        <v>0.50885835943866475</v>
      </c>
      <c r="N464">
        <f t="shared" ca="1" si="7"/>
        <v>0</v>
      </c>
    </row>
    <row r="465" spans="1:14" x14ac:dyDescent="0.25">
      <c r="A465">
        <v>400578525</v>
      </c>
      <c r="B465">
        <v>2015</v>
      </c>
      <c r="C465" s="1">
        <v>41971</v>
      </c>
      <c r="D465" t="s">
        <v>39</v>
      </c>
      <c r="E465">
        <v>0</v>
      </c>
      <c r="F465">
        <v>12</v>
      </c>
      <c r="G465">
        <v>4</v>
      </c>
      <c r="H465">
        <v>1</v>
      </c>
      <c r="I465" t="s">
        <v>39</v>
      </c>
      <c r="J465">
        <v>99</v>
      </c>
      <c r="K465" t="s">
        <v>28</v>
      </c>
      <c r="L465">
        <v>112</v>
      </c>
      <c r="M465">
        <f>IF(D465=I465,VLOOKUP(D465,a_win_totals_lookup,MATCH(K465,a_wins_total_lookup_header,0)+1,0),VLOOKUP(D465,a_win_totals_lookup,MATCH(I465,a_wins_total_lookup_header,0)+1,0))</f>
        <v>0.49114164056133519</v>
      </c>
      <c r="N465">
        <f t="shared" ca="1" si="7"/>
        <v>0</v>
      </c>
    </row>
    <row r="466" spans="1:14" x14ac:dyDescent="0.25">
      <c r="A466">
        <v>400578526</v>
      </c>
      <c r="B466">
        <v>2015</v>
      </c>
      <c r="C466" s="1">
        <v>41971</v>
      </c>
      <c r="D466" t="s">
        <v>17</v>
      </c>
      <c r="E466">
        <v>0</v>
      </c>
      <c r="F466">
        <v>3</v>
      </c>
      <c r="G466">
        <v>13</v>
      </c>
      <c r="H466">
        <v>1</v>
      </c>
      <c r="I466" t="s">
        <v>17</v>
      </c>
      <c r="J466">
        <v>119</v>
      </c>
      <c r="K466" t="s">
        <v>29</v>
      </c>
      <c r="L466">
        <v>120</v>
      </c>
      <c r="M466">
        <f>IF(D466=I466,VLOOKUP(D466,a_win_totals_lookup,MATCH(K466,a_wins_total_lookup_header,0)+1,0),VLOOKUP(D466,a_win_totals_lookup,MATCH(I466,a_wins_total_lookup_header,0)+1,0))</f>
        <v>0.59026429763515698</v>
      </c>
      <c r="N466">
        <f t="shared" ca="1" si="7"/>
        <v>1</v>
      </c>
    </row>
    <row r="467" spans="1:14" x14ac:dyDescent="0.25">
      <c r="A467">
        <v>400578526</v>
      </c>
      <c r="B467">
        <v>2015</v>
      </c>
      <c r="C467" s="1">
        <v>41971</v>
      </c>
      <c r="D467" t="s">
        <v>29</v>
      </c>
      <c r="E467">
        <v>1</v>
      </c>
      <c r="F467">
        <v>4</v>
      </c>
      <c r="G467">
        <v>10</v>
      </c>
      <c r="H467">
        <v>0</v>
      </c>
      <c r="I467" t="s">
        <v>17</v>
      </c>
      <c r="J467">
        <v>119</v>
      </c>
      <c r="K467" t="s">
        <v>29</v>
      </c>
      <c r="L467">
        <v>120</v>
      </c>
      <c r="M467">
        <f>IF(D467=I467,VLOOKUP(D467,a_win_totals_lookup,MATCH(K467,a_wins_total_lookup_header,0)+1,0),VLOOKUP(D467,a_win_totals_lookup,MATCH(I467,a_wins_total_lookup_header,0)+1,0))</f>
        <v>0.40973570236484297</v>
      </c>
      <c r="N467">
        <f t="shared" ca="1" si="7"/>
        <v>0</v>
      </c>
    </row>
    <row r="468" spans="1:14" x14ac:dyDescent="0.25">
      <c r="A468">
        <v>400578527</v>
      </c>
      <c r="B468">
        <v>2015</v>
      </c>
      <c r="C468" s="1">
        <v>41972</v>
      </c>
      <c r="D468" t="s">
        <v>14</v>
      </c>
      <c r="E468">
        <v>1</v>
      </c>
      <c r="F468">
        <v>13</v>
      </c>
      <c r="G468">
        <v>5</v>
      </c>
      <c r="H468">
        <v>0</v>
      </c>
      <c r="I468" t="s">
        <v>21</v>
      </c>
      <c r="J468">
        <v>103</v>
      </c>
      <c r="K468" t="s">
        <v>14</v>
      </c>
      <c r="L468">
        <v>110</v>
      </c>
      <c r="M468">
        <f>IF(D468=I468,VLOOKUP(D468,a_win_totals_lookup,MATCH(K468,a_wins_total_lookup_header,0)+1,0),VLOOKUP(D468,a_win_totals_lookup,MATCH(I468,a_wins_total_lookup_header,0)+1,0))</f>
        <v>0.78665142374290065</v>
      </c>
      <c r="N468">
        <f t="shared" ca="1" si="7"/>
        <v>1</v>
      </c>
    </row>
    <row r="469" spans="1:14" x14ac:dyDescent="0.25">
      <c r="A469">
        <v>400578527</v>
      </c>
      <c r="B469">
        <v>2015</v>
      </c>
      <c r="C469" s="1">
        <v>41972</v>
      </c>
      <c r="D469" t="s">
        <v>21</v>
      </c>
      <c r="E469">
        <v>0</v>
      </c>
      <c r="F469">
        <v>0</v>
      </c>
      <c r="G469">
        <v>16</v>
      </c>
      <c r="H469">
        <v>1</v>
      </c>
      <c r="I469" t="s">
        <v>21</v>
      </c>
      <c r="J469">
        <v>103</v>
      </c>
      <c r="K469" t="s">
        <v>14</v>
      </c>
      <c r="L469">
        <v>110</v>
      </c>
      <c r="M469">
        <f>IF(D469=I469,VLOOKUP(D469,a_win_totals_lookup,MATCH(K469,a_wins_total_lookup_header,0)+1,0),VLOOKUP(D469,a_win_totals_lookup,MATCH(I469,a_wins_total_lookup_header,0)+1,0))</f>
        <v>0.21334857625709938</v>
      </c>
      <c r="N469">
        <f t="shared" ca="1" si="7"/>
        <v>1</v>
      </c>
    </row>
    <row r="470" spans="1:14" x14ac:dyDescent="0.25">
      <c r="A470">
        <v>400578528</v>
      </c>
      <c r="B470">
        <v>2015</v>
      </c>
      <c r="C470" s="1">
        <v>41972</v>
      </c>
      <c r="D470" t="s">
        <v>12</v>
      </c>
      <c r="E470">
        <v>0</v>
      </c>
      <c r="F470">
        <v>7</v>
      </c>
      <c r="G470">
        <v>8</v>
      </c>
      <c r="H470">
        <v>0</v>
      </c>
      <c r="I470" t="s">
        <v>25</v>
      </c>
      <c r="J470">
        <v>83</v>
      </c>
      <c r="K470" t="s">
        <v>12</v>
      </c>
      <c r="L470">
        <v>80</v>
      </c>
      <c r="M470">
        <f>IF(D470=I470,VLOOKUP(D470,a_win_totals_lookup,MATCH(K470,a_wins_total_lookup_header,0)+1,0),VLOOKUP(D470,a_win_totals_lookup,MATCH(I470,a_wins_total_lookup_header,0)+1,0))</f>
        <v>0.43101575477019799</v>
      </c>
      <c r="N470">
        <f t="shared" ca="1" si="7"/>
        <v>0</v>
      </c>
    </row>
    <row r="471" spans="1:14" x14ac:dyDescent="0.25">
      <c r="A471">
        <v>400578528</v>
      </c>
      <c r="B471">
        <v>2015</v>
      </c>
      <c r="C471" s="1">
        <v>41972</v>
      </c>
      <c r="D471" t="s">
        <v>25</v>
      </c>
      <c r="E471">
        <v>1</v>
      </c>
      <c r="F471">
        <v>10</v>
      </c>
      <c r="G471">
        <v>5</v>
      </c>
      <c r="H471">
        <v>1</v>
      </c>
      <c r="I471" t="s">
        <v>25</v>
      </c>
      <c r="J471">
        <v>83</v>
      </c>
      <c r="K471" t="s">
        <v>12</v>
      </c>
      <c r="L471">
        <v>80</v>
      </c>
      <c r="M471">
        <f>IF(D471=I471,VLOOKUP(D471,a_win_totals_lookup,MATCH(K471,a_wins_total_lookup_header,0)+1,0),VLOOKUP(D471,a_win_totals_lookup,MATCH(I471,a_wins_total_lookup_header,0)+1,0))</f>
        <v>0.56898424522980195</v>
      </c>
      <c r="N471">
        <f t="shared" ca="1" si="7"/>
        <v>1</v>
      </c>
    </row>
    <row r="472" spans="1:14" x14ac:dyDescent="0.25">
      <c r="A472">
        <v>400578529</v>
      </c>
      <c r="B472">
        <v>2015</v>
      </c>
      <c r="C472" s="1">
        <v>41972</v>
      </c>
      <c r="D472" t="s">
        <v>26</v>
      </c>
      <c r="E472">
        <v>1</v>
      </c>
      <c r="F472">
        <v>9</v>
      </c>
      <c r="G472">
        <v>6</v>
      </c>
      <c r="H472">
        <v>1</v>
      </c>
      <c r="I472" t="s">
        <v>26</v>
      </c>
      <c r="J472">
        <v>105</v>
      </c>
      <c r="K472" t="s">
        <v>18</v>
      </c>
      <c r="L472">
        <v>75</v>
      </c>
      <c r="M472">
        <f>IF(D472=I472,VLOOKUP(D472,a_win_totals_lookup,MATCH(K472,a_wins_total_lookup_header,0)+1,0),VLOOKUP(D472,a_win_totals_lookup,MATCH(I472,a_wins_total_lookup_header,0)+1,0))</f>
        <v>0.47688642828156308</v>
      </c>
      <c r="N472">
        <f t="shared" ca="1" si="7"/>
        <v>0</v>
      </c>
    </row>
    <row r="473" spans="1:14" x14ac:dyDescent="0.25">
      <c r="A473">
        <v>400578529</v>
      </c>
      <c r="B473">
        <v>2015</v>
      </c>
      <c r="C473" s="1">
        <v>41972</v>
      </c>
      <c r="D473" t="s">
        <v>18</v>
      </c>
      <c r="E473">
        <v>0</v>
      </c>
      <c r="F473">
        <v>4</v>
      </c>
      <c r="G473">
        <v>14</v>
      </c>
      <c r="H473">
        <v>0</v>
      </c>
      <c r="I473" t="s">
        <v>26</v>
      </c>
      <c r="J473">
        <v>105</v>
      </c>
      <c r="K473" t="s">
        <v>18</v>
      </c>
      <c r="L473">
        <v>75</v>
      </c>
      <c r="M473">
        <f>IF(D473=I473,VLOOKUP(D473,a_win_totals_lookup,MATCH(K473,a_wins_total_lookup_header,0)+1,0),VLOOKUP(D473,a_win_totals_lookup,MATCH(I473,a_wins_total_lookup_header,0)+1,0))</f>
        <v>0.52311357171843698</v>
      </c>
      <c r="N473">
        <f t="shared" ca="1" si="7"/>
        <v>1</v>
      </c>
    </row>
    <row r="474" spans="1:14" x14ac:dyDescent="0.25">
      <c r="A474">
        <v>400578530</v>
      </c>
      <c r="B474">
        <v>2015</v>
      </c>
      <c r="C474" s="1">
        <v>41972</v>
      </c>
      <c r="D474" t="s">
        <v>40</v>
      </c>
      <c r="E474">
        <v>1</v>
      </c>
      <c r="F474">
        <v>8</v>
      </c>
      <c r="G474">
        <v>7</v>
      </c>
      <c r="H474">
        <v>1</v>
      </c>
      <c r="I474" t="s">
        <v>40</v>
      </c>
      <c r="J474">
        <v>109</v>
      </c>
      <c r="K474" t="s">
        <v>20</v>
      </c>
      <c r="L474">
        <v>97</v>
      </c>
      <c r="M474">
        <f>IF(D474=I474,VLOOKUP(D474,a_win_totals_lookup,MATCH(K474,a_wins_total_lookup_header,0)+1,0),VLOOKUP(D474,a_win_totals_lookup,MATCH(I474,a_wins_total_lookup_header,0)+1,0))</f>
        <v>0.70252114864958182</v>
      </c>
      <c r="N474">
        <f t="shared" ca="1" si="7"/>
        <v>1</v>
      </c>
    </row>
    <row r="475" spans="1:14" x14ac:dyDescent="0.25">
      <c r="A475">
        <v>400578530</v>
      </c>
      <c r="B475">
        <v>2015</v>
      </c>
      <c r="C475" s="1">
        <v>41972</v>
      </c>
      <c r="D475" t="s">
        <v>20</v>
      </c>
      <c r="E475">
        <v>0</v>
      </c>
      <c r="F475">
        <v>7</v>
      </c>
      <c r="G475">
        <v>10</v>
      </c>
      <c r="H475">
        <v>0</v>
      </c>
      <c r="I475" t="s">
        <v>40</v>
      </c>
      <c r="J475">
        <v>109</v>
      </c>
      <c r="K475" t="s">
        <v>20</v>
      </c>
      <c r="L475">
        <v>97</v>
      </c>
      <c r="M475">
        <f>IF(D475=I475,VLOOKUP(D475,a_win_totals_lookup,MATCH(K475,a_wins_total_lookup_header,0)+1,0),VLOOKUP(D475,a_win_totals_lookup,MATCH(I475,a_wins_total_lookup_header,0)+1,0))</f>
        <v>0.29747885135041813</v>
      </c>
      <c r="N475">
        <f t="shared" ca="1" si="7"/>
        <v>0</v>
      </c>
    </row>
    <row r="476" spans="1:14" x14ac:dyDescent="0.25">
      <c r="A476">
        <v>400578531</v>
      </c>
      <c r="B476">
        <v>2015</v>
      </c>
      <c r="C476" s="1">
        <v>41972</v>
      </c>
      <c r="D476" t="s">
        <v>41</v>
      </c>
      <c r="E476">
        <v>1</v>
      </c>
      <c r="F476">
        <v>11</v>
      </c>
      <c r="G476">
        <v>5</v>
      </c>
      <c r="H476">
        <v>0</v>
      </c>
      <c r="I476" t="s">
        <v>34</v>
      </c>
      <c r="J476">
        <v>96</v>
      </c>
      <c r="K476" t="s">
        <v>41</v>
      </c>
      <c r="L476">
        <v>112</v>
      </c>
      <c r="M476">
        <f>IF(D476=I476,VLOOKUP(D476,a_win_totals_lookup,MATCH(K476,a_wins_total_lookup_header,0)+1,0),VLOOKUP(D476,a_win_totals_lookup,MATCH(I476,a_wins_total_lookup_header,0)+1,0))</f>
        <v>0.74387996100574205</v>
      </c>
      <c r="N476">
        <f t="shared" ca="1" si="7"/>
        <v>0</v>
      </c>
    </row>
    <row r="477" spans="1:14" x14ac:dyDescent="0.25">
      <c r="A477">
        <v>400578531</v>
      </c>
      <c r="B477">
        <v>2015</v>
      </c>
      <c r="C477" s="1">
        <v>41972</v>
      </c>
      <c r="D477" t="s">
        <v>34</v>
      </c>
      <c r="E477">
        <v>0</v>
      </c>
      <c r="F477">
        <v>5</v>
      </c>
      <c r="G477">
        <v>12</v>
      </c>
      <c r="H477">
        <v>1</v>
      </c>
      <c r="I477" t="s">
        <v>34</v>
      </c>
      <c r="J477">
        <v>96</v>
      </c>
      <c r="K477" t="s">
        <v>41</v>
      </c>
      <c r="L477">
        <v>112</v>
      </c>
      <c r="M477">
        <f>IF(D477=I477,VLOOKUP(D477,a_win_totals_lookup,MATCH(K477,a_wins_total_lookup_header,0)+1,0),VLOOKUP(D477,a_win_totals_lookup,MATCH(I477,a_wins_total_lookup_header,0)+1,0))</f>
        <v>0.25612003899425795</v>
      </c>
      <c r="N477">
        <f t="shared" ca="1" si="7"/>
        <v>0</v>
      </c>
    </row>
    <row r="478" spans="1:14" x14ac:dyDescent="0.25">
      <c r="A478">
        <v>400578532</v>
      </c>
      <c r="B478">
        <v>2015</v>
      </c>
      <c r="C478" s="1">
        <v>41972</v>
      </c>
      <c r="D478" t="s">
        <v>16</v>
      </c>
      <c r="E478">
        <v>1</v>
      </c>
      <c r="F478">
        <v>13</v>
      </c>
      <c r="G478">
        <v>4</v>
      </c>
      <c r="H478">
        <v>0</v>
      </c>
      <c r="I478" t="s">
        <v>19</v>
      </c>
      <c r="J478">
        <v>103</v>
      </c>
      <c r="K478" t="s">
        <v>16</v>
      </c>
      <c r="L478">
        <v>117</v>
      </c>
      <c r="M478">
        <f>IF(D478=I478,VLOOKUP(D478,a_win_totals_lookup,MATCH(K478,a_wins_total_lookup_header,0)+1,0),VLOOKUP(D478,a_win_totals_lookup,MATCH(I478,a_wins_total_lookup_header,0)+1,0))</f>
        <v>0.71744673717528584</v>
      </c>
      <c r="N478">
        <f t="shared" ca="1" si="7"/>
        <v>1</v>
      </c>
    </row>
    <row r="479" spans="1:14" x14ac:dyDescent="0.25">
      <c r="A479">
        <v>400578532</v>
      </c>
      <c r="B479">
        <v>2015</v>
      </c>
      <c r="C479" s="1">
        <v>41972</v>
      </c>
      <c r="D479" t="s">
        <v>19</v>
      </c>
      <c r="E479">
        <v>0</v>
      </c>
      <c r="F479">
        <v>10</v>
      </c>
      <c r="G479">
        <v>8</v>
      </c>
      <c r="H479">
        <v>1</v>
      </c>
      <c r="I479" t="s">
        <v>19</v>
      </c>
      <c r="J479">
        <v>103</v>
      </c>
      <c r="K479" t="s">
        <v>16</v>
      </c>
      <c r="L479">
        <v>117</v>
      </c>
      <c r="M479">
        <f>IF(D479=I479,VLOOKUP(D479,a_win_totals_lookup,MATCH(K479,a_wins_total_lookup_header,0)+1,0),VLOOKUP(D479,a_win_totals_lookup,MATCH(I479,a_wins_total_lookup_header,0)+1,0))</f>
        <v>0.28255326282471421</v>
      </c>
      <c r="N479">
        <f t="shared" ca="1" si="7"/>
        <v>1</v>
      </c>
    </row>
    <row r="480" spans="1:14" x14ac:dyDescent="0.25">
      <c r="A480">
        <v>400578533</v>
      </c>
      <c r="B480">
        <v>2015</v>
      </c>
      <c r="C480" s="1">
        <v>41973</v>
      </c>
      <c r="D480" t="s">
        <v>22</v>
      </c>
      <c r="E480">
        <v>0</v>
      </c>
      <c r="F480">
        <v>4</v>
      </c>
      <c r="G480">
        <v>10</v>
      </c>
      <c r="H480">
        <v>1</v>
      </c>
      <c r="I480" t="s">
        <v>22</v>
      </c>
      <c r="J480">
        <v>89</v>
      </c>
      <c r="K480" t="s">
        <v>15</v>
      </c>
      <c r="L480">
        <v>111</v>
      </c>
      <c r="M480">
        <f>IF(D480=I480,VLOOKUP(D480,a_win_totals_lookup,MATCH(K480,a_wins_total_lookup_header,0)+1,0),VLOOKUP(D480,a_win_totals_lookup,MATCH(I480,a_wins_total_lookup_header,0)+1,0))</f>
        <v>0.22270013882530892</v>
      </c>
      <c r="N480">
        <f t="shared" ca="1" si="7"/>
        <v>0</v>
      </c>
    </row>
    <row r="481" spans="1:14" x14ac:dyDescent="0.25">
      <c r="A481">
        <v>400578533</v>
      </c>
      <c r="B481">
        <v>2015</v>
      </c>
      <c r="C481" s="1">
        <v>41973</v>
      </c>
      <c r="D481" t="s">
        <v>15</v>
      </c>
      <c r="E481">
        <v>1</v>
      </c>
      <c r="F481">
        <v>12</v>
      </c>
      <c r="G481">
        <v>4</v>
      </c>
      <c r="H481">
        <v>0</v>
      </c>
      <c r="I481" t="s">
        <v>22</v>
      </c>
      <c r="J481">
        <v>89</v>
      </c>
      <c r="K481" t="s">
        <v>15</v>
      </c>
      <c r="L481">
        <v>111</v>
      </c>
      <c r="M481">
        <f>IF(D481=I481,VLOOKUP(D481,a_win_totals_lookup,MATCH(K481,a_wins_total_lookup_header,0)+1,0),VLOOKUP(D481,a_win_totals_lookup,MATCH(I481,a_wins_total_lookup_header,0)+1,0))</f>
        <v>0.77729986117469119</v>
      </c>
      <c r="N481">
        <f t="shared" ca="1" si="7"/>
        <v>1</v>
      </c>
    </row>
    <row r="482" spans="1:14" x14ac:dyDescent="0.25">
      <c r="A482">
        <v>400578534</v>
      </c>
      <c r="B482">
        <v>2015</v>
      </c>
      <c r="C482" s="1">
        <v>41973</v>
      </c>
      <c r="D482" t="s">
        <v>23</v>
      </c>
      <c r="E482">
        <v>0</v>
      </c>
      <c r="F482">
        <v>6</v>
      </c>
      <c r="G482">
        <v>9</v>
      </c>
      <c r="H482">
        <v>1</v>
      </c>
      <c r="I482" t="s">
        <v>23</v>
      </c>
      <c r="J482">
        <v>84</v>
      </c>
      <c r="K482" t="s">
        <v>30</v>
      </c>
      <c r="L482">
        <v>102</v>
      </c>
      <c r="M482">
        <f>IF(D482=I482,VLOOKUP(D482,a_win_totals_lookup,MATCH(K482,a_wins_total_lookup_header,0)+1,0),VLOOKUP(D482,a_win_totals_lookup,MATCH(I482,a_wins_total_lookup_header,0)+1,0))</f>
        <v>0.36031197606974674</v>
      </c>
      <c r="N482">
        <f t="shared" ca="1" si="7"/>
        <v>0</v>
      </c>
    </row>
    <row r="483" spans="1:14" x14ac:dyDescent="0.25">
      <c r="A483">
        <v>400578534</v>
      </c>
      <c r="B483">
        <v>2015</v>
      </c>
      <c r="C483" s="1">
        <v>41973</v>
      </c>
      <c r="D483" t="s">
        <v>30</v>
      </c>
      <c r="E483">
        <v>1</v>
      </c>
      <c r="F483">
        <v>11</v>
      </c>
      <c r="G483">
        <v>6</v>
      </c>
      <c r="H483">
        <v>0</v>
      </c>
      <c r="I483" t="s">
        <v>23</v>
      </c>
      <c r="J483">
        <v>84</v>
      </c>
      <c r="K483" t="s">
        <v>30</v>
      </c>
      <c r="L483">
        <v>102</v>
      </c>
      <c r="M483">
        <f>IF(D483=I483,VLOOKUP(D483,a_win_totals_lookup,MATCH(K483,a_wins_total_lookup_header,0)+1,0),VLOOKUP(D483,a_win_totals_lookup,MATCH(I483,a_wins_total_lookup_header,0)+1,0))</f>
        <v>0.63968802393025326</v>
      </c>
      <c r="N483">
        <f t="shared" ca="1" si="7"/>
        <v>0</v>
      </c>
    </row>
    <row r="484" spans="1:14" x14ac:dyDescent="0.25">
      <c r="A484">
        <v>400578535</v>
      </c>
      <c r="B484">
        <v>2015</v>
      </c>
      <c r="C484" s="1">
        <v>41973</v>
      </c>
      <c r="D484" t="s">
        <v>33</v>
      </c>
      <c r="E484">
        <v>0</v>
      </c>
      <c r="F484">
        <v>3</v>
      </c>
      <c r="G484">
        <v>14</v>
      </c>
      <c r="H484">
        <v>1</v>
      </c>
      <c r="I484" t="s">
        <v>33</v>
      </c>
      <c r="J484">
        <v>93</v>
      </c>
      <c r="K484" t="s">
        <v>36</v>
      </c>
      <c r="L484">
        <v>104</v>
      </c>
      <c r="M484">
        <f>IF(D484=I484,VLOOKUP(D484,a_win_totals_lookup,MATCH(K484,a_wins_total_lookup_header,0)+1,0),VLOOKUP(D484,a_win_totals_lookup,MATCH(I484,a_wins_total_lookup_header,0)+1,0))</f>
        <v>0.33658811385308857</v>
      </c>
      <c r="N484">
        <f t="shared" ca="1" si="7"/>
        <v>0</v>
      </c>
    </row>
    <row r="485" spans="1:14" x14ac:dyDescent="0.25">
      <c r="A485">
        <v>400578535</v>
      </c>
      <c r="B485">
        <v>2015</v>
      </c>
      <c r="C485" s="1">
        <v>41973</v>
      </c>
      <c r="D485" t="s">
        <v>36</v>
      </c>
      <c r="E485">
        <v>1</v>
      </c>
      <c r="F485">
        <v>14</v>
      </c>
      <c r="G485">
        <v>2</v>
      </c>
      <c r="H485">
        <v>0</v>
      </c>
      <c r="I485" t="s">
        <v>33</v>
      </c>
      <c r="J485">
        <v>93</v>
      </c>
      <c r="K485" t="s">
        <v>36</v>
      </c>
      <c r="L485">
        <v>104</v>
      </c>
      <c r="M485">
        <f>IF(D485=I485,VLOOKUP(D485,a_win_totals_lookup,MATCH(K485,a_wins_total_lookup_header,0)+1,0),VLOOKUP(D485,a_win_totals_lookup,MATCH(I485,a_wins_total_lookup_header,0)+1,0))</f>
        <v>0.66341188614691138</v>
      </c>
      <c r="N485">
        <f t="shared" ca="1" si="7"/>
        <v>0</v>
      </c>
    </row>
    <row r="486" spans="1:14" x14ac:dyDescent="0.25">
      <c r="A486">
        <v>400578536</v>
      </c>
      <c r="B486">
        <v>2015</v>
      </c>
      <c r="C486" s="1">
        <v>41973</v>
      </c>
      <c r="D486" t="s">
        <v>28</v>
      </c>
      <c r="E486">
        <v>1</v>
      </c>
      <c r="F486">
        <v>15</v>
      </c>
      <c r="G486">
        <v>2</v>
      </c>
      <c r="H486">
        <v>0</v>
      </c>
      <c r="I486" t="s">
        <v>37</v>
      </c>
      <c r="J486">
        <v>85</v>
      </c>
      <c r="K486" t="s">
        <v>28</v>
      </c>
      <c r="L486">
        <v>97</v>
      </c>
      <c r="M486">
        <f>IF(D486=I486,VLOOKUP(D486,a_win_totals_lookup,MATCH(K486,a_wins_total_lookup_header,0)+1,0),VLOOKUP(D486,a_win_totals_lookup,MATCH(I486,a_wins_total_lookup_header,0)+1,0))</f>
        <v>0.67190542095206907</v>
      </c>
      <c r="N486">
        <f t="shared" ca="1" si="7"/>
        <v>0</v>
      </c>
    </row>
    <row r="487" spans="1:14" x14ac:dyDescent="0.25">
      <c r="A487">
        <v>400578536</v>
      </c>
      <c r="B487">
        <v>2015</v>
      </c>
      <c r="C487" s="1">
        <v>41973</v>
      </c>
      <c r="D487" t="s">
        <v>37</v>
      </c>
      <c r="E487">
        <v>0</v>
      </c>
      <c r="F487">
        <v>9</v>
      </c>
      <c r="G487">
        <v>8</v>
      </c>
      <c r="H487">
        <v>1</v>
      </c>
      <c r="I487" t="s">
        <v>37</v>
      </c>
      <c r="J487">
        <v>85</v>
      </c>
      <c r="K487" t="s">
        <v>28</v>
      </c>
      <c r="L487">
        <v>97</v>
      </c>
      <c r="M487">
        <f>IF(D487=I487,VLOOKUP(D487,a_win_totals_lookup,MATCH(K487,a_wins_total_lookup_header,0)+1,0),VLOOKUP(D487,a_win_totals_lookup,MATCH(I487,a_wins_total_lookup_header,0)+1,0))</f>
        <v>0.32809457904793099</v>
      </c>
      <c r="N487">
        <f t="shared" ca="1" si="7"/>
        <v>0</v>
      </c>
    </row>
    <row r="488" spans="1:14" x14ac:dyDescent="0.25">
      <c r="A488">
        <v>400578537</v>
      </c>
      <c r="B488">
        <v>2015</v>
      </c>
      <c r="C488" s="1">
        <v>41973</v>
      </c>
      <c r="D488" t="s">
        <v>24</v>
      </c>
      <c r="E488">
        <v>1</v>
      </c>
      <c r="F488">
        <v>9</v>
      </c>
      <c r="G488">
        <v>7</v>
      </c>
      <c r="H488">
        <v>0</v>
      </c>
      <c r="I488" t="s">
        <v>31</v>
      </c>
      <c r="J488">
        <v>79</v>
      </c>
      <c r="K488" t="s">
        <v>24</v>
      </c>
      <c r="L488">
        <v>86</v>
      </c>
      <c r="M488">
        <f>IF(D488=I488,VLOOKUP(D488,a_win_totals_lookup,MATCH(K488,a_wins_total_lookup_header,0)+1,0),VLOOKUP(D488,a_win_totals_lookup,MATCH(I488,a_wins_total_lookup_header,0)+1,0))</f>
        <v>0.5510669083041746</v>
      </c>
      <c r="N488">
        <f t="shared" ca="1" si="7"/>
        <v>1</v>
      </c>
    </row>
    <row r="489" spans="1:14" x14ac:dyDescent="0.25">
      <c r="A489">
        <v>400578537</v>
      </c>
      <c r="B489">
        <v>2015</v>
      </c>
      <c r="C489" s="1">
        <v>41973</v>
      </c>
      <c r="D489" t="s">
        <v>31</v>
      </c>
      <c r="E489">
        <v>0</v>
      </c>
      <c r="F489">
        <v>4</v>
      </c>
      <c r="G489">
        <v>14</v>
      </c>
      <c r="H489">
        <v>1</v>
      </c>
      <c r="I489" t="s">
        <v>31</v>
      </c>
      <c r="J489">
        <v>79</v>
      </c>
      <c r="K489" t="s">
        <v>24</v>
      </c>
      <c r="L489">
        <v>86</v>
      </c>
      <c r="M489">
        <f>IF(D489=I489,VLOOKUP(D489,a_win_totals_lookup,MATCH(K489,a_wins_total_lookup_header,0)+1,0),VLOOKUP(D489,a_win_totals_lookup,MATCH(I489,a_wins_total_lookup_header,0)+1,0))</f>
        <v>0.4489330916958254</v>
      </c>
      <c r="N489">
        <f t="shared" ca="1" si="7"/>
        <v>1</v>
      </c>
    </row>
    <row r="490" spans="1:14" x14ac:dyDescent="0.25">
      <c r="A490">
        <v>400578538</v>
      </c>
      <c r="B490">
        <v>2015</v>
      </c>
      <c r="C490" s="1">
        <v>41973</v>
      </c>
      <c r="D490" t="s">
        <v>13</v>
      </c>
      <c r="E490">
        <v>1</v>
      </c>
      <c r="F490">
        <v>7</v>
      </c>
      <c r="G490">
        <v>12</v>
      </c>
      <c r="H490">
        <v>0</v>
      </c>
      <c r="I490" t="s">
        <v>35</v>
      </c>
      <c r="J490">
        <v>90</v>
      </c>
      <c r="K490" t="s">
        <v>13</v>
      </c>
      <c r="L490">
        <v>93</v>
      </c>
      <c r="M490">
        <f>IF(D490=I490,VLOOKUP(D490,a_win_totals_lookup,MATCH(K490,a_wins_total_lookup_header,0)+1,0),VLOOKUP(D490,a_win_totals_lookup,MATCH(I490,a_wins_total_lookup_header,0)+1,0))</f>
        <v>0.35240218376319032</v>
      </c>
      <c r="N490">
        <f t="shared" ca="1" si="7"/>
        <v>0</v>
      </c>
    </row>
    <row r="491" spans="1:14" x14ac:dyDescent="0.25">
      <c r="A491">
        <v>400578538</v>
      </c>
      <c r="B491">
        <v>2015</v>
      </c>
      <c r="C491" s="1">
        <v>41973</v>
      </c>
      <c r="D491" t="s">
        <v>35</v>
      </c>
      <c r="E491">
        <v>0</v>
      </c>
      <c r="F491">
        <v>10</v>
      </c>
      <c r="G491">
        <v>8</v>
      </c>
      <c r="H491">
        <v>1</v>
      </c>
      <c r="I491" t="s">
        <v>35</v>
      </c>
      <c r="J491">
        <v>90</v>
      </c>
      <c r="K491" t="s">
        <v>13</v>
      </c>
      <c r="L491">
        <v>93</v>
      </c>
      <c r="M491">
        <f>IF(D491=I491,VLOOKUP(D491,a_win_totals_lookup,MATCH(K491,a_wins_total_lookup_header,0)+1,0),VLOOKUP(D491,a_win_totals_lookup,MATCH(I491,a_wins_total_lookup_header,0)+1,0))</f>
        <v>0.64759781623680968</v>
      </c>
      <c r="N491">
        <f t="shared" ca="1" si="7"/>
        <v>1</v>
      </c>
    </row>
    <row r="492" spans="1:14" x14ac:dyDescent="0.25">
      <c r="A492">
        <v>400578539</v>
      </c>
      <c r="B492">
        <v>2015</v>
      </c>
      <c r="C492" s="1">
        <v>41973</v>
      </c>
      <c r="D492" t="s">
        <v>29</v>
      </c>
      <c r="E492">
        <v>0</v>
      </c>
      <c r="F492">
        <v>4</v>
      </c>
      <c r="G492">
        <v>11</v>
      </c>
      <c r="H492">
        <v>0</v>
      </c>
      <c r="I492" t="s">
        <v>39</v>
      </c>
      <c r="J492">
        <v>107</v>
      </c>
      <c r="K492" t="s">
        <v>29</v>
      </c>
      <c r="L492">
        <v>93</v>
      </c>
      <c r="M492">
        <f>IF(D492=I492,VLOOKUP(D492,a_win_totals_lookup,MATCH(K492,a_wins_total_lookup_header,0)+1,0),VLOOKUP(D492,a_win_totals_lookup,MATCH(I492,a_wins_total_lookup_header,0)+1,0))</f>
        <v>0.25990995831593727</v>
      </c>
      <c r="N492">
        <f t="shared" ca="1" si="7"/>
        <v>1</v>
      </c>
    </row>
    <row r="493" spans="1:14" x14ac:dyDescent="0.25">
      <c r="A493">
        <v>400578539</v>
      </c>
      <c r="B493">
        <v>2015</v>
      </c>
      <c r="C493" s="1">
        <v>41973</v>
      </c>
      <c r="D493" t="s">
        <v>39</v>
      </c>
      <c r="E493">
        <v>1</v>
      </c>
      <c r="F493">
        <v>13</v>
      </c>
      <c r="G493">
        <v>4</v>
      </c>
      <c r="H493">
        <v>1</v>
      </c>
      <c r="I493" t="s">
        <v>39</v>
      </c>
      <c r="J493">
        <v>107</v>
      </c>
      <c r="K493" t="s">
        <v>29</v>
      </c>
      <c r="L493">
        <v>93</v>
      </c>
      <c r="M493">
        <f>IF(D493=I493,VLOOKUP(D493,a_win_totals_lookup,MATCH(K493,a_wins_total_lookup_header,0)+1,0),VLOOKUP(D493,a_win_totals_lookup,MATCH(I493,a_wins_total_lookup_header,0)+1,0))</f>
        <v>0.74009004168406278</v>
      </c>
      <c r="N493">
        <f t="shared" ca="1" si="7"/>
        <v>0</v>
      </c>
    </row>
    <row r="494" spans="1:14" x14ac:dyDescent="0.25">
      <c r="A494">
        <v>400578540</v>
      </c>
      <c r="B494">
        <v>2015</v>
      </c>
      <c r="C494" s="1">
        <v>41973</v>
      </c>
      <c r="D494" t="s">
        <v>17</v>
      </c>
      <c r="E494">
        <v>1</v>
      </c>
      <c r="F494">
        <v>4</v>
      </c>
      <c r="G494">
        <v>13</v>
      </c>
      <c r="H494">
        <v>1</v>
      </c>
      <c r="I494" t="s">
        <v>17</v>
      </c>
      <c r="J494">
        <v>129</v>
      </c>
      <c r="K494" t="s">
        <v>27</v>
      </c>
      <c r="L494">
        <v>122</v>
      </c>
      <c r="M494">
        <f>IF(D494=I494,VLOOKUP(D494,a_win_totals_lookup,MATCH(K494,a_wins_total_lookup_header,0)+1,0),VLOOKUP(D494,a_win_totals_lookup,MATCH(I494,a_wins_total_lookup_header,0)+1,0))</f>
        <v>0.31410312396771667</v>
      </c>
      <c r="N494">
        <f t="shared" ca="1" si="7"/>
        <v>0</v>
      </c>
    </row>
    <row r="495" spans="1:14" x14ac:dyDescent="0.25">
      <c r="A495">
        <v>400578540</v>
      </c>
      <c r="B495">
        <v>2015</v>
      </c>
      <c r="C495" s="1">
        <v>41973</v>
      </c>
      <c r="D495" t="s">
        <v>27</v>
      </c>
      <c r="E495">
        <v>0</v>
      </c>
      <c r="F495">
        <v>13</v>
      </c>
      <c r="G495">
        <v>4</v>
      </c>
      <c r="H495">
        <v>0</v>
      </c>
      <c r="I495" t="s">
        <v>17</v>
      </c>
      <c r="J495">
        <v>129</v>
      </c>
      <c r="K495" t="s">
        <v>27</v>
      </c>
      <c r="L495">
        <v>122</v>
      </c>
      <c r="M495">
        <f>IF(D495=I495,VLOOKUP(D495,a_win_totals_lookup,MATCH(K495,a_wins_total_lookup_header,0)+1,0),VLOOKUP(D495,a_win_totals_lookup,MATCH(I495,a_wins_total_lookup_header,0)+1,0))</f>
        <v>0.68589687603228333</v>
      </c>
      <c r="N495">
        <f t="shared" ca="1" si="7"/>
        <v>0</v>
      </c>
    </row>
    <row r="496" spans="1:14" x14ac:dyDescent="0.25">
      <c r="A496">
        <v>400578541</v>
      </c>
      <c r="B496">
        <v>2015</v>
      </c>
      <c r="C496" s="1">
        <v>41974</v>
      </c>
      <c r="D496" t="s">
        <v>21</v>
      </c>
      <c r="E496">
        <v>0</v>
      </c>
      <c r="F496">
        <v>0</v>
      </c>
      <c r="G496">
        <v>17</v>
      </c>
      <c r="H496">
        <v>1</v>
      </c>
      <c r="I496" t="s">
        <v>21</v>
      </c>
      <c r="J496">
        <v>103</v>
      </c>
      <c r="K496" t="s">
        <v>15</v>
      </c>
      <c r="L496">
        <v>109</v>
      </c>
      <c r="M496">
        <f>IF(D496=I496,VLOOKUP(D496,a_win_totals_lookup,MATCH(K496,a_wins_total_lookup_header,0)+1,0),VLOOKUP(D496,a_win_totals_lookup,MATCH(I496,a_wins_total_lookup_header,0)+1,0))</f>
        <v>0.19642436232857072</v>
      </c>
      <c r="N496">
        <f t="shared" ca="1" si="7"/>
        <v>1</v>
      </c>
    </row>
    <row r="497" spans="1:14" x14ac:dyDescent="0.25">
      <c r="A497">
        <v>400578541</v>
      </c>
      <c r="B497">
        <v>2015</v>
      </c>
      <c r="C497" s="1">
        <v>41974</v>
      </c>
      <c r="D497" t="s">
        <v>15</v>
      </c>
      <c r="E497">
        <v>1</v>
      </c>
      <c r="F497">
        <v>13</v>
      </c>
      <c r="G497">
        <v>4</v>
      </c>
      <c r="H497">
        <v>0</v>
      </c>
      <c r="I497" t="s">
        <v>21</v>
      </c>
      <c r="J497">
        <v>103</v>
      </c>
      <c r="K497" t="s">
        <v>15</v>
      </c>
      <c r="L497">
        <v>109</v>
      </c>
      <c r="M497">
        <f>IF(D497=I497,VLOOKUP(D497,a_win_totals_lookup,MATCH(K497,a_wins_total_lookup_header,0)+1,0),VLOOKUP(D497,a_win_totals_lookup,MATCH(I497,a_wins_total_lookup_header,0)+1,0))</f>
        <v>0.80357563767142925</v>
      </c>
      <c r="N497">
        <f t="shared" ca="1" si="7"/>
        <v>0</v>
      </c>
    </row>
    <row r="498" spans="1:14" x14ac:dyDescent="0.25">
      <c r="A498">
        <v>400578542</v>
      </c>
      <c r="B498">
        <v>2015</v>
      </c>
      <c r="C498" s="1">
        <v>41974</v>
      </c>
      <c r="D498" t="s">
        <v>24</v>
      </c>
      <c r="E498">
        <v>0</v>
      </c>
      <c r="F498">
        <v>9</v>
      </c>
      <c r="G498">
        <v>8</v>
      </c>
      <c r="H498">
        <v>0</v>
      </c>
      <c r="I498" t="s">
        <v>25</v>
      </c>
      <c r="J498">
        <v>107</v>
      </c>
      <c r="K498" t="s">
        <v>24</v>
      </c>
      <c r="L498">
        <v>86</v>
      </c>
      <c r="M498">
        <f>IF(D498=I498,VLOOKUP(D498,a_win_totals_lookup,MATCH(K498,a_wins_total_lookup_header,0)+1,0),VLOOKUP(D498,a_win_totals_lookup,MATCH(I498,a_wins_total_lookup_header,0)+1,0))</f>
        <v>0.46811629634230822</v>
      </c>
      <c r="N498">
        <f t="shared" ca="1" si="7"/>
        <v>0</v>
      </c>
    </row>
    <row r="499" spans="1:14" x14ac:dyDescent="0.25">
      <c r="A499">
        <v>400578542</v>
      </c>
      <c r="B499">
        <v>2015</v>
      </c>
      <c r="C499" s="1">
        <v>41974</v>
      </c>
      <c r="D499" t="s">
        <v>25</v>
      </c>
      <c r="E499">
        <v>1</v>
      </c>
      <c r="F499">
        <v>11</v>
      </c>
      <c r="G499">
        <v>5</v>
      </c>
      <c r="H499">
        <v>1</v>
      </c>
      <c r="I499" t="s">
        <v>25</v>
      </c>
      <c r="J499">
        <v>107</v>
      </c>
      <c r="K499" t="s">
        <v>24</v>
      </c>
      <c r="L499">
        <v>86</v>
      </c>
      <c r="M499">
        <f>IF(D499=I499,VLOOKUP(D499,a_win_totals_lookup,MATCH(K499,a_wins_total_lookup_header,0)+1,0),VLOOKUP(D499,a_win_totals_lookup,MATCH(I499,a_wins_total_lookup_header,0)+1,0))</f>
        <v>0.53188370365769178</v>
      </c>
      <c r="N499">
        <f t="shared" ca="1" si="7"/>
        <v>1</v>
      </c>
    </row>
    <row r="500" spans="1:14" x14ac:dyDescent="0.25">
      <c r="A500">
        <v>400578543</v>
      </c>
      <c r="B500">
        <v>2015</v>
      </c>
      <c r="C500" s="1">
        <v>41974</v>
      </c>
      <c r="D500" t="s">
        <v>32</v>
      </c>
      <c r="E500">
        <v>1</v>
      </c>
      <c r="F500">
        <v>9</v>
      </c>
      <c r="G500">
        <v>8</v>
      </c>
      <c r="H500">
        <v>0</v>
      </c>
      <c r="I500" t="s">
        <v>34</v>
      </c>
      <c r="J500">
        <v>101</v>
      </c>
      <c r="K500" t="s">
        <v>32</v>
      </c>
      <c r="L500">
        <v>103</v>
      </c>
      <c r="M500">
        <f>IF(D500=I500,VLOOKUP(D500,a_win_totals_lookup,MATCH(K500,a_wins_total_lookup_header,0)+1,0),VLOOKUP(D500,a_win_totals_lookup,MATCH(I500,a_wins_total_lookup_header,0)+1,0))</f>
        <v>0.61088100448941873</v>
      </c>
      <c r="N500">
        <f t="shared" ca="1" si="7"/>
        <v>1</v>
      </c>
    </row>
    <row r="501" spans="1:14" x14ac:dyDescent="0.25">
      <c r="A501">
        <v>400578543</v>
      </c>
      <c r="B501">
        <v>2015</v>
      </c>
      <c r="C501" s="1">
        <v>41974</v>
      </c>
      <c r="D501" t="s">
        <v>34</v>
      </c>
      <c r="E501">
        <v>0</v>
      </c>
      <c r="F501">
        <v>5</v>
      </c>
      <c r="G501">
        <v>13</v>
      </c>
      <c r="H501">
        <v>1</v>
      </c>
      <c r="I501" t="s">
        <v>34</v>
      </c>
      <c r="J501">
        <v>101</v>
      </c>
      <c r="K501" t="s">
        <v>32</v>
      </c>
      <c r="L501">
        <v>103</v>
      </c>
      <c r="M501">
        <f>IF(D501=I501,VLOOKUP(D501,a_win_totals_lookup,MATCH(K501,a_wins_total_lookup_header,0)+1,0),VLOOKUP(D501,a_win_totals_lookup,MATCH(I501,a_wins_total_lookup_header,0)+1,0))</f>
        <v>0.38911899551058127</v>
      </c>
      <c r="N501">
        <f t="shared" ca="1" si="7"/>
        <v>0</v>
      </c>
    </row>
    <row r="502" spans="1:14" x14ac:dyDescent="0.25">
      <c r="A502">
        <v>400578544</v>
      </c>
      <c r="B502">
        <v>2015</v>
      </c>
      <c r="C502" s="1">
        <v>41974</v>
      </c>
      <c r="D502" t="s">
        <v>41</v>
      </c>
      <c r="E502">
        <v>1</v>
      </c>
      <c r="F502">
        <v>12</v>
      </c>
      <c r="G502">
        <v>5</v>
      </c>
      <c r="H502">
        <v>1</v>
      </c>
      <c r="I502" t="s">
        <v>41</v>
      </c>
      <c r="J502">
        <v>127</v>
      </c>
      <c r="K502" t="s">
        <v>29</v>
      </c>
      <c r="L502">
        <v>101</v>
      </c>
      <c r="M502">
        <f>IF(D502=I502,VLOOKUP(D502,a_win_totals_lookup,MATCH(K502,a_wins_total_lookup_header,0)+1,0),VLOOKUP(D502,a_win_totals_lookup,MATCH(I502,a_wins_total_lookup_header,0)+1,0))</f>
        <v>0.7843512669729592</v>
      </c>
      <c r="N502">
        <f t="shared" ca="1" si="7"/>
        <v>1</v>
      </c>
    </row>
    <row r="503" spans="1:14" x14ac:dyDescent="0.25">
      <c r="A503">
        <v>400578544</v>
      </c>
      <c r="B503">
        <v>2015</v>
      </c>
      <c r="C503" s="1">
        <v>41974</v>
      </c>
      <c r="D503" t="s">
        <v>29</v>
      </c>
      <c r="E503">
        <v>0</v>
      </c>
      <c r="F503">
        <v>4</v>
      </c>
      <c r="G503">
        <v>12</v>
      </c>
      <c r="H503">
        <v>0</v>
      </c>
      <c r="I503" t="s">
        <v>41</v>
      </c>
      <c r="J503">
        <v>127</v>
      </c>
      <c r="K503" t="s">
        <v>29</v>
      </c>
      <c r="L503">
        <v>101</v>
      </c>
      <c r="M503">
        <f>IF(D503=I503,VLOOKUP(D503,a_win_totals_lookup,MATCH(K503,a_wins_total_lookup_header,0)+1,0),VLOOKUP(D503,a_win_totals_lookup,MATCH(I503,a_wins_total_lookup_header,0)+1,0))</f>
        <v>0.21564873302704085</v>
      </c>
      <c r="N503">
        <f t="shared" ca="1" si="7"/>
        <v>1</v>
      </c>
    </row>
    <row r="504" spans="1:14" x14ac:dyDescent="0.25">
      <c r="A504">
        <v>400578545</v>
      </c>
      <c r="B504">
        <v>2015</v>
      </c>
      <c r="C504" s="1">
        <v>41975</v>
      </c>
      <c r="D504" t="s">
        <v>40</v>
      </c>
      <c r="E504">
        <v>1</v>
      </c>
      <c r="F504">
        <v>9</v>
      </c>
      <c r="G504">
        <v>7</v>
      </c>
      <c r="H504">
        <v>1</v>
      </c>
      <c r="I504" t="s">
        <v>40</v>
      </c>
      <c r="J504">
        <v>111</v>
      </c>
      <c r="K504" t="s">
        <v>19</v>
      </c>
      <c r="L504">
        <v>108</v>
      </c>
      <c r="M504">
        <f>IF(D504=I504,VLOOKUP(D504,a_win_totals_lookup,MATCH(K504,a_wins_total_lookup_header,0)+1,0),VLOOKUP(D504,a_win_totals_lookup,MATCH(I504,a_wins_total_lookup_header,0)+1,0))</f>
        <v>0.77106907112086653</v>
      </c>
      <c r="N504">
        <f t="shared" ca="1" si="7"/>
        <v>1</v>
      </c>
    </row>
    <row r="505" spans="1:14" x14ac:dyDescent="0.25">
      <c r="A505">
        <v>400578545</v>
      </c>
      <c r="B505">
        <v>2015</v>
      </c>
      <c r="C505" s="1">
        <v>41975</v>
      </c>
      <c r="D505" t="s">
        <v>19</v>
      </c>
      <c r="E505">
        <v>0</v>
      </c>
      <c r="F505">
        <v>10</v>
      </c>
      <c r="G505">
        <v>9</v>
      </c>
      <c r="H505">
        <v>0</v>
      </c>
      <c r="I505" t="s">
        <v>40</v>
      </c>
      <c r="J505">
        <v>111</v>
      </c>
      <c r="K505" t="s">
        <v>19</v>
      </c>
      <c r="L505">
        <v>108</v>
      </c>
      <c r="M505">
        <f>IF(D505=I505,VLOOKUP(D505,a_win_totals_lookup,MATCH(K505,a_wins_total_lookup_header,0)+1,0),VLOOKUP(D505,a_win_totals_lookup,MATCH(I505,a_wins_total_lookup_header,0)+1,0))</f>
        <v>0.22893092887913349</v>
      </c>
      <c r="N505">
        <f t="shared" ca="1" si="7"/>
        <v>0</v>
      </c>
    </row>
    <row r="506" spans="1:14" x14ac:dyDescent="0.25">
      <c r="A506">
        <v>400578546</v>
      </c>
      <c r="B506">
        <v>2015</v>
      </c>
      <c r="C506" s="1">
        <v>41975</v>
      </c>
      <c r="D506" t="s">
        <v>26</v>
      </c>
      <c r="E506">
        <v>1</v>
      </c>
      <c r="F506">
        <v>10</v>
      </c>
      <c r="G506">
        <v>6</v>
      </c>
      <c r="H506">
        <v>1</v>
      </c>
      <c r="I506" t="s">
        <v>26</v>
      </c>
      <c r="J506">
        <v>109</v>
      </c>
      <c r="K506" t="s">
        <v>22</v>
      </c>
      <c r="L506">
        <v>105</v>
      </c>
      <c r="M506">
        <f>IF(D506=I506,VLOOKUP(D506,a_win_totals_lookup,MATCH(K506,a_wins_total_lookup_header,0)+1,0),VLOOKUP(D506,a_win_totals_lookup,MATCH(I506,a_wins_total_lookup_header,0)+1,0))</f>
        <v>0.69708802310993623</v>
      </c>
      <c r="N506">
        <f t="shared" ca="1" si="7"/>
        <v>0</v>
      </c>
    </row>
    <row r="507" spans="1:14" x14ac:dyDescent="0.25">
      <c r="A507">
        <v>400578546</v>
      </c>
      <c r="B507">
        <v>2015</v>
      </c>
      <c r="C507" s="1">
        <v>41975</v>
      </c>
      <c r="D507" t="s">
        <v>22</v>
      </c>
      <c r="E507">
        <v>0</v>
      </c>
      <c r="F507">
        <v>4</v>
      </c>
      <c r="G507">
        <v>11</v>
      </c>
      <c r="H507">
        <v>0</v>
      </c>
      <c r="I507" t="s">
        <v>26</v>
      </c>
      <c r="J507">
        <v>109</v>
      </c>
      <c r="K507" t="s">
        <v>22</v>
      </c>
      <c r="L507">
        <v>105</v>
      </c>
      <c r="M507">
        <f>IF(D507=I507,VLOOKUP(D507,a_win_totals_lookup,MATCH(K507,a_wins_total_lookup_header,0)+1,0),VLOOKUP(D507,a_win_totals_lookup,MATCH(I507,a_wins_total_lookup_header,0)+1,0))</f>
        <v>0.30291197689006377</v>
      </c>
      <c r="N507">
        <f t="shared" ca="1" si="7"/>
        <v>1</v>
      </c>
    </row>
    <row r="508" spans="1:14" x14ac:dyDescent="0.25">
      <c r="A508">
        <v>400578547</v>
      </c>
      <c r="B508">
        <v>2015</v>
      </c>
      <c r="C508" s="1">
        <v>41975</v>
      </c>
      <c r="D508" t="s">
        <v>33</v>
      </c>
      <c r="E508">
        <v>0</v>
      </c>
      <c r="F508">
        <v>3</v>
      </c>
      <c r="G508">
        <v>15</v>
      </c>
      <c r="H508">
        <v>1</v>
      </c>
      <c r="I508" t="s">
        <v>33</v>
      </c>
      <c r="J508">
        <v>96</v>
      </c>
      <c r="K508" t="s">
        <v>17</v>
      </c>
      <c r="L508">
        <v>106</v>
      </c>
      <c r="M508">
        <f>IF(D508=I508,VLOOKUP(D508,a_win_totals_lookup,MATCH(K508,a_wins_total_lookup_header,0)+1,0),VLOOKUP(D508,a_win_totals_lookup,MATCH(I508,a_wins_total_lookup_header,0)+1,0))</f>
        <v>0.53279747016783385</v>
      </c>
      <c r="N508">
        <f t="shared" ca="1" si="7"/>
        <v>0</v>
      </c>
    </row>
    <row r="509" spans="1:14" x14ac:dyDescent="0.25">
      <c r="A509">
        <v>400578547</v>
      </c>
      <c r="B509">
        <v>2015</v>
      </c>
      <c r="C509" s="1">
        <v>41975</v>
      </c>
      <c r="D509" t="s">
        <v>17</v>
      </c>
      <c r="E509">
        <v>1</v>
      </c>
      <c r="F509">
        <v>5</v>
      </c>
      <c r="G509">
        <v>13</v>
      </c>
      <c r="H509">
        <v>0</v>
      </c>
      <c r="I509" t="s">
        <v>33</v>
      </c>
      <c r="J509">
        <v>96</v>
      </c>
      <c r="K509" t="s">
        <v>17</v>
      </c>
      <c r="L509">
        <v>106</v>
      </c>
      <c r="M509">
        <f>IF(D509=I509,VLOOKUP(D509,a_win_totals_lookup,MATCH(K509,a_wins_total_lookup_header,0)+1,0),VLOOKUP(D509,a_win_totals_lookup,MATCH(I509,a_wins_total_lookup_header,0)+1,0))</f>
        <v>0.46720252983216615</v>
      </c>
      <c r="N509">
        <f t="shared" ca="1" si="7"/>
        <v>0</v>
      </c>
    </row>
    <row r="510" spans="1:14" x14ac:dyDescent="0.25">
      <c r="A510">
        <v>400578548</v>
      </c>
      <c r="B510">
        <v>2015</v>
      </c>
      <c r="C510" s="1">
        <v>41975</v>
      </c>
      <c r="D510" t="s">
        <v>23</v>
      </c>
      <c r="E510">
        <v>1</v>
      </c>
      <c r="F510">
        <v>7</v>
      </c>
      <c r="G510">
        <v>9</v>
      </c>
      <c r="H510">
        <v>0</v>
      </c>
      <c r="I510" t="s">
        <v>31</v>
      </c>
      <c r="J510">
        <v>93</v>
      </c>
      <c r="K510" t="s">
        <v>23</v>
      </c>
      <c r="L510">
        <v>98</v>
      </c>
      <c r="M510">
        <f>IF(D510=I510,VLOOKUP(D510,a_win_totals_lookup,MATCH(K510,a_wins_total_lookup_header,0)+1,0),VLOOKUP(D510,a_win_totals_lookup,MATCH(I510,a_wins_total_lookup_header,0)+1,0))</f>
        <v>0.5</v>
      </c>
      <c r="N510">
        <f t="shared" ca="1" si="7"/>
        <v>0</v>
      </c>
    </row>
    <row r="511" spans="1:14" x14ac:dyDescent="0.25">
      <c r="A511">
        <v>400578548</v>
      </c>
      <c r="B511">
        <v>2015</v>
      </c>
      <c r="C511" s="1">
        <v>41975</v>
      </c>
      <c r="D511" t="s">
        <v>31</v>
      </c>
      <c r="E511">
        <v>0</v>
      </c>
      <c r="F511">
        <v>4</v>
      </c>
      <c r="G511">
        <v>15</v>
      </c>
      <c r="H511">
        <v>1</v>
      </c>
      <c r="I511" t="s">
        <v>31</v>
      </c>
      <c r="J511">
        <v>93</v>
      </c>
      <c r="K511" t="s">
        <v>23</v>
      </c>
      <c r="L511">
        <v>98</v>
      </c>
      <c r="M511">
        <f>IF(D511=I511,VLOOKUP(D511,a_win_totals_lookup,MATCH(K511,a_wins_total_lookup_header,0)+1,0),VLOOKUP(D511,a_win_totals_lookup,MATCH(I511,a_wins_total_lookup_header,0)+1,0))</f>
        <v>0.5</v>
      </c>
      <c r="N511">
        <f t="shared" ca="1" si="7"/>
        <v>0</v>
      </c>
    </row>
    <row r="512" spans="1:14" x14ac:dyDescent="0.25">
      <c r="A512">
        <v>400578549</v>
      </c>
      <c r="B512">
        <v>2015</v>
      </c>
      <c r="C512" s="1">
        <v>41975</v>
      </c>
      <c r="D512" t="s">
        <v>30</v>
      </c>
      <c r="E512">
        <v>0</v>
      </c>
      <c r="F512">
        <v>11</v>
      </c>
      <c r="G512">
        <v>7</v>
      </c>
      <c r="H512">
        <v>1</v>
      </c>
      <c r="I512" t="s">
        <v>30</v>
      </c>
      <c r="J512">
        <v>129</v>
      </c>
      <c r="K512" t="s">
        <v>14</v>
      </c>
      <c r="L512">
        <v>132</v>
      </c>
      <c r="M512">
        <f>IF(D512=I512,VLOOKUP(D512,a_win_totals_lookup,MATCH(K512,a_wins_total_lookup_header,0)+1,0),VLOOKUP(D512,a_win_totals_lookup,MATCH(I512,a_wins_total_lookup_header,0)+1,0))</f>
        <v>0.52596063059506537</v>
      </c>
      <c r="N512">
        <f t="shared" ca="1" si="7"/>
        <v>1</v>
      </c>
    </row>
    <row r="513" spans="1:14" x14ac:dyDescent="0.25">
      <c r="A513">
        <v>400578549</v>
      </c>
      <c r="B513">
        <v>2015</v>
      </c>
      <c r="C513" s="1">
        <v>41975</v>
      </c>
      <c r="D513" t="s">
        <v>14</v>
      </c>
      <c r="E513">
        <v>1</v>
      </c>
      <c r="F513">
        <v>14</v>
      </c>
      <c r="G513">
        <v>5</v>
      </c>
      <c r="H513">
        <v>0</v>
      </c>
      <c r="I513" t="s">
        <v>30</v>
      </c>
      <c r="J513">
        <v>129</v>
      </c>
      <c r="K513" t="s">
        <v>14</v>
      </c>
      <c r="L513">
        <v>132</v>
      </c>
      <c r="M513">
        <f>IF(D513=I513,VLOOKUP(D513,a_win_totals_lookup,MATCH(K513,a_wins_total_lookup_header,0)+1,0),VLOOKUP(D513,a_win_totals_lookup,MATCH(I513,a_wins_total_lookup_header,0)+1,0))</f>
        <v>0.47403936940493457</v>
      </c>
      <c r="N513">
        <f t="shared" ca="1" si="7"/>
        <v>0</v>
      </c>
    </row>
    <row r="514" spans="1:14" x14ac:dyDescent="0.25">
      <c r="A514">
        <v>400578550</v>
      </c>
      <c r="B514">
        <v>2015</v>
      </c>
      <c r="C514" s="1">
        <v>41975</v>
      </c>
      <c r="D514" t="s">
        <v>12</v>
      </c>
      <c r="E514">
        <v>1</v>
      </c>
      <c r="F514">
        <v>8</v>
      </c>
      <c r="G514">
        <v>8</v>
      </c>
      <c r="H514">
        <v>1</v>
      </c>
      <c r="I514" t="s">
        <v>12</v>
      </c>
      <c r="J514">
        <v>112</v>
      </c>
      <c r="K514" t="s">
        <v>38</v>
      </c>
      <c r="L514">
        <v>104</v>
      </c>
      <c r="M514">
        <f>IF(D514=I514,VLOOKUP(D514,a_win_totals_lookup,MATCH(K514,a_wins_total_lookup_header,0)+1,0),VLOOKUP(D514,a_win_totals_lookup,MATCH(I514,a_wins_total_lookup_header,0)+1,0))</f>
        <v>0.38440358663606417</v>
      </c>
      <c r="N514">
        <f t="shared" ca="1" si="7"/>
        <v>0</v>
      </c>
    </row>
    <row r="515" spans="1:14" x14ac:dyDescent="0.25">
      <c r="A515">
        <v>400578550</v>
      </c>
      <c r="B515">
        <v>2015</v>
      </c>
      <c r="C515" s="1">
        <v>41975</v>
      </c>
      <c r="D515" t="s">
        <v>38</v>
      </c>
      <c r="E515">
        <v>0</v>
      </c>
      <c r="F515">
        <v>5</v>
      </c>
      <c r="G515">
        <v>13</v>
      </c>
      <c r="H515">
        <v>0</v>
      </c>
      <c r="I515" t="s">
        <v>12</v>
      </c>
      <c r="J515">
        <v>112</v>
      </c>
      <c r="K515" t="s">
        <v>38</v>
      </c>
      <c r="L515">
        <v>104</v>
      </c>
      <c r="M515">
        <f>IF(D515=I515,VLOOKUP(D515,a_win_totals_lookup,MATCH(K515,a_wins_total_lookup_header,0)+1,0),VLOOKUP(D515,a_win_totals_lookup,MATCH(I515,a_wins_total_lookup_header,0)+1,0))</f>
        <v>0.61559641336393578</v>
      </c>
      <c r="N515">
        <f t="shared" ref="N515:N578" ca="1" si="8">ROUND(0.5*RANDBETWEEN(-1,1)+M515,0)</f>
        <v>1</v>
      </c>
    </row>
    <row r="516" spans="1:14" x14ac:dyDescent="0.25">
      <c r="A516">
        <v>400578551</v>
      </c>
      <c r="B516">
        <v>2015</v>
      </c>
      <c r="C516" s="1">
        <v>41975</v>
      </c>
      <c r="D516" t="s">
        <v>32</v>
      </c>
      <c r="E516">
        <v>0</v>
      </c>
      <c r="F516">
        <v>9</v>
      </c>
      <c r="G516">
        <v>9</v>
      </c>
      <c r="H516">
        <v>1</v>
      </c>
      <c r="I516" t="s">
        <v>32</v>
      </c>
      <c r="J516">
        <v>103</v>
      </c>
      <c r="K516" t="s">
        <v>39</v>
      </c>
      <c r="L516">
        <v>105</v>
      </c>
      <c r="M516">
        <f>IF(D516=I516,VLOOKUP(D516,a_win_totals_lookup,MATCH(K516,a_wins_total_lookup_header,0)+1,0),VLOOKUP(D516,a_win_totals_lookup,MATCH(I516,a_wins_total_lookup_header,0)+1,0))</f>
        <v>0.40843302990522401</v>
      </c>
      <c r="N516">
        <f t="shared" ca="1" si="8"/>
        <v>1</v>
      </c>
    </row>
    <row r="517" spans="1:14" x14ac:dyDescent="0.25">
      <c r="A517">
        <v>400578551</v>
      </c>
      <c r="B517">
        <v>2015</v>
      </c>
      <c r="C517" s="1">
        <v>41975</v>
      </c>
      <c r="D517" t="s">
        <v>39</v>
      </c>
      <c r="E517">
        <v>1</v>
      </c>
      <c r="F517">
        <v>14</v>
      </c>
      <c r="G517">
        <v>4</v>
      </c>
      <c r="H517">
        <v>0</v>
      </c>
      <c r="I517" t="s">
        <v>32</v>
      </c>
      <c r="J517">
        <v>103</v>
      </c>
      <c r="K517" t="s">
        <v>39</v>
      </c>
      <c r="L517">
        <v>105</v>
      </c>
      <c r="M517">
        <f>IF(D517=I517,VLOOKUP(D517,a_win_totals_lookup,MATCH(K517,a_wins_total_lookup_header,0)+1,0),VLOOKUP(D517,a_win_totals_lookup,MATCH(I517,a_wins_total_lookup_header,0)+1,0))</f>
        <v>0.59156697009477588</v>
      </c>
      <c r="N517">
        <f t="shared" ca="1" si="8"/>
        <v>1</v>
      </c>
    </row>
    <row r="518" spans="1:14" x14ac:dyDescent="0.25">
      <c r="A518">
        <v>400578552</v>
      </c>
      <c r="B518">
        <v>2015</v>
      </c>
      <c r="C518" s="1">
        <v>41975</v>
      </c>
      <c r="D518" t="s">
        <v>20</v>
      </c>
      <c r="E518">
        <v>0</v>
      </c>
      <c r="F518">
        <v>7</v>
      </c>
      <c r="G518">
        <v>11</v>
      </c>
      <c r="H518">
        <v>0</v>
      </c>
      <c r="I518" t="s">
        <v>35</v>
      </c>
      <c r="J518">
        <v>116</v>
      </c>
      <c r="K518" t="s">
        <v>20</v>
      </c>
      <c r="L518">
        <v>99</v>
      </c>
      <c r="M518">
        <f>IF(D518=I518,VLOOKUP(D518,a_win_totals_lookup,MATCH(K518,a_wins_total_lookup_header,0)+1,0),VLOOKUP(D518,a_win_totals_lookup,MATCH(I518,a_wins_total_lookup_header,0)+1,0))</f>
        <v>0.40092901921795154</v>
      </c>
      <c r="N518">
        <f t="shared" ca="1" si="8"/>
        <v>1</v>
      </c>
    </row>
    <row r="519" spans="1:14" x14ac:dyDescent="0.25">
      <c r="A519">
        <v>400578552</v>
      </c>
      <c r="B519">
        <v>2015</v>
      </c>
      <c r="C519" s="1">
        <v>41975</v>
      </c>
      <c r="D519" t="s">
        <v>35</v>
      </c>
      <c r="E519">
        <v>1</v>
      </c>
      <c r="F519">
        <v>11</v>
      </c>
      <c r="G519">
        <v>8</v>
      </c>
      <c r="H519">
        <v>1</v>
      </c>
      <c r="I519" t="s">
        <v>35</v>
      </c>
      <c r="J519">
        <v>116</v>
      </c>
      <c r="K519" t="s">
        <v>20</v>
      </c>
      <c r="L519">
        <v>99</v>
      </c>
      <c r="M519">
        <f>IF(D519=I519,VLOOKUP(D519,a_win_totals_lookup,MATCH(K519,a_wins_total_lookup_header,0)+1,0),VLOOKUP(D519,a_win_totals_lookup,MATCH(I519,a_wins_total_lookup_header,0)+1,0))</f>
        <v>0.59907098078204846</v>
      </c>
      <c r="N519">
        <f t="shared" ca="1" si="8"/>
        <v>1</v>
      </c>
    </row>
    <row r="520" spans="1:14" x14ac:dyDescent="0.25">
      <c r="A520">
        <v>400578553</v>
      </c>
      <c r="B520">
        <v>2015</v>
      </c>
      <c r="C520" s="1">
        <v>41975</v>
      </c>
      <c r="D520" t="s">
        <v>37</v>
      </c>
      <c r="E520">
        <v>0</v>
      </c>
      <c r="F520">
        <v>9</v>
      </c>
      <c r="G520">
        <v>9</v>
      </c>
      <c r="H520">
        <v>1</v>
      </c>
      <c r="I520" t="s">
        <v>37</v>
      </c>
      <c r="J520">
        <v>109</v>
      </c>
      <c r="K520" t="s">
        <v>27</v>
      </c>
      <c r="L520">
        <v>117</v>
      </c>
      <c r="M520">
        <f>IF(D520=I520,VLOOKUP(D520,a_win_totals_lookup,MATCH(K520,a_wins_total_lookup_header,0)+1,0),VLOOKUP(D520,a_win_totals_lookup,MATCH(I520,a_wins_total_lookup_header,0)+1,0))</f>
        <v>0.31410312396771667</v>
      </c>
      <c r="N520">
        <f t="shared" ca="1" si="8"/>
        <v>0</v>
      </c>
    </row>
    <row r="521" spans="1:14" x14ac:dyDescent="0.25">
      <c r="A521">
        <v>400578553</v>
      </c>
      <c r="B521">
        <v>2015</v>
      </c>
      <c r="C521" s="1">
        <v>41975</v>
      </c>
      <c r="D521" t="s">
        <v>27</v>
      </c>
      <c r="E521">
        <v>1</v>
      </c>
      <c r="F521">
        <v>14</v>
      </c>
      <c r="G521">
        <v>4</v>
      </c>
      <c r="H521">
        <v>0</v>
      </c>
      <c r="I521" t="s">
        <v>37</v>
      </c>
      <c r="J521">
        <v>109</v>
      </c>
      <c r="K521" t="s">
        <v>27</v>
      </c>
      <c r="L521">
        <v>117</v>
      </c>
      <c r="M521">
        <f>IF(D521=I521,VLOOKUP(D521,a_win_totals_lookup,MATCH(K521,a_wins_total_lookup_header,0)+1,0),VLOOKUP(D521,a_win_totals_lookup,MATCH(I521,a_wins_total_lookup_header,0)+1,0))</f>
        <v>0.68589687603228333</v>
      </c>
      <c r="N521">
        <f t="shared" ca="1" si="8"/>
        <v>1</v>
      </c>
    </row>
    <row r="522" spans="1:14" x14ac:dyDescent="0.25">
      <c r="A522">
        <v>400578554</v>
      </c>
      <c r="B522">
        <v>2015</v>
      </c>
      <c r="C522" s="1">
        <v>41975</v>
      </c>
      <c r="D522" t="s">
        <v>36</v>
      </c>
      <c r="E522">
        <v>1</v>
      </c>
      <c r="F522">
        <v>15</v>
      </c>
      <c r="G522">
        <v>2</v>
      </c>
      <c r="H522">
        <v>1</v>
      </c>
      <c r="I522" t="s">
        <v>36</v>
      </c>
      <c r="J522">
        <v>98</v>
      </c>
      <c r="K522" t="s">
        <v>13</v>
      </c>
      <c r="L522">
        <v>97</v>
      </c>
      <c r="M522">
        <f>IF(D522=I522,VLOOKUP(D522,a_win_totals_lookup,MATCH(K522,a_wins_total_lookup_header,0)+1,0),VLOOKUP(D522,a_win_totals_lookup,MATCH(I522,a_wins_total_lookup_header,0)+1,0))</f>
        <v>0.72111517802286307</v>
      </c>
      <c r="N522">
        <f t="shared" ca="1" si="8"/>
        <v>0</v>
      </c>
    </row>
    <row r="523" spans="1:14" x14ac:dyDescent="0.25">
      <c r="A523">
        <v>400578554</v>
      </c>
      <c r="B523">
        <v>2015</v>
      </c>
      <c r="C523" s="1">
        <v>41975</v>
      </c>
      <c r="D523" t="s">
        <v>13</v>
      </c>
      <c r="E523">
        <v>0</v>
      </c>
      <c r="F523">
        <v>7</v>
      </c>
      <c r="G523">
        <v>13</v>
      </c>
      <c r="H523">
        <v>0</v>
      </c>
      <c r="I523" t="s">
        <v>36</v>
      </c>
      <c r="J523">
        <v>98</v>
      </c>
      <c r="K523" t="s">
        <v>13</v>
      </c>
      <c r="L523">
        <v>97</v>
      </c>
      <c r="M523">
        <f>IF(D523=I523,VLOOKUP(D523,a_win_totals_lookup,MATCH(K523,a_wins_total_lookup_header,0)+1,0),VLOOKUP(D523,a_win_totals_lookup,MATCH(I523,a_wins_total_lookup_header,0)+1,0))</f>
        <v>0.27888482197713693</v>
      </c>
      <c r="N523">
        <f t="shared" ca="1" si="8"/>
        <v>0</v>
      </c>
    </row>
    <row r="524" spans="1:14" x14ac:dyDescent="0.25">
      <c r="A524">
        <v>400578555</v>
      </c>
      <c r="B524">
        <v>2015</v>
      </c>
      <c r="C524" s="1">
        <v>41976</v>
      </c>
      <c r="D524" t="s">
        <v>18</v>
      </c>
      <c r="E524">
        <v>0</v>
      </c>
      <c r="F524">
        <v>4</v>
      </c>
      <c r="G524">
        <v>15</v>
      </c>
      <c r="H524">
        <v>1</v>
      </c>
      <c r="I524" t="s">
        <v>18</v>
      </c>
      <c r="J524">
        <v>95</v>
      </c>
      <c r="K524" t="s">
        <v>30</v>
      </c>
      <c r="L524">
        <v>102</v>
      </c>
      <c r="M524">
        <f>IF(D524=I524,VLOOKUP(D524,a_win_totals_lookup,MATCH(K524,a_wins_total_lookup_header,0)+1,0),VLOOKUP(D524,a_win_totals_lookup,MATCH(I524,a_wins_total_lookup_header,0)+1,0))</f>
        <v>0.41969870974133011</v>
      </c>
      <c r="N524">
        <f t="shared" ca="1" si="8"/>
        <v>0</v>
      </c>
    </row>
    <row r="525" spans="1:14" x14ac:dyDescent="0.25">
      <c r="A525">
        <v>400578555</v>
      </c>
      <c r="B525">
        <v>2015</v>
      </c>
      <c r="C525" s="1">
        <v>41976</v>
      </c>
      <c r="D525" t="s">
        <v>30</v>
      </c>
      <c r="E525">
        <v>1</v>
      </c>
      <c r="F525">
        <v>12</v>
      </c>
      <c r="G525">
        <v>7</v>
      </c>
      <c r="H525">
        <v>0</v>
      </c>
      <c r="I525" t="s">
        <v>18</v>
      </c>
      <c r="J525">
        <v>95</v>
      </c>
      <c r="K525" t="s">
        <v>30</v>
      </c>
      <c r="L525">
        <v>102</v>
      </c>
      <c r="M525">
        <f>IF(D525=I525,VLOOKUP(D525,a_win_totals_lookup,MATCH(K525,a_wins_total_lookup_header,0)+1,0),VLOOKUP(D525,a_win_totals_lookup,MATCH(I525,a_wins_total_lookup_header,0)+1,0))</f>
        <v>0.58030129025866994</v>
      </c>
      <c r="N525">
        <f t="shared" ca="1" si="8"/>
        <v>1</v>
      </c>
    </row>
    <row r="526" spans="1:14" x14ac:dyDescent="0.25">
      <c r="A526">
        <v>400578556</v>
      </c>
      <c r="B526">
        <v>2015</v>
      </c>
      <c r="C526" s="1">
        <v>41976</v>
      </c>
      <c r="D526" t="s">
        <v>17</v>
      </c>
      <c r="E526">
        <v>0</v>
      </c>
      <c r="F526">
        <v>5</v>
      </c>
      <c r="G526">
        <v>14</v>
      </c>
      <c r="H526">
        <v>0</v>
      </c>
      <c r="I526" t="s">
        <v>25</v>
      </c>
      <c r="J526">
        <v>111</v>
      </c>
      <c r="K526" t="s">
        <v>17</v>
      </c>
      <c r="L526">
        <v>95</v>
      </c>
      <c r="M526">
        <f>IF(D526=I526,VLOOKUP(D526,a_win_totals_lookup,MATCH(K526,a_wins_total_lookup_header,0)+1,0),VLOOKUP(D526,a_win_totals_lookup,MATCH(I526,a_wins_total_lookup_header,0)+1,0))</f>
        <v>0.34442822733494199</v>
      </c>
      <c r="N526">
        <f t="shared" ca="1" si="8"/>
        <v>1</v>
      </c>
    </row>
    <row r="527" spans="1:14" x14ac:dyDescent="0.25">
      <c r="A527">
        <v>400578556</v>
      </c>
      <c r="B527">
        <v>2015</v>
      </c>
      <c r="C527" s="1">
        <v>41976</v>
      </c>
      <c r="D527" t="s">
        <v>25</v>
      </c>
      <c r="E527">
        <v>1</v>
      </c>
      <c r="F527">
        <v>12</v>
      </c>
      <c r="G527">
        <v>5</v>
      </c>
      <c r="H527">
        <v>1</v>
      </c>
      <c r="I527" t="s">
        <v>25</v>
      </c>
      <c r="J527">
        <v>111</v>
      </c>
      <c r="K527" t="s">
        <v>17</v>
      </c>
      <c r="L527">
        <v>95</v>
      </c>
      <c r="M527">
        <f>IF(D527=I527,VLOOKUP(D527,a_win_totals_lookup,MATCH(K527,a_wins_total_lookup_header,0)+1,0),VLOOKUP(D527,a_win_totals_lookup,MATCH(I527,a_wins_total_lookup_header,0)+1,0))</f>
        <v>0.65557177266505795</v>
      </c>
      <c r="N527">
        <f t="shared" ca="1" si="8"/>
        <v>1</v>
      </c>
    </row>
    <row r="528" spans="1:14" x14ac:dyDescent="0.25">
      <c r="A528">
        <v>400578557</v>
      </c>
      <c r="B528">
        <v>2015</v>
      </c>
      <c r="C528" s="1">
        <v>41976</v>
      </c>
      <c r="D528" t="s">
        <v>22</v>
      </c>
      <c r="E528">
        <v>1</v>
      </c>
      <c r="F528">
        <v>5</v>
      </c>
      <c r="G528">
        <v>11</v>
      </c>
      <c r="H528">
        <v>1</v>
      </c>
      <c r="I528" t="s">
        <v>22</v>
      </c>
      <c r="J528">
        <v>109</v>
      </c>
      <c r="K528" t="s">
        <v>33</v>
      </c>
      <c r="L528">
        <v>102</v>
      </c>
      <c r="M528">
        <f>IF(D528=I528,VLOOKUP(D528,a_win_totals_lookup,MATCH(K528,a_wins_total_lookup_header,0)+1,0),VLOOKUP(D528,a_win_totals_lookup,MATCH(I528,a_wins_total_lookup_header,0)+1,0))</f>
        <v>0.37837844574949669</v>
      </c>
      <c r="N528">
        <f t="shared" ca="1" si="8"/>
        <v>0</v>
      </c>
    </row>
    <row r="529" spans="1:14" x14ac:dyDescent="0.25">
      <c r="A529">
        <v>400578557</v>
      </c>
      <c r="B529">
        <v>2015</v>
      </c>
      <c r="C529" s="1">
        <v>41976</v>
      </c>
      <c r="D529" t="s">
        <v>33</v>
      </c>
      <c r="E529">
        <v>0</v>
      </c>
      <c r="F529">
        <v>3</v>
      </c>
      <c r="G529">
        <v>16</v>
      </c>
      <c r="H529">
        <v>0</v>
      </c>
      <c r="I529" t="s">
        <v>22</v>
      </c>
      <c r="J529">
        <v>109</v>
      </c>
      <c r="K529" t="s">
        <v>33</v>
      </c>
      <c r="L529">
        <v>102</v>
      </c>
      <c r="M529">
        <f>IF(D529=I529,VLOOKUP(D529,a_win_totals_lookup,MATCH(K529,a_wins_total_lookup_header,0)+1,0),VLOOKUP(D529,a_win_totals_lookup,MATCH(I529,a_wins_total_lookup_header,0)+1,0))</f>
        <v>0.62162155425050336</v>
      </c>
      <c r="N529">
        <f t="shared" ca="1" si="8"/>
        <v>1</v>
      </c>
    </row>
    <row r="530" spans="1:14" x14ac:dyDescent="0.25">
      <c r="A530">
        <v>400578558</v>
      </c>
      <c r="B530">
        <v>2015</v>
      </c>
      <c r="C530" s="1">
        <v>41976</v>
      </c>
      <c r="D530" t="s">
        <v>23</v>
      </c>
      <c r="E530">
        <v>1</v>
      </c>
      <c r="F530">
        <v>8</v>
      </c>
      <c r="G530">
        <v>9</v>
      </c>
      <c r="H530">
        <v>1</v>
      </c>
      <c r="I530" t="s">
        <v>23</v>
      </c>
      <c r="J530">
        <v>95</v>
      </c>
      <c r="K530" t="s">
        <v>15</v>
      </c>
      <c r="L530">
        <v>93</v>
      </c>
      <c r="M530">
        <f>IF(D530=I530,VLOOKUP(D530,a_win_totals_lookup,MATCH(K530,a_wins_total_lookup_header,0)+1,0),VLOOKUP(D530,a_win_totals_lookup,MATCH(I530,a_wins_total_lookup_header,0)+1,0))</f>
        <v>0.36031197606974674</v>
      </c>
      <c r="N530">
        <f t="shared" ca="1" si="8"/>
        <v>0</v>
      </c>
    </row>
    <row r="531" spans="1:14" x14ac:dyDescent="0.25">
      <c r="A531">
        <v>400578558</v>
      </c>
      <c r="B531">
        <v>2015</v>
      </c>
      <c r="C531" s="1">
        <v>41976</v>
      </c>
      <c r="D531" t="s">
        <v>15</v>
      </c>
      <c r="E531">
        <v>0</v>
      </c>
      <c r="F531">
        <v>13</v>
      </c>
      <c r="G531">
        <v>5</v>
      </c>
      <c r="H531">
        <v>0</v>
      </c>
      <c r="I531" t="s">
        <v>23</v>
      </c>
      <c r="J531">
        <v>95</v>
      </c>
      <c r="K531" t="s">
        <v>15</v>
      </c>
      <c r="L531">
        <v>93</v>
      </c>
      <c r="M531">
        <f>IF(D531=I531,VLOOKUP(D531,a_win_totals_lookup,MATCH(K531,a_wins_total_lookup_header,0)+1,0),VLOOKUP(D531,a_win_totals_lookup,MATCH(I531,a_wins_total_lookup_header,0)+1,0))</f>
        <v>0.63968802393025326</v>
      </c>
      <c r="N531">
        <f t="shared" ca="1" si="8"/>
        <v>1</v>
      </c>
    </row>
    <row r="532" spans="1:14" x14ac:dyDescent="0.25">
      <c r="A532">
        <v>400578559</v>
      </c>
      <c r="B532">
        <v>2015</v>
      </c>
      <c r="C532" s="1">
        <v>41976</v>
      </c>
      <c r="D532" t="s">
        <v>26</v>
      </c>
      <c r="E532">
        <v>1</v>
      </c>
      <c r="F532">
        <v>11</v>
      </c>
      <c r="G532">
        <v>6</v>
      </c>
      <c r="H532">
        <v>0</v>
      </c>
      <c r="I532" t="s">
        <v>24</v>
      </c>
      <c r="J532">
        <v>102</v>
      </c>
      <c r="K532" t="s">
        <v>26</v>
      </c>
      <c r="L532">
        <v>112</v>
      </c>
      <c r="M532">
        <f>IF(D532=I532,VLOOKUP(D532,a_win_totals_lookup,MATCH(K532,a_wins_total_lookup_header,0)+1,0),VLOOKUP(D532,a_win_totals_lookup,MATCH(I532,a_wins_total_lookup_header,0)+1,0))</f>
        <v>0.48812658255436298</v>
      </c>
      <c r="N532">
        <f t="shared" ca="1" si="8"/>
        <v>1</v>
      </c>
    </row>
    <row r="533" spans="1:14" x14ac:dyDescent="0.25">
      <c r="A533">
        <v>400578559</v>
      </c>
      <c r="B533">
        <v>2015</v>
      </c>
      <c r="C533" s="1">
        <v>41976</v>
      </c>
      <c r="D533" t="s">
        <v>24</v>
      </c>
      <c r="E533">
        <v>0</v>
      </c>
      <c r="F533">
        <v>9</v>
      </c>
      <c r="G533">
        <v>9</v>
      </c>
      <c r="H533">
        <v>1</v>
      </c>
      <c r="I533" t="s">
        <v>24</v>
      </c>
      <c r="J533">
        <v>102</v>
      </c>
      <c r="K533" t="s">
        <v>26</v>
      </c>
      <c r="L533">
        <v>112</v>
      </c>
      <c r="M533">
        <f>IF(D533=I533,VLOOKUP(D533,a_win_totals_lookup,MATCH(K533,a_wins_total_lookup_header,0)+1,0),VLOOKUP(D533,a_win_totals_lookup,MATCH(I533,a_wins_total_lookup_header,0)+1,0))</f>
        <v>0.51187341744563697</v>
      </c>
      <c r="N533">
        <f t="shared" ca="1" si="8"/>
        <v>1</v>
      </c>
    </row>
    <row r="534" spans="1:14" x14ac:dyDescent="0.25">
      <c r="A534">
        <v>400578560</v>
      </c>
      <c r="B534">
        <v>2015</v>
      </c>
      <c r="C534" s="1">
        <v>41976</v>
      </c>
      <c r="D534" t="s">
        <v>16</v>
      </c>
      <c r="E534">
        <v>1</v>
      </c>
      <c r="F534">
        <v>14</v>
      </c>
      <c r="G534">
        <v>4</v>
      </c>
      <c r="H534">
        <v>1</v>
      </c>
      <c r="I534" t="s">
        <v>16</v>
      </c>
      <c r="J534">
        <v>105</v>
      </c>
      <c r="K534" t="s">
        <v>28</v>
      </c>
      <c r="L534">
        <v>96</v>
      </c>
      <c r="M534">
        <f>IF(D534=I534,VLOOKUP(D534,a_win_totals_lookup,MATCH(K534,a_wins_total_lookup_header,0)+1,0),VLOOKUP(D534,a_win_totals_lookup,MATCH(I534,a_wins_total_lookup_header,0)+1,0))</f>
        <v>0.48170976222854806</v>
      </c>
      <c r="N534">
        <f t="shared" ca="1" si="8"/>
        <v>1</v>
      </c>
    </row>
    <row r="535" spans="1:14" x14ac:dyDescent="0.25">
      <c r="A535">
        <v>400578560</v>
      </c>
      <c r="B535">
        <v>2015</v>
      </c>
      <c r="C535" s="1">
        <v>41976</v>
      </c>
      <c r="D535" t="s">
        <v>28</v>
      </c>
      <c r="E535">
        <v>0</v>
      </c>
      <c r="F535">
        <v>15</v>
      </c>
      <c r="G535">
        <v>3</v>
      </c>
      <c r="H535">
        <v>0</v>
      </c>
      <c r="I535" t="s">
        <v>16</v>
      </c>
      <c r="J535">
        <v>105</v>
      </c>
      <c r="K535" t="s">
        <v>28</v>
      </c>
      <c r="L535">
        <v>96</v>
      </c>
      <c r="M535">
        <f>IF(D535=I535,VLOOKUP(D535,a_win_totals_lookup,MATCH(K535,a_wins_total_lookup_header,0)+1,0),VLOOKUP(D535,a_win_totals_lookup,MATCH(I535,a_wins_total_lookup_header,0)+1,0))</f>
        <v>0.51829023777145189</v>
      </c>
      <c r="N535">
        <f t="shared" ca="1" si="8"/>
        <v>1</v>
      </c>
    </row>
    <row r="536" spans="1:14" x14ac:dyDescent="0.25">
      <c r="A536">
        <v>400578561</v>
      </c>
      <c r="B536">
        <v>2015</v>
      </c>
      <c r="C536" s="1">
        <v>41976</v>
      </c>
      <c r="D536" t="s">
        <v>14</v>
      </c>
      <c r="E536">
        <v>1</v>
      </c>
      <c r="F536">
        <v>15</v>
      </c>
      <c r="G536">
        <v>5</v>
      </c>
      <c r="H536">
        <v>0</v>
      </c>
      <c r="I536" t="s">
        <v>19</v>
      </c>
      <c r="J536">
        <v>105</v>
      </c>
      <c r="K536" t="s">
        <v>14</v>
      </c>
      <c r="L536">
        <v>107</v>
      </c>
      <c r="M536">
        <f>IF(D536=I536,VLOOKUP(D536,a_win_totals_lookup,MATCH(K536,a_wins_total_lookup_header,0)+1,0),VLOOKUP(D536,a_win_totals_lookup,MATCH(I536,a_wins_total_lookup_header,0)+1,0))</f>
        <v>0.74444769979948933</v>
      </c>
      <c r="N536">
        <f t="shared" ca="1" si="8"/>
        <v>0</v>
      </c>
    </row>
    <row r="537" spans="1:14" x14ac:dyDescent="0.25">
      <c r="A537">
        <v>400578561</v>
      </c>
      <c r="B537">
        <v>2015</v>
      </c>
      <c r="C537" s="1">
        <v>41976</v>
      </c>
      <c r="D537" t="s">
        <v>19</v>
      </c>
      <c r="E537">
        <v>0</v>
      </c>
      <c r="F537">
        <v>10</v>
      </c>
      <c r="G537">
        <v>10</v>
      </c>
      <c r="H537">
        <v>1</v>
      </c>
      <c r="I537" t="s">
        <v>19</v>
      </c>
      <c r="J537">
        <v>105</v>
      </c>
      <c r="K537" t="s">
        <v>14</v>
      </c>
      <c r="L537">
        <v>107</v>
      </c>
      <c r="M537">
        <f>IF(D537=I537,VLOOKUP(D537,a_win_totals_lookup,MATCH(K537,a_wins_total_lookup_header,0)+1,0),VLOOKUP(D537,a_win_totals_lookup,MATCH(I537,a_wins_total_lookup_header,0)+1,0))</f>
        <v>0.25555230020051067</v>
      </c>
      <c r="N537">
        <f t="shared" ca="1" si="8"/>
        <v>0</v>
      </c>
    </row>
    <row r="538" spans="1:14" x14ac:dyDescent="0.25">
      <c r="A538">
        <v>400578562</v>
      </c>
      <c r="B538">
        <v>2015</v>
      </c>
      <c r="C538" s="1">
        <v>41976</v>
      </c>
      <c r="D538" t="s">
        <v>29</v>
      </c>
      <c r="E538">
        <v>0</v>
      </c>
      <c r="F538">
        <v>4</v>
      </c>
      <c r="G538">
        <v>13</v>
      </c>
      <c r="H538">
        <v>1</v>
      </c>
      <c r="I538" t="s">
        <v>29</v>
      </c>
      <c r="J538">
        <v>77</v>
      </c>
      <c r="K538" t="s">
        <v>21</v>
      </c>
      <c r="L538">
        <v>85</v>
      </c>
      <c r="M538">
        <f>IF(D538=I538,VLOOKUP(D538,a_win_totals_lookup,MATCH(K538,a_wins_total_lookup_header,0)+1,0),VLOOKUP(D538,a_win_totals_lookup,MATCH(I538,a_wins_total_lookup_header,0)+1,0))</f>
        <v>0.53961526258126746</v>
      </c>
      <c r="N538">
        <f t="shared" ca="1" si="8"/>
        <v>0</v>
      </c>
    </row>
    <row r="539" spans="1:14" x14ac:dyDescent="0.25">
      <c r="A539">
        <v>400578562</v>
      </c>
      <c r="B539">
        <v>2015</v>
      </c>
      <c r="C539" s="1">
        <v>41976</v>
      </c>
      <c r="D539" t="s">
        <v>21</v>
      </c>
      <c r="E539">
        <v>1</v>
      </c>
      <c r="F539">
        <v>1</v>
      </c>
      <c r="G539">
        <v>17</v>
      </c>
      <c r="H539">
        <v>0</v>
      </c>
      <c r="I539" t="s">
        <v>29</v>
      </c>
      <c r="J539">
        <v>77</v>
      </c>
      <c r="K539" t="s">
        <v>21</v>
      </c>
      <c r="L539">
        <v>85</v>
      </c>
      <c r="M539">
        <f>IF(D539=I539,VLOOKUP(D539,a_win_totals_lookup,MATCH(K539,a_wins_total_lookup_header,0)+1,0),VLOOKUP(D539,a_win_totals_lookup,MATCH(I539,a_wins_total_lookup_header,0)+1,0))</f>
        <v>0.46038473741873248</v>
      </c>
      <c r="N539">
        <f t="shared" ca="1" si="8"/>
        <v>0</v>
      </c>
    </row>
    <row r="540" spans="1:14" x14ac:dyDescent="0.25">
      <c r="A540">
        <v>400578563</v>
      </c>
      <c r="B540">
        <v>2015</v>
      </c>
      <c r="C540" s="1">
        <v>41976</v>
      </c>
      <c r="D540" t="s">
        <v>27</v>
      </c>
      <c r="E540">
        <v>1</v>
      </c>
      <c r="F540">
        <v>15</v>
      </c>
      <c r="G540">
        <v>4</v>
      </c>
      <c r="H540">
        <v>0</v>
      </c>
      <c r="I540" t="s">
        <v>34</v>
      </c>
      <c r="J540">
        <v>104</v>
      </c>
      <c r="K540" t="s">
        <v>27</v>
      </c>
      <c r="L540">
        <v>123</v>
      </c>
      <c r="M540">
        <f>IF(D540=I540,VLOOKUP(D540,a_win_totals_lookup,MATCH(K540,a_wins_total_lookup_header,0)+1,0),VLOOKUP(D540,a_win_totals_lookup,MATCH(I540,a_wins_total_lookup_header,0)+1,0))</f>
        <v>0.71526442122822687</v>
      </c>
      <c r="N540">
        <f t="shared" ca="1" si="8"/>
        <v>0</v>
      </c>
    </row>
    <row r="541" spans="1:14" x14ac:dyDescent="0.25">
      <c r="A541">
        <v>400578563</v>
      </c>
      <c r="B541">
        <v>2015</v>
      </c>
      <c r="C541" s="1">
        <v>41976</v>
      </c>
      <c r="D541" t="s">
        <v>34</v>
      </c>
      <c r="E541">
        <v>0</v>
      </c>
      <c r="F541">
        <v>5</v>
      </c>
      <c r="G541">
        <v>14</v>
      </c>
      <c r="H541">
        <v>1</v>
      </c>
      <c r="I541" t="s">
        <v>34</v>
      </c>
      <c r="J541">
        <v>104</v>
      </c>
      <c r="K541" t="s">
        <v>27</v>
      </c>
      <c r="L541">
        <v>123</v>
      </c>
      <c r="M541">
        <f>IF(D541=I541,VLOOKUP(D541,a_win_totals_lookup,MATCH(K541,a_wins_total_lookup_header,0)+1,0),VLOOKUP(D541,a_win_totals_lookup,MATCH(I541,a_wins_total_lookup_header,0)+1,0))</f>
        <v>0.28473557877177313</v>
      </c>
      <c r="N541">
        <f t="shared" ca="1" si="8"/>
        <v>0</v>
      </c>
    </row>
    <row r="542" spans="1:14" x14ac:dyDescent="0.25">
      <c r="A542">
        <v>400578564</v>
      </c>
      <c r="B542">
        <v>2015</v>
      </c>
      <c r="C542" s="1">
        <v>41976</v>
      </c>
      <c r="D542" t="s">
        <v>41</v>
      </c>
      <c r="E542">
        <v>1</v>
      </c>
      <c r="F542">
        <v>13</v>
      </c>
      <c r="G542">
        <v>5</v>
      </c>
      <c r="H542">
        <v>1</v>
      </c>
      <c r="I542" t="s">
        <v>41</v>
      </c>
      <c r="J542">
        <v>114</v>
      </c>
      <c r="K542" t="s">
        <v>13</v>
      </c>
      <c r="L542">
        <v>86</v>
      </c>
      <c r="M542">
        <f>IF(D542=I542,VLOOKUP(D542,a_win_totals_lookup,MATCH(K542,a_wins_total_lookup_header,0)+1,0),VLOOKUP(D542,a_win_totals_lookup,MATCH(I542,a_wins_total_lookup_header,0)+1,0))</f>
        <v>0.74387996100574205</v>
      </c>
      <c r="N542">
        <f t="shared" ca="1" si="8"/>
        <v>1</v>
      </c>
    </row>
    <row r="543" spans="1:14" x14ac:dyDescent="0.25">
      <c r="A543">
        <v>400578564</v>
      </c>
      <c r="B543">
        <v>2015</v>
      </c>
      <c r="C543" s="1">
        <v>41976</v>
      </c>
      <c r="D543" t="s">
        <v>13</v>
      </c>
      <c r="E543">
        <v>0</v>
      </c>
      <c r="F543">
        <v>7</v>
      </c>
      <c r="G543">
        <v>14</v>
      </c>
      <c r="H543">
        <v>0</v>
      </c>
      <c r="I543" t="s">
        <v>41</v>
      </c>
      <c r="J543">
        <v>114</v>
      </c>
      <c r="K543" t="s">
        <v>13</v>
      </c>
      <c r="L543">
        <v>86</v>
      </c>
      <c r="M543">
        <f>IF(D543=I543,VLOOKUP(D543,a_win_totals_lookup,MATCH(K543,a_wins_total_lookup_header,0)+1,0),VLOOKUP(D543,a_win_totals_lookup,MATCH(I543,a_wins_total_lookup_header,0)+1,0))</f>
        <v>0.25612003899425795</v>
      </c>
      <c r="N543">
        <f t="shared" ca="1" si="8"/>
        <v>1</v>
      </c>
    </row>
    <row r="544" spans="1:14" x14ac:dyDescent="0.25">
      <c r="A544">
        <v>400578565</v>
      </c>
      <c r="B544">
        <v>2015</v>
      </c>
      <c r="C544" s="1">
        <v>41977</v>
      </c>
      <c r="D544" t="s">
        <v>40</v>
      </c>
      <c r="E544">
        <v>1</v>
      </c>
      <c r="F544">
        <v>10</v>
      </c>
      <c r="G544">
        <v>7</v>
      </c>
      <c r="H544">
        <v>0</v>
      </c>
      <c r="I544" t="s">
        <v>31</v>
      </c>
      <c r="J544">
        <v>87</v>
      </c>
      <c r="K544" t="s">
        <v>40</v>
      </c>
      <c r="L544">
        <v>90</v>
      </c>
      <c r="M544">
        <f>IF(D544=I544,VLOOKUP(D544,a_win_totals_lookup,MATCH(K544,a_wins_total_lookup_header,0)+1,0),VLOOKUP(D544,a_win_totals_lookup,MATCH(I544,a_wins_total_lookup_header,0)+1,0))</f>
        <v>0.64912982573812106</v>
      </c>
      <c r="N544">
        <f t="shared" ca="1" si="8"/>
        <v>1</v>
      </c>
    </row>
    <row r="545" spans="1:14" x14ac:dyDescent="0.25">
      <c r="A545">
        <v>400578565</v>
      </c>
      <c r="B545">
        <v>2015</v>
      </c>
      <c r="C545" s="1">
        <v>41977</v>
      </c>
      <c r="D545" t="s">
        <v>31</v>
      </c>
      <c r="E545">
        <v>0</v>
      </c>
      <c r="F545">
        <v>4</v>
      </c>
      <c r="G545">
        <v>16</v>
      </c>
      <c r="H545">
        <v>1</v>
      </c>
      <c r="I545" t="s">
        <v>31</v>
      </c>
      <c r="J545">
        <v>87</v>
      </c>
      <c r="K545" t="s">
        <v>40</v>
      </c>
      <c r="L545">
        <v>90</v>
      </c>
      <c r="M545">
        <f>IF(D545=I545,VLOOKUP(D545,a_win_totals_lookup,MATCH(K545,a_wins_total_lookup_header,0)+1,0),VLOOKUP(D545,a_win_totals_lookup,MATCH(I545,a_wins_total_lookup_header,0)+1,0))</f>
        <v>0.35087017426187905</v>
      </c>
      <c r="N545">
        <f t="shared" ca="1" si="8"/>
        <v>1</v>
      </c>
    </row>
    <row r="546" spans="1:14" x14ac:dyDescent="0.25">
      <c r="A546">
        <v>400578566</v>
      </c>
      <c r="B546">
        <v>2015</v>
      </c>
      <c r="C546" s="1">
        <v>41977</v>
      </c>
      <c r="D546" t="s">
        <v>20</v>
      </c>
      <c r="E546">
        <v>0</v>
      </c>
      <c r="F546">
        <v>7</v>
      </c>
      <c r="G546">
        <v>12</v>
      </c>
      <c r="H546">
        <v>0</v>
      </c>
      <c r="I546" t="s">
        <v>39</v>
      </c>
      <c r="J546">
        <v>88</v>
      </c>
      <c r="K546" t="s">
        <v>20</v>
      </c>
      <c r="L546">
        <v>82</v>
      </c>
      <c r="M546">
        <f>IF(D546=I546,VLOOKUP(D546,a_win_totals_lookup,MATCH(K546,a_wins_total_lookup_header,0)+1,0),VLOOKUP(D546,a_win_totals_lookup,MATCH(I546,a_wins_total_lookup_header,0)+1,0))</f>
        <v>0.35101905311773113</v>
      </c>
      <c r="N546">
        <f t="shared" ca="1" si="8"/>
        <v>1</v>
      </c>
    </row>
    <row r="547" spans="1:14" x14ac:dyDescent="0.25">
      <c r="A547">
        <v>400578566</v>
      </c>
      <c r="B547">
        <v>2015</v>
      </c>
      <c r="C547" s="1">
        <v>41977</v>
      </c>
      <c r="D547" t="s">
        <v>39</v>
      </c>
      <c r="E547">
        <v>1</v>
      </c>
      <c r="F547">
        <v>15</v>
      </c>
      <c r="G547">
        <v>4</v>
      </c>
      <c r="H547">
        <v>1</v>
      </c>
      <c r="I547" t="s">
        <v>39</v>
      </c>
      <c r="J547">
        <v>88</v>
      </c>
      <c r="K547" t="s">
        <v>20</v>
      </c>
      <c r="L547">
        <v>82</v>
      </c>
      <c r="M547">
        <f>IF(D547=I547,VLOOKUP(D547,a_win_totals_lookup,MATCH(K547,a_wins_total_lookup_header,0)+1,0),VLOOKUP(D547,a_win_totals_lookup,MATCH(I547,a_wins_total_lookup_header,0)+1,0))</f>
        <v>0.64898094688226893</v>
      </c>
      <c r="N547">
        <f t="shared" ca="1" si="8"/>
        <v>1</v>
      </c>
    </row>
    <row r="548" spans="1:14" x14ac:dyDescent="0.25">
      <c r="A548">
        <v>400578567</v>
      </c>
      <c r="B548">
        <v>2015</v>
      </c>
      <c r="C548" s="1">
        <v>41977</v>
      </c>
      <c r="D548" t="s">
        <v>36</v>
      </c>
      <c r="E548">
        <v>1</v>
      </c>
      <c r="F548">
        <v>16</v>
      </c>
      <c r="G548">
        <v>2</v>
      </c>
      <c r="H548">
        <v>1</v>
      </c>
      <c r="I548" t="s">
        <v>36</v>
      </c>
      <c r="J548">
        <v>112</v>
      </c>
      <c r="K548" t="s">
        <v>12</v>
      </c>
      <c r="L548">
        <v>85</v>
      </c>
      <c r="M548">
        <f>IF(D548=I548,VLOOKUP(D548,a_win_totals_lookup,MATCH(K548,a_wins_total_lookup_header,0)+1,0),VLOOKUP(D548,a_win_totals_lookup,MATCH(I548,a_wins_total_lookup_header,0)+1,0))</f>
        <v>0.60921188943915972</v>
      </c>
      <c r="N548">
        <f t="shared" ca="1" si="8"/>
        <v>1</v>
      </c>
    </row>
    <row r="549" spans="1:14" x14ac:dyDescent="0.25">
      <c r="A549">
        <v>400578567</v>
      </c>
      <c r="B549">
        <v>2015</v>
      </c>
      <c r="C549" s="1">
        <v>41977</v>
      </c>
      <c r="D549" t="s">
        <v>12</v>
      </c>
      <c r="E549">
        <v>0</v>
      </c>
      <c r="F549">
        <v>8</v>
      </c>
      <c r="G549">
        <v>9</v>
      </c>
      <c r="H549">
        <v>0</v>
      </c>
      <c r="I549" t="s">
        <v>36</v>
      </c>
      <c r="J549">
        <v>112</v>
      </c>
      <c r="K549" t="s">
        <v>12</v>
      </c>
      <c r="L549">
        <v>85</v>
      </c>
      <c r="M549">
        <f>IF(D549=I549,VLOOKUP(D549,a_win_totals_lookup,MATCH(K549,a_wins_total_lookup_header,0)+1,0),VLOOKUP(D549,a_win_totals_lookup,MATCH(I549,a_wins_total_lookup_header,0)+1,0))</f>
        <v>0.39078811056084028</v>
      </c>
      <c r="N549">
        <f t="shared" ca="1" si="8"/>
        <v>0</v>
      </c>
    </row>
    <row r="550" spans="1:14" x14ac:dyDescent="0.25">
      <c r="A550">
        <v>400578568</v>
      </c>
      <c r="B550">
        <v>2015</v>
      </c>
      <c r="C550" s="1">
        <v>41978</v>
      </c>
      <c r="D550" t="s">
        <v>18</v>
      </c>
      <c r="E550">
        <v>1</v>
      </c>
      <c r="F550">
        <v>5</v>
      </c>
      <c r="G550">
        <v>15</v>
      </c>
      <c r="H550">
        <v>1</v>
      </c>
      <c r="I550" t="s">
        <v>18</v>
      </c>
      <c r="J550">
        <v>103</v>
      </c>
      <c r="K550" t="s">
        <v>31</v>
      </c>
      <c r="L550">
        <v>102</v>
      </c>
      <c r="M550">
        <f>IF(D550=I550,VLOOKUP(D550,a_win_totals_lookup,MATCH(K550,a_wins_total_lookup_header,0)+1,0),VLOOKUP(D550,a_win_totals_lookup,MATCH(I550,a_wins_total_lookup_header,0)+1,0))</f>
        <v>0.56217650088579807</v>
      </c>
      <c r="N550">
        <f t="shared" ca="1" si="8"/>
        <v>1</v>
      </c>
    </row>
    <row r="551" spans="1:14" x14ac:dyDescent="0.25">
      <c r="A551">
        <v>400578568</v>
      </c>
      <c r="B551">
        <v>2015</v>
      </c>
      <c r="C551" s="1">
        <v>41978</v>
      </c>
      <c r="D551" t="s">
        <v>31</v>
      </c>
      <c r="E551">
        <v>0</v>
      </c>
      <c r="F551">
        <v>4</v>
      </c>
      <c r="G551">
        <v>17</v>
      </c>
      <c r="H551">
        <v>0</v>
      </c>
      <c r="I551" t="s">
        <v>18</v>
      </c>
      <c r="J551">
        <v>103</v>
      </c>
      <c r="K551" t="s">
        <v>31</v>
      </c>
      <c r="L551">
        <v>102</v>
      </c>
      <c r="M551">
        <f>IF(D551=I551,VLOOKUP(D551,a_win_totals_lookup,MATCH(K551,a_wins_total_lookup_header,0)+1,0),VLOOKUP(D551,a_win_totals_lookup,MATCH(I551,a_wins_total_lookup_header,0)+1,0))</f>
        <v>0.43782349911420193</v>
      </c>
      <c r="N551">
        <f t="shared" ca="1" si="8"/>
        <v>0</v>
      </c>
    </row>
    <row r="552" spans="1:14" x14ac:dyDescent="0.25">
      <c r="A552">
        <v>400578569</v>
      </c>
      <c r="B552">
        <v>2015</v>
      </c>
      <c r="C552" s="1">
        <v>41978</v>
      </c>
      <c r="D552" t="s">
        <v>38</v>
      </c>
      <c r="E552">
        <v>1</v>
      </c>
      <c r="F552">
        <v>6</v>
      </c>
      <c r="G552">
        <v>13</v>
      </c>
      <c r="H552">
        <v>0</v>
      </c>
      <c r="I552" t="s">
        <v>21</v>
      </c>
      <c r="J552">
        <v>91</v>
      </c>
      <c r="K552" t="s">
        <v>38</v>
      </c>
      <c r="L552">
        <v>103</v>
      </c>
      <c r="M552">
        <f>IF(D552=I552,VLOOKUP(D552,a_win_totals_lookup,MATCH(K552,a_wins_total_lookup_header,0)+1,0),VLOOKUP(D552,a_win_totals_lookup,MATCH(I552,a_wins_total_lookup_header,0)+1,0))</f>
        <v>0.79586767272311343</v>
      </c>
      <c r="N552">
        <f t="shared" ca="1" si="8"/>
        <v>0</v>
      </c>
    </row>
    <row r="553" spans="1:14" x14ac:dyDescent="0.25">
      <c r="A553">
        <v>400578569</v>
      </c>
      <c r="B553">
        <v>2015</v>
      </c>
      <c r="C553" s="1">
        <v>41978</v>
      </c>
      <c r="D553" t="s">
        <v>21</v>
      </c>
      <c r="E553">
        <v>0</v>
      </c>
      <c r="F553">
        <v>1</v>
      </c>
      <c r="G553">
        <v>18</v>
      </c>
      <c r="H553">
        <v>1</v>
      </c>
      <c r="I553" t="s">
        <v>21</v>
      </c>
      <c r="J553">
        <v>91</v>
      </c>
      <c r="K553" t="s">
        <v>38</v>
      </c>
      <c r="L553">
        <v>103</v>
      </c>
      <c r="M553">
        <f>IF(D553=I553,VLOOKUP(D553,a_win_totals_lookup,MATCH(K553,a_wins_total_lookup_header,0)+1,0),VLOOKUP(D553,a_win_totals_lookup,MATCH(I553,a_wins_total_lookup_header,0)+1,0))</f>
        <v>0.20413232727688654</v>
      </c>
      <c r="N553">
        <f t="shared" ca="1" si="8"/>
        <v>0</v>
      </c>
    </row>
    <row r="554" spans="1:14" x14ac:dyDescent="0.25">
      <c r="A554">
        <v>400578570</v>
      </c>
      <c r="B554">
        <v>2015</v>
      </c>
      <c r="C554" s="1">
        <v>41978</v>
      </c>
      <c r="D554" t="s">
        <v>32</v>
      </c>
      <c r="E554">
        <v>0</v>
      </c>
      <c r="F554">
        <v>9</v>
      </c>
      <c r="G554">
        <v>10</v>
      </c>
      <c r="H554">
        <v>0</v>
      </c>
      <c r="I554" t="s">
        <v>25</v>
      </c>
      <c r="J554">
        <v>119</v>
      </c>
      <c r="K554" t="s">
        <v>32</v>
      </c>
      <c r="L554">
        <v>89</v>
      </c>
      <c r="M554">
        <f>IF(D554=I554,VLOOKUP(D554,a_win_totals_lookup,MATCH(K554,a_wins_total_lookup_header,0)+1,0),VLOOKUP(D554,a_win_totals_lookup,MATCH(I554,a_wins_total_lookup_header,0)+1,0))</f>
        <v>0.41758613378174975</v>
      </c>
      <c r="N554">
        <f t="shared" ca="1" si="8"/>
        <v>0</v>
      </c>
    </row>
    <row r="555" spans="1:14" x14ac:dyDescent="0.25">
      <c r="A555">
        <v>400578570</v>
      </c>
      <c r="B555">
        <v>2015</v>
      </c>
      <c r="C555" s="1">
        <v>41978</v>
      </c>
      <c r="D555" t="s">
        <v>25</v>
      </c>
      <c r="E555">
        <v>1</v>
      </c>
      <c r="F555">
        <v>13</v>
      </c>
      <c r="G555">
        <v>5</v>
      </c>
      <c r="H555">
        <v>1</v>
      </c>
      <c r="I555" t="s">
        <v>25</v>
      </c>
      <c r="J555">
        <v>119</v>
      </c>
      <c r="K555" t="s">
        <v>32</v>
      </c>
      <c r="L555">
        <v>89</v>
      </c>
      <c r="M555">
        <f>IF(D555=I555,VLOOKUP(D555,a_win_totals_lookup,MATCH(K555,a_wins_total_lookup_header,0)+1,0),VLOOKUP(D555,a_win_totals_lookup,MATCH(I555,a_wins_total_lookup_header,0)+1,0))</f>
        <v>0.5824138662182502</v>
      </c>
      <c r="N555">
        <f t="shared" ca="1" si="8"/>
        <v>1</v>
      </c>
    </row>
    <row r="556" spans="1:14" x14ac:dyDescent="0.25">
      <c r="A556">
        <v>400578571</v>
      </c>
      <c r="B556">
        <v>2015</v>
      </c>
      <c r="C556" s="1">
        <v>41978</v>
      </c>
      <c r="D556" t="s">
        <v>22</v>
      </c>
      <c r="E556">
        <v>1</v>
      </c>
      <c r="F556">
        <v>6</v>
      </c>
      <c r="G556">
        <v>11</v>
      </c>
      <c r="H556">
        <v>1</v>
      </c>
      <c r="I556" t="s">
        <v>22</v>
      </c>
      <c r="J556">
        <v>113</v>
      </c>
      <c r="K556" t="s">
        <v>17</v>
      </c>
      <c r="L556">
        <v>96</v>
      </c>
      <c r="M556">
        <f>IF(D556=I556,VLOOKUP(D556,a_win_totals_lookup,MATCH(K556,a_wins_total_lookup_header,0)+1,0),VLOOKUP(D556,a_win_totals_lookup,MATCH(I556,a_wins_total_lookup_header,0)+1,0))</f>
        <v>0.40973570236484297</v>
      </c>
      <c r="N556">
        <f t="shared" ca="1" si="8"/>
        <v>0</v>
      </c>
    </row>
    <row r="557" spans="1:14" x14ac:dyDescent="0.25">
      <c r="A557">
        <v>400578571</v>
      </c>
      <c r="B557">
        <v>2015</v>
      </c>
      <c r="C557" s="1">
        <v>41978</v>
      </c>
      <c r="D557" t="s">
        <v>17</v>
      </c>
      <c r="E557">
        <v>0</v>
      </c>
      <c r="F557">
        <v>5</v>
      </c>
      <c r="G557">
        <v>15</v>
      </c>
      <c r="H557">
        <v>0</v>
      </c>
      <c r="I557" t="s">
        <v>22</v>
      </c>
      <c r="J557">
        <v>113</v>
      </c>
      <c r="K557" t="s">
        <v>17</v>
      </c>
      <c r="L557">
        <v>96</v>
      </c>
      <c r="M557">
        <f>IF(D557=I557,VLOOKUP(D557,a_win_totals_lookup,MATCH(K557,a_wins_total_lookup_header,0)+1,0),VLOOKUP(D557,a_win_totals_lookup,MATCH(I557,a_wins_total_lookup_header,0)+1,0))</f>
        <v>0.59026429763515698</v>
      </c>
      <c r="N557">
        <f t="shared" ca="1" si="8"/>
        <v>1</v>
      </c>
    </row>
    <row r="558" spans="1:14" x14ac:dyDescent="0.25">
      <c r="A558">
        <v>400578572</v>
      </c>
      <c r="B558">
        <v>2015</v>
      </c>
      <c r="C558" s="1">
        <v>41978</v>
      </c>
      <c r="D558" t="s">
        <v>26</v>
      </c>
      <c r="E558">
        <v>1</v>
      </c>
      <c r="F558">
        <v>12</v>
      </c>
      <c r="G558">
        <v>6</v>
      </c>
      <c r="H558">
        <v>0</v>
      </c>
      <c r="I558" t="s">
        <v>23</v>
      </c>
      <c r="J558">
        <v>75</v>
      </c>
      <c r="K558" t="s">
        <v>26</v>
      </c>
      <c r="L558">
        <v>98</v>
      </c>
      <c r="M558">
        <f>IF(D558=I558,VLOOKUP(D558,a_win_totals_lookup,MATCH(K558,a_wins_total_lookup_header,0)+1,0),VLOOKUP(D558,a_win_totals_lookup,MATCH(I558,a_wins_total_lookup_header,0)+1,0))</f>
        <v>0.53928878009305825</v>
      </c>
      <c r="N558">
        <f t="shared" ca="1" si="8"/>
        <v>0</v>
      </c>
    </row>
    <row r="559" spans="1:14" x14ac:dyDescent="0.25">
      <c r="A559">
        <v>400578572</v>
      </c>
      <c r="B559">
        <v>2015</v>
      </c>
      <c r="C559" s="1">
        <v>41978</v>
      </c>
      <c r="D559" t="s">
        <v>23</v>
      </c>
      <c r="E559">
        <v>0</v>
      </c>
      <c r="F559">
        <v>8</v>
      </c>
      <c r="G559">
        <v>10</v>
      </c>
      <c r="H559">
        <v>1</v>
      </c>
      <c r="I559" t="s">
        <v>23</v>
      </c>
      <c r="J559">
        <v>75</v>
      </c>
      <c r="K559" t="s">
        <v>26</v>
      </c>
      <c r="L559">
        <v>98</v>
      </c>
      <c r="M559">
        <f>IF(D559=I559,VLOOKUP(D559,a_win_totals_lookup,MATCH(K559,a_wins_total_lookup_header,0)+1,0),VLOOKUP(D559,a_win_totals_lookup,MATCH(I559,a_wins_total_lookup_header,0)+1,0))</f>
        <v>0.46071121990694175</v>
      </c>
      <c r="N559">
        <f t="shared" ca="1" si="8"/>
        <v>0</v>
      </c>
    </row>
    <row r="560" spans="1:14" x14ac:dyDescent="0.25">
      <c r="A560">
        <v>400578573</v>
      </c>
      <c r="B560">
        <v>2015</v>
      </c>
      <c r="C560" s="1">
        <v>41978</v>
      </c>
      <c r="D560" t="s">
        <v>40</v>
      </c>
      <c r="E560">
        <v>1</v>
      </c>
      <c r="F560">
        <v>11</v>
      </c>
      <c r="G560">
        <v>7</v>
      </c>
      <c r="H560">
        <v>0</v>
      </c>
      <c r="I560" t="s">
        <v>27</v>
      </c>
      <c r="J560">
        <v>91</v>
      </c>
      <c r="K560" t="s">
        <v>40</v>
      </c>
      <c r="L560">
        <v>105</v>
      </c>
      <c r="M560">
        <f>IF(D560=I560,VLOOKUP(D560,a_win_totals_lookup,MATCH(K560,a_wins_total_lookup_header,0)+1,0),VLOOKUP(D560,a_win_totals_lookup,MATCH(I560,a_wins_total_lookup_header,0)+1,0))</f>
        <v>0.53622195991228083</v>
      </c>
      <c r="N560">
        <f t="shared" ca="1" si="8"/>
        <v>1</v>
      </c>
    </row>
    <row r="561" spans="1:14" x14ac:dyDescent="0.25">
      <c r="A561">
        <v>400578573</v>
      </c>
      <c r="B561">
        <v>2015</v>
      </c>
      <c r="C561" s="1">
        <v>41978</v>
      </c>
      <c r="D561" t="s">
        <v>27</v>
      </c>
      <c r="E561">
        <v>0</v>
      </c>
      <c r="F561">
        <v>15</v>
      </c>
      <c r="G561">
        <v>5</v>
      </c>
      <c r="H561">
        <v>1</v>
      </c>
      <c r="I561" t="s">
        <v>27</v>
      </c>
      <c r="J561">
        <v>91</v>
      </c>
      <c r="K561" t="s">
        <v>40</v>
      </c>
      <c r="L561">
        <v>105</v>
      </c>
      <c r="M561">
        <f>IF(D561=I561,VLOOKUP(D561,a_win_totals_lookup,MATCH(K561,a_wins_total_lookup_header,0)+1,0),VLOOKUP(D561,a_win_totals_lookup,MATCH(I561,a_wins_total_lookup_header,0)+1,0))</f>
        <v>0.46377804008771911</v>
      </c>
      <c r="N561">
        <f t="shared" ca="1" si="8"/>
        <v>0</v>
      </c>
    </row>
    <row r="562" spans="1:14" x14ac:dyDescent="0.25">
      <c r="A562">
        <v>400578574</v>
      </c>
      <c r="B562">
        <v>2015</v>
      </c>
      <c r="C562" s="1">
        <v>41978</v>
      </c>
      <c r="D562" t="s">
        <v>28</v>
      </c>
      <c r="E562">
        <v>0</v>
      </c>
      <c r="F562">
        <v>15</v>
      </c>
      <c r="G562">
        <v>4</v>
      </c>
      <c r="H562">
        <v>1</v>
      </c>
      <c r="I562" t="s">
        <v>28</v>
      </c>
      <c r="J562">
        <v>101</v>
      </c>
      <c r="K562" t="s">
        <v>15</v>
      </c>
      <c r="L562">
        <v>107</v>
      </c>
      <c r="M562">
        <f>IF(D562=I562,VLOOKUP(D562,a_win_totals_lookup,MATCH(K562,a_wins_total_lookup_header,0)+1,0),VLOOKUP(D562,a_win_totals_lookup,MATCH(I562,a_wins_total_lookup_header,0)+1,0))</f>
        <v>0.45806716423177474</v>
      </c>
      <c r="N562">
        <f t="shared" ca="1" si="8"/>
        <v>0</v>
      </c>
    </row>
    <row r="563" spans="1:14" x14ac:dyDescent="0.25">
      <c r="A563">
        <v>400578574</v>
      </c>
      <c r="B563">
        <v>2015</v>
      </c>
      <c r="C563" s="1">
        <v>41978</v>
      </c>
      <c r="D563" t="s">
        <v>15</v>
      </c>
      <c r="E563">
        <v>1</v>
      </c>
      <c r="F563">
        <v>14</v>
      </c>
      <c r="G563">
        <v>5</v>
      </c>
      <c r="H563">
        <v>0</v>
      </c>
      <c r="I563" t="s">
        <v>28</v>
      </c>
      <c r="J563">
        <v>101</v>
      </c>
      <c r="K563" t="s">
        <v>15</v>
      </c>
      <c r="L563">
        <v>107</v>
      </c>
      <c r="M563">
        <f>IF(D563=I563,VLOOKUP(D563,a_win_totals_lookup,MATCH(K563,a_wins_total_lookup_header,0)+1,0),VLOOKUP(D563,a_win_totals_lookup,MATCH(I563,a_wins_total_lookup_header,0)+1,0))</f>
        <v>0.54193283576822526</v>
      </c>
      <c r="N563">
        <f t="shared" ca="1" si="8"/>
        <v>0</v>
      </c>
    </row>
    <row r="564" spans="1:14" x14ac:dyDescent="0.25">
      <c r="A564">
        <v>400578575</v>
      </c>
      <c r="B564">
        <v>2015</v>
      </c>
      <c r="C564" s="1">
        <v>41978</v>
      </c>
      <c r="D564" t="s">
        <v>16</v>
      </c>
      <c r="E564">
        <v>1</v>
      </c>
      <c r="F564">
        <v>15</v>
      </c>
      <c r="G564">
        <v>4</v>
      </c>
      <c r="H564">
        <v>0</v>
      </c>
      <c r="I564" t="s">
        <v>29</v>
      </c>
      <c r="J564">
        <v>112</v>
      </c>
      <c r="K564" t="s">
        <v>16</v>
      </c>
      <c r="L564">
        <v>114</v>
      </c>
      <c r="M564">
        <f>IF(D564=I564,VLOOKUP(D564,a_win_totals_lookup,MATCH(K564,a_wins_total_lookup_header,0)+1,0),VLOOKUP(D564,a_win_totals_lookup,MATCH(I564,a_wins_total_lookup_header,0)+1,0))</f>
        <v>0.73276177017311905</v>
      </c>
      <c r="N564">
        <f t="shared" ca="1" si="8"/>
        <v>1</v>
      </c>
    </row>
    <row r="565" spans="1:14" x14ac:dyDescent="0.25">
      <c r="A565">
        <v>400578575</v>
      </c>
      <c r="B565">
        <v>2015</v>
      </c>
      <c r="C565" s="1">
        <v>41978</v>
      </c>
      <c r="D565" t="s">
        <v>29</v>
      </c>
      <c r="E565">
        <v>0</v>
      </c>
      <c r="F565">
        <v>4</v>
      </c>
      <c r="G565">
        <v>14</v>
      </c>
      <c r="H565">
        <v>1</v>
      </c>
      <c r="I565" t="s">
        <v>29</v>
      </c>
      <c r="J565">
        <v>112</v>
      </c>
      <c r="K565" t="s">
        <v>16</v>
      </c>
      <c r="L565">
        <v>114</v>
      </c>
      <c r="M565">
        <f>IF(D565=I565,VLOOKUP(D565,a_win_totals_lookup,MATCH(K565,a_wins_total_lookup_header,0)+1,0),VLOOKUP(D565,a_win_totals_lookup,MATCH(I565,a_wins_total_lookup_header,0)+1,0))</f>
        <v>0.267238229826881</v>
      </c>
      <c r="N565">
        <f t="shared" ca="1" si="8"/>
        <v>0</v>
      </c>
    </row>
    <row r="566" spans="1:14" x14ac:dyDescent="0.25">
      <c r="A566">
        <v>400578576</v>
      </c>
      <c r="B566">
        <v>2015</v>
      </c>
      <c r="C566" s="1">
        <v>41978</v>
      </c>
      <c r="D566" t="s">
        <v>14</v>
      </c>
      <c r="E566">
        <v>0</v>
      </c>
      <c r="F566">
        <v>15</v>
      </c>
      <c r="G566">
        <v>6</v>
      </c>
      <c r="H566">
        <v>1</v>
      </c>
      <c r="I566" t="s">
        <v>14</v>
      </c>
      <c r="J566">
        <v>106</v>
      </c>
      <c r="K566" t="s">
        <v>35</v>
      </c>
      <c r="L566">
        <v>118</v>
      </c>
      <c r="M566">
        <f>IF(D566=I566,VLOOKUP(D566,a_win_totals_lookup,MATCH(K566,a_wins_total_lookup_header,0)+1,0),VLOOKUP(D566,a_win_totals_lookup,MATCH(I566,a_wins_total_lookup_header,0)+1,0))</f>
        <v>0.57751844190882151</v>
      </c>
      <c r="N566">
        <f t="shared" ca="1" si="8"/>
        <v>1</v>
      </c>
    </row>
    <row r="567" spans="1:14" x14ac:dyDescent="0.25">
      <c r="A567">
        <v>400578576</v>
      </c>
      <c r="B567">
        <v>2015</v>
      </c>
      <c r="C567" s="1">
        <v>41978</v>
      </c>
      <c r="D567" t="s">
        <v>35</v>
      </c>
      <c r="E567">
        <v>1</v>
      </c>
      <c r="F567">
        <v>12</v>
      </c>
      <c r="G567">
        <v>8</v>
      </c>
      <c r="H567">
        <v>0</v>
      </c>
      <c r="I567" t="s">
        <v>14</v>
      </c>
      <c r="J567">
        <v>106</v>
      </c>
      <c r="K567" t="s">
        <v>35</v>
      </c>
      <c r="L567">
        <v>118</v>
      </c>
      <c r="M567">
        <f>IF(D567=I567,VLOOKUP(D567,a_win_totals_lookup,MATCH(K567,a_wins_total_lookup_header,0)+1,0),VLOOKUP(D567,a_win_totals_lookup,MATCH(I567,a_wins_total_lookup_header,0)+1,0))</f>
        <v>0.42248155809117843</v>
      </c>
      <c r="N567">
        <f t="shared" ca="1" si="8"/>
        <v>1</v>
      </c>
    </row>
    <row r="568" spans="1:14" x14ac:dyDescent="0.25">
      <c r="A568">
        <v>400578577</v>
      </c>
      <c r="B568">
        <v>2015</v>
      </c>
      <c r="C568" s="1">
        <v>41978</v>
      </c>
      <c r="D568" t="s">
        <v>24</v>
      </c>
      <c r="E568">
        <v>0</v>
      </c>
      <c r="F568">
        <v>9</v>
      </c>
      <c r="G568">
        <v>10</v>
      </c>
      <c r="H568">
        <v>0</v>
      </c>
      <c r="I568" t="s">
        <v>19</v>
      </c>
      <c r="J568">
        <v>109</v>
      </c>
      <c r="K568" t="s">
        <v>24</v>
      </c>
      <c r="L568">
        <v>85</v>
      </c>
      <c r="M568">
        <f>IF(D568=I568,VLOOKUP(D568,a_win_totals_lookup,MATCH(K568,a_wins_total_lookup_header,0)+1,0),VLOOKUP(D568,a_win_totals_lookup,MATCH(I568,a_wins_total_lookup_header,0)+1,0))</f>
        <v>0.69085585364637281</v>
      </c>
      <c r="N568">
        <f t="shared" ca="1" si="8"/>
        <v>1</v>
      </c>
    </row>
    <row r="569" spans="1:14" x14ac:dyDescent="0.25">
      <c r="A569">
        <v>400578577</v>
      </c>
      <c r="B569">
        <v>2015</v>
      </c>
      <c r="C569" s="1">
        <v>41978</v>
      </c>
      <c r="D569" t="s">
        <v>19</v>
      </c>
      <c r="E569">
        <v>1</v>
      </c>
      <c r="F569">
        <v>11</v>
      </c>
      <c r="G569">
        <v>10</v>
      </c>
      <c r="H569">
        <v>1</v>
      </c>
      <c r="I569" t="s">
        <v>19</v>
      </c>
      <c r="J569">
        <v>109</v>
      </c>
      <c r="K569" t="s">
        <v>24</v>
      </c>
      <c r="L569">
        <v>85</v>
      </c>
      <c r="M569">
        <f>IF(D569=I569,VLOOKUP(D569,a_win_totals_lookup,MATCH(K569,a_wins_total_lookup_header,0)+1,0),VLOOKUP(D569,a_win_totals_lookup,MATCH(I569,a_wins_total_lookup_header,0)+1,0))</f>
        <v>0.30914414635362719</v>
      </c>
      <c r="N569">
        <f t="shared" ca="1" si="8"/>
        <v>0</v>
      </c>
    </row>
    <row r="570" spans="1:14" x14ac:dyDescent="0.25">
      <c r="A570">
        <v>400578578</v>
      </c>
      <c r="B570">
        <v>2015</v>
      </c>
      <c r="C570" s="1">
        <v>41978</v>
      </c>
      <c r="D570" t="s">
        <v>13</v>
      </c>
      <c r="E570">
        <v>1</v>
      </c>
      <c r="F570">
        <v>8</v>
      </c>
      <c r="G570">
        <v>14</v>
      </c>
      <c r="H570">
        <v>0</v>
      </c>
      <c r="I570" t="s">
        <v>34</v>
      </c>
      <c r="J570">
        <v>93</v>
      </c>
      <c r="K570" t="s">
        <v>13</v>
      </c>
      <c r="L570">
        <v>98</v>
      </c>
      <c r="M570">
        <f>IF(D570=I570,VLOOKUP(D570,a_win_totals_lookup,MATCH(K570,a_wins_total_lookup_header,0)+1,0),VLOOKUP(D570,a_win_totals_lookup,MATCH(I570,a_wins_total_lookup_header,0)+1,0))</f>
        <v>0.5</v>
      </c>
      <c r="N570">
        <f t="shared" ca="1" si="8"/>
        <v>1</v>
      </c>
    </row>
    <row r="571" spans="1:14" x14ac:dyDescent="0.25">
      <c r="A571">
        <v>400578578</v>
      </c>
      <c r="B571">
        <v>2015</v>
      </c>
      <c r="C571" s="1">
        <v>41978</v>
      </c>
      <c r="D571" t="s">
        <v>34</v>
      </c>
      <c r="E571">
        <v>0</v>
      </c>
      <c r="F571">
        <v>5</v>
      </c>
      <c r="G571">
        <v>15</v>
      </c>
      <c r="H571">
        <v>1</v>
      </c>
      <c r="I571" t="s">
        <v>34</v>
      </c>
      <c r="J571">
        <v>93</v>
      </c>
      <c r="K571" t="s">
        <v>13</v>
      </c>
      <c r="L571">
        <v>98</v>
      </c>
      <c r="M571">
        <f>IF(D571=I571,VLOOKUP(D571,a_win_totals_lookup,MATCH(K571,a_wins_total_lookup_header,0)+1,0),VLOOKUP(D571,a_win_totals_lookup,MATCH(I571,a_wins_total_lookup_header,0)+1,0))</f>
        <v>0.5</v>
      </c>
      <c r="N571">
        <f t="shared" ca="1" si="8"/>
        <v>0</v>
      </c>
    </row>
    <row r="572" spans="1:14" x14ac:dyDescent="0.25">
      <c r="A572">
        <v>400578579</v>
      </c>
      <c r="B572">
        <v>2015</v>
      </c>
      <c r="C572" s="1">
        <v>41978</v>
      </c>
      <c r="D572" t="s">
        <v>20</v>
      </c>
      <c r="E572">
        <v>0</v>
      </c>
      <c r="F572">
        <v>7</v>
      </c>
      <c r="G572">
        <v>13</v>
      </c>
      <c r="H572">
        <v>0</v>
      </c>
      <c r="I572" t="s">
        <v>37</v>
      </c>
      <c r="J572">
        <v>102</v>
      </c>
      <c r="K572" t="s">
        <v>20</v>
      </c>
      <c r="L572">
        <v>101</v>
      </c>
      <c r="M572">
        <f>IF(D572=I572,VLOOKUP(D572,a_win_totals_lookup,MATCH(K572,a_wins_total_lookup_header,0)+1,0),VLOOKUP(D572,a_win_totals_lookup,MATCH(I572,a_wins_total_lookup_header,0)+1,0))</f>
        <v>0.51669770605406096</v>
      </c>
      <c r="N572">
        <f t="shared" ca="1" si="8"/>
        <v>1</v>
      </c>
    </row>
    <row r="573" spans="1:14" x14ac:dyDescent="0.25">
      <c r="A573">
        <v>400578579</v>
      </c>
      <c r="B573">
        <v>2015</v>
      </c>
      <c r="C573" s="1">
        <v>41978</v>
      </c>
      <c r="D573" t="s">
        <v>37</v>
      </c>
      <c r="E573">
        <v>1</v>
      </c>
      <c r="F573">
        <v>10</v>
      </c>
      <c r="G573">
        <v>9</v>
      </c>
      <c r="H573">
        <v>1</v>
      </c>
      <c r="I573" t="s">
        <v>37</v>
      </c>
      <c r="J573">
        <v>102</v>
      </c>
      <c r="K573" t="s">
        <v>20</v>
      </c>
      <c r="L573">
        <v>101</v>
      </c>
      <c r="M573">
        <f>IF(D573=I573,VLOOKUP(D573,a_win_totals_lookup,MATCH(K573,a_wins_total_lookup_header,0)+1,0),VLOOKUP(D573,a_win_totals_lookup,MATCH(I573,a_wins_total_lookup_header,0)+1,0))</f>
        <v>0.48330229394593899</v>
      </c>
      <c r="N573">
        <f t="shared" ca="1" si="8"/>
        <v>0</v>
      </c>
    </row>
    <row r="574" spans="1:14" x14ac:dyDescent="0.25">
      <c r="A574">
        <v>400578580</v>
      </c>
      <c r="B574">
        <v>2015</v>
      </c>
      <c r="C574" s="1">
        <v>41979</v>
      </c>
      <c r="D574" t="s">
        <v>33</v>
      </c>
      <c r="E574">
        <v>0</v>
      </c>
      <c r="F574">
        <v>3</v>
      </c>
      <c r="G574">
        <v>17</v>
      </c>
      <c r="H574">
        <v>1</v>
      </c>
      <c r="I574" t="s">
        <v>33</v>
      </c>
      <c r="J574">
        <v>101</v>
      </c>
      <c r="K574" t="s">
        <v>21</v>
      </c>
      <c r="L574">
        <v>108</v>
      </c>
      <c r="M574">
        <f>IF(D574=I574,VLOOKUP(D574,a_win_totals_lookup,MATCH(K574,a_wins_total_lookup_header,0)+1,0),VLOOKUP(D574,a_win_totals_lookup,MATCH(I574,a_wins_total_lookup_header,0)+1,0))</f>
        <v>0.65818817024414811</v>
      </c>
      <c r="N574">
        <f t="shared" ca="1" si="8"/>
        <v>1</v>
      </c>
    </row>
    <row r="575" spans="1:14" x14ac:dyDescent="0.25">
      <c r="A575">
        <v>400578580</v>
      </c>
      <c r="B575">
        <v>2015</v>
      </c>
      <c r="C575" s="1">
        <v>41979</v>
      </c>
      <c r="D575" t="s">
        <v>21</v>
      </c>
      <c r="E575">
        <v>1</v>
      </c>
      <c r="F575">
        <v>2</v>
      </c>
      <c r="G575">
        <v>18</v>
      </c>
      <c r="H575">
        <v>0</v>
      </c>
      <c r="I575" t="s">
        <v>33</v>
      </c>
      <c r="J575">
        <v>101</v>
      </c>
      <c r="K575" t="s">
        <v>21</v>
      </c>
      <c r="L575">
        <v>108</v>
      </c>
      <c r="M575">
        <f>IF(D575=I575,VLOOKUP(D575,a_win_totals_lookup,MATCH(K575,a_wins_total_lookup_header,0)+1,0),VLOOKUP(D575,a_win_totals_lookup,MATCH(I575,a_wins_total_lookup_header,0)+1,0))</f>
        <v>0.34181182975585189</v>
      </c>
      <c r="N575">
        <f t="shared" ca="1" si="8"/>
        <v>0</v>
      </c>
    </row>
    <row r="576" spans="1:14" x14ac:dyDescent="0.25">
      <c r="A576">
        <v>400578581</v>
      </c>
      <c r="B576">
        <v>2015</v>
      </c>
      <c r="C576" s="1">
        <v>41979</v>
      </c>
      <c r="D576" t="s">
        <v>30</v>
      </c>
      <c r="E576">
        <v>0</v>
      </c>
      <c r="F576">
        <v>12</v>
      </c>
      <c r="G576">
        <v>8</v>
      </c>
      <c r="H576">
        <v>1</v>
      </c>
      <c r="I576" t="s">
        <v>30</v>
      </c>
      <c r="J576">
        <v>102</v>
      </c>
      <c r="K576" t="s">
        <v>36</v>
      </c>
      <c r="L576">
        <v>112</v>
      </c>
      <c r="M576">
        <f>IF(D576=I576,VLOOKUP(D576,a_win_totals_lookup,MATCH(K576,a_wins_total_lookup_header,0)+1,0),VLOOKUP(D576,a_win_totals_lookup,MATCH(I576,a_wins_total_lookup_header,0)+1,0))</f>
        <v>0.51874803765381217</v>
      </c>
      <c r="N576">
        <f t="shared" ca="1" si="8"/>
        <v>1</v>
      </c>
    </row>
    <row r="577" spans="1:14" x14ac:dyDescent="0.25">
      <c r="A577">
        <v>400578581</v>
      </c>
      <c r="B577">
        <v>2015</v>
      </c>
      <c r="C577" s="1">
        <v>41979</v>
      </c>
      <c r="D577" t="s">
        <v>36</v>
      </c>
      <c r="E577">
        <v>1</v>
      </c>
      <c r="F577">
        <v>17</v>
      </c>
      <c r="G577">
        <v>2</v>
      </c>
      <c r="H577">
        <v>0</v>
      </c>
      <c r="I577" t="s">
        <v>30</v>
      </c>
      <c r="J577">
        <v>102</v>
      </c>
      <c r="K577" t="s">
        <v>36</v>
      </c>
      <c r="L577">
        <v>112</v>
      </c>
      <c r="M577">
        <f>IF(D577=I577,VLOOKUP(D577,a_win_totals_lookup,MATCH(K577,a_wins_total_lookup_header,0)+1,0),VLOOKUP(D577,a_win_totals_lookup,MATCH(I577,a_wins_total_lookup_header,0)+1,0))</f>
        <v>0.48125196234618794</v>
      </c>
      <c r="N577">
        <f t="shared" ca="1" si="8"/>
        <v>1</v>
      </c>
    </row>
    <row r="578" spans="1:14" x14ac:dyDescent="0.25">
      <c r="A578">
        <v>400578582</v>
      </c>
      <c r="B578">
        <v>2015</v>
      </c>
      <c r="C578" s="1">
        <v>41979</v>
      </c>
      <c r="D578" t="s">
        <v>16</v>
      </c>
      <c r="E578">
        <v>1</v>
      </c>
      <c r="F578">
        <v>16</v>
      </c>
      <c r="G578">
        <v>4</v>
      </c>
      <c r="H578">
        <v>1</v>
      </c>
      <c r="I578" t="s">
        <v>16</v>
      </c>
      <c r="J578">
        <v>100</v>
      </c>
      <c r="K578" t="s">
        <v>35</v>
      </c>
      <c r="L578">
        <v>95</v>
      </c>
      <c r="M578">
        <f>IF(D578=I578,VLOOKUP(D578,a_win_totals_lookup,MATCH(K578,a_wins_total_lookup_header,0)+1,0),VLOOKUP(D578,a_win_totals_lookup,MATCH(I578,a_wins_total_lookup_header,0)+1,0))</f>
        <v>0.54369096101297021</v>
      </c>
      <c r="N578">
        <f t="shared" ca="1" si="8"/>
        <v>1</v>
      </c>
    </row>
    <row r="579" spans="1:14" x14ac:dyDescent="0.25">
      <c r="A579">
        <v>400578582</v>
      </c>
      <c r="B579">
        <v>2015</v>
      </c>
      <c r="C579" s="1">
        <v>41979</v>
      </c>
      <c r="D579" t="s">
        <v>35</v>
      </c>
      <c r="E579">
        <v>0</v>
      </c>
      <c r="F579">
        <v>12</v>
      </c>
      <c r="G579">
        <v>9</v>
      </c>
      <c r="H579">
        <v>0</v>
      </c>
      <c r="I579" t="s">
        <v>16</v>
      </c>
      <c r="J579">
        <v>100</v>
      </c>
      <c r="K579" t="s">
        <v>35</v>
      </c>
      <c r="L579">
        <v>95</v>
      </c>
      <c r="M579">
        <f>IF(D579=I579,VLOOKUP(D579,a_win_totals_lookup,MATCH(K579,a_wins_total_lookup_header,0)+1,0),VLOOKUP(D579,a_win_totals_lookup,MATCH(I579,a_wins_total_lookup_header,0)+1,0))</f>
        <v>0.45630903898702979</v>
      </c>
      <c r="N579">
        <f t="shared" ref="N579:N642" ca="1" si="9">ROUND(0.5*RANDBETWEEN(-1,1)+M579,0)</f>
        <v>0</v>
      </c>
    </row>
    <row r="580" spans="1:14" x14ac:dyDescent="0.25">
      <c r="A580">
        <v>400578583</v>
      </c>
      <c r="B580">
        <v>2015</v>
      </c>
      <c r="C580" s="1">
        <v>41979</v>
      </c>
      <c r="D580" t="s">
        <v>29</v>
      </c>
      <c r="E580">
        <v>0</v>
      </c>
      <c r="F580">
        <v>4</v>
      </c>
      <c r="G580">
        <v>15</v>
      </c>
      <c r="H580">
        <v>0</v>
      </c>
      <c r="I580" t="s">
        <v>15</v>
      </c>
      <c r="J580">
        <v>123</v>
      </c>
      <c r="K580" t="s">
        <v>29</v>
      </c>
      <c r="L580">
        <v>101</v>
      </c>
      <c r="M580">
        <f>IF(D580=I580,VLOOKUP(D580,a_win_totals_lookup,MATCH(K580,a_wins_total_lookup_header,0)+1,0),VLOOKUP(D580,a_win_totals_lookup,MATCH(I580,a_wins_total_lookup_header,0)+1,0))</f>
        <v>0.22270013882530892</v>
      </c>
      <c r="N580">
        <f t="shared" ca="1" si="9"/>
        <v>1</v>
      </c>
    </row>
    <row r="581" spans="1:14" x14ac:dyDescent="0.25">
      <c r="A581">
        <v>400578583</v>
      </c>
      <c r="B581">
        <v>2015</v>
      </c>
      <c r="C581" s="1">
        <v>41979</v>
      </c>
      <c r="D581" t="s">
        <v>15</v>
      </c>
      <c r="E581">
        <v>1</v>
      </c>
      <c r="F581">
        <v>15</v>
      </c>
      <c r="G581">
        <v>5</v>
      </c>
      <c r="H581">
        <v>1</v>
      </c>
      <c r="I581" t="s">
        <v>15</v>
      </c>
      <c r="J581">
        <v>123</v>
      </c>
      <c r="K581" t="s">
        <v>29</v>
      </c>
      <c r="L581">
        <v>101</v>
      </c>
      <c r="M581">
        <f>IF(D581=I581,VLOOKUP(D581,a_win_totals_lookup,MATCH(K581,a_wins_total_lookup_header,0)+1,0),VLOOKUP(D581,a_win_totals_lookup,MATCH(I581,a_wins_total_lookup_header,0)+1,0))</f>
        <v>0.77729986117469119</v>
      </c>
      <c r="N581">
        <f t="shared" ca="1" si="9"/>
        <v>0</v>
      </c>
    </row>
    <row r="582" spans="1:14" x14ac:dyDescent="0.25">
      <c r="A582">
        <v>400578584</v>
      </c>
      <c r="B582">
        <v>2015</v>
      </c>
      <c r="C582" s="1">
        <v>41979</v>
      </c>
      <c r="D582" t="s">
        <v>13</v>
      </c>
      <c r="E582">
        <v>1</v>
      </c>
      <c r="F582">
        <v>9</v>
      </c>
      <c r="G582">
        <v>14</v>
      </c>
      <c r="H582">
        <v>0</v>
      </c>
      <c r="I582" t="s">
        <v>37</v>
      </c>
      <c r="J582">
        <v>96</v>
      </c>
      <c r="K582" t="s">
        <v>13</v>
      </c>
      <c r="L582">
        <v>105</v>
      </c>
      <c r="M582">
        <f>IF(D582=I582,VLOOKUP(D582,a_win_totals_lookup,MATCH(K582,a_wins_total_lookup_header,0)+1,0),VLOOKUP(D582,a_win_totals_lookup,MATCH(I582,a_wins_total_lookup_header,0)+1,0))</f>
        <v>0.46503580899628916</v>
      </c>
      <c r="N582">
        <f t="shared" ca="1" si="9"/>
        <v>0</v>
      </c>
    </row>
    <row r="583" spans="1:14" x14ac:dyDescent="0.25">
      <c r="A583">
        <v>400578584</v>
      </c>
      <c r="B583">
        <v>2015</v>
      </c>
      <c r="C583" s="1">
        <v>41979</v>
      </c>
      <c r="D583" t="s">
        <v>37</v>
      </c>
      <c r="E583">
        <v>0</v>
      </c>
      <c r="F583">
        <v>10</v>
      </c>
      <c r="G583">
        <v>10</v>
      </c>
      <c r="H583">
        <v>1</v>
      </c>
      <c r="I583" t="s">
        <v>37</v>
      </c>
      <c r="J583">
        <v>96</v>
      </c>
      <c r="K583" t="s">
        <v>13</v>
      </c>
      <c r="L583">
        <v>105</v>
      </c>
      <c r="M583">
        <f>IF(D583=I583,VLOOKUP(D583,a_win_totals_lookup,MATCH(K583,a_wins_total_lookup_header,0)+1,0),VLOOKUP(D583,a_win_totals_lookup,MATCH(I583,a_wins_total_lookup_header,0)+1,0))</f>
        <v>0.53496419100371084</v>
      </c>
      <c r="N583">
        <f t="shared" ca="1" si="9"/>
        <v>1</v>
      </c>
    </row>
    <row r="584" spans="1:14" x14ac:dyDescent="0.25">
      <c r="A584">
        <v>400578585</v>
      </c>
      <c r="B584">
        <v>2015</v>
      </c>
      <c r="C584" s="1">
        <v>41979</v>
      </c>
      <c r="D584" t="s">
        <v>41</v>
      </c>
      <c r="E584">
        <v>1</v>
      </c>
      <c r="F584">
        <v>14</v>
      </c>
      <c r="G584">
        <v>5</v>
      </c>
      <c r="H584">
        <v>1</v>
      </c>
      <c r="I584" t="s">
        <v>41</v>
      </c>
      <c r="J584">
        <v>120</v>
      </c>
      <c r="K584" t="s">
        <v>12</v>
      </c>
      <c r="L584">
        <v>100</v>
      </c>
      <c r="M584">
        <f>IF(D584=I584,VLOOKUP(D584,a_win_totals_lookup,MATCH(K584,a_wins_total_lookup_header,0)+1,0),VLOOKUP(D584,a_win_totals_lookup,MATCH(I584,a_wins_total_lookup_header,0)+1,0))</f>
        <v>0.63650670086846906</v>
      </c>
      <c r="N584">
        <f t="shared" ca="1" si="9"/>
        <v>1</v>
      </c>
    </row>
    <row r="585" spans="1:14" x14ac:dyDescent="0.25">
      <c r="A585">
        <v>400578585</v>
      </c>
      <c r="B585">
        <v>2015</v>
      </c>
      <c r="C585" s="1">
        <v>41979</v>
      </c>
      <c r="D585" t="s">
        <v>12</v>
      </c>
      <c r="E585">
        <v>0</v>
      </c>
      <c r="F585">
        <v>8</v>
      </c>
      <c r="G585">
        <v>10</v>
      </c>
      <c r="H585">
        <v>0</v>
      </c>
      <c r="I585" t="s">
        <v>41</v>
      </c>
      <c r="J585">
        <v>120</v>
      </c>
      <c r="K585" t="s">
        <v>12</v>
      </c>
      <c r="L585">
        <v>100</v>
      </c>
      <c r="M585">
        <f>IF(D585=I585,VLOOKUP(D585,a_win_totals_lookup,MATCH(K585,a_wins_total_lookup_header,0)+1,0),VLOOKUP(D585,a_win_totals_lookup,MATCH(I585,a_wins_total_lookup_header,0)+1,0))</f>
        <v>0.36349329913153089</v>
      </c>
      <c r="N585">
        <f t="shared" ca="1" si="9"/>
        <v>0</v>
      </c>
    </row>
    <row r="586" spans="1:14" x14ac:dyDescent="0.25">
      <c r="A586">
        <v>400578586</v>
      </c>
      <c r="B586">
        <v>2015</v>
      </c>
      <c r="C586" s="1">
        <v>41980</v>
      </c>
      <c r="D586" t="s">
        <v>22</v>
      </c>
      <c r="E586">
        <v>1</v>
      </c>
      <c r="F586">
        <v>7</v>
      </c>
      <c r="G586">
        <v>11</v>
      </c>
      <c r="H586">
        <v>1</v>
      </c>
      <c r="I586" t="s">
        <v>22</v>
      </c>
      <c r="J586">
        <v>101</v>
      </c>
      <c r="K586" t="s">
        <v>25</v>
      </c>
      <c r="L586">
        <v>93</v>
      </c>
      <c r="M586">
        <f>IF(D586=I586,VLOOKUP(D586,a_win_totals_lookup,MATCH(K586,a_wins_total_lookup_header,0)+1,0),VLOOKUP(D586,a_win_totals_lookup,MATCH(I586,a_wins_total_lookup_header,0)+1,0))</f>
        <v>0.267238229826881</v>
      </c>
      <c r="N586">
        <f t="shared" ca="1" si="9"/>
        <v>0</v>
      </c>
    </row>
    <row r="587" spans="1:14" x14ac:dyDescent="0.25">
      <c r="A587">
        <v>400578586</v>
      </c>
      <c r="B587">
        <v>2015</v>
      </c>
      <c r="C587" s="1">
        <v>41980</v>
      </c>
      <c r="D587" t="s">
        <v>25</v>
      </c>
      <c r="E587">
        <v>0</v>
      </c>
      <c r="F587">
        <v>13</v>
      </c>
      <c r="G587">
        <v>6</v>
      </c>
      <c r="H587">
        <v>0</v>
      </c>
      <c r="I587" t="s">
        <v>22</v>
      </c>
      <c r="J587">
        <v>101</v>
      </c>
      <c r="K587" t="s">
        <v>25</v>
      </c>
      <c r="L587">
        <v>93</v>
      </c>
      <c r="M587">
        <f>IF(D587=I587,VLOOKUP(D587,a_win_totals_lookup,MATCH(K587,a_wins_total_lookup_header,0)+1,0),VLOOKUP(D587,a_win_totals_lookup,MATCH(I587,a_wins_total_lookup_header,0)+1,0))</f>
        <v>0.73276177017311905</v>
      </c>
      <c r="N587">
        <f t="shared" ca="1" si="9"/>
        <v>0</v>
      </c>
    </row>
    <row r="588" spans="1:14" x14ac:dyDescent="0.25">
      <c r="A588">
        <v>400578587</v>
      </c>
      <c r="B588">
        <v>2015</v>
      </c>
      <c r="C588" s="1">
        <v>41980</v>
      </c>
      <c r="D588" t="s">
        <v>26</v>
      </c>
      <c r="E588">
        <v>1</v>
      </c>
      <c r="F588">
        <v>13</v>
      </c>
      <c r="G588">
        <v>6</v>
      </c>
      <c r="H588">
        <v>1</v>
      </c>
      <c r="I588" t="s">
        <v>26</v>
      </c>
      <c r="J588">
        <v>96</v>
      </c>
      <c r="K588" t="s">
        <v>32</v>
      </c>
      <c r="L588">
        <v>84</v>
      </c>
      <c r="M588">
        <f>IF(D588=I588,VLOOKUP(D588,a_win_totals_lookup,MATCH(K588,a_wins_total_lookup_header,0)+1,0),VLOOKUP(D588,a_win_totals_lookup,MATCH(I588,a_wins_total_lookup_header,0)+1,0))</f>
        <v>0.53928878009305825</v>
      </c>
      <c r="N588">
        <f t="shared" ca="1" si="9"/>
        <v>1</v>
      </c>
    </row>
    <row r="589" spans="1:14" x14ac:dyDescent="0.25">
      <c r="A589">
        <v>400578587</v>
      </c>
      <c r="B589">
        <v>2015</v>
      </c>
      <c r="C589" s="1">
        <v>41980</v>
      </c>
      <c r="D589" t="s">
        <v>32</v>
      </c>
      <c r="E589">
        <v>0</v>
      </c>
      <c r="F589">
        <v>9</v>
      </c>
      <c r="G589">
        <v>11</v>
      </c>
      <c r="H589">
        <v>0</v>
      </c>
      <c r="I589" t="s">
        <v>26</v>
      </c>
      <c r="J589">
        <v>96</v>
      </c>
      <c r="K589" t="s">
        <v>32</v>
      </c>
      <c r="L589">
        <v>84</v>
      </c>
      <c r="M589">
        <f>IF(D589=I589,VLOOKUP(D589,a_win_totals_lookup,MATCH(K589,a_wins_total_lookup_header,0)+1,0),VLOOKUP(D589,a_win_totals_lookup,MATCH(I589,a_wins_total_lookup_header,0)+1,0))</f>
        <v>0.46071121990694175</v>
      </c>
      <c r="N589">
        <f t="shared" ca="1" si="9"/>
        <v>1</v>
      </c>
    </row>
    <row r="590" spans="1:14" x14ac:dyDescent="0.25">
      <c r="A590">
        <v>400578588</v>
      </c>
      <c r="B590">
        <v>2015</v>
      </c>
      <c r="C590" s="1">
        <v>41980</v>
      </c>
      <c r="D590" t="s">
        <v>28</v>
      </c>
      <c r="E590">
        <v>1</v>
      </c>
      <c r="F590">
        <v>16</v>
      </c>
      <c r="G590">
        <v>4</v>
      </c>
      <c r="H590">
        <v>1</v>
      </c>
      <c r="I590" t="s">
        <v>28</v>
      </c>
      <c r="J590">
        <v>103</v>
      </c>
      <c r="K590" t="s">
        <v>24</v>
      </c>
      <c r="L590">
        <v>87</v>
      </c>
      <c r="M590">
        <f>IF(D590=I590,VLOOKUP(D590,a_win_totals_lookup,MATCH(K590,a_wins_total_lookup_header,0)+1,0),VLOOKUP(D590,a_win_totals_lookup,MATCH(I590,a_wins_total_lookup_header,0)+1,0))</f>
        <v>0.55005717595392067</v>
      </c>
      <c r="N590">
        <f t="shared" ca="1" si="9"/>
        <v>1</v>
      </c>
    </row>
    <row r="591" spans="1:14" x14ac:dyDescent="0.25">
      <c r="A591">
        <v>400578588</v>
      </c>
      <c r="B591">
        <v>2015</v>
      </c>
      <c r="C591" s="1">
        <v>41980</v>
      </c>
      <c r="D591" t="s">
        <v>24</v>
      </c>
      <c r="E591">
        <v>0</v>
      </c>
      <c r="F591">
        <v>9</v>
      </c>
      <c r="G591">
        <v>11</v>
      </c>
      <c r="H591">
        <v>0</v>
      </c>
      <c r="I591" t="s">
        <v>28</v>
      </c>
      <c r="J591">
        <v>103</v>
      </c>
      <c r="K591" t="s">
        <v>24</v>
      </c>
      <c r="L591">
        <v>87</v>
      </c>
      <c r="M591">
        <f>IF(D591=I591,VLOOKUP(D591,a_win_totals_lookup,MATCH(K591,a_wins_total_lookup_header,0)+1,0),VLOOKUP(D591,a_win_totals_lookup,MATCH(I591,a_wins_total_lookup_header,0)+1,0))</f>
        <v>0.44994282404607938</v>
      </c>
      <c r="N591">
        <f t="shared" ca="1" si="9"/>
        <v>0</v>
      </c>
    </row>
    <row r="592" spans="1:14" x14ac:dyDescent="0.25">
      <c r="A592">
        <v>400578589</v>
      </c>
      <c r="B592">
        <v>2015</v>
      </c>
      <c r="C592" s="1">
        <v>41980</v>
      </c>
      <c r="D592" t="s">
        <v>33</v>
      </c>
      <c r="E592">
        <v>0</v>
      </c>
      <c r="F592">
        <v>3</v>
      </c>
      <c r="G592">
        <v>18</v>
      </c>
      <c r="H592">
        <v>1</v>
      </c>
      <c r="I592" t="s">
        <v>33</v>
      </c>
      <c r="J592">
        <v>94</v>
      </c>
      <c r="K592" t="s">
        <v>38</v>
      </c>
      <c r="L592">
        <v>96</v>
      </c>
      <c r="M592">
        <f>IF(D592=I592,VLOOKUP(D592,a_win_totals_lookup,MATCH(K592,a_wins_total_lookup_header,0)+1,0),VLOOKUP(D592,a_win_totals_lookup,MATCH(I592,a_wins_total_lookup_header,0)+1,0))</f>
        <v>0.33060854271819196</v>
      </c>
      <c r="N592">
        <f t="shared" ca="1" si="9"/>
        <v>1</v>
      </c>
    </row>
    <row r="593" spans="1:14" x14ac:dyDescent="0.25">
      <c r="A593">
        <v>400578589</v>
      </c>
      <c r="B593">
        <v>2015</v>
      </c>
      <c r="C593" s="1">
        <v>41980</v>
      </c>
      <c r="D593" t="s">
        <v>38</v>
      </c>
      <c r="E593">
        <v>1</v>
      </c>
      <c r="F593">
        <v>7</v>
      </c>
      <c r="G593">
        <v>13</v>
      </c>
      <c r="H593">
        <v>0</v>
      </c>
      <c r="I593" t="s">
        <v>33</v>
      </c>
      <c r="J593">
        <v>94</v>
      </c>
      <c r="K593" t="s">
        <v>38</v>
      </c>
      <c r="L593">
        <v>96</v>
      </c>
      <c r="M593">
        <f>IF(D593=I593,VLOOKUP(D593,a_win_totals_lookup,MATCH(K593,a_wins_total_lookup_header,0)+1,0),VLOOKUP(D593,a_win_totals_lookup,MATCH(I593,a_wins_total_lookup_header,0)+1,0))</f>
        <v>0.66939145728180804</v>
      </c>
      <c r="N593">
        <f t="shared" ca="1" si="9"/>
        <v>1</v>
      </c>
    </row>
    <row r="594" spans="1:14" x14ac:dyDescent="0.25">
      <c r="A594">
        <v>400578590</v>
      </c>
      <c r="B594">
        <v>2015</v>
      </c>
      <c r="C594" s="1">
        <v>41980</v>
      </c>
      <c r="D594" t="s">
        <v>14</v>
      </c>
      <c r="E594">
        <v>1</v>
      </c>
      <c r="F594">
        <v>16</v>
      </c>
      <c r="G594">
        <v>6</v>
      </c>
      <c r="H594">
        <v>1</v>
      </c>
      <c r="I594" t="s">
        <v>14</v>
      </c>
      <c r="J594">
        <v>125</v>
      </c>
      <c r="K594" t="s">
        <v>19</v>
      </c>
      <c r="L594">
        <v>102</v>
      </c>
      <c r="M594">
        <f>IF(D594=I594,VLOOKUP(D594,a_win_totals_lookup,MATCH(K594,a_wins_total_lookup_header,0)+1,0),VLOOKUP(D594,a_win_totals_lookup,MATCH(I594,a_wins_total_lookup_header,0)+1,0))</f>
        <v>0.74444769979948933</v>
      </c>
      <c r="N594">
        <f t="shared" ca="1" si="9"/>
        <v>0</v>
      </c>
    </row>
    <row r="595" spans="1:14" x14ac:dyDescent="0.25">
      <c r="A595">
        <v>400578590</v>
      </c>
      <c r="B595">
        <v>2015</v>
      </c>
      <c r="C595" s="1">
        <v>41980</v>
      </c>
      <c r="D595" t="s">
        <v>19</v>
      </c>
      <c r="E595">
        <v>0</v>
      </c>
      <c r="F595">
        <v>11</v>
      </c>
      <c r="G595">
        <v>11</v>
      </c>
      <c r="H595">
        <v>0</v>
      </c>
      <c r="I595" t="s">
        <v>14</v>
      </c>
      <c r="J595">
        <v>125</v>
      </c>
      <c r="K595" t="s">
        <v>19</v>
      </c>
      <c r="L595">
        <v>102</v>
      </c>
      <c r="M595">
        <f>IF(D595=I595,VLOOKUP(D595,a_win_totals_lookup,MATCH(K595,a_wins_total_lookup_header,0)+1,0),VLOOKUP(D595,a_win_totals_lookup,MATCH(I595,a_wins_total_lookup_header,0)+1,0))</f>
        <v>0.25555230020051067</v>
      </c>
      <c r="N595">
        <f t="shared" ca="1" si="9"/>
        <v>1</v>
      </c>
    </row>
    <row r="596" spans="1:14" x14ac:dyDescent="0.25">
      <c r="A596">
        <v>400578591</v>
      </c>
      <c r="B596">
        <v>2015</v>
      </c>
      <c r="C596" s="1">
        <v>41980</v>
      </c>
      <c r="D596" t="s">
        <v>31</v>
      </c>
      <c r="E596">
        <v>0</v>
      </c>
      <c r="F596">
        <v>4</v>
      </c>
      <c r="G596">
        <v>18</v>
      </c>
      <c r="H596">
        <v>1</v>
      </c>
      <c r="I596" t="s">
        <v>31</v>
      </c>
      <c r="J596">
        <v>99</v>
      </c>
      <c r="K596" t="s">
        <v>39</v>
      </c>
      <c r="L596">
        <v>103</v>
      </c>
      <c r="M596">
        <f>IF(D596=I596,VLOOKUP(D596,a_win_totals_lookup,MATCH(K596,a_wins_total_lookup_header,0)+1,0),VLOOKUP(D596,a_win_totals_lookup,MATCH(I596,a_wins_total_lookup_header,0)+1,0))</f>
        <v>0.40843302990522401</v>
      </c>
      <c r="N596">
        <f t="shared" ca="1" si="9"/>
        <v>0</v>
      </c>
    </row>
    <row r="597" spans="1:14" x14ac:dyDescent="0.25">
      <c r="A597">
        <v>400578591</v>
      </c>
      <c r="B597">
        <v>2015</v>
      </c>
      <c r="C597" s="1">
        <v>41980</v>
      </c>
      <c r="D597" t="s">
        <v>39</v>
      </c>
      <c r="E597">
        <v>1</v>
      </c>
      <c r="F597">
        <v>16</v>
      </c>
      <c r="G597">
        <v>4</v>
      </c>
      <c r="H597">
        <v>0</v>
      </c>
      <c r="I597" t="s">
        <v>31</v>
      </c>
      <c r="J597">
        <v>99</v>
      </c>
      <c r="K597" t="s">
        <v>39</v>
      </c>
      <c r="L597">
        <v>103</v>
      </c>
      <c r="M597">
        <f>IF(D597=I597,VLOOKUP(D597,a_win_totals_lookup,MATCH(K597,a_wins_total_lookup_header,0)+1,0),VLOOKUP(D597,a_win_totals_lookup,MATCH(I597,a_wins_total_lookup_header,0)+1,0))</f>
        <v>0.59156697009477588</v>
      </c>
      <c r="N597">
        <f t="shared" ca="1" si="9"/>
        <v>0</v>
      </c>
    </row>
    <row r="598" spans="1:14" x14ac:dyDescent="0.25">
      <c r="A598">
        <v>400578592</v>
      </c>
      <c r="B598">
        <v>2015</v>
      </c>
      <c r="C598" s="1">
        <v>41980</v>
      </c>
      <c r="D598" t="s">
        <v>17</v>
      </c>
      <c r="E598">
        <v>0</v>
      </c>
      <c r="F598">
        <v>5</v>
      </c>
      <c r="G598">
        <v>16</v>
      </c>
      <c r="H598">
        <v>1</v>
      </c>
      <c r="I598" t="s">
        <v>17</v>
      </c>
      <c r="J598">
        <v>87</v>
      </c>
      <c r="K598" t="s">
        <v>12</v>
      </c>
      <c r="L598">
        <v>104</v>
      </c>
      <c r="M598">
        <f>IF(D598=I598,VLOOKUP(D598,a_win_totals_lookup,MATCH(K598,a_wins_total_lookup_header,0)+1,0),VLOOKUP(D598,a_win_totals_lookup,MATCH(I598,a_wins_total_lookup_header,0)+1,0))</f>
        <v>0.40952872102451271</v>
      </c>
      <c r="N598">
        <f t="shared" ca="1" si="9"/>
        <v>0</v>
      </c>
    </row>
    <row r="599" spans="1:14" x14ac:dyDescent="0.25">
      <c r="A599">
        <v>400578592</v>
      </c>
      <c r="B599">
        <v>2015</v>
      </c>
      <c r="C599" s="1">
        <v>41980</v>
      </c>
      <c r="D599" t="s">
        <v>12</v>
      </c>
      <c r="E599">
        <v>1</v>
      </c>
      <c r="F599">
        <v>9</v>
      </c>
      <c r="G599">
        <v>10</v>
      </c>
      <c r="H599">
        <v>0</v>
      </c>
      <c r="I599" t="s">
        <v>17</v>
      </c>
      <c r="J599">
        <v>87</v>
      </c>
      <c r="K599" t="s">
        <v>12</v>
      </c>
      <c r="L599">
        <v>104</v>
      </c>
      <c r="M599">
        <f>IF(D599=I599,VLOOKUP(D599,a_win_totals_lookup,MATCH(K599,a_wins_total_lookup_header,0)+1,0),VLOOKUP(D599,a_win_totals_lookup,MATCH(I599,a_wins_total_lookup_header,0)+1,0))</f>
        <v>0.59047127897548735</v>
      </c>
      <c r="N599">
        <f t="shared" ca="1" si="9"/>
        <v>1</v>
      </c>
    </row>
    <row r="600" spans="1:14" x14ac:dyDescent="0.25">
      <c r="A600">
        <v>400578593</v>
      </c>
      <c r="B600">
        <v>2015</v>
      </c>
      <c r="C600" s="1">
        <v>41981</v>
      </c>
      <c r="D600" t="s">
        <v>26</v>
      </c>
      <c r="E600">
        <v>1</v>
      </c>
      <c r="F600">
        <v>14</v>
      </c>
      <c r="G600">
        <v>6</v>
      </c>
      <c r="H600">
        <v>0</v>
      </c>
      <c r="I600" t="s">
        <v>20</v>
      </c>
      <c r="J600">
        <v>92</v>
      </c>
      <c r="K600" t="s">
        <v>26</v>
      </c>
      <c r="L600">
        <v>108</v>
      </c>
      <c r="M600">
        <f>IF(D600=I600,VLOOKUP(D600,a_win_totals_lookup,MATCH(K600,a_wins_total_lookup_header,0)+1,0),VLOOKUP(D600,a_win_totals_lookup,MATCH(I600,a_wins_total_lookup_header,0)+1,0))</f>
        <v>0.59907098078204846</v>
      </c>
      <c r="N600">
        <f t="shared" ca="1" si="9"/>
        <v>1</v>
      </c>
    </row>
    <row r="601" spans="1:14" x14ac:dyDescent="0.25">
      <c r="A601">
        <v>400578593</v>
      </c>
      <c r="B601">
        <v>2015</v>
      </c>
      <c r="C601" s="1">
        <v>41981</v>
      </c>
      <c r="D601" t="s">
        <v>20</v>
      </c>
      <c r="E601">
        <v>0</v>
      </c>
      <c r="F601">
        <v>7</v>
      </c>
      <c r="G601">
        <v>14</v>
      </c>
      <c r="H601">
        <v>1</v>
      </c>
      <c r="I601" t="s">
        <v>20</v>
      </c>
      <c r="J601">
        <v>92</v>
      </c>
      <c r="K601" t="s">
        <v>26</v>
      </c>
      <c r="L601">
        <v>108</v>
      </c>
      <c r="M601">
        <f>IF(D601=I601,VLOOKUP(D601,a_win_totals_lookup,MATCH(K601,a_wins_total_lookup_header,0)+1,0),VLOOKUP(D601,a_win_totals_lookup,MATCH(I601,a_wins_total_lookup_header,0)+1,0))</f>
        <v>0.40092901921795154</v>
      </c>
      <c r="N601">
        <f t="shared" ca="1" si="9"/>
        <v>0</v>
      </c>
    </row>
    <row r="602" spans="1:14" x14ac:dyDescent="0.25">
      <c r="A602">
        <v>400578594</v>
      </c>
      <c r="B602">
        <v>2015</v>
      </c>
      <c r="C602" s="1">
        <v>41981</v>
      </c>
      <c r="D602" t="s">
        <v>22</v>
      </c>
      <c r="E602">
        <v>0</v>
      </c>
      <c r="F602">
        <v>7</v>
      </c>
      <c r="G602">
        <v>12</v>
      </c>
      <c r="H602">
        <v>0</v>
      </c>
      <c r="I602" t="s">
        <v>25</v>
      </c>
      <c r="J602">
        <v>133</v>
      </c>
      <c r="K602" t="s">
        <v>22</v>
      </c>
      <c r="L602">
        <v>132</v>
      </c>
      <c r="M602">
        <f>IF(D602=I602,VLOOKUP(D602,a_win_totals_lookup,MATCH(K602,a_wins_total_lookup_header,0)+1,0),VLOOKUP(D602,a_win_totals_lookup,MATCH(I602,a_wins_total_lookup_header,0)+1,0))</f>
        <v>0.267238229826881</v>
      </c>
      <c r="N602">
        <f t="shared" ca="1" si="9"/>
        <v>0</v>
      </c>
    </row>
    <row r="603" spans="1:14" x14ac:dyDescent="0.25">
      <c r="A603">
        <v>400578594</v>
      </c>
      <c r="B603">
        <v>2015</v>
      </c>
      <c r="C603" s="1">
        <v>41981</v>
      </c>
      <c r="D603" t="s">
        <v>25</v>
      </c>
      <c r="E603">
        <v>1</v>
      </c>
      <c r="F603">
        <v>14</v>
      </c>
      <c r="G603">
        <v>6</v>
      </c>
      <c r="H603">
        <v>1</v>
      </c>
      <c r="I603" t="s">
        <v>25</v>
      </c>
      <c r="J603">
        <v>133</v>
      </c>
      <c r="K603" t="s">
        <v>22</v>
      </c>
      <c r="L603">
        <v>132</v>
      </c>
      <c r="M603">
        <f>IF(D603=I603,VLOOKUP(D603,a_win_totals_lookup,MATCH(K603,a_wins_total_lookup_header,0)+1,0),VLOOKUP(D603,a_win_totals_lookup,MATCH(I603,a_wins_total_lookup_header,0)+1,0))</f>
        <v>0.73276177017311905</v>
      </c>
      <c r="N603">
        <f t="shared" ca="1" si="9"/>
        <v>1</v>
      </c>
    </row>
    <row r="604" spans="1:14" x14ac:dyDescent="0.25">
      <c r="A604">
        <v>400578595</v>
      </c>
      <c r="B604">
        <v>2015</v>
      </c>
      <c r="C604" s="1">
        <v>41981</v>
      </c>
      <c r="D604" t="s">
        <v>23</v>
      </c>
      <c r="E604">
        <v>0</v>
      </c>
      <c r="F604">
        <v>8</v>
      </c>
      <c r="G604">
        <v>11</v>
      </c>
      <c r="H604">
        <v>1</v>
      </c>
      <c r="I604" t="s">
        <v>23</v>
      </c>
      <c r="J604">
        <v>88</v>
      </c>
      <c r="K604" t="s">
        <v>40</v>
      </c>
      <c r="L604">
        <v>110</v>
      </c>
      <c r="M604">
        <f>IF(D604=I604,VLOOKUP(D604,a_win_totals_lookup,MATCH(K604,a_wins_total_lookup_header,0)+1,0),VLOOKUP(D604,a_win_totals_lookup,MATCH(I604,a_wins_total_lookup_header,0)+1,0))</f>
        <v>0.35087017426187905</v>
      </c>
      <c r="N604">
        <f t="shared" ca="1" si="9"/>
        <v>0</v>
      </c>
    </row>
    <row r="605" spans="1:14" x14ac:dyDescent="0.25">
      <c r="A605">
        <v>400578595</v>
      </c>
      <c r="B605">
        <v>2015</v>
      </c>
      <c r="C605" s="1">
        <v>41981</v>
      </c>
      <c r="D605" t="s">
        <v>40</v>
      </c>
      <c r="E605">
        <v>1</v>
      </c>
      <c r="F605">
        <v>12</v>
      </c>
      <c r="G605">
        <v>7</v>
      </c>
      <c r="H605">
        <v>0</v>
      </c>
      <c r="I605" t="s">
        <v>23</v>
      </c>
      <c r="J605">
        <v>88</v>
      </c>
      <c r="K605" t="s">
        <v>40</v>
      </c>
      <c r="L605">
        <v>110</v>
      </c>
      <c r="M605">
        <f>IF(D605=I605,VLOOKUP(D605,a_win_totals_lookup,MATCH(K605,a_wins_total_lookup_header,0)+1,0),VLOOKUP(D605,a_win_totals_lookup,MATCH(I605,a_wins_total_lookup_header,0)+1,0))</f>
        <v>0.64912982573812106</v>
      </c>
      <c r="N605">
        <f t="shared" ca="1" si="9"/>
        <v>1</v>
      </c>
    </row>
    <row r="606" spans="1:14" x14ac:dyDescent="0.25">
      <c r="A606">
        <v>400578596</v>
      </c>
      <c r="B606">
        <v>2015</v>
      </c>
      <c r="C606" s="1">
        <v>41981</v>
      </c>
      <c r="D606" t="s">
        <v>32</v>
      </c>
      <c r="E606">
        <v>0</v>
      </c>
      <c r="F606">
        <v>9</v>
      </c>
      <c r="G606">
        <v>12</v>
      </c>
      <c r="H606">
        <v>0</v>
      </c>
      <c r="I606" t="s">
        <v>27</v>
      </c>
      <c r="J606">
        <v>112</v>
      </c>
      <c r="K606" t="s">
        <v>32</v>
      </c>
      <c r="L606">
        <v>107</v>
      </c>
      <c r="M606">
        <f>IF(D606=I606,VLOOKUP(D606,a_win_totals_lookup,MATCH(K606,a_wins_total_lookup_header,0)+1,0),VLOOKUP(D606,a_win_totals_lookup,MATCH(I606,a_wins_total_lookup_header,0)+1,0))</f>
        <v>0.38459864577188729</v>
      </c>
      <c r="N606">
        <f t="shared" ca="1" si="9"/>
        <v>0</v>
      </c>
    </row>
    <row r="607" spans="1:14" x14ac:dyDescent="0.25">
      <c r="A607">
        <v>400578596</v>
      </c>
      <c r="B607">
        <v>2015</v>
      </c>
      <c r="C607" s="1">
        <v>41981</v>
      </c>
      <c r="D607" t="s">
        <v>27</v>
      </c>
      <c r="E607">
        <v>1</v>
      </c>
      <c r="F607">
        <v>16</v>
      </c>
      <c r="G607">
        <v>5</v>
      </c>
      <c r="H607">
        <v>1</v>
      </c>
      <c r="I607" t="s">
        <v>27</v>
      </c>
      <c r="J607">
        <v>112</v>
      </c>
      <c r="K607" t="s">
        <v>32</v>
      </c>
      <c r="L607">
        <v>107</v>
      </c>
      <c r="M607">
        <f>IF(D607=I607,VLOOKUP(D607,a_win_totals_lookup,MATCH(K607,a_wins_total_lookup_header,0)+1,0),VLOOKUP(D607,a_win_totals_lookup,MATCH(I607,a_wins_total_lookup_header,0)+1,0))</f>
        <v>0.61540135422811282</v>
      </c>
      <c r="N607">
        <f t="shared" ca="1" si="9"/>
        <v>1</v>
      </c>
    </row>
    <row r="608" spans="1:14" x14ac:dyDescent="0.25">
      <c r="A608">
        <v>400578597</v>
      </c>
      <c r="B608">
        <v>2015</v>
      </c>
      <c r="C608" s="1">
        <v>41981</v>
      </c>
      <c r="D608" t="s">
        <v>36</v>
      </c>
      <c r="E608">
        <v>1</v>
      </c>
      <c r="F608">
        <v>18</v>
      </c>
      <c r="G608">
        <v>2</v>
      </c>
      <c r="H608">
        <v>0</v>
      </c>
      <c r="I608" t="s">
        <v>29</v>
      </c>
      <c r="J608">
        <v>86</v>
      </c>
      <c r="K608" t="s">
        <v>36</v>
      </c>
      <c r="L608">
        <v>102</v>
      </c>
      <c r="M608">
        <f>IF(D608=I608,VLOOKUP(D608,a_win_totals_lookup,MATCH(K608,a_wins_total_lookup_header,0)+1,0),VLOOKUP(D608,a_win_totals_lookup,MATCH(I608,a_wins_total_lookup_header,0)+1,0))</f>
        <v>0.7640426735507897</v>
      </c>
      <c r="N608">
        <f t="shared" ca="1" si="9"/>
        <v>1</v>
      </c>
    </row>
    <row r="609" spans="1:14" x14ac:dyDescent="0.25">
      <c r="A609">
        <v>400578597</v>
      </c>
      <c r="B609">
        <v>2015</v>
      </c>
      <c r="C609" s="1">
        <v>41981</v>
      </c>
      <c r="D609" t="s">
        <v>29</v>
      </c>
      <c r="E609">
        <v>0</v>
      </c>
      <c r="F609">
        <v>4</v>
      </c>
      <c r="G609">
        <v>16</v>
      </c>
      <c r="H609">
        <v>1</v>
      </c>
      <c r="I609" t="s">
        <v>29</v>
      </c>
      <c r="J609">
        <v>86</v>
      </c>
      <c r="K609" t="s">
        <v>36</v>
      </c>
      <c r="L609">
        <v>102</v>
      </c>
      <c r="M609">
        <f>IF(D609=I609,VLOOKUP(D609,a_win_totals_lookup,MATCH(K609,a_wins_total_lookup_header,0)+1,0),VLOOKUP(D609,a_win_totals_lookup,MATCH(I609,a_wins_total_lookup_header,0)+1,0))</f>
        <v>0.23595732644921025</v>
      </c>
      <c r="N609">
        <f t="shared" ca="1" si="9"/>
        <v>1</v>
      </c>
    </row>
    <row r="610" spans="1:14" x14ac:dyDescent="0.25">
      <c r="A610">
        <v>400578598</v>
      </c>
      <c r="B610">
        <v>2015</v>
      </c>
      <c r="C610" s="1">
        <v>41981</v>
      </c>
      <c r="D610" t="s">
        <v>37</v>
      </c>
      <c r="E610">
        <v>1</v>
      </c>
      <c r="F610">
        <v>11</v>
      </c>
      <c r="G610">
        <v>10</v>
      </c>
      <c r="H610">
        <v>1</v>
      </c>
      <c r="I610" t="s">
        <v>37</v>
      </c>
      <c r="J610">
        <v>101</v>
      </c>
      <c r="K610" t="s">
        <v>34</v>
      </c>
      <c r="L610">
        <v>92</v>
      </c>
      <c r="M610">
        <f>IF(D610=I610,VLOOKUP(D610,a_win_totals_lookup,MATCH(K610,a_wins_total_lookup_header,0)+1,0),VLOOKUP(D610,a_win_totals_lookup,MATCH(I610,a_wins_total_lookup_header,0)+1,0))</f>
        <v>0.53496419100371084</v>
      </c>
      <c r="N610">
        <f t="shared" ca="1" si="9"/>
        <v>1</v>
      </c>
    </row>
    <row r="611" spans="1:14" x14ac:dyDescent="0.25">
      <c r="A611">
        <v>400578598</v>
      </c>
      <c r="B611">
        <v>2015</v>
      </c>
      <c r="C611" s="1">
        <v>41981</v>
      </c>
      <c r="D611" t="s">
        <v>34</v>
      </c>
      <c r="E611">
        <v>0</v>
      </c>
      <c r="F611">
        <v>5</v>
      </c>
      <c r="G611">
        <v>16</v>
      </c>
      <c r="H611">
        <v>0</v>
      </c>
      <c r="I611" t="s">
        <v>37</v>
      </c>
      <c r="J611">
        <v>101</v>
      </c>
      <c r="K611" t="s">
        <v>34</v>
      </c>
      <c r="L611">
        <v>92</v>
      </c>
      <c r="M611">
        <f>IF(D611=I611,VLOOKUP(D611,a_win_totals_lookup,MATCH(K611,a_wins_total_lookup_header,0)+1,0),VLOOKUP(D611,a_win_totals_lookup,MATCH(I611,a_wins_total_lookup_header,0)+1,0))</f>
        <v>0.46503580899628916</v>
      </c>
      <c r="N611">
        <f t="shared" ca="1" si="9"/>
        <v>1</v>
      </c>
    </row>
    <row r="612" spans="1:14" x14ac:dyDescent="0.25">
      <c r="A612">
        <v>400578599</v>
      </c>
      <c r="B612">
        <v>2015</v>
      </c>
      <c r="C612" s="1">
        <v>41981</v>
      </c>
      <c r="D612" t="s">
        <v>41</v>
      </c>
      <c r="E612">
        <v>1</v>
      </c>
      <c r="F612">
        <v>15</v>
      </c>
      <c r="G612">
        <v>5</v>
      </c>
      <c r="H612">
        <v>1</v>
      </c>
      <c r="I612" t="s">
        <v>41</v>
      </c>
      <c r="J612">
        <v>121</v>
      </c>
      <c r="K612" t="s">
        <v>35</v>
      </c>
      <c r="L612">
        <v>120</v>
      </c>
      <c r="M612">
        <f>IF(D612=I612,VLOOKUP(D612,a_win_totals_lookup,MATCH(K612,a_wins_total_lookup_header,0)+1,0),VLOOKUP(D612,a_win_totals_lookup,MATCH(I612,a_wins_total_lookup_header,0)+1,0))</f>
        <v>0.6124771173739717</v>
      </c>
      <c r="N612">
        <f t="shared" ca="1" si="9"/>
        <v>0</v>
      </c>
    </row>
    <row r="613" spans="1:14" x14ac:dyDescent="0.25">
      <c r="A613">
        <v>400578599</v>
      </c>
      <c r="B613">
        <v>2015</v>
      </c>
      <c r="C613" s="1">
        <v>41981</v>
      </c>
      <c r="D613" t="s">
        <v>35</v>
      </c>
      <c r="E613">
        <v>0</v>
      </c>
      <c r="F613">
        <v>12</v>
      </c>
      <c r="G613">
        <v>10</v>
      </c>
      <c r="H613">
        <v>0</v>
      </c>
      <c r="I613" t="s">
        <v>41</v>
      </c>
      <c r="J613">
        <v>121</v>
      </c>
      <c r="K613" t="s">
        <v>35</v>
      </c>
      <c r="L613">
        <v>120</v>
      </c>
      <c r="M613">
        <f>IF(D613=I613,VLOOKUP(D613,a_win_totals_lookup,MATCH(K613,a_wins_total_lookup_header,0)+1,0),VLOOKUP(D613,a_win_totals_lookup,MATCH(I613,a_wins_total_lookup_header,0)+1,0))</f>
        <v>0.3875228826260283</v>
      </c>
      <c r="N613">
        <f t="shared" ca="1" si="9"/>
        <v>1</v>
      </c>
    </row>
    <row r="614" spans="1:14" x14ac:dyDescent="0.25">
      <c r="A614">
        <v>400578600</v>
      </c>
      <c r="B614">
        <v>2015</v>
      </c>
      <c r="C614" s="1">
        <v>41982</v>
      </c>
      <c r="D614" t="s">
        <v>40</v>
      </c>
      <c r="E614">
        <v>1</v>
      </c>
      <c r="F614">
        <v>13</v>
      </c>
      <c r="G614">
        <v>7</v>
      </c>
      <c r="H614">
        <v>1</v>
      </c>
      <c r="I614" t="s">
        <v>40</v>
      </c>
      <c r="J614">
        <v>105</v>
      </c>
      <c r="K614" t="s">
        <v>27</v>
      </c>
      <c r="L614">
        <v>101</v>
      </c>
      <c r="M614">
        <f>IF(D614=I614,VLOOKUP(D614,a_win_totals_lookup,MATCH(K614,a_wins_total_lookup_header,0)+1,0),VLOOKUP(D614,a_win_totals_lookup,MATCH(I614,a_wins_total_lookup_header,0)+1,0))</f>
        <v>0.53622195991228083</v>
      </c>
      <c r="N614">
        <f t="shared" ca="1" si="9"/>
        <v>1</v>
      </c>
    </row>
    <row r="615" spans="1:14" x14ac:dyDescent="0.25">
      <c r="A615">
        <v>400578600</v>
      </c>
      <c r="B615">
        <v>2015</v>
      </c>
      <c r="C615" s="1">
        <v>41982</v>
      </c>
      <c r="D615" t="s">
        <v>27</v>
      </c>
      <c r="E615">
        <v>0</v>
      </c>
      <c r="F615">
        <v>16</v>
      </c>
      <c r="G615">
        <v>6</v>
      </c>
      <c r="H615">
        <v>0</v>
      </c>
      <c r="I615" t="s">
        <v>40</v>
      </c>
      <c r="J615">
        <v>105</v>
      </c>
      <c r="K615" t="s">
        <v>27</v>
      </c>
      <c r="L615">
        <v>101</v>
      </c>
      <c r="M615">
        <f>IF(D615=I615,VLOOKUP(D615,a_win_totals_lookup,MATCH(K615,a_wins_total_lookup_header,0)+1,0),VLOOKUP(D615,a_win_totals_lookup,MATCH(I615,a_wins_total_lookup_header,0)+1,0))</f>
        <v>0.46377804008771911</v>
      </c>
      <c r="N615">
        <f t="shared" ca="1" si="9"/>
        <v>1</v>
      </c>
    </row>
    <row r="616" spans="1:14" x14ac:dyDescent="0.25">
      <c r="A616">
        <v>400578601</v>
      </c>
      <c r="B616">
        <v>2015</v>
      </c>
      <c r="C616" s="1">
        <v>41982</v>
      </c>
      <c r="D616" t="s">
        <v>33</v>
      </c>
      <c r="E616">
        <v>0</v>
      </c>
      <c r="F616">
        <v>3</v>
      </c>
      <c r="G616">
        <v>19</v>
      </c>
      <c r="H616">
        <v>1</v>
      </c>
      <c r="I616" t="s">
        <v>33</v>
      </c>
      <c r="J616">
        <v>86</v>
      </c>
      <c r="K616" t="s">
        <v>39</v>
      </c>
      <c r="L616">
        <v>98</v>
      </c>
      <c r="M616">
        <f>IF(D616=I616,VLOOKUP(D616,a_win_totals_lookup,MATCH(K616,a_wins_total_lookup_header,0)+1,0),VLOOKUP(D616,a_win_totals_lookup,MATCH(I616,a_wins_total_lookup_header,0)+1,0))</f>
        <v>0.36586440898919931</v>
      </c>
      <c r="N616">
        <f t="shared" ca="1" si="9"/>
        <v>0</v>
      </c>
    </row>
    <row r="617" spans="1:14" x14ac:dyDescent="0.25">
      <c r="A617">
        <v>400578601</v>
      </c>
      <c r="B617">
        <v>2015</v>
      </c>
      <c r="C617" s="1">
        <v>41982</v>
      </c>
      <c r="D617" t="s">
        <v>39</v>
      </c>
      <c r="E617">
        <v>1</v>
      </c>
      <c r="F617">
        <v>17</v>
      </c>
      <c r="G617">
        <v>4</v>
      </c>
      <c r="H617">
        <v>0</v>
      </c>
      <c r="I617" t="s">
        <v>33</v>
      </c>
      <c r="J617">
        <v>86</v>
      </c>
      <c r="K617" t="s">
        <v>39</v>
      </c>
      <c r="L617">
        <v>98</v>
      </c>
      <c r="M617">
        <f>IF(D617=I617,VLOOKUP(D617,a_win_totals_lookup,MATCH(K617,a_wins_total_lookup_header,0)+1,0),VLOOKUP(D617,a_win_totals_lookup,MATCH(I617,a_wins_total_lookup_header,0)+1,0))</f>
        <v>0.63413559101080075</v>
      </c>
      <c r="N617">
        <f t="shared" ca="1" si="9"/>
        <v>1</v>
      </c>
    </row>
    <row r="618" spans="1:14" x14ac:dyDescent="0.25">
      <c r="A618">
        <v>400578602</v>
      </c>
      <c r="B618">
        <v>2015</v>
      </c>
      <c r="C618" s="1">
        <v>41982</v>
      </c>
      <c r="D618" t="s">
        <v>14</v>
      </c>
      <c r="E618">
        <v>0</v>
      </c>
      <c r="F618">
        <v>16</v>
      </c>
      <c r="G618">
        <v>7</v>
      </c>
      <c r="H618">
        <v>0</v>
      </c>
      <c r="I618" t="s">
        <v>28</v>
      </c>
      <c r="J618">
        <v>114</v>
      </c>
      <c r="K618" t="s">
        <v>14</v>
      </c>
      <c r="L618">
        <v>105</v>
      </c>
      <c r="M618">
        <f>IF(D618=I618,VLOOKUP(D618,a_win_totals_lookup,MATCH(K618,a_wins_total_lookup_header,0)+1,0),VLOOKUP(D618,a_win_totals_lookup,MATCH(I618,a_wins_total_lookup_header,0)+1,0))</f>
        <v>0.51604205889789367</v>
      </c>
      <c r="N618">
        <f t="shared" ca="1" si="9"/>
        <v>1</v>
      </c>
    </row>
    <row r="619" spans="1:14" x14ac:dyDescent="0.25">
      <c r="A619">
        <v>400578602</v>
      </c>
      <c r="B619">
        <v>2015</v>
      </c>
      <c r="C619" s="1">
        <v>41982</v>
      </c>
      <c r="D619" t="s">
        <v>28</v>
      </c>
      <c r="E619">
        <v>1</v>
      </c>
      <c r="F619">
        <v>17</v>
      </c>
      <c r="G619">
        <v>4</v>
      </c>
      <c r="H619">
        <v>1</v>
      </c>
      <c r="I619" t="s">
        <v>28</v>
      </c>
      <c r="J619">
        <v>114</v>
      </c>
      <c r="K619" t="s">
        <v>14</v>
      </c>
      <c r="L619">
        <v>105</v>
      </c>
      <c r="M619">
        <f>IF(D619=I619,VLOOKUP(D619,a_win_totals_lookup,MATCH(K619,a_wins_total_lookup_header,0)+1,0),VLOOKUP(D619,a_win_totals_lookup,MATCH(I619,a_wins_total_lookup_header,0)+1,0))</f>
        <v>0.48395794110210644</v>
      </c>
      <c r="N619">
        <f t="shared" ca="1" si="9"/>
        <v>0</v>
      </c>
    </row>
    <row r="620" spans="1:14" x14ac:dyDescent="0.25">
      <c r="A620">
        <v>400578603</v>
      </c>
      <c r="B620">
        <v>2015</v>
      </c>
      <c r="C620" s="1">
        <v>41982</v>
      </c>
      <c r="D620" t="s">
        <v>12</v>
      </c>
      <c r="E620">
        <v>1</v>
      </c>
      <c r="F620">
        <v>10</v>
      </c>
      <c r="G620">
        <v>10</v>
      </c>
      <c r="H620">
        <v>1</v>
      </c>
      <c r="I620" t="s">
        <v>12</v>
      </c>
      <c r="J620">
        <v>104</v>
      </c>
      <c r="K620" t="s">
        <v>31</v>
      </c>
      <c r="L620">
        <v>93</v>
      </c>
      <c r="M620">
        <f>IF(D620=I620,VLOOKUP(D620,a_win_totals_lookup,MATCH(K620,a_wins_total_lookup_header,0)+1,0),VLOOKUP(D620,a_win_totals_lookup,MATCH(I620,a_wins_total_lookup_header,0)+1,0))</f>
        <v>0.51374213125471302</v>
      </c>
      <c r="N620">
        <f t="shared" ca="1" si="9"/>
        <v>0</v>
      </c>
    </row>
    <row r="621" spans="1:14" x14ac:dyDescent="0.25">
      <c r="A621">
        <v>400578603</v>
      </c>
      <c r="B621">
        <v>2015</v>
      </c>
      <c r="C621" s="1">
        <v>41982</v>
      </c>
      <c r="D621" t="s">
        <v>31</v>
      </c>
      <c r="E621">
        <v>0</v>
      </c>
      <c r="F621">
        <v>4</v>
      </c>
      <c r="G621">
        <v>19</v>
      </c>
      <c r="H621">
        <v>0</v>
      </c>
      <c r="I621" t="s">
        <v>12</v>
      </c>
      <c r="J621">
        <v>104</v>
      </c>
      <c r="K621" t="s">
        <v>31</v>
      </c>
      <c r="L621">
        <v>93</v>
      </c>
      <c r="M621">
        <f>IF(D621=I621,VLOOKUP(D621,a_win_totals_lookup,MATCH(K621,a_wins_total_lookup_header,0)+1,0),VLOOKUP(D621,a_win_totals_lookup,MATCH(I621,a_wins_total_lookup_header,0)+1,0))</f>
        <v>0.48625786874528693</v>
      </c>
      <c r="N621">
        <f t="shared" ca="1" si="9"/>
        <v>1</v>
      </c>
    </row>
    <row r="622" spans="1:14" x14ac:dyDescent="0.25">
      <c r="A622">
        <v>400578604</v>
      </c>
      <c r="B622">
        <v>2015</v>
      </c>
      <c r="C622" s="1">
        <v>41982</v>
      </c>
      <c r="D622" t="s">
        <v>19</v>
      </c>
      <c r="E622">
        <v>0</v>
      </c>
      <c r="F622">
        <v>11</v>
      </c>
      <c r="G622">
        <v>12</v>
      </c>
      <c r="H622">
        <v>0</v>
      </c>
      <c r="I622" t="s">
        <v>38</v>
      </c>
      <c r="J622">
        <v>114</v>
      </c>
      <c r="K622" t="s">
        <v>19</v>
      </c>
      <c r="L622">
        <v>101</v>
      </c>
      <c r="M622">
        <f>IF(D622=I622,VLOOKUP(D622,a_win_totals_lookup,MATCH(K622,a_wins_total_lookup_header,0)+1,0),VLOOKUP(D622,a_win_totals_lookup,MATCH(I622,a_wins_total_lookup_header,0)+1,0))</f>
        <v>0.24508092358960609</v>
      </c>
      <c r="N622">
        <f t="shared" ca="1" si="9"/>
        <v>1</v>
      </c>
    </row>
    <row r="623" spans="1:14" x14ac:dyDescent="0.25">
      <c r="A623">
        <v>400578604</v>
      </c>
      <c r="B623">
        <v>2015</v>
      </c>
      <c r="C623" s="1">
        <v>41982</v>
      </c>
      <c r="D623" t="s">
        <v>38</v>
      </c>
      <c r="E623">
        <v>1</v>
      </c>
      <c r="F623">
        <v>8</v>
      </c>
      <c r="G623">
        <v>13</v>
      </c>
      <c r="H623">
        <v>1</v>
      </c>
      <c r="I623" t="s">
        <v>38</v>
      </c>
      <c r="J623">
        <v>114</v>
      </c>
      <c r="K623" t="s">
        <v>19</v>
      </c>
      <c r="L623">
        <v>101</v>
      </c>
      <c r="M623">
        <f>IF(D623=I623,VLOOKUP(D623,a_win_totals_lookup,MATCH(K623,a_wins_total_lookup_header,0)+1,0),VLOOKUP(D623,a_win_totals_lookup,MATCH(I623,a_wins_total_lookup_header,0)+1,0))</f>
        <v>0.75491907641039391</v>
      </c>
      <c r="N623">
        <f t="shared" ca="1" si="9"/>
        <v>0</v>
      </c>
    </row>
    <row r="624" spans="1:14" x14ac:dyDescent="0.25">
      <c r="A624">
        <v>400578605</v>
      </c>
      <c r="B624">
        <v>2015</v>
      </c>
      <c r="C624" s="1">
        <v>41982</v>
      </c>
      <c r="D624" t="s">
        <v>24</v>
      </c>
      <c r="E624">
        <v>1</v>
      </c>
      <c r="F624">
        <v>10</v>
      </c>
      <c r="G624">
        <v>11</v>
      </c>
      <c r="H624">
        <v>0</v>
      </c>
      <c r="I624" t="s">
        <v>35</v>
      </c>
      <c r="J624">
        <v>97</v>
      </c>
      <c r="K624" t="s">
        <v>24</v>
      </c>
      <c r="L624">
        <v>103</v>
      </c>
      <c r="M624">
        <f>IF(D624=I624,VLOOKUP(D624,a_win_totals_lookup,MATCH(K624,a_wins_total_lookup_header,0)+1,0),VLOOKUP(D624,a_win_totals_lookup,MATCH(I624,a_wins_total_lookup_header,0)+1,0))</f>
        <v>0.51187341744563697</v>
      </c>
      <c r="N624">
        <f t="shared" ca="1" si="9"/>
        <v>1</v>
      </c>
    </row>
    <row r="625" spans="1:14" x14ac:dyDescent="0.25">
      <c r="A625">
        <v>400578605</v>
      </c>
      <c r="B625">
        <v>2015</v>
      </c>
      <c r="C625" s="1">
        <v>41982</v>
      </c>
      <c r="D625" t="s">
        <v>35</v>
      </c>
      <c r="E625">
        <v>0</v>
      </c>
      <c r="F625">
        <v>12</v>
      </c>
      <c r="G625">
        <v>11</v>
      </c>
      <c r="H625">
        <v>1</v>
      </c>
      <c r="I625" t="s">
        <v>35</v>
      </c>
      <c r="J625">
        <v>97</v>
      </c>
      <c r="K625" t="s">
        <v>24</v>
      </c>
      <c r="L625">
        <v>103</v>
      </c>
      <c r="M625">
        <f>IF(D625=I625,VLOOKUP(D625,a_win_totals_lookup,MATCH(K625,a_wins_total_lookup_header,0)+1,0),VLOOKUP(D625,a_win_totals_lookup,MATCH(I625,a_wins_total_lookup_header,0)+1,0))</f>
        <v>0.48812658255436298</v>
      </c>
      <c r="N625">
        <f t="shared" ca="1" si="9"/>
        <v>1</v>
      </c>
    </row>
    <row r="626" spans="1:14" x14ac:dyDescent="0.25">
      <c r="A626">
        <v>400578606</v>
      </c>
      <c r="B626">
        <v>2015</v>
      </c>
      <c r="C626" s="1">
        <v>41982</v>
      </c>
      <c r="D626" t="s">
        <v>15</v>
      </c>
      <c r="E626">
        <v>0</v>
      </c>
      <c r="F626">
        <v>15</v>
      </c>
      <c r="G626">
        <v>6</v>
      </c>
      <c r="H626">
        <v>0</v>
      </c>
      <c r="I626" t="s">
        <v>34</v>
      </c>
      <c r="J626">
        <v>100</v>
      </c>
      <c r="K626" t="s">
        <v>15</v>
      </c>
      <c r="L626">
        <v>96</v>
      </c>
      <c r="M626">
        <f>IF(D626=I626,VLOOKUP(D626,a_win_totals_lookup,MATCH(K626,a_wins_total_lookup_header,0)+1,0),VLOOKUP(D626,a_win_totals_lookup,MATCH(I626,a_wins_total_lookup_header,0)+1,0))</f>
        <v>0.73595070405215601</v>
      </c>
      <c r="N626">
        <f t="shared" ca="1" si="9"/>
        <v>1</v>
      </c>
    </row>
    <row r="627" spans="1:14" x14ac:dyDescent="0.25">
      <c r="A627">
        <v>400578606</v>
      </c>
      <c r="B627">
        <v>2015</v>
      </c>
      <c r="C627" s="1">
        <v>41982</v>
      </c>
      <c r="D627" t="s">
        <v>34</v>
      </c>
      <c r="E627">
        <v>1</v>
      </c>
      <c r="F627">
        <v>6</v>
      </c>
      <c r="G627">
        <v>16</v>
      </c>
      <c r="H627">
        <v>1</v>
      </c>
      <c r="I627" t="s">
        <v>34</v>
      </c>
      <c r="J627">
        <v>100</v>
      </c>
      <c r="K627" t="s">
        <v>15</v>
      </c>
      <c r="L627">
        <v>96</v>
      </c>
      <c r="M627">
        <f>IF(D627=I627,VLOOKUP(D627,a_win_totals_lookup,MATCH(K627,a_wins_total_lookup_header,0)+1,0),VLOOKUP(D627,a_win_totals_lookup,MATCH(I627,a_wins_total_lookup_header,0)+1,0))</f>
        <v>0.26404929594784404</v>
      </c>
      <c r="N627">
        <f t="shared" ca="1" si="9"/>
        <v>1</v>
      </c>
    </row>
    <row r="628" spans="1:14" x14ac:dyDescent="0.25">
      <c r="A628">
        <v>400578607</v>
      </c>
      <c r="B628">
        <v>2015</v>
      </c>
      <c r="C628" s="1">
        <v>41982</v>
      </c>
      <c r="D628" t="s">
        <v>17</v>
      </c>
      <c r="E628">
        <v>1</v>
      </c>
      <c r="F628">
        <v>6</v>
      </c>
      <c r="G628">
        <v>16</v>
      </c>
      <c r="H628">
        <v>1</v>
      </c>
      <c r="I628" t="s">
        <v>17</v>
      </c>
      <c r="J628">
        <v>98</v>
      </c>
      <c r="K628" t="s">
        <v>37</v>
      </c>
      <c r="L628">
        <v>95</v>
      </c>
      <c r="M628">
        <f>IF(D628=I628,VLOOKUP(D628,a_win_totals_lookup,MATCH(K628,a_wins_total_lookup_header,0)+1,0),VLOOKUP(D628,a_win_totals_lookup,MATCH(I628,a_wins_total_lookup_header,0)+1,0))</f>
        <v>0.5</v>
      </c>
      <c r="N628">
        <f t="shared" ca="1" si="9"/>
        <v>0</v>
      </c>
    </row>
    <row r="629" spans="1:14" x14ac:dyDescent="0.25">
      <c r="A629">
        <v>400578607</v>
      </c>
      <c r="B629">
        <v>2015</v>
      </c>
      <c r="C629" s="1">
        <v>41982</v>
      </c>
      <c r="D629" t="s">
        <v>37</v>
      </c>
      <c r="E629">
        <v>0</v>
      </c>
      <c r="F629">
        <v>11</v>
      </c>
      <c r="G629">
        <v>11</v>
      </c>
      <c r="H629">
        <v>0</v>
      </c>
      <c r="I629" t="s">
        <v>17</v>
      </c>
      <c r="J629">
        <v>98</v>
      </c>
      <c r="K629" t="s">
        <v>37</v>
      </c>
      <c r="L629">
        <v>95</v>
      </c>
      <c r="M629">
        <f>IF(D629=I629,VLOOKUP(D629,a_win_totals_lookup,MATCH(K629,a_wins_total_lookup_header,0)+1,0),VLOOKUP(D629,a_win_totals_lookup,MATCH(I629,a_wins_total_lookup_header,0)+1,0))</f>
        <v>0.5</v>
      </c>
      <c r="N629">
        <f t="shared" ca="1" si="9"/>
        <v>1</v>
      </c>
    </row>
    <row r="630" spans="1:14" x14ac:dyDescent="0.25">
      <c r="A630">
        <v>400578608</v>
      </c>
      <c r="B630">
        <v>2015</v>
      </c>
      <c r="C630" s="1">
        <v>41983</v>
      </c>
      <c r="D630" t="s">
        <v>22</v>
      </c>
      <c r="E630">
        <v>0</v>
      </c>
      <c r="F630">
        <v>7</v>
      </c>
      <c r="G630">
        <v>13</v>
      </c>
      <c r="H630">
        <v>0</v>
      </c>
      <c r="I630" t="s">
        <v>18</v>
      </c>
      <c r="J630">
        <v>96</v>
      </c>
      <c r="K630" t="s">
        <v>22</v>
      </c>
      <c r="L630">
        <v>87</v>
      </c>
      <c r="M630">
        <f>IF(D630=I630,VLOOKUP(D630,a_win_totals_lookup,MATCH(K630,a_wins_total_lookup_header,0)+1,0),VLOOKUP(D630,a_win_totals_lookup,MATCH(I630,a_wins_total_lookup_header,0)+1,0))</f>
        <v>0.28373903306292714</v>
      </c>
      <c r="N630">
        <f t="shared" ca="1" si="9"/>
        <v>0</v>
      </c>
    </row>
    <row r="631" spans="1:14" x14ac:dyDescent="0.25">
      <c r="A631">
        <v>400578608</v>
      </c>
      <c r="B631">
        <v>2015</v>
      </c>
      <c r="C631" s="1">
        <v>41983</v>
      </c>
      <c r="D631" t="s">
        <v>18</v>
      </c>
      <c r="E631">
        <v>1</v>
      </c>
      <c r="F631">
        <v>6</v>
      </c>
      <c r="G631">
        <v>15</v>
      </c>
      <c r="H631">
        <v>1</v>
      </c>
      <c r="I631" t="s">
        <v>18</v>
      </c>
      <c r="J631">
        <v>96</v>
      </c>
      <c r="K631" t="s">
        <v>22</v>
      </c>
      <c r="L631">
        <v>87</v>
      </c>
      <c r="M631">
        <f>IF(D631=I631,VLOOKUP(D631,a_win_totals_lookup,MATCH(K631,a_wins_total_lookup_header,0)+1,0),VLOOKUP(D631,a_win_totals_lookup,MATCH(I631,a_wins_total_lookup_header,0)+1,0))</f>
        <v>0.71626096693707286</v>
      </c>
      <c r="N631">
        <f t="shared" ca="1" si="9"/>
        <v>1</v>
      </c>
    </row>
    <row r="632" spans="1:14" x14ac:dyDescent="0.25">
      <c r="A632">
        <v>400578609</v>
      </c>
      <c r="B632">
        <v>2015</v>
      </c>
      <c r="C632" s="1">
        <v>41983</v>
      </c>
      <c r="D632" t="s">
        <v>20</v>
      </c>
      <c r="E632">
        <v>0</v>
      </c>
      <c r="F632">
        <v>7</v>
      </c>
      <c r="G632">
        <v>15</v>
      </c>
      <c r="H632">
        <v>1</v>
      </c>
      <c r="I632" t="s">
        <v>20</v>
      </c>
      <c r="J632">
        <v>96</v>
      </c>
      <c r="K632" t="s">
        <v>41</v>
      </c>
      <c r="L632">
        <v>103</v>
      </c>
      <c r="M632">
        <f>IF(D632=I632,VLOOKUP(D632,a_win_totals_lookup,MATCH(K632,a_wins_total_lookup_header,0)+1,0),VLOOKUP(D632,a_win_totals_lookup,MATCH(I632,a_wins_total_lookup_header,0)+1,0))</f>
        <v>0.29747885135041813</v>
      </c>
      <c r="N632">
        <f t="shared" ca="1" si="9"/>
        <v>0</v>
      </c>
    </row>
    <row r="633" spans="1:14" x14ac:dyDescent="0.25">
      <c r="A633">
        <v>400578609</v>
      </c>
      <c r="B633">
        <v>2015</v>
      </c>
      <c r="C633" s="1">
        <v>41983</v>
      </c>
      <c r="D633" t="s">
        <v>41</v>
      </c>
      <c r="E633">
        <v>1</v>
      </c>
      <c r="F633">
        <v>16</v>
      </c>
      <c r="G633">
        <v>5</v>
      </c>
      <c r="H633">
        <v>0</v>
      </c>
      <c r="I633" t="s">
        <v>20</v>
      </c>
      <c r="J633">
        <v>96</v>
      </c>
      <c r="K633" t="s">
        <v>41</v>
      </c>
      <c r="L633">
        <v>103</v>
      </c>
      <c r="M633">
        <f>IF(D633=I633,VLOOKUP(D633,a_win_totals_lookup,MATCH(K633,a_wins_total_lookup_header,0)+1,0),VLOOKUP(D633,a_win_totals_lookup,MATCH(I633,a_wins_total_lookup_header,0)+1,0))</f>
        <v>0.70252114864958182</v>
      </c>
      <c r="N633">
        <f t="shared" ca="1" si="9"/>
        <v>1</v>
      </c>
    </row>
    <row r="634" spans="1:14" x14ac:dyDescent="0.25">
      <c r="A634">
        <v>400578610</v>
      </c>
      <c r="B634">
        <v>2015</v>
      </c>
      <c r="C634" s="1">
        <v>41983</v>
      </c>
      <c r="D634" t="s">
        <v>13</v>
      </c>
      <c r="E634">
        <v>0</v>
      </c>
      <c r="F634">
        <v>9</v>
      </c>
      <c r="G634">
        <v>15</v>
      </c>
      <c r="H634">
        <v>1</v>
      </c>
      <c r="I634" t="s">
        <v>13</v>
      </c>
      <c r="J634">
        <v>89</v>
      </c>
      <c r="K634" t="s">
        <v>25</v>
      </c>
      <c r="L634">
        <v>91</v>
      </c>
      <c r="M634">
        <f>IF(D634=I634,VLOOKUP(D634,a_win_totals_lookup,MATCH(K634,a_wins_total_lookup_header,0)+1,0),VLOOKUP(D634,a_win_totals_lookup,MATCH(I634,a_wins_total_lookup_header,0)+1,0))</f>
        <v>0.31352139396241918</v>
      </c>
      <c r="N634">
        <f t="shared" ca="1" si="9"/>
        <v>0</v>
      </c>
    </row>
    <row r="635" spans="1:14" x14ac:dyDescent="0.25">
      <c r="A635">
        <v>400578610</v>
      </c>
      <c r="B635">
        <v>2015</v>
      </c>
      <c r="C635" s="1">
        <v>41983</v>
      </c>
      <c r="D635" t="s">
        <v>25</v>
      </c>
      <c r="E635">
        <v>1</v>
      </c>
      <c r="F635">
        <v>15</v>
      </c>
      <c r="G635">
        <v>6</v>
      </c>
      <c r="H635">
        <v>0</v>
      </c>
      <c r="I635" t="s">
        <v>13</v>
      </c>
      <c r="J635">
        <v>89</v>
      </c>
      <c r="K635" t="s">
        <v>25</v>
      </c>
      <c r="L635">
        <v>91</v>
      </c>
      <c r="M635">
        <f>IF(D635=I635,VLOOKUP(D635,a_win_totals_lookup,MATCH(K635,a_wins_total_lookup_header,0)+1,0),VLOOKUP(D635,a_win_totals_lookup,MATCH(I635,a_wins_total_lookup_header,0)+1,0))</f>
        <v>0.68647860603758082</v>
      </c>
      <c r="N635">
        <f t="shared" ca="1" si="9"/>
        <v>1</v>
      </c>
    </row>
    <row r="636" spans="1:14" x14ac:dyDescent="0.25">
      <c r="A636">
        <v>400578611</v>
      </c>
      <c r="B636">
        <v>2015</v>
      </c>
      <c r="C636" s="1">
        <v>41983</v>
      </c>
      <c r="D636" t="s">
        <v>26</v>
      </c>
      <c r="E636">
        <v>1</v>
      </c>
      <c r="F636">
        <v>15</v>
      </c>
      <c r="G636">
        <v>6</v>
      </c>
      <c r="H636">
        <v>1</v>
      </c>
      <c r="I636" t="s">
        <v>26</v>
      </c>
      <c r="J636">
        <v>95</v>
      </c>
      <c r="K636" t="s">
        <v>21</v>
      </c>
      <c r="L636">
        <v>79</v>
      </c>
      <c r="M636">
        <f>IF(D636=I636,VLOOKUP(D636,a_win_totals_lookup,MATCH(K636,a_wins_total_lookup_header,0)+1,0),VLOOKUP(D636,a_win_totals_lookup,MATCH(I636,a_wins_total_lookup_header,0)+1,0))</f>
        <v>0.72953473790298751</v>
      </c>
      <c r="N636">
        <f t="shared" ca="1" si="9"/>
        <v>1</v>
      </c>
    </row>
    <row r="637" spans="1:14" x14ac:dyDescent="0.25">
      <c r="A637">
        <v>400578611</v>
      </c>
      <c r="B637">
        <v>2015</v>
      </c>
      <c r="C637" s="1">
        <v>41983</v>
      </c>
      <c r="D637" t="s">
        <v>21</v>
      </c>
      <c r="E637">
        <v>0</v>
      </c>
      <c r="F637">
        <v>2</v>
      </c>
      <c r="G637">
        <v>19</v>
      </c>
      <c r="H637">
        <v>0</v>
      </c>
      <c r="I637" t="s">
        <v>26</v>
      </c>
      <c r="J637">
        <v>95</v>
      </c>
      <c r="K637" t="s">
        <v>21</v>
      </c>
      <c r="L637">
        <v>79</v>
      </c>
      <c r="M637">
        <f>IF(D637=I637,VLOOKUP(D637,a_win_totals_lookup,MATCH(K637,a_wins_total_lookup_header,0)+1,0),VLOOKUP(D637,a_win_totals_lookup,MATCH(I637,a_wins_total_lookup_header,0)+1,0))</f>
        <v>0.27046526209701249</v>
      </c>
      <c r="N637">
        <f t="shared" ca="1" si="9"/>
        <v>0</v>
      </c>
    </row>
    <row r="638" spans="1:14" x14ac:dyDescent="0.25">
      <c r="A638">
        <v>400578612</v>
      </c>
      <c r="B638">
        <v>2015</v>
      </c>
      <c r="C638" s="1">
        <v>41983</v>
      </c>
      <c r="D638" t="s">
        <v>23</v>
      </c>
      <c r="E638">
        <v>0</v>
      </c>
      <c r="F638">
        <v>8</v>
      </c>
      <c r="G638">
        <v>12</v>
      </c>
      <c r="H638">
        <v>0</v>
      </c>
      <c r="I638" t="s">
        <v>30</v>
      </c>
      <c r="J638">
        <v>105</v>
      </c>
      <c r="K638" t="s">
        <v>23</v>
      </c>
      <c r="L638">
        <v>80</v>
      </c>
      <c r="M638">
        <f>IF(D638=I638,VLOOKUP(D638,a_win_totals_lookup,MATCH(K638,a_wins_total_lookup_header,0)+1,0),VLOOKUP(D638,a_win_totals_lookup,MATCH(I638,a_wins_total_lookup_header,0)+1,0))</f>
        <v>0.36031197606974674</v>
      </c>
      <c r="N638">
        <f t="shared" ca="1" si="9"/>
        <v>1</v>
      </c>
    </row>
    <row r="639" spans="1:14" x14ac:dyDescent="0.25">
      <c r="A639">
        <v>400578612</v>
      </c>
      <c r="B639">
        <v>2015</v>
      </c>
      <c r="C639" s="1">
        <v>41983</v>
      </c>
      <c r="D639" t="s">
        <v>30</v>
      </c>
      <c r="E639">
        <v>1</v>
      </c>
      <c r="F639">
        <v>13</v>
      </c>
      <c r="G639">
        <v>8</v>
      </c>
      <c r="H639">
        <v>1</v>
      </c>
      <c r="I639" t="s">
        <v>30</v>
      </c>
      <c r="J639">
        <v>105</v>
      </c>
      <c r="K639" t="s">
        <v>23</v>
      </c>
      <c r="L639">
        <v>80</v>
      </c>
      <c r="M639">
        <f>IF(D639=I639,VLOOKUP(D639,a_win_totals_lookup,MATCH(K639,a_wins_total_lookup_header,0)+1,0),VLOOKUP(D639,a_win_totals_lookup,MATCH(I639,a_wins_total_lookup_header,0)+1,0))</f>
        <v>0.63968802393025326</v>
      </c>
      <c r="N639">
        <f t="shared" ca="1" si="9"/>
        <v>1</v>
      </c>
    </row>
    <row r="640" spans="1:14" x14ac:dyDescent="0.25">
      <c r="A640">
        <v>400578613</v>
      </c>
      <c r="B640">
        <v>2015</v>
      </c>
      <c r="C640" s="1">
        <v>41983</v>
      </c>
      <c r="D640" t="s">
        <v>29</v>
      </c>
      <c r="E640">
        <v>1</v>
      </c>
      <c r="F640">
        <v>5</v>
      </c>
      <c r="G640">
        <v>16</v>
      </c>
      <c r="H640">
        <v>1</v>
      </c>
      <c r="I640" t="s">
        <v>29</v>
      </c>
      <c r="J640">
        <v>90</v>
      </c>
      <c r="K640" t="s">
        <v>39</v>
      </c>
      <c r="L640">
        <v>82</v>
      </c>
      <c r="M640">
        <f>IF(D640=I640,VLOOKUP(D640,a_win_totals_lookup,MATCH(K640,a_wins_total_lookup_header,0)+1,0),VLOOKUP(D640,a_win_totals_lookup,MATCH(I640,a_wins_total_lookup_header,0)+1,0))</f>
        <v>0.25990995831593727</v>
      </c>
      <c r="N640">
        <f t="shared" ca="1" si="9"/>
        <v>1</v>
      </c>
    </row>
    <row r="641" spans="1:14" x14ac:dyDescent="0.25">
      <c r="A641">
        <v>400578613</v>
      </c>
      <c r="B641">
        <v>2015</v>
      </c>
      <c r="C641" s="1">
        <v>41983</v>
      </c>
      <c r="D641" t="s">
        <v>39</v>
      </c>
      <c r="E641">
        <v>0</v>
      </c>
      <c r="F641">
        <v>17</v>
      </c>
      <c r="G641">
        <v>5</v>
      </c>
      <c r="H641">
        <v>0</v>
      </c>
      <c r="I641" t="s">
        <v>29</v>
      </c>
      <c r="J641">
        <v>90</v>
      </c>
      <c r="K641" t="s">
        <v>39</v>
      </c>
      <c r="L641">
        <v>82</v>
      </c>
      <c r="M641">
        <f>IF(D641=I641,VLOOKUP(D641,a_win_totals_lookup,MATCH(K641,a_wins_total_lookup_header,0)+1,0),VLOOKUP(D641,a_win_totals_lookup,MATCH(I641,a_wins_total_lookup_header,0)+1,0))</f>
        <v>0.74009004168406278</v>
      </c>
      <c r="N641">
        <f t="shared" ca="1" si="9"/>
        <v>0</v>
      </c>
    </row>
    <row r="642" spans="1:14" x14ac:dyDescent="0.25">
      <c r="A642">
        <v>400578614</v>
      </c>
      <c r="B642">
        <v>2015</v>
      </c>
      <c r="C642" s="1">
        <v>41983</v>
      </c>
      <c r="D642" t="s">
        <v>31</v>
      </c>
      <c r="E642">
        <v>0</v>
      </c>
      <c r="F642">
        <v>4</v>
      </c>
      <c r="G642">
        <v>20</v>
      </c>
      <c r="H642">
        <v>0</v>
      </c>
      <c r="I642" t="s">
        <v>15</v>
      </c>
      <c r="J642">
        <v>109</v>
      </c>
      <c r="K642" t="s">
        <v>31</v>
      </c>
      <c r="L642">
        <v>95</v>
      </c>
      <c r="M642">
        <f>IF(D642=I642,VLOOKUP(D642,a_win_totals_lookup,MATCH(K642,a_wins_total_lookup_header,0)+1,0),VLOOKUP(D642,a_win_totals_lookup,MATCH(I642,a_wins_total_lookup_header,0)+1,0))</f>
        <v>0.36031197606974674</v>
      </c>
      <c r="N642">
        <f t="shared" ca="1" si="9"/>
        <v>0</v>
      </c>
    </row>
    <row r="643" spans="1:14" x14ac:dyDescent="0.25">
      <c r="A643">
        <v>400578614</v>
      </c>
      <c r="B643">
        <v>2015</v>
      </c>
      <c r="C643" s="1">
        <v>41983</v>
      </c>
      <c r="D643" t="s">
        <v>15</v>
      </c>
      <c r="E643">
        <v>1</v>
      </c>
      <c r="F643">
        <v>16</v>
      </c>
      <c r="G643">
        <v>6</v>
      </c>
      <c r="H643">
        <v>1</v>
      </c>
      <c r="I643" t="s">
        <v>15</v>
      </c>
      <c r="J643">
        <v>109</v>
      </c>
      <c r="K643" t="s">
        <v>31</v>
      </c>
      <c r="L643">
        <v>95</v>
      </c>
      <c r="M643">
        <f>IF(D643=I643,VLOOKUP(D643,a_win_totals_lookup,MATCH(K643,a_wins_total_lookup_header,0)+1,0),VLOOKUP(D643,a_win_totals_lookup,MATCH(I643,a_wins_total_lookup_header,0)+1,0))</f>
        <v>0.63968802393025326</v>
      </c>
      <c r="N643">
        <f t="shared" ref="N643:N706" ca="1" si="10">ROUND(0.5*RANDBETWEEN(-1,1)+M643,0)</f>
        <v>1</v>
      </c>
    </row>
    <row r="644" spans="1:14" x14ac:dyDescent="0.25">
      <c r="A644">
        <v>400578615</v>
      </c>
      <c r="B644">
        <v>2015</v>
      </c>
      <c r="C644" s="1">
        <v>41983</v>
      </c>
      <c r="D644" t="s">
        <v>14</v>
      </c>
      <c r="E644">
        <v>1</v>
      </c>
      <c r="F644">
        <v>17</v>
      </c>
      <c r="G644">
        <v>7</v>
      </c>
      <c r="H644">
        <v>1</v>
      </c>
      <c r="I644" t="s">
        <v>14</v>
      </c>
      <c r="J644">
        <v>112</v>
      </c>
      <c r="K644" t="s">
        <v>12</v>
      </c>
      <c r="L644">
        <v>107</v>
      </c>
      <c r="M644">
        <f>IF(D644=I644,VLOOKUP(D644,a_win_totals_lookup,MATCH(K644,a_wins_total_lookup_header,0)+1,0),VLOOKUP(D644,a_win_totals_lookup,MATCH(I644,a_wins_total_lookup_header,0)+1,0))</f>
        <v>0.60230820918773997</v>
      </c>
      <c r="N644">
        <f t="shared" ca="1" si="10"/>
        <v>1</v>
      </c>
    </row>
    <row r="645" spans="1:14" x14ac:dyDescent="0.25">
      <c r="A645">
        <v>400578615</v>
      </c>
      <c r="B645">
        <v>2015</v>
      </c>
      <c r="C645" s="1">
        <v>41983</v>
      </c>
      <c r="D645" t="s">
        <v>12</v>
      </c>
      <c r="E645">
        <v>0</v>
      </c>
      <c r="F645">
        <v>10</v>
      </c>
      <c r="G645">
        <v>11</v>
      </c>
      <c r="H645">
        <v>0</v>
      </c>
      <c r="I645" t="s">
        <v>14</v>
      </c>
      <c r="J645">
        <v>112</v>
      </c>
      <c r="K645" t="s">
        <v>12</v>
      </c>
      <c r="L645">
        <v>107</v>
      </c>
      <c r="M645">
        <f>IF(D645=I645,VLOOKUP(D645,a_win_totals_lookup,MATCH(K645,a_wins_total_lookup_header,0)+1,0),VLOOKUP(D645,a_win_totals_lookup,MATCH(I645,a_wins_total_lookup_header,0)+1,0))</f>
        <v>0.39769179081226008</v>
      </c>
      <c r="N645">
        <f t="shared" ca="1" si="10"/>
        <v>0</v>
      </c>
    </row>
    <row r="646" spans="1:14" x14ac:dyDescent="0.25">
      <c r="A646">
        <v>400578616</v>
      </c>
      <c r="B646">
        <v>2015</v>
      </c>
      <c r="C646" s="1">
        <v>41983</v>
      </c>
      <c r="D646" t="s">
        <v>36</v>
      </c>
      <c r="E646">
        <v>1</v>
      </c>
      <c r="F646">
        <v>19</v>
      </c>
      <c r="G646">
        <v>2</v>
      </c>
      <c r="H646">
        <v>1</v>
      </c>
      <c r="I646" t="s">
        <v>36</v>
      </c>
      <c r="J646">
        <v>105</v>
      </c>
      <c r="K646" t="s">
        <v>16</v>
      </c>
      <c r="L646">
        <v>93</v>
      </c>
      <c r="M646">
        <f>IF(D646=I646,VLOOKUP(D646,a_win_totals_lookup,MATCH(K646,a_wins_total_lookup_header,0)+1,0),VLOOKUP(D646,a_win_totals_lookup,MATCH(I646,a_wins_total_lookup_header,0)+1,0))</f>
        <v>0.54147759642487181</v>
      </c>
      <c r="N646">
        <f t="shared" ca="1" si="10"/>
        <v>1</v>
      </c>
    </row>
    <row r="647" spans="1:14" x14ac:dyDescent="0.25">
      <c r="A647">
        <v>400578616</v>
      </c>
      <c r="B647">
        <v>2015</v>
      </c>
      <c r="C647" s="1">
        <v>41983</v>
      </c>
      <c r="D647" t="s">
        <v>16</v>
      </c>
      <c r="E647">
        <v>0</v>
      </c>
      <c r="F647">
        <v>16</v>
      </c>
      <c r="G647">
        <v>5</v>
      </c>
      <c r="H647">
        <v>0</v>
      </c>
      <c r="I647" t="s">
        <v>36</v>
      </c>
      <c r="J647">
        <v>105</v>
      </c>
      <c r="K647" t="s">
        <v>16</v>
      </c>
      <c r="L647">
        <v>93</v>
      </c>
      <c r="M647">
        <f>IF(D647=I647,VLOOKUP(D647,a_win_totals_lookup,MATCH(K647,a_wins_total_lookup_header,0)+1,0),VLOOKUP(D647,a_win_totals_lookup,MATCH(I647,a_wins_total_lookup_header,0)+1,0))</f>
        <v>0.45852240357512825</v>
      </c>
      <c r="N647">
        <f t="shared" ca="1" si="10"/>
        <v>0</v>
      </c>
    </row>
    <row r="648" spans="1:14" x14ac:dyDescent="0.25">
      <c r="A648">
        <v>400578617</v>
      </c>
      <c r="B648">
        <v>2015</v>
      </c>
      <c r="C648" s="1">
        <v>41983</v>
      </c>
      <c r="D648" t="s">
        <v>32</v>
      </c>
      <c r="E648">
        <v>1</v>
      </c>
      <c r="F648">
        <v>10</v>
      </c>
      <c r="G648">
        <v>12</v>
      </c>
      <c r="H648">
        <v>1</v>
      </c>
      <c r="I648" t="s">
        <v>32</v>
      </c>
      <c r="J648">
        <v>102</v>
      </c>
      <c r="K648" t="s">
        <v>24</v>
      </c>
      <c r="L648">
        <v>82</v>
      </c>
      <c r="M648">
        <f>IF(D648=I648,VLOOKUP(D648,a_win_totals_lookup,MATCH(K648,a_wins_total_lookup_header,0)+1,0),VLOOKUP(D648,a_win_totals_lookup,MATCH(I648,a_wins_total_lookup_header,0)+1,0))</f>
        <v>0.4489330916958254</v>
      </c>
      <c r="N648">
        <f t="shared" ca="1" si="10"/>
        <v>1</v>
      </c>
    </row>
    <row r="649" spans="1:14" x14ac:dyDescent="0.25">
      <c r="A649">
        <v>400578617</v>
      </c>
      <c r="B649">
        <v>2015</v>
      </c>
      <c r="C649" s="1">
        <v>41983</v>
      </c>
      <c r="D649" t="s">
        <v>24</v>
      </c>
      <c r="E649">
        <v>0</v>
      </c>
      <c r="F649">
        <v>10</v>
      </c>
      <c r="G649">
        <v>12</v>
      </c>
      <c r="H649">
        <v>0</v>
      </c>
      <c r="I649" t="s">
        <v>32</v>
      </c>
      <c r="J649">
        <v>102</v>
      </c>
      <c r="K649" t="s">
        <v>24</v>
      </c>
      <c r="L649">
        <v>82</v>
      </c>
      <c r="M649">
        <f>IF(D649=I649,VLOOKUP(D649,a_win_totals_lookup,MATCH(K649,a_wins_total_lookup_header,0)+1,0),VLOOKUP(D649,a_win_totals_lookup,MATCH(I649,a_wins_total_lookup_header,0)+1,0))</f>
        <v>0.5510669083041746</v>
      </c>
      <c r="N649">
        <f t="shared" ca="1" si="10"/>
        <v>1</v>
      </c>
    </row>
    <row r="650" spans="1:14" x14ac:dyDescent="0.25">
      <c r="A650">
        <v>400578618</v>
      </c>
      <c r="B650">
        <v>2015</v>
      </c>
      <c r="C650" s="1">
        <v>41984</v>
      </c>
      <c r="D650" t="s">
        <v>40</v>
      </c>
      <c r="E650">
        <v>0</v>
      </c>
      <c r="F650">
        <v>13</v>
      </c>
      <c r="G650">
        <v>8</v>
      </c>
      <c r="H650">
        <v>0</v>
      </c>
      <c r="I650" t="s">
        <v>38</v>
      </c>
      <c r="J650">
        <v>103</v>
      </c>
      <c r="K650" t="s">
        <v>40</v>
      </c>
      <c r="L650">
        <v>94</v>
      </c>
      <c r="M650">
        <f>IF(D650=I650,VLOOKUP(D650,a_win_totals_lookup,MATCH(K650,a_wins_total_lookup_header,0)+1,0),VLOOKUP(D650,a_win_totals_lookup,MATCH(I650,a_wins_total_lookup_header,0)+1,0))</f>
        <v>0.52231903699980808</v>
      </c>
      <c r="N650">
        <f t="shared" ca="1" si="10"/>
        <v>1</v>
      </c>
    </row>
    <row r="651" spans="1:14" x14ac:dyDescent="0.25">
      <c r="A651">
        <v>400578618</v>
      </c>
      <c r="B651">
        <v>2015</v>
      </c>
      <c r="C651" s="1">
        <v>41984</v>
      </c>
      <c r="D651" t="s">
        <v>38</v>
      </c>
      <c r="E651">
        <v>1</v>
      </c>
      <c r="F651">
        <v>9</v>
      </c>
      <c r="G651">
        <v>13</v>
      </c>
      <c r="H651">
        <v>1</v>
      </c>
      <c r="I651" t="s">
        <v>38</v>
      </c>
      <c r="J651">
        <v>103</v>
      </c>
      <c r="K651" t="s">
        <v>40</v>
      </c>
      <c r="L651">
        <v>94</v>
      </c>
      <c r="M651">
        <f>IF(D651=I651,VLOOKUP(D651,a_win_totals_lookup,MATCH(K651,a_wins_total_lookup_header,0)+1,0),VLOOKUP(D651,a_win_totals_lookup,MATCH(I651,a_wins_total_lookup_header,0)+1,0))</f>
        <v>0.47768096300019181</v>
      </c>
      <c r="N651">
        <f t="shared" ca="1" si="10"/>
        <v>1</v>
      </c>
    </row>
    <row r="652" spans="1:14" x14ac:dyDescent="0.25">
      <c r="A652">
        <v>400578619</v>
      </c>
      <c r="B652">
        <v>2015</v>
      </c>
      <c r="C652" s="1">
        <v>41984</v>
      </c>
      <c r="D652" t="s">
        <v>16</v>
      </c>
      <c r="E652">
        <v>1</v>
      </c>
      <c r="F652">
        <v>17</v>
      </c>
      <c r="G652">
        <v>5</v>
      </c>
      <c r="H652">
        <v>0</v>
      </c>
      <c r="I652" t="s">
        <v>37</v>
      </c>
      <c r="J652">
        <v>109</v>
      </c>
      <c r="K652" t="s">
        <v>16</v>
      </c>
      <c r="L652">
        <v>113</v>
      </c>
      <c r="M652">
        <f>IF(D652=I652,VLOOKUP(D652,a_win_totals_lookup,MATCH(K652,a_wins_total_lookup_header,0)+1,0),VLOOKUP(D652,a_win_totals_lookup,MATCH(I652,a_wins_total_lookup_header,0)+1,0))</f>
        <v>0.65557177266505795</v>
      </c>
      <c r="N652">
        <f t="shared" ca="1" si="10"/>
        <v>1</v>
      </c>
    </row>
    <row r="653" spans="1:14" x14ac:dyDescent="0.25">
      <c r="A653">
        <v>400578619</v>
      </c>
      <c r="B653">
        <v>2015</v>
      </c>
      <c r="C653" s="1">
        <v>41984</v>
      </c>
      <c r="D653" t="s">
        <v>37</v>
      </c>
      <c r="E653">
        <v>0</v>
      </c>
      <c r="F653">
        <v>11</v>
      </c>
      <c r="G653">
        <v>12</v>
      </c>
      <c r="H653">
        <v>1</v>
      </c>
      <c r="I653" t="s">
        <v>37</v>
      </c>
      <c r="J653">
        <v>109</v>
      </c>
      <c r="K653" t="s">
        <v>16</v>
      </c>
      <c r="L653">
        <v>113</v>
      </c>
      <c r="M653">
        <f>IF(D653=I653,VLOOKUP(D653,a_win_totals_lookup,MATCH(K653,a_wins_total_lookup_header,0)+1,0),VLOOKUP(D653,a_win_totals_lookup,MATCH(I653,a_wins_total_lookup_header,0)+1,0))</f>
        <v>0.34442822733494199</v>
      </c>
      <c r="N653">
        <f t="shared" ca="1" si="10"/>
        <v>0</v>
      </c>
    </row>
    <row r="654" spans="1:14" x14ac:dyDescent="0.25">
      <c r="A654">
        <v>400578620</v>
      </c>
      <c r="B654">
        <v>2015</v>
      </c>
      <c r="C654" s="1">
        <v>41985</v>
      </c>
      <c r="D654" t="s">
        <v>30</v>
      </c>
      <c r="E654">
        <v>1</v>
      </c>
      <c r="F654">
        <v>14</v>
      </c>
      <c r="G654">
        <v>8</v>
      </c>
      <c r="H654">
        <v>1</v>
      </c>
      <c r="I654" t="s">
        <v>30</v>
      </c>
      <c r="J654">
        <v>115</v>
      </c>
      <c r="K654" t="s">
        <v>39</v>
      </c>
      <c r="L654">
        <v>96</v>
      </c>
      <c r="M654">
        <f>IF(D654=I654,VLOOKUP(D654,a_win_totals_lookup,MATCH(K654,a_wins_total_lookup_header,0)+1,0),VLOOKUP(D654,a_win_totals_lookup,MATCH(I654,a_wins_total_lookup_header,0)+1,0))</f>
        <v>0.55071584036741195</v>
      </c>
      <c r="N654">
        <f t="shared" ca="1" si="10"/>
        <v>0</v>
      </c>
    </row>
    <row r="655" spans="1:14" x14ac:dyDescent="0.25">
      <c r="A655">
        <v>400578620</v>
      </c>
      <c r="B655">
        <v>2015</v>
      </c>
      <c r="C655" s="1">
        <v>41985</v>
      </c>
      <c r="D655" t="s">
        <v>39</v>
      </c>
      <c r="E655">
        <v>0</v>
      </c>
      <c r="F655">
        <v>17</v>
      </c>
      <c r="G655">
        <v>6</v>
      </c>
      <c r="H655">
        <v>0</v>
      </c>
      <c r="I655" t="s">
        <v>30</v>
      </c>
      <c r="J655">
        <v>115</v>
      </c>
      <c r="K655" t="s">
        <v>39</v>
      </c>
      <c r="L655">
        <v>96</v>
      </c>
      <c r="M655">
        <f>IF(D655=I655,VLOOKUP(D655,a_win_totals_lookup,MATCH(K655,a_wins_total_lookup_header,0)+1,0),VLOOKUP(D655,a_win_totals_lookup,MATCH(I655,a_wins_total_lookup_header,0)+1,0))</f>
        <v>0.44928415963258811</v>
      </c>
      <c r="N655">
        <f t="shared" ca="1" si="10"/>
        <v>0</v>
      </c>
    </row>
    <row r="656" spans="1:14" x14ac:dyDescent="0.25">
      <c r="A656">
        <v>400578621</v>
      </c>
      <c r="B656">
        <v>2015</v>
      </c>
      <c r="C656" s="1">
        <v>41985</v>
      </c>
      <c r="D656" t="s">
        <v>41</v>
      </c>
      <c r="E656">
        <v>0</v>
      </c>
      <c r="F656">
        <v>16</v>
      </c>
      <c r="G656">
        <v>6</v>
      </c>
      <c r="H656">
        <v>0</v>
      </c>
      <c r="I656" t="s">
        <v>25</v>
      </c>
      <c r="J656">
        <v>104</v>
      </c>
      <c r="K656" t="s">
        <v>41</v>
      </c>
      <c r="L656">
        <v>96</v>
      </c>
      <c r="M656">
        <f>IF(D656=I656,VLOOKUP(D656,a_win_totals_lookup,MATCH(K656,a_wins_total_lookup_header,0)+1,0),VLOOKUP(D656,a_win_totals_lookup,MATCH(I656,a_wins_total_lookup_header,0)+1,0))</f>
        <v>0.57016539281455259</v>
      </c>
      <c r="N656">
        <f t="shared" ca="1" si="10"/>
        <v>0</v>
      </c>
    </row>
    <row r="657" spans="1:14" x14ac:dyDescent="0.25">
      <c r="A657">
        <v>400578621</v>
      </c>
      <c r="B657">
        <v>2015</v>
      </c>
      <c r="C657" s="1">
        <v>41985</v>
      </c>
      <c r="D657" t="s">
        <v>25</v>
      </c>
      <c r="E657">
        <v>1</v>
      </c>
      <c r="F657">
        <v>16</v>
      </c>
      <c r="G657">
        <v>6</v>
      </c>
      <c r="H657">
        <v>1</v>
      </c>
      <c r="I657" t="s">
        <v>25</v>
      </c>
      <c r="J657">
        <v>104</v>
      </c>
      <c r="K657" t="s">
        <v>41</v>
      </c>
      <c r="L657">
        <v>96</v>
      </c>
      <c r="M657">
        <f>IF(D657=I657,VLOOKUP(D657,a_win_totals_lookup,MATCH(K657,a_wins_total_lookup_header,0)+1,0),VLOOKUP(D657,a_win_totals_lookup,MATCH(I657,a_wins_total_lookup_header,0)+1,0))</f>
        <v>0.42983460718544747</v>
      </c>
      <c r="N657">
        <f t="shared" ca="1" si="10"/>
        <v>0</v>
      </c>
    </row>
    <row r="658" spans="1:14" x14ac:dyDescent="0.25">
      <c r="A658">
        <v>400578622</v>
      </c>
      <c r="B658">
        <v>2015</v>
      </c>
      <c r="C658" s="1">
        <v>41985</v>
      </c>
      <c r="D658" t="s">
        <v>26</v>
      </c>
      <c r="E658">
        <v>1</v>
      </c>
      <c r="F658">
        <v>16</v>
      </c>
      <c r="G658">
        <v>6</v>
      </c>
      <c r="H658">
        <v>1</v>
      </c>
      <c r="I658" t="s">
        <v>26</v>
      </c>
      <c r="J658">
        <v>87</v>
      </c>
      <c r="K658" t="s">
        <v>13</v>
      </c>
      <c r="L658">
        <v>81</v>
      </c>
      <c r="M658">
        <f>IF(D658=I658,VLOOKUP(D658,a_win_totals_lookup,MATCH(K658,a_wins_total_lookup_header,0)+1,0),VLOOKUP(D658,a_win_totals_lookup,MATCH(I658,a_wins_total_lookup_header,0)+1,0))</f>
        <v>0.64759781623680968</v>
      </c>
      <c r="N658">
        <f t="shared" ca="1" si="10"/>
        <v>1</v>
      </c>
    </row>
    <row r="659" spans="1:14" x14ac:dyDescent="0.25">
      <c r="A659">
        <v>400578622</v>
      </c>
      <c r="B659">
        <v>2015</v>
      </c>
      <c r="C659" s="1">
        <v>41985</v>
      </c>
      <c r="D659" t="s">
        <v>13</v>
      </c>
      <c r="E659">
        <v>0</v>
      </c>
      <c r="F659">
        <v>9</v>
      </c>
      <c r="G659">
        <v>16</v>
      </c>
      <c r="H659">
        <v>0</v>
      </c>
      <c r="I659" t="s">
        <v>26</v>
      </c>
      <c r="J659">
        <v>87</v>
      </c>
      <c r="K659" t="s">
        <v>13</v>
      </c>
      <c r="L659">
        <v>81</v>
      </c>
      <c r="M659">
        <f>IF(D659=I659,VLOOKUP(D659,a_win_totals_lookup,MATCH(K659,a_wins_total_lookup_header,0)+1,0),VLOOKUP(D659,a_win_totals_lookup,MATCH(I659,a_wins_total_lookup_header,0)+1,0))</f>
        <v>0.35240218376319032</v>
      </c>
      <c r="N659">
        <f t="shared" ca="1" si="10"/>
        <v>0</v>
      </c>
    </row>
    <row r="660" spans="1:14" x14ac:dyDescent="0.25">
      <c r="A660">
        <v>400578623</v>
      </c>
      <c r="B660">
        <v>2015</v>
      </c>
      <c r="C660" s="1">
        <v>41985</v>
      </c>
      <c r="D660" t="s">
        <v>22</v>
      </c>
      <c r="E660">
        <v>0</v>
      </c>
      <c r="F660">
        <v>7</v>
      </c>
      <c r="G660">
        <v>14</v>
      </c>
      <c r="H660">
        <v>1</v>
      </c>
      <c r="I660" t="s">
        <v>22</v>
      </c>
      <c r="J660">
        <v>95</v>
      </c>
      <c r="K660" t="s">
        <v>31</v>
      </c>
      <c r="L660">
        <v>101</v>
      </c>
      <c r="M660">
        <f>IF(D660=I660,VLOOKUP(D660,a_win_totals_lookup,MATCH(K660,a_wins_total_lookup_header,0)+1,0),VLOOKUP(D660,a_win_totals_lookup,MATCH(I660,a_wins_total_lookup_header,0)+1,0))</f>
        <v>0.33715695553306341</v>
      </c>
      <c r="N660">
        <f t="shared" ca="1" si="10"/>
        <v>0</v>
      </c>
    </row>
    <row r="661" spans="1:14" x14ac:dyDescent="0.25">
      <c r="A661">
        <v>400578623</v>
      </c>
      <c r="B661">
        <v>2015</v>
      </c>
      <c r="C661" s="1">
        <v>41985</v>
      </c>
      <c r="D661" t="s">
        <v>31</v>
      </c>
      <c r="E661">
        <v>1</v>
      </c>
      <c r="F661">
        <v>5</v>
      </c>
      <c r="G661">
        <v>20</v>
      </c>
      <c r="H661">
        <v>0</v>
      </c>
      <c r="I661" t="s">
        <v>22</v>
      </c>
      <c r="J661">
        <v>95</v>
      </c>
      <c r="K661" t="s">
        <v>31</v>
      </c>
      <c r="L661">
        <v>101</v>
      </c>
      <c r="M661">
        <f>IF(D661=I661,VLOOKUP(D661,a_win_totals_lookup,MATCH(K661,a_wins_total_lookup_header,0)+1,0),VLOOKUP(D661,a_win_totals_lookup,MATCH(I661,a_wins_total_lookup_header,0)+1,0))</f>
        <v>0.66284304446693665</v>
      </c>
      <c r="N661">
        <f t="shared" ca="1" si="10"/>
        <v>1</v>
      </c>
    </row>
    <row r="662" spans="1:14" x14ac:dyDescent="0.25">
      <c r="A662">
        <v>400578624</v>
      </c>
      <c r="B662">
        <v>2015</v>
      </c>
      <c r="C662" s="1">
        <v>41985</v>
      </c>
      <c r="D662" t="s">
        <v>23</v>
      </c>
      <c r="E662">
        <v>1</v>
      </c>
      <c r="F662">
        <v>9</v>
      </c>
      <c r="G662">
        <v>12</v>
      </c>
      <c r="H662">
        <v>1</v>
      </c>
      <c r="I662" t="s">
        <v>23</v>
      </c>
      <c r="J662">
        <v>88</v>
      </c>
      <c r="K662" t="s">
        <v>21</v>
      </c>
      <c r="L662">
        <v>70</v>
      </c>
      <c r="M662">
        <f>IF(D662=I662,VLOOKUP(D662,a_win_totals_lookup,MATCH(K662,a_wins_total_lookup_header,0)+1,0),VLOOKUP(D662,a_win_totals_lookup,MATCH(I662,a_wins_total_lookup_header,0)+1,0))</f>
        <v>0.69736543414984997</v>
      </c>
      <c r="N662">
        <f t="shared" ca="1" si="10"/>
        <v>0</v>
      </c>
    </row>
    <row r="663" spans="1:14" x14ac:dyDescent="0.25">
      <c r="A663">
        <v>400578624</v>
      </c>
      <c r="B663">
        <v>2015</v>
      </c>
      <c r="C663" s="1">
        <v>41985</v>
      </c>
      <c r="D663" t="s">
        <v>21</v>
      </c>
      <c r="E663">
        <v>0</v>
      </c>
      <c r="F663">
        <v>2</v>
      </c>
      <c r="G663">
        <v>20</v>
      </c>
      <c r="H663">
        <v>0</v>
      </c>
      <c r="I663" t="s">
        <v>23</v>
      </c>
      <c r="J663">
        <v>88</v>
      </c>
      <c r="K663" t="s">
        <v>21</v>
      </c>
      <c r="L663">
        <v>70</v>
      </c>
      <c r="M663">
        <f>IF(D663=I663,VLOOKUP(D663,a_win_totals_lookup,MATCH(K663,a_wins_total_lookup_header,0)+1,0),VLOOKUP(D663,a_win_totals_lookup,MATCH(I663,a_wins_total_lookup_header,0)+1,0))</f>
        <v>0.30263456585015008</v>
      </c>
      <c r="N663">
        <f t="shared" ca="1" si="10"/>
        <v>1</v>
      </c>
    </row>
    <row r="664" spans="1:14" x14ac:dyDescent="0.25">
      <c r="A664">
        <v>400578625</v>
      </c>
      <c r="B664">
        <v>2015</v>
      </c>
      <c r="C664" s="1">
        <v>41985</v>
      </c>
      <c r="D664" t="s">
        <v>20</v>
      </c>
      <c r="E664">
        <v>0</v>
      </c>
      <c r="F664">
        <v>7</v>
      </c>
      <c r="G664">
        <v>16</v>
      </c>
      <c r="H664">
        <v>0</v>
      </c>
      <c r="I664" t="s">
        <v>27</v>
      </c>
      <c r="J664">
        <v>106</v>
      </c>
      <c r="K664" t="s">
        <v>20</v>
      </c>
      <c r="L664">
        <v>94</v>
      </c>
      <c r="M664">
        <f>IF(D664=I664,VLOOKUP(D664,a_win_totals_lookup,MATCH(K664,a_wins_total_lookup_header,0)+1,0),VLOOKUP(D664,a_win_totals_lookup,MATCH(I664,a_wins_total_lookup_header,0)+1,0))</f>
        <v>0.32867360629810738</v>
      </c>
      <c r="N664">
        <f t="shared" ca="1" si="10"/>
        <v>0</v>
      </c>
    </row>
    <row r="665" spans="1:14" x14ac:dyDescent="0.25">
      <c r="A665">
        <v>400578625</v>
      </c>
      <c r="B665">
        <v>2015</v>
      </c>
      <c r="C665" s="1">
        <v>41985</v>
      </c>
      <c r="D665" t="s">
        <v>27</v>
      </c>
      <c r="E665">
        <v>1</v>
      </c>
      <c r="F665">
        <v>17</v>
      </c>
      <c r="G665">
        <v>6</v>
      </c>
      <c r="H665">
        <v>1</v>
      </c>
      <c r="I665" t="s">
        <v>27</v>
      </c>
      <c r="J665">
        <v>106</v>
      </c>
      <c r="K665" t="s">
        <v>20</v>
      </c>
      <c r="L665">
        <v>94</v>
      </c>
      <c r="M665">
        <f>IF(D665=I665,VLOOKUP(D665,a_win_totals_lookup,MATCH(K665,a_wins_total_lookup_header,0)+1,0),VLOOKUP(D665,a_win_totals_lookup,MATCH(I665,a_wins_total_lookup_header,0)+1,0))</f>
        <v>0.67132639370189251</v>
      </c>
      <c r="N665">
        <f t="shared" ca="1" si="10"/>
        <v>0</v>
      </c>
    </row>
    <row r="666" spans="1:14" x14ac:dyDescent="0.25">
      <c r="A666">
        <v>400578626</v>
      </c>
      <c r="B666">
        <v>2015</v>
      </c>
      <c r="C666" s="1">
        <v>41985</v>
      </c>
      <c r="D666" t="s">
        <v>18</v>
      </c>
      <c r="E666">
        <v>0</v>
      </c>
      <c r="F666">
        <v>6</v>
      </c>
      <c r="G666">
        <v>16</v>
      </c>
      <c r="H666">
        <v>0</v>
      </c>
      <c r="I666" t="s">
        <v>28</v>
      </c>
      <c r="J666">
        <v>113</v>
      </c>
      <c r="K666" t="s">
        <v>18</v>
      </c>
      <c r="L666">
        <v>107</v>
      </c>
      <c r="M666">
        <f>IF(D666=I666,VLOOKUP(D666,a_win_totals_lookup,MATCH(K666,a_wins_total_lookup_header,0)+1,0),VLOOKUP(D666,a_win_totals_lookup,MATCH(I666,a_wins_total_lookup_header,0)+1,0))</f>
        <v>0.46110770348509866</v>
      </c>
      <c r="N666">
        <f t="shared" ca="1" si="10"/>
        <v>0</v>
      </c>
    </row>
    <row r="667" spans="1:14" x14ac:dyDescent="0.25">
      <c r="A667">
        <v>400578626</v>
      </c>
      <c r="B667">
        <v>2015</v>
      </c>
      <c r="C667" s="1">
        <v>41985</v>
      </c>
      <c r="D667" t="s">
        <v>28</v>
      </c>
      <c r="E667">
        <v>1</v>
      </c>
      <c r="F667">
        <v>18</v>
      </c>
      <c r="G667">
        <v>4</v>
      </c>
      <c r="H667">
        <v>1</v>
      </c>
      <c r="I667" t="s">
        <v>28</v>
      </c>
      <c r="J667">
        <v>113</v>
      </c>
      <c r="K667" t="s">
        <v>18</v>
      </c>
      <c r="L667">
        <v>107</v>
      </c>
      <c r="M667">
        <f>IF(D667=I667,VLOOKUP(D667,a_win_totals_lookup,MATCH(K667,a_wins_total_lookup_header,0)+1,0),VLOOKUP(D667,a_win_totals_lookup,MATCH(I667,a_wins_total_lookup_header,0)+1,0))</f>
        <v>0.53889229651490134</v>
      </c>
      <c r="N667">
        <f t="shared" ca="1" si="10"/>
        <v>0</v>
      </c>
    </row>
    <row r="668" spans="1:14" x14ac:dyDescent="0.25">
      <c r="A668">
        <v>400578627</v>
      </c>
      <c r="B668">
        <v>2015</v>
      </c>
      <c r="C668" s="1">
        <v>41985</v>
      </c>
      <c r="D668" t="s">
        <v>29</v>
      </c>
      <c r="E668">
        <v>0</v>
      </c>
      <c r="F668">
        <v>5</v>
      </c>
      <c r="G668">
        <v>17</v>
      </c>
      <c r="H668">
        <v>1</v>
      </c>
      <c r="I668" t="s">
        <v>29</v>
      </c>
      <c r="J668">
        <v>92</v>
      </c>
      <c r="K668" t="s">
        <v>38</v>
      </c>
      <c r="L668">
        <v>111</v>
      </c>
      <c r="M668">
        <f>IF(D668=I668,VLOOKUP(D668,a_win_totals_lookup,MATCH(K668,a_wins_total_lookup_header,0)+1,0),VLOOKUP(D668,a_win_totals_lookup,MATCH(I668,a_wins_total_lookup_header,0)+1,0))</f>
        <v>0.23114261401714065</v>
      </c>
      <c r="N668">
        <f t="shared" ca="1" si="10"/>
        <v>1</v>
      </c>
    </row>
    <row r="669" spans="1:14" x14ac:dyDescent="0.25">
      <c r="A669">
        <v>400578627</v>
      </c>
      <c r="B669">
        <v>2015</v>
      </c>
      <c r="C669" s="1">
        <v>41985</v>
      </c>
      <c r="D669" t="s">
        <v>38</v>
      </c>
      <c r="E669">
        <v>1</v>
      </c>
      <c r="F669">
        <v>10</v>
      </c>
      <c r="G669">
        <v>13</v>
      </c>
      <c r="H669">
        <v>0</v>
      </c>
      <c r="I669" t="s">
        <v>29</v>
      </c>
      <c r="J669">
        <v>92</v>
      </c>
      <c r="K669" t="s">
        <v>38</v>
      </c>
      <c r="L669">
        <v>111</v>
      </c>
      <c r="M669">
        <f>IF(D669=I669,VLOOKUP(D669,a_win_totals_lookup,MATCH(K669,a_wins_total_lookup_header,0)+1,0),VLOOKUP(D669,a_win_totals_lookup,MATCH(I669,a_wins_total_lookup_header,0)+1,0))</f>
        <v>0.76885738598285935</v>
      </c>
      <c r="N669">
        <f t="shared" ca="1" si="10"/>
        <v>1</v>
      </c>
    </row>
    <row r="670" spans="1:14" x14ac:dyDescent="0.25">
      <c r="A670">
        <v>400578628</v>
      </c>
      <c r="B670">
        <v>2015</v>
      </c>
      <c r="C670" s="1">
        <v>41985</v>
      </c>
      <c r="D670" t="s">
        <v>40</v>
      </c>
      <c r="E670">
        <v>0</v>
      </c>
      <c r="F670">
        <v>13</v>
      </c>
      <c r="G670">
        <v>9</v>
      </c>
      <c r="H670">
        <v>0</v>
      </c>
      <c r="I670" t="s">
        <v>12</v>
      </c>
      <c r="J670">
        <v>119</v>
      </c>
      <c r="K670" t="s">
        <v>40</v>
      </c>
      <c r="L670">
        <v>114</v>
      </c>
      <c r="M670">
        <f>IF(D670=I670,VLOOKUP(D670,a_win_totals_lookup,MATCH(K670,a_wins_total_lookup_header,0)+1,0),VLOOKUP(D670,a_win_totals_lookup,MATCH(I670,a_wins_total_lookup_header,0)+1,0))</f>
        <v>0.63650670086846906</v>
      </c>
      <c r="N670">
        <f t="shared" ca="1" si="10"/>
        <v>1</v>
      </c>
    </row>
    <row r="671" spans="1:14" x14ac:dyDescent="0.25">
      <c r="A671">
        <v>400578628</v>
      </c>
      <c r="B671">
        <v>2015</v>
      </c>
      <c r="C671" s="1">
        <v>41985</v>
      </c>
      <c r="D671" t="s">
        <v>12</v>
      </c>
      <c r="E671">
        <v>1</v>
      </c>
      <c r="F671">
        <v>11</v>
      </c>
      <c r="G671">
        <v>11</v>
      </c>
      <c r="H671">
        <v>1</v>
      </c>
      <c r="I671" t="s">
        <v>12</v>
      </c>
      <c r="J671">
        <v>119</v>
      </c>
      <c r="K671" t="s">
        <v>40</v>
      </c>
      <c r="L671">
        <v>114</v>
      </c>
      <c r="M671">
        <f>IF(D671=I671,VLOOKUP(D671,a_win_totals_lookup,MATCH(K671,a_wins_total_lookup_header,0)+1,0),VLOOKUP(D671,a_win_totals_lookup,MATCH(I671,a_wins_total_lookup_header,0)+1,0))</f>
        <v>0.36349329913153089</v>
      </c>
      <c r="N671">
        <f t="shared" ca="1" si="10"/>
        <v>0</v>
      </c>
    </row>
    <row r="672" spans="1:14" x14ac:dyDescent="0.25">
      <c r="A672">
        <v>400578629</v>
      </c>
      <c r="B672">
        <v>2015</v>
      </c>
      <c r="C672" s="1">
        <v>41985</v>
      </c>
      <c r="D672" t="s">
        <v>33</v>
      </c>
      <c r="E672">
        <v>1</v>
      </c>
      <c r="F672">
        <v>4</v>
      </c>
      <c r="G672">
        <v>19</v>
      </c>
      <c r="H672">
        <v>0</v>
      </c>
      <c r="I672" t="s">
        <v>35</v>
      </c>
      <c r="J672">
        <v>103</v>
      </c>
      <c r="K672" t="s">
        <v>33</v>
      </c>
      <c r="L672">
        <v>105</v>
      </c>
      <c r="M672">
        <f>IF(D672=I672,VLOOKUP(D672,a_win_totals_lookup,MATCH(K672,a_wins_total_lookup_header,0)+1,0),VLOOKUP(D672,a_win_totals_lookup,MATCH(I672,a_wins_total_lookup_header,0)+1,0))</f>
        <v>0.41653041686165959</v>
      </c>
      <c r="N672">
        <f t="shared" ca="1" si="10"/>
        <v>0</v>
      </c>
    </row>
    <row r="673" spans="1:14" x14ac:dyDescent="0.25">
      <c r="A673">
        <v>400578629</v>
      </c>
      <c r="B673">
        <v>2015</v>
      </c>
      <c r="C673" s="1">
        <v>41985</v>
      </c>
      <c r="D673" t="s">
        <v>35</v>
      </c>
      <c r="E673">
        <v>0</v>
      </c>
      <c r="F673">
        <v>12</v>
      </c>
      <c r="G673">
        <v>12</v>
      </c>
      <c r="H673">
        <v>1</v>
      </c>
      <c r="I673" t="s">
        <v>35</v>
      </c>
      <c r="J673">
        <v>103</v>
      </c>
      <c r="K673" t="s">
        <v>33</v>
      </c>
      <c r="L673">
        <v>105</v>
      </c>
      <c r="M673">
        <f>IF(D673=I673,VLOOKUP(D673,a_win_totals_lookup,MATCH(K673,a_wins_total_lookup_header,0)+1,0),VLOOKUP(D673,a_win_totals_lookup,MATCH(I673,a_wins_total_lookup_header,0)+1,0))</f>
        <v>0.58346958313834041</v>
      </c>
      <c r="N673">
        <f t="shared" ca="1" si="10"/>
        <v>1</v>
      </c>
    </row>
    <row r="674" spans="1:14" x14ac:dyDescent="0.25">
      <c r="A674">
        <v>400578630</v>
      </c>
      <c r="B674">
        <v>2015</v>
      </c>
      <c r="C674" s="1">
        <v>41985</v>
      </c>
      <c r="D674" t="s">
        <v>24</v>
      </c>
      <c r="E674">
        <v>1</v>
      </c>
      <c r="F674">
        <v>11</v>
      </c>
      <c r="G674">
        <v>12</v>
      </c>
      <c r="H674">
        <v>0</v>
      </c>
      <c r="I674" t="s">
        <v>34</v>
      </c>
      <c r="J674">
        <v>95</v>
      </c>
      <c r="K674" t="s">
        <v>24</v>
      </c>
      <c r="L674">
        <v>100</v>
      </c>
      <c r="M674">
        <f>IF(D674=I674,VLOOKUP(D674,a_win_totals_lookup,MATCH(K674,a_wins_total_lookup_header,0)+1,0),VLOOKUP(D674,a_win_totals_lookup,MATCH(I674,a_wins_total_lookup_header,0)+1,0))</f>
        <v>0.65836112820019976</v>
      </c>
      <c r="N674">
        <f t="shared" ca="1" si="10"/>
        <v>1</v>
      </c>
    </row>
    <row r="675" spans="1:14" x14ac:dyDescent="0.25">
      <c r="A675">
        <v>400578630</v>
      </c>
      <c r="B675">
        <v>2015</v>
      </c>
      <c r="C675" s="1">
        <v>41985</v>
      </c>
      <c r="D675" t="s">
        <v>34</v>
      </c>
      <c r="E675">
        <v>0</v>
      </c>
      <c r="F675">
        <v>6</v>
      </c>
      <c r="G675">
        <v>17</v>
      </c>
      <c r="H675">
        <v>1</v>
      </c>
      <c r="I675" t="s">
        <v>34</v>
      </c>
      <c r="J675">
        <v>95</v>
      </c>
      <c r="K675" t="s">
        <v>24</v>
      </c>
      <c r="L675">
        <v>100</v>
      </c>
      <c r="M675">
        <f>IF(D675=I675,VLOOKUP(D675,a_win_totals_lookup,MATCH(K675,a_wins_total_lookup_header,0)+1,0),VLOOKUP(D675,a_win_totals_lookup,MATCH(I675,a_wins_total_lookup_header,0)+1,0))</f>
        <v>0.34163887179980024</v>
      </c>
      <c r="N675">
        <f t="shared" ca="1" si="10"/>
        <v>0</v>
      </c>
    </row>
    <row r="676" spans="1:14" x14ac:dyDescent="0.25">
      <c r="A676">
        <v>400578631</v>
      </c>
      <c r="B676">
        <v>2015</v>
      </c>
      <c r="C676" s="1">
        <v>41985</v>
      </c>
      <c r="D676" t="s">
        <v>17</v>
      </c>
      <c r="E676">
        <v>1</v>
      </c>
      <c r="F676">
        <v>7</v>
      </c>
      <c r="G676">
        <v>16</v>
      </c>
      <c r="H676">
        <v>0</v>
      </c>
      <c r="I676" t="s">
        <v>15</v>
      </c>
      <c r="J676">
        <v>110</v>
      </c>
      <c r="K676" t="s">
        <v>17</v>
      </c>
      <c r="L676">
        <v>112</v>
      </c>
      <c r="M676">
        <f>IF(D676=I676,VLOOKUP(D676,a_win_totals_lookup,MATCH(K676,a_wins_total_lookup_header,0)+1,0),VLOOKUP(D676,a_win_totals_lookup,MATCH(I676,a_wins_total_lookup_header,0)+1,0))</f>
        <v>0.29215473840837614</v>
      </c>
      <c r="N676">
        <f t="shared" ca="1" si="10"/>
        <v>0</v>
      </c>
    </row>
    <row r="677" spans="1:14" x14ac:dyDescent="0.25">
      <c r="A677">
        <v>400578631</v>
      </c>
      <c r="B677">
        <v>2015</v>
      </c>
      <c r="C677" s="1">
        <v>41985</v>
      </c>
      <c r="D677" t="s">
        <v>15</v>
      </c>
      <c r="E677">
        <v>0</v>
      </c>
      <c r="F677">
        <v>16</v>
      </c>
      <c r="G677">
        <v>7</v>
      </c>
      <c r="H677">
        <v>1</v>
      </c>
      <c r="I677" t="s">
        <v>15</v>
      </c>
      <c r="J677">
        <v>110</v>
      </c>
      <c r="K677" t="s">
        <v>17</v>
      </c>
      <c r="L677">
        <v>112</v>
      </c>
      <c r="M677">
        <f>IF(D677=I677,VLOOKUP(D677,a_win_totals_lookup,MATCH(K677,a_wins_total_lookup_header,0)+1,0),VLOOKUP(D677,a_win_totals_lookup,MATCH(I677,a_wins_total_lookup_header,0)+1,0))</f>
        <v>0.70784526159162375</v>
      </c>
      <c r="N677">
        <f t="shared" ca="1" si="10"/>
        <v>1</v>
      </c>
    </row>
    <row r="678" spans="1:14" x14ac:dyDescent="0.25">
      <c r="A678">
        <v>400578632</v>
      </c>
      <c r="B678">
        <v>2015</v>
      </c>
      <c r="C678" s="1">
        <v>41986</v>
      </c>
      <c r="D678" t="s">
        <v>14</v>
      </c>
      <c r="E678">
        <v>0</v>
      </c>
      <c r="F678">
        <v>17</v>
      </c>
      <c r="G678">
        <v>8</v>
      </c>
      <c r="H678">
        <v>1</v>
      </c>
      <c r="I678" t="s">
        <v>14</v>
      </c>
      <c r="J678">
        <v>98</v>
      </c>
      <c r="K678" t="s">
        <v>36</v>
      </c>
      <c r="L678">
        <v>105</v>
      </c>
      <c r="M678">
        <f>IF(D678=I678,VLOOKUP(D678,a_win_totals_lookup,MATCH(K678,a_wins_total_lookup_header,0)+1,0),VLOOKUP(D678,a_win_totals_lookup,MATCH(I678,a_wins_total_lookup_header,0)+1,0))</f>
        <v>0.49277333787842664</v>
      </c>
      <c r="N678">
        <f t="shared" ca="1" si="10"/>
        <v>1</v>
      </c>
    </row>
    <row r="679" spans="1:14" x14ac:dyDescent="0.25">
      <c r="A679">
        <v>400578632</v>
      </c>
      <c r="B679">
        <v>2015</v>
      </c>
      <c r="C679" s="1">
        <v>41986</v>
      </c>
      <c r="D679" t="s">
        <v>36</v>
      </c>
      <c r="E679">
        <v>1</v>
      </c>
      <c r="F679">
        <v>20</v>
      </c>
      <c r="G679">
        <v>2</v>
      </c>
      <c r="H679">
        <v>0</v>
      </c>
      <c r="I679" t="s">
        <v>14</v>
      </c>
      <c r="J679">
        <v>98</v>
      </c>
      <c r="K679" t="s">
        <v>36</v>
      </c>
      <c r="L679">
        <v>105</v>
      </c>
      <c r="M679">
        <f>IF(D679=I679,VLOOKUP(D679,a_win_totals_lookup,MATCH(K679,a_wins_total_lookup_header,0)+1,0),VLOOKUP(D679,a_win_totals_lookup,MATCH(I679,a_wins_total_lookup_header,0)+1,0))</f>
        <v>0.50722666212157341</v>
      </c>
      <c r="N679">
        <f t="shared" ca="1" si="10"/>
        <v>1</v>
      </c>
    </row>
    <row r="680" spans="1:14" x14ac:dyDescent="0.25">
      <c r="A680">
        <v>400578633</v>
      </c>
      <c r="B680">
        <v>2015</v>
      </c>
      <c r="C680" s="1">
        <v>41986</v>
      </c>
      <c r="D680" t="s">
        <v>23</v>
      </c>
      <c r="E680">
        <v>1</v>
      </c>
      <c r="F680">
        <v>10</v>
      </c>
      <c r="G680">
        <v>12</v>
      </c>
      <c r="H680">
        <v>0</v>
      </c>
      <c r="I680" t="s">
        <v>18</v>
      </c>
      <c r="J680">
        <v>87</v>
      </c>
      <c r="K680" t="s">
        <v>23</v>
      </c>
      <c r="L680">
        <v>114</v>
      </c>
      <c r="M680">
        <f>IF(D680=I680,VLOOKUP(D680,a_win_totals_lookup,MATCH(K680,a_wins_total_lookup_header,0)+1,0),VLOOKUP(D680,a_win_totals_lookup,MATCH(I680,a_wins_total_lookup_header,0)+1,0))</f>
        <v>0.43782349911420193</v>
      </c>
      <c r="N680">
        <f t="shared" ca="1" si="10"/>
        <v>0</v>
      </c>
    </row>
    <row r="681" spans="1:14" x14ac:dyDescent="0.25">
      <c r="A681">
        <v>400578633</v>
      </c>
      <c r="B681">
        <v>2015</v>
      </c>
      <c r="C681" s="1">
        <v>41986</v>
      </c>
      <c r="D681" t="s">
        <v>18</v>
      </c>
      <c r="E681">
        <v>0</v>
      </c>
      <c r="F681">
        <v>6</v>
      </c>
      <c r="G681">
        <v>17</v>
      </c>
      <c r="H681">
        <v>1</v>
      </c>
      <c r="I681" t="s">
        <v>18</v>
      </c>
      <c r="J681">
        <v>87</v>
      </c>
      <c r="K681" t="s">
        <v>23</v>
      </c>
      <c r="L681">
        <v>114</v>
      </c>
      <c r="M681">
        <f>IF(D681=I681,VLOOKUP(D681,a_win_totals_lookup,MATCH(K681,a_wins_total_lookup_header,0)+1,0),VLOOKUP(D681,a_win_totals_lookup,MATCH(I681,a_wins_total_lookup_header,0)+1,0))</f>
        <v>0.56217650088579807</v>
      </c>
      <c r="N681">
        <f t="shared" ca="1" si="10"/>
        <v>1</v>
      </c>
    </row>
    <row r="682" spans="1:14" x14ac:dyDescent="0.25">
      <c r="A682">
        <v>400578634</v>
      </c>
      <c r="B682">
        <v>2015</v>
      </c>
      <c r="C682" s="1">
        <v>41986</v>
      </c>
      <c r="D682" t="s">
        <v>20</v>
      </c>
      <c r="E682">
        <v>0</v>
      </c>
      <c r="F682">
        <v>7</v>
      </c>
      <c r="G682">
        <v>17</v>
      </c>
      <c r="H682">
        <v>1</v>
      </c>
      <c r="I682" t="s">
        <v>20</v>
      </c>
      <c r="J682">
        <v>85</v>
      </c>
      <c r="K682" t="s">
        <v>39</v>
      </c>
      <c r="L682">
        <v>95</v>
      </c>
      <c r="M682">
        <f>IF(D682=I682,VLOOKUP(D682,a_win_totals_lookup,MATCH(K682,a_wins_total_lookup_header,0)+1,0),VLOOKUP(D682,a_win_totals_lookup,MATCH(I682,a_wins_total_lookup_header,0)+1,0))</f>
        <v>0.35101905311773113</v>
      </c>
      <c r="N682">
        <f t="shared" ca="1" si="10"/>
        <v>0</v>
      </c>
    </row>
    <row r="683" spans="1:14" x14ac:dyDescent="0.25">
      <c r="A683">
        <v>400578634</v>
      </c>
      <c r="B683">
        <v>2015</v>
      </c>
      <c r="C683" s="1">
        <v>41986</v>
      </c>
      <c r="D683" t="s">
        <v>39</v>
      </c>
      <c r="E683">
        <v>1</v>
      </c>
      <c r="F683">
        <v>18</v>
      </c>
      <c r="G683">
        <v>6</v>
      </c>
      <c r="H683">
        <v>0</v>
      </c>
      <c r="I683" t="s">
        <v>20</v>
      </c>
      <c r="J683">
        <v>85</v>
      </c>
      <c r="K683" t="s">
        <v>39</v>
      </c>
      <c r="L683">
        <v>95</v>
      </c>
      <c r="M683">
        <f>IF(D683=I683,VLOOKUP(D683,a_win_totals_lookup,MATCH(K683,a_wins_total_lookup_header,0)+1,0),VLOOKUP(D683,a_win_totals_lookup,MATCH(I683,a_wins_total_lookup_header,0)+1,0))</f>
        <v>0.64898094688226893</v>
      </c>
      <c r="N683">
        <f t="shared" ca="1" si="10"/>
        <v>1</v>
      </c>
    </row>
    <row r="684" spans="1:14" x14ac:dyDescent="0.25">
      <c r="A684">
        <v>400578635</v>
      </c>
      <c r="B684">
        <v>2015</v>
      </c>
      <c r="C684" s="1">
        <v>41986</v>
      </c>
      <c r="D684" t="s">
        <v>26</v>
      </c>
      <c r="E684">
        <v>0</v>
      </c>
      <c r="F684">
        <v>16</v>
      </c>
      <c r="G684">
        <v>7</v>
      </c>
      <c r="H684">
        <v>0</v>
      </c>
      <c r="I684" t="s">
        <v>13</v>
      </c>
      <c r="J684">
        <v>100</v>
      </c>
      <c r="K684" t="s">
        <v>26</v>
      </c>
      <c r="L684">
        <v>99</v>
      </c>
      <c r="M684">
        <f>IF(D684=I684,VLOOKUP(D684,a_win_totals_lookup,MATCH(K684,a_wins_total_lookup_header,0)+1,0),VLOOKUP(D684,a_win_totals_lookup,MATCH(I684,a_wins_total_lookup_header,0)+1,0))</f>
        <v>0.64759781623680968</v>
      </c>
      <c r="N684">
        <f t="shared" ca="1" si="10"/>
        <v>1</v>
      </c>
    </row>
    <row r="685" spans="1:14" x14ac:dyDescent="0.25">
      <c r="A685">
        <v>400578635</v>
      </c>
      <c r="B685">
        <v>2015</v>
      </c>
      <c r="C685" s="1">
        <v>41986</v>
      </c>
      <c r="D685" t="s">
        <v>13</v>
      </c>
      <c r="E685">
        <v>1</v>
      </c>
      <c r="F685">
        <v>10</v>
      </c>
      <c r="G685">
        <v>16</v>
      </c>
      <c r="H685">
        <v>1</v>
      </c>
      <c r="I685" t="s">
        <v>13</v>
      </c>
      <c r="J685">
        <v>100</v>
      </c>
      <c r="K685" t="s">
        <v>26</v>
      </c>
      <c r="L685">
        <v>99</v>
      </c>
      <c r="M685">
        <f>IF(D685=I685,VLOOKUP(D685,a_win_totals_lookup,MATCH(K685,a_wins_total_lookup_header,0)+1,0),VLOOKUP(D685,a_win_totals_lookup,MATCH(I685,a_wins_total_lookup_header,0)+1,0))</f>
        <v>0.35240218376319032</v>
      </c>
      <c r="N685">
        <f t="shared" ca="1" si="10"/>
        <v>0</v>
      </c>
    </row>
    <row r="686" spans="1:14" x14ac:dyDescent="0.25">
      <c r="A686">
        <v>400578636</v>
      </c>
      <c r="B686">
        <v>2015</v>
      </c>
      <c r="C686" s="1">
        <v>41986</v>
      </c>
      <c r="D686" t="s">
        <v>41</v>
      </c>
      <c r="E686">
        <v>0</v>
      </c>
      <c r="F686">
        <v>16</v>
      </c>
      <c r="G686">
        <v>7</v>
      </c>
      <c r="H686">
        <v>0</v>
      </c>
      <c r="I686" t="s">
        <v>19</v>
      </c>
      <c r="J686">
        <v>111</v>
      </c>
      <c r="K686" t="s">
        <v>41</v>
      </c>
      <c r="L686">
        <v>106</v>
      </c>
      <c r="M686">
        <f>IF(D686=I686,VLOOKUP(D686,a_win_totals_lookup,MATCH(K686,a_wins_total_lookup_header,0)+1,0),VLOOKUP(D686,a_win_totals_lookup,MATCH(I686,a_wins_total_lookup_header,0)+1,0))</f>
        <v>0.77106907112086653</v>
      </c>
      <c r="N686">
        <f t="shared" ca="1" si="10"/>
        <v>1</v>
      </c>
    </row>
    <row r="687" spans="1:14" x14ac:dyDescent="0.25">
      <c r="A687">
        <v>400578636</v>
      </c>
      <c r="B687">
        <v>2015</v>
      </c>
      <c r="C687" s="1">
        <v>41986</v>
      </c>
      <c r="D687" t="s">
        <v>19</v>
      </c>
      <c r="E687">
        <v>1</v>
      </c>
      <c r="F687">
        <v>12</v>
      </c>
      <c r="G687">
        <v>12</v>
      </c>
      <c r="H687">
        <v>1</v>
      </c>
      <c r="I687" t="s">
        <v>19</v>
      </c>
      <c r="J687">
        <v>111</v>
      </c>
      <c r="K687" t="s">
        <v>41</v>
      </c>
      <c r="L687">
        <v>106</v>
      </c>
      <c r="M687">
        <f>IF(D687=I687,VLOOKUP(D687,a_win_totals_lookup,MATCH(K687,a_wins_total_lookup_header,0)+1,0),VLOOKUP(D687,a_win_totals_lookup,MATCH(I687,a_wins_total_lookup_header,0)+1,0))</f>
        <v>0.22893092887913349</v>
      </c>
      <c r="N687">
        <f t="shared" ca="1" si="10"/>
        <v>0</v>
      </c>
    </row>
    <row r="688" spans="1:14" x14ac:dyDescent="0.25">
      <c r="A688">
        <v>400578637</v>
      </c>
      <c r="B688">
        <v>2015</v>
      </c>
      <c r="C688" s="1">
        <v>41986</v>
      </c>
      <c r="D688" t="s">
        <v>28</v>
      </c>
      <c r="E688">
        <v>1</v>
      </c>
      <c r="F688">
        <v>19</v>
      </c>
      <c r="G688">
        <v>4</v>
      </c>
      <c r="H688">
        <v>0</v>
      </c>
      <c r="I688" t="s">
        <v>21</v>
      </c>
      <c r="J688">
        <v>115</v>
      </c>
      <c r="K688" t="s">
        <v>28</v>
      </c>
      <c r="L688">
        <v>120</v>
      </c>
      <c r="M688">
        <f>IF(D688=I688,VLOOKUP(D688,a_win_totals_lookup,MATCH(K688,a_wins_total_lookup_header,0)+1,0),VLOOKUP(D688,a_win_totals_lookup,MATCH(I688,a_wins_total_lookup_header,0)+1,0))</f>
        <v>0.77568020337392563</v>
      </c>
      <c r="N688">
        <f t="shared" ca="1" si="10"/>
        <v>1</v>
      </c>
    </row>
    <row r="689" spans="1:14" x14ac:dyDescent="0.25">
      <c r="A689">
        <v>400578637</v>
      </c>
      <c r="B689">
        <v>2015</v>
      </c>
      <c r="C689" s="1">
        <v>41986</v>
      </c>
      <c r="D689" t="s">
        <v>21</v>
      </c>
      <c r="E689">
        <v>0</v>
      </c>
      <c r="F689">
        <v>2</v>
      </c>
      <c r="G689">
        <v>21</v>
      </c>
      <c r="H689">
        <v>1</v>
      </c>
      <c r="I689" t="s">
        <v>21</v>
      </c>
      <c r="J689">
        <v>115</v>
      </c>
      <c r="K689" t="s">
        <v>28</v>
      </c>
      <c r="L689">
        <v>120</v>
      </c>
      <c r="M689">
        <f>IF(D689=I689,VLOOKUP(D689,a_win_totals_lookup,MATCH(K689,a_wins_total_lookup_header,0)+1,0),VLOOKUP(D689,a_win_totals_lookup,MATCH(I689,a_wins_total_lookup_header,0)+1,0))</f>
        <v>0.22431979662607437</v>
      </c>
      <c r="N689">
        <f t="shared" ca="1" si="10"/>
        <v>0</v>
      </c>
    </row>
    <row r="690" spans="1:14" x14ac:dyDescent="0.25">
      <c r="A690">
        <v>400578638</v>
      </c>
      <c r="B690">
        <v>2015</v>
      </c>
      <c r="C690" s="1">
        <v>41986</v>
      </c>
      <c r="D690" t="s">
        <v>32</v>
      </c>
      <c r="E690">
        <v>0</v>
      </c>
      <c r="F690">
        <v>10</v>
      </c>
      <c r="G690">
        <v>13</v>
      </c>
      <c r="H690">
        <v>0</v>
      </c>
      <c r="I690" t="s">
        <v>16</v>
      </c>
      <c r="J690">
        <v>108</v>
      </c>
      <c r="K690" t="s">
        <v>32</v>
      </c>
      <c r="L690">
        <v>96</v>
      </c>
      <c r="M690">
        <f>IF(D690=I690,VLOOKUP(D690,a_win_totals_lookup,MATCH(K690,a_wins_total_lookup_header,0)+1,0),VLOOKUP(D690,a_win_totals_lookup,MATCH(I690,a_wins_total_lookup_header,0)+1,0))</f>
        <v>0.41758613378174975</v>
      </c>
      <c r="N690">
        <f t="shared" ca="1" si="10"/>
        <v>1</v>
      </c>
    </row>
    <row r="691" spans="1:14" x14ac:dyDescent="0.25">
      <c r="A691">
        <v>400578638</v>
      </c>
      <c r="B691">
        <v>2015</v>
      </c>
      <c r="C691" s="1">
        <v>41986</v>
      </c>
      <c r="D691" t="s">
        <v>16</v>
      </c>
      <c r="E691">
        <v>1</v>
      </c>
      <c r="F691">
        <v>18</v>
      </c>
      <c r="G691">
        <v>5</v>
      </c>
      <c r="H691">
        <v>1</v>
      </c>
      <c r="I691" t="s">
        <v>16</v>
      </c>
      <c r="J691">
        <v>108</v>
      </c>
      <c r="K691" t="s">
        <v>32</v>
      </c>
      <c r="L691">
        <v>96</v>
      </c>
      <c r="M691">
        <f>IF(D691=I691,VLOOKUP(D691,a_win_totals_lookup,MATCH(K691,a_wins_total_lookup_header,0)+1,0),VLOOKUP(D691,a_win_totals_lookup,MATCH(I691,a_wins_total_lookup_header,0)+1,0))</f>
        <v>0.5824138662182502</v>
      </c>
      <c r="N691">
        <f t="shared" ca="1" si="10"/>
        <v>1</v>
      </c>
    </row>
    <row r="692" spans="1:14" x14ac:dyDescent="0.25">
      <c r="A692">
        <v>400578639</v>
      </c>
      <c r="B692">
        <v>2015</v>
      </c>
      <c r="C692" s="1">
        <v>41986</v>
      </c>
      <c r="D692" t="s">
        <v>33</v>
      </c>
      <c r="E692">
        <v>1</v>
      </c>
      <c r="F692">
        <v>5</v>
      </c>
      <c r="G692">
        <v>19</v>
      </c>
      <c r="H692">
        <v>0</v>
      </c>
      <c r="I692" t="s">
        <v>37</v>
      </c>
      <c r="J692">
        <v>90</v>
      </c>
      <c r="K692" t="s">
        <v>33</v>
      </c>
      <c r="L692">
        <v>95</v>
      </c>
      <c r="M692">
        <f>IF(D692=I692,VLOOKUP(D692,a_win_totals_lookup,MATCH(K692,a_wins_total_lookup_header,0)+1,0),VLOOKUP(D692,a_win_totals_lookup,MATCH(I692,a_wins_total_lookup_header,0)+1,0))</f>
        <v>0.53279747016783385</v>
      </c>
      <c r="N692">
        <f t="shared" ca="1" si="10"/>
        <v>1</v>
      </c>
    </row>
    <row r="693" spans="1:14" x14ac:dyDescent="0.25">
      <c r="A693">
        <v>400578639</v>
      </c>
      <c r="B693">
        <v>2015</v>
      </c>
      <c r="C693" s="1">
        <v>41986</v>
      </c>
      <c r="D693" t="s">
        <v>37</v>
      </c>
      <c r="E693">
        <v>0</v>
      </c>
      <c r="F693">
        <v>11</v>
      </c>
      <c r="G693">
        <v>13</v>
      </c>
      <c r="H693">
        <v>1</v>
      </c>
      <c r="I693" t="s">
        <v>37</v>
      </c>
      <c r="J693">
        <v>90</v>
      </c>
      <c r="K693" t="s">
        <v>33</v>
      </c>
      <c r="L693">
        <v>95</v>
      </c>
      <c r="M693">
        <f>IF(D693=I693,VLOOKUP(D693,a_win_totals_lookup,MATCH(K693,a_wins_total_lookup_header,0)+1,0),VLOOKUP(D693,a_win_totals_lookup,MATCH(I693,a_wins_total_lookup_header,0)+1,0))</f>
        <v>0.46720252983216615</v>
      </c>
      <c r="N693">
        <f t="shared" ca="1" si="10"/>
        <v>1</v>
      </c>
    </row>
    <row r="694" spans="1:14" x14ac:dyDescent="0.25">
      <c r="A694">
        <v>400578640</v>
      </c>
      <c r="B694">
        <v>2015</v>
      </c>
      <c r="C694" s="1">
        <v>41987</v>
      </c>
      <c r="D694" t="s">
        <v>36</v>
      </c>
      <c r="E694">
        <v>1</v>
      </c>
      <c r="F694">
        <v>21</v>
      </c>
      <c r="G694">
        <v>2</v>
      </c>
      <c r="H694">
        <v>0</v>
      </c>
      <c r="I694" t="s">
        <v>12</v>
      </c>
      <c r="J694">
        <v>122</v>
      </c>
      <c r="K694" t="s">
        <v>36</v>
      </c>
      <c r="L694">
        <v>128</v>
      </c>
      <c r="M694">
        <f>IF(D694=I694,VLOOKUP(D694,a_win_totals_lookup,MATCH(K694,a_wins_total_lookup_header,0)+1,0),VLOOKUP(D694,a_win_totals_lookup,MATCH(I694,a_wins_total_lookup_header,0)+1,0))</f>
        <v>0.60921188943915972</v>
      </c>
      <c r="N694">
        <f t="shared" ca="1" si="10"/>
        <v>0</v>
      </c>
    </row>
    <row r="695" spans="1:14" x14ac:dyDescent="0.25">
      <c r="A695">
        <v>400578640</v>
      </c>
      <c r="B695">
        <v>2015</v>
      </c>
      <c r="C695" s="1">
        <v>41987</v>
      </c>
      <c r="D695" t="s">
        <v>12</v>
      </c>
      <c r="E695">
        <v>0</v>
      </c>
      <c r="F695">
        <v>11</v>
      </c>
      <c r="G695">
        <v>12</v>
      </c>
      <c r="H695">
        <v>1</v>
      </c>
      <c r="I695" t="s">
        <v>12</v>
      </c>
      <c r="J695">
        <v>122</v>
      </c>
      <c r="K695" t="s">
        <v>36</v>
      </c>
      <c r="L695">
        <v>128</v>
      </c>
      <c r="M695">
        <f>IF(D695=I695,VLOOKUP(D695,a_win_totals_lookup,MATCH(K695,a_wins_total_lookup_header,0)+1,0),VLOOKUP(D695,a_win_totals_lookup,MATCH(I695,a_wins_total_lookup_header,0)+1,0))</f>
        <v>0.39078811056084028</v>
      </c>
      <c r="N695">
        <f t="shared" ca="1" si="10"/>
        <v>0</v>
      </c>
    </row>
    <row r="696" spans="1:14" x14ac:dyDescent="0.25">
      <c r="A696">
        <v>400578641</v>
      </c>
      <c r="B696">
        <v>2015</v>
      </c>
      <c r="C696" s="1">
        <v>41987</v>
      </c>
      <c r="D696" t="s">
        <v>30</v>
      </c>
      <c r="E696">
        <v>1</v>
      </c>
      <c r="F696">
        <v>15</v>
      </c>
      <c r="G696">
        <v>8</v>
      </c>
      <c r="H696">
        <v>0</v>
      </c>
      <c r="I696" t="s">
        <v>24</v>
      </c>
      <c r="J696">
        <v>75</v>
      </c>
      <c r="K696" t="s">
        <v>30</v>
      </c>
      <c r="L696">
        <v>93</v>
      </c>
      <c r="M696">
        <f>IF(D696=I696,VLOOKUP(D696,a_win_totals_lookup,MATCH(K696,a_wins_total_lookup_header,0)+1,0),VLOOKUP(D696,a_win_totals_lookup,MATCH(I696,a_wins_total_lookup_header,0)+1,0))</f>
        <v>0.59122407999213222</v>
      </c>
      <c r="N696">
        <f t="shared" ca="1" si="10"/>
        <v>1</v>
      </c>
    </row>
    <row r="697" spans="1:14" x14ac:dyDescent="0.25">
      <c r="A697">
        <v>400578641</v>
      </c>
      <c r="B697">
        <v>2015</v>
      </c>
      <c r="C697" s="1">
        <v>41987</v>
      </c>
      <c r="D697" t="s">
        <v>24</v>
      </c>
      <c r="E697">
        <v>0</v>
      </c>
      <c r="F697">
        <v>11</v>
      </c>
      <c r="G697">
        <v>13</v>
      </c>
      <c r="H697">
        <v>1</v>
      </c>
      <c r="I697" t="s">
        <v>24</v>
      </c>
      <c r="J697">
        <v>75</v>
      </c>
      <c r="K697" t="s">
        <v>30</v>
      </c>
      <c r="L697">
        <v>93</v>
      </c>
      <c r="M697">
        <f>IF(D697=I697,VLOOKUP(D697,a_win_totals_lookup,MATCH(K697,a_wins_total_lookup_header,0)+1,0),VLOOKUP(D697,a_win_totals_lookup,MATCH(I697,a_wins_total_lookup_header,0)+1,0))</f>
        <v>0.40877592000786772</v>
      </c>
      <c r="N697">
        <f t="shared" ca="1" si="10"/>
        <v>0</v>
      </c>
    </row>
    <row r="698" spans="1:14" x14ac:dyDescent="0.25">
      <c r="A698">
        <v>400578642</v>
      </c>
      <c r="B698">
        <v>2015</v>
      </c>
      <c r="C698" s="1">
        <v>41987</v>
      </c>
      <c r="D698" t="s">
        <v>34</v>
      </c>
      <c r="E698">
        <v>0</v>
      </c>
      <c r="F698">
        <v>6</v>
      </c>
      <c r="G698">
        <v>18</v>
      </c>
      <c r="H698">
        <v>0</v>
      </c>
      <c r="I698" t="s">
        <v>25</v>
      </c>
      <c r="J698">
        <v>93</v>
      </c>
      <c r="K698" t="s">
        <v>34</v>
      </c>
      <c r="L698">
        <v>84</v>
      </c>
      <c r="M698">
        <f>IF(D698=I698,VLOOKUP(D698,a_win_totals_lookup,MATCH(K698,a_wins_total_lookup_header,0)+1,0),VLOOKUP(D698,a_win_totals_lookup,MATCH(I698,a_wins_total_lookup_header,0)+1,0))</f>
        <v>0.31352139396241918</v>
      </c>
      <c r="N698">
        <f t="shared" ca="1" si="10"/>
        <v>1</v>
      </c>
    </row>
    <row r="699" spans="1:14" x14ac:dyDescent="0.25">
      <c r="A699">
        <v>400578642</v>
      </c>
      <c r="B699">
        <v>2015</v>
      </c>
      <c r="C699" s="1">
        <v>41987</v>
      </c>
      <c r="D699" t="s">
        <v>25</v>
      </c>
      <c r="E699">
        <v>1</v>
      </c>
      <c r="F699">
        <v>17</v>
      </c>
      <c r="G699">
        <v>6</v>
      </c>
      <c r="H699">
        <v>1</v>
      </c>
      <c r="I699" t="s">
        <v>25</v>
      </c>
      <c r="J699">
        <v>93</v>
      </c>
      <c r="K699" t="s">
        <v>34</v>
      </c>
      <c r="L699">
        <v>84</v>
      </c>
      <c r="M699">
        <f>IF(D699=I699,VLOOKUP(D699,a_win_totals_lookup,MATCH(K699,a_wins_total_lookup_header,0)+1,0),VLOOKUP(D699,a_win_totals_lookup,MATCH(I699,a_wins_total_lookup_header,0)+1,0))</f>
        <v>0.68647860603758082</v>
      </c>
      <c r="N699">
        <f t="shared" ca="1" si="10"/>
        <v>1</v>
      </c>
    </row>
    <row r="700" spans="1:14" x14ac:dyDescent="0.25">
      <c r="A700">
        <v>400578643</v>
      </c>
      <c r="B700">
        <v>2015</v>
      </c>
      <c r="C700" s="1">
        <v>41987</v>
      </c>
      <c r="D700" t="s">
        <v>17</v>
      </c>
      <c r="E700">
        <v>1</v>
      </c>
      <c r="F700">
        <v>8</v>
      </c>
      <c r="G700">
        <v>16</v>
      </c>
      <c r="H700">
        <v>0</v>
      </c>
      <c r="I700" t="s">
        <v>29</v>
      </c>
      <c r="J700">
        <v>94</v>
      </c>
      <c r="K700" t="s">
        <v>17</v>
      </c>
      <c r="L700">
        <v>100</v>
      </c>
      <c r="M700">
        <f>IF(D700=I700,VLOOKUP(D700,a_win_totals_lookup,MATCH(K700,a_wins_total_lookup_header,0)+1,0),VLOOKUP(D700,a_win_totals_lookup,MATCH(I700,a_wins_total_lookup_header,0)+1,0))</f>
        <v>0.59026429763515698</v>
      </c>
      <c r="N700">
        <f t="shared" ca="1" si="10"/>
        <v>1</v>
      </c>
    </row>
    <row r="701" spans="1:14" x14ac:dyDescent="0.25">
      <c r="A701">
        <v>400578643</v>
      </c>
      <c r="B701">
        <v>2015</v>
      </c>
      <c r="C701" s="1">
        <v>41987</v>
      </c>
      <c r="D701" t="s">
        <v>29</v>
      </c>
      <c r="E701">
        <v>0</v>
      </c>
      <c r="F701">
        <v>5</v>
      </c>
      <c r="G701">
        <v>18</v>
      </c>
      <c r="H701">
        <v>1</v>
      </c>
      <c r="I701" t="s">
        <v>29</v>
      </c>
      <c r="J701">
        <v>94</v>
      </c>
      <c r="K701" t="s">
        <v>17</v>
      </c>
      <c r="L701">
        <v>100</v>
      </c>
      <c r="M701">
        <f>IF(D701=I701,VLOOKUP(D701,a_win_totals_lookup,MATCH(K701,a_wins_total_lookup_header,0)+1,0),VLOOKUP(D701,a_win_totals_lookup,MATCH(I701,a_wins_total_lookup_header,0)+1,0))</f>
        <v>0.40973570236484297</v>
      </c>
      <c r="N701">
        <f t="shared" ca="1" si="10"/>
        <v>0</v>
      </c>
    </row>
    <row r="702" spans="1:14" x14ac:dyDescent="0.25">
      <c r="A702">
        <v>400578644</v>
      </c>
      <c r="B702">
        <v>2015</v>
      </c>
      <c r="C702" s="1">
        <v>41987</v>
      </c>
      <c r="D702" t="s">
        <v>38</v>
      </c>
      <c r="E702">
        <v>1</v>
      </c>
      <c r="F702">
        <v>11</v>
      </c>
      <c r="G702">
        <v>13</v>
      </c>
      <c r="H702">
        <v>1</v>
      </c>
      <c r="I702" t="s">
        <v>38</v>
      </c>
      <c r="J702">
        <v>112</v>
      </c>
      <c r="K702" t="s">
        <v>35</v>
      </c>
      <c r="L702">
        <v>88</v>
      </c>
      <c r="M702">
        <f>IF(D702=I702,VLOOKUP(D702,a_win_totals_lookup,MATCH(K702,a_wins_total_lookup_header,0)+1,0),VLOOKUP(D702,a_win_totals_lookup,MATCH(I702,a_wins_total_lookup_header,0)+1,0))</f>
        <v>0.59107258793132766</v>
      </c>
      <c r="N702">
        <f t="shared" ca="1" si="10"/>
        <v>1</v>
      </c>
    </row>
    <row r="703" spans="1:14" x14ac:dyDescent="0.25">
      <c r="A703">
        <v>400578644</v>
      </c>
      <c r="B703">
        <v>2015</v>
      </c>
      <c r="C703" s="1">
        <v>41987</v>
      </c>
      <c r="D703" t="s">
        <v>35</v>
      </c>
      <c r="E703">
        <v>0</v>
      </c>
      <c r="F703">
        <v>12</v>
      </c>
      <c r="G703">
        <v>13</v>
      </c>
      <c r="H703">
        <v>0</v>
      </c>
      <c r="I703" t="s">
        <v>38</v>
      </c>
      <c r="J703">
        <v>112</v>
      </c>
      <c r="K703" t="s">
        <v>35</v>
      </c>
      <c r="L703">
        <v>88</v>
      </c>
      <c r="M703">
        <f>IF(D703=I703,VLOOKUP(D703,a_win_totals_lookup,MATCH(K703,a_wins_total_lookup_header,0)+1,0),VLOOKUP(D703,a_win_totals_lookup,MATCH(I703,a_wins_total_lookup_header,0)+1,0))</f>
        <v>0.40892741206867239</v>
      </c>
      <c r="N703">
        <f t="shared" ca="1" si="10"/>
        <v>1</v>
      </c>
    </row>
    <row r="704" spans="1:14" x14ac:dyDescent="0.25">
      <c r="A704">
        <v>400578645</v>
      </c>
      <c r="B704">
        <v>2015</v>
      </c>
      <c r="C704" s="1">
        <v>41987</v>
      </c>
      <c r="D704" t="s">
        <v>31</v>
      </c>
      <c r="E704">
        <v>0</v>
      </c>
      <c r="F704">
        <v>5</v>
      </c>
      <c r="G704">
        <v>21</v>
      </c>
      <c r="H704">
        <v>1</v>
      </c>
      <c r="I704" t="s">
        <v>31</v>
      </c>
      <c r="J704">
        <v>90</v>
      </c>
      <c r="K704" t="s">
        <v>27</v>
      </c>
      <c r="L704">
        <v>95</v>
      </c>
      <c r="M704">
        <f>IF(D704=I704,VLOOKUP(D704,a_win_totals_lookup,MATCH(K704,a_wins_total_lookup_header,0)+1,0),VLOOKUP(D704,a_win_totals_lookup,MATCH(I704,a_wins_total_lookup_header,0)+1,0))</f>
        <v>0.38459864577188729</v>
      </c>
      <c r="N704">
        <f t="shared" ca="1" si="10"/>
        <v>1</v>
      </c>
    </row>
    <row r="705" spans="1:14" x14ac:dyDescent="0.25">
      <c r="A705">
        <v>400578645</v>
      </c>
      <c r="B705">
        <v>2015</v>
      </c>
      <c r="C705" s="1">
        <v>41987</v>
      </c>
      <c r="D705" t="s">
        <v>27</v>
      </c>
      <c r="E705">
        <v>1</v>
      </c>
      <c r="F705">
        <v>18</v>
      </c>
      <c r="G705">
        <v>6</v>
      </c>
      <c r="H705">
        <v>0</v>
      </c>
      <c r="I705" t="s">
        <v>31</v>
      </c>
      <c r="J705">
        <v>90</v>
      </c>
      <c r="K705" t="s">
        <v>27</v>
      </c>
      <c r="L705">
        <v>95</v>
      </c>
      <c r="M705">
        <f>IF(D705=I705,VLOOKUP(D705,a_win_totals_lookup,MATCH(K705,a_wins_total_lookup_header,0)+1,0),VLOOKUP(D705,a_win_totals_lookup,MATCH(I705,a_wins_total_lookup_header,0)+1,0))</f>
        <v>0.61540135422811282</v>
      </c>
      <c r="N705">
        <f t="shared" ca="1" si="10"/>
        <v>1</v>
      </c>
    </row>
    <row r="706" spans="1:14" x14ac:dyDescent="0.25">
      <c r="A706">
        <v>400578646</v>
      </c>
      <c r="B706">
        <v>2015</v>
      </c>
      <c r="C706" s="1">
        <v>41987</v>
      </c>
      <c r="D706" t="s">
        <v>32</v>
      </c>
      <c r="E706">
        <v>0</v>
      </c>
      <c r="F706">
        <v>10</v>
      </c>
      <c r="G706">
        <v>14</v>
      </c>
      <c r="H706">
        <v>1</v>
      </c>
      <c r="I706" t="s">
        <v>32</v>
      </c>
      <c r="J706">
        <v>91</v>
      </c>
      <c r="K706" t="s">
        <v>15</v>
      </c>
      <c r="L706">
        <v>99</v>
      </c>
      <c r="M706">
        <f>IF(D706=I706,VLOOKUP(D706,a_win_totals_lookup,MATCH(K706,a_wins_total_lookup_header,0)+1,0),VLOOKUP(D706,a_win_totals_lookup,MATCH(I706,a_wins_total_lookup_header,0)+1,0))</f>
        <v>0.36031197606974674</v>
      </c>
      <c r="N706">
        <f t="shared" ca="1" si="10"/>
        <v>1</v>
      </c>
    </row>
    <row r="707" spans="1:14" x14ac:dyDescent="0.25">
      <c r="A707">
        <v>400578646</v>
      </c>
      <c r="B707">
        <v>2015</v>
      </c>
      <c r="C707" s="1">
        <v>41987</v>
      </c>
      <c r="D707" t="s">
        <v>15</v>
      </c>
      <c r="E707">
        <v>1</v>
      </c>
      <c r="F707">
        <v>17</v>
      </c>
      <c r="G707">
        <v>7</v>
      </c>
      <c r="H707">
        <v>0</v>
      </c>
      <c r="I707" t="s">
        <v>32</v>
      </c>
      <c r="J707">
        <v>91</v>
      </c>
      <c r="K707" t="s">
        <v>15</v>
      </c>
      <c r="L707">
        <v>99</v>
      </c>
      <c r="M707">
        <f>IF(D707=I707,VLOOKUP(D707,a_win_totals_lookup,MATCH(K707,a_wins_total_lookup_header,0)+1,0),VLOOKUP(D707,a_win_totals_lookup,MATCH(I707,a_wins_total_lookup_header,0)+1,0))</f>
        <v>0.63968802393025326</v>
      </c>
      <c r="N707">
        <f t="shared" ref="N707:N770" ca="1" si="11">ROUND(0.5*RANDBETWEEN(-1,1)+M707,0)</f>
        <v>0</v>
      </c>
    </row>
    <row r="708" spans="1:14" x14ac:dyDescent="0.25">
      <c r="A708">
        <v>400578647</v>
      </c>
      <c r="B708">
        <v>2015</v>
      </c>
      <c r="C708" s="1">
        <v>41988</v>
      </c>
      <c r="D708" t="s">
        <v>18</v>
      </c>
      <c r="E708">
        <v>0</v>
      </c>
      <c r="F708">
        <v>6</v>
      </c>
      <c r="G708">
        <v>18</v>
      </c>
      <c r="H708">
        <v>0</v>
      </c>
      <c r="I708" t="s">
        <v>40</v>
      </c>
      <c r="J708">
        <v>97</v>
      </c>
      <c r="K708" t="s">
        <v>18</v>
      </c>
      <c r="L708">
        <v>88</v>
      </c>
      <c r="M708">
        <f>IF(D708=I708,VLOOKUP(D708,a_win_totals_lookup,MATCH(K708,a_wins_total_lookup_header,0)+1,0),VLOOKUP(D708,a_win_totals_lookup,MATCH(I708,a_wins_total_lookup_header,0)+1,0))</f>
        <v>0.40969739834145852</v>
      </c>
      <c r="N708">
        <f t="shared" ca="1" si="11"/>
        <v>1</v>
      </c>
    </row>
    <row r="709" spans="1:14" x14ac:dyDescent="0.25">
      <c r="A709">
        <v>400578647</v>
      </c>
      <c r="B709">
        <v>2015</v>
      </c>
      <c r="C709" s="1">
        <v>41988</v>
      </c>
      <c r="D709" t="s">
        <v>40</v>
      </c>
      <c r="E709">
        <v>1</v>
      </c>
      <c r="F709">
        <v>14</v>
      </c>
      <c r="G709">
        <v>9</v>
      </c>
      <c r="H709">
        <v>1</v>
      </c>
      <c r="I709" t="s">
        <v>40</v>
      </c>
      <c r="J709">
        <v>97</v>
      </c>
      <c r="K709" t="s">
        <v>18</v>
      </c>
      <c r="L709">
        <v>88</v>
      </c>
      <c r="M709">
        <f>IF(D709=I709,VLOOKUP(D709,a_win_totals_lookup,MATCH(K709,a_wins_total_lookup_header,0)+1,0),VLOOKUP(D709,a_win_totals_lookup,MATCH(I709,a_wins_total_lookup_header,0)+1,0))</f>
        <v>0.59030260165854143</v>
      </c>
      <c r="N709">
        <f t="shared" ca="1" si="11"/>
        <v>1</v>
      </c>
    </row>
    <row r="710" spans="1:14" x14ac:dyDescent="0.25">
      <c r="A710">
        <v>400578648</v>
      </c>
      <c r="B710">
        <v>2015</v>
      </c>
      <c r="C710" s="1">
        <v>41988</v>
      </c>
      <c r="D710" t="s">
        <v>20</v>
      </c>
      <c r="E710">
        <v>1</v>
      </c>
      <c r="F710">
        <v>8</v>
      </c>
      <c r="G710">
        <v>17</v>
      </c>
      <c r="H710">
        <v>1</v>
      </c>
      <c r="I710" t="s">
        <v>20</v>
      </c>
      <c r="J710">
        <v>110</v>
      </c>
      <c r="K710" t="s">
        <v>17</v>
      </c>
      <c r="L710">
        <v>91</v>
      </c>
      <c r="M710">
        <f>IF(D710=I710,VLOOKUP(D710,a_win_totals_lookup,MATCH(K710,a_wins_total_lookup_header,0)+1,0),VLOOKUP(D710,a_win_totals_lookup,MATCH(I710,a_wins_total_lookup_header,0)+1,0))</f>
        <v>0.51669770605406096</v>
      </c>
      <c r="N710">
        <f t="shared" ca="1" si="11"/>
        <v>1</v>
      </c>
    </row>
    <row r="711" spans="1:14" x14ac:dyDescent="0.25">
      <c r="A711">
        <v>400578648</v>
      </c>
      <c r="B711">
        <v>2015</v>
      </c>
      <c r="C711" s="1">
        <v>41988</v>
      </c>
      <c r="D711" t="s">
        <v>17</v>
      </c>
      <c r="E711">
        <v>0</v>
      </c>
      <c r="F711">
        <v>8</v>
      </c>
      <c r="G711">
        <v>17</v>
      </c>
      <c r="H711">
        <v>0</v>
      </c>
      <c r="I711" t="s">
        <v>20</v>
      </c>
      <c r="J711">
        <v>110</v>
      </c>
      <c r="K711" t="s">
        <v>17</v>
      </c>
      <c r="L711">
        <v>91</v>
      </c>
      <c r="M711">
        <f>IF(D711=I711,VLOOKUP(D711,a_win_totals_lookup,MATCH(K711,a_wins_total_lookup_header,0)+1,0),VLOOKUP(D711,a_win_totals_lookup,MATCH(I711,a_wins_total_lookup_header,0)+1,0))</f>
        <v>0.48330229394593899</v>
      </c>
      <c r="N711">
        <f t="shared" ca="1" si="11"/>
        <v>0</v>
      </c>
    </row>
    <row r="712" spans="1:14" x14ac:dyDescent="0.25">
      <c r="A712">
        <v>400578649</v>
      </c>
      <c r="B712">
        <v>2015</v>
      </c>
      <c r="C712" s="1">
        <v>41988</v>
      </c>
      <c r="D712" t="s">
        <v>22</v>
      </c>
      <c r="E712">
        <v>1</v>
      </c>
      <c r="F712">
        <v>8</v>
      </c>
      <c r="G712">
        <v>14</v>
      </c>
      <c r="H712">
        <v>0</v>
      </c>
      <c r="I712" t="s">
        <v>21</v>
      </c>
      <c r="J712">
        <v>87</v>
      </c>
      <c r="K712" t="s">
        <v>22</v>
      </c>
      <c r="L712">
        <v>105</v>
      </c>
      <c r="M712">
        <f>IF(D712=I712,VLOOKUP(D712,a_win_totals_lookup,MATCH(K712,a_wins_total_lookup_header,0)+1,0),VLOOKUP(D712,a_win_totals_lookup,MATCH(I712,a_wins_total_lookup_header,0)+1,0))</f>
        <v>0.53961526258126746</v>
      </c>
      <c r="N712">
        <f t="shared" ca="1" si="11"/>
        <v>1</v>
      </c>
    </row>
    <row r="713" spans="1:14" x14ac:dyDescent="0.25">
      <c r="A713">
        <v>400578649</v>
      </c>
      <c r="B713">
        <v>2015</v>
      </c>
      <c r="C713" s="1">
        <v>41988</v>
      </c>
      <c r="D713" t="s">
        <v>21</v>
      </c>
      <c r="E713">
        <v>0</v>
      </c>
      <c r="F713">
        <v>2</v>
      </c>
      <c r="G713">
        <v>22</v>
      </c>
      <c r="H713">
        <v>1</v>
      </c>
      <c r="I713" t="s">
        <v>21</v>
      </c>
      <c r="J713">
        <v>87</v>
      </c>
      <c r="K713" t="s">
        <v>22</v>
      </c>
      <c r="L713">
        <v>105</v>
      </c>
      <c r="M713">
        <f>IF(D713=I713,VLOOKUP(D713,a_win_totals_lookup,MATCH(K713,a_wins_total_lookup_header,0)+1,0),VLOOKUP(D713,a_win_totals_lookup,MATCH(I713,a_wins_total_lookup_header,0)+1,0))</f>
        <v>0.46038473741873248</v>
      </c>
      <c r="N713">
        <f t="shared" ca="1" si="11"/>
        <v>0</v>
      </c>
    </row>
    <row r="714" spans="1:14" x14ac:dyDescent="0.25">
      <c r="A714">
        <v>400578650</v>
      </c>
      <c r="B714">
        <v>2015</v>
      </c>
      <c r="C714" s="1">
        <v>41988</v>
      </c>
      <c r="D714" t="s">
        <v>26</v>
      </c>
      <c r="E714">
        <v>1</v>
      </c>
      <c r="F714">
        <v>17</v>
      </c>
      <c r="G714">
        <v>7</v>
      </c>
      <c r="H714">
        <v>1</v>
      </c>
      <c r="I714" t="s">
        <v>26</v>
      </c>
      <c r="J714">
        <v>93</v>
      </c>
      <c r="K714" t="s">
        <v>30</v>
      </c>
      <c r="L714">
        <v>86</v>
      </c>
      <c r="M714">
        <f>IF(D714=I714,VLOOKUP(D714,a_win_totals_lookup,MATCH(K714,a_wins_total_lookup_header,0)+1,0),VLOOKUP(D714,a_win_totals_lookup,MATCH(I714,a_wins_total_lookup_header,0)+1,0))</f>
        <v>0.39734725240030316</v>
      </c>
      <c r="N714">
        <f t="shared" ca="1" si="11"/>
        <v>0</v>
      </c>
    </row>
    <row r="715" spans="1:14" x14ac:dyDescent="0.25">
      <c r="A715">
        <v>400578650</v>
      </c>
      <c r="B715">
        <v>2015</v>
      </c>
      <c r="C715" s="1">
        <v>41988</v>
      </c>
      <c r="D715" t="s">
        <v>30</v>
      </c>
      <c r="E715">
        <v>0</v>
      </c>
      <c r="F715">
        <v>15</v>
      </c>
      <c r="G715">
        <v>9</v>
      </c>
      <c r="H715">
        <v>0</v>
      </c>
      <c r="I715" t="s">
        <v>26</v>
      </c>
      <c r="J715">
        <v>93</v>
      </c>
      <c r="K715" t="s">
        <v>30</v>
      </c>
      <c r="L715">
        <v>86</v>
      </c>
      <c r="M715">
        <f>IF(D715=I715,VLOOKUP(D715,a_win_totals_lookup,MATCH(K715,a_wins_total_lookup_header,0)+1,0),VLOOKUP(D715,a_win_totals_lookup,MATCH(I715,a_wins_total_lookup_header,0)+1,0))</f>
        <v>0.60265274759969689</v>
      </c>
      <c r="N715">
        <f t="shared" ca="1" si="11"/>
        <v>1</v>
      </c>
    </row>
    <row r="716" spans="1:14" x14ac:dyDescent="0.25">
      <c r="A716">
        <v>400578651</v>
      </c>
      <c r="B716">
        <v>2015</v>
      </c>
      <c r="C716" s="1">
        <v>41988</v>
      </c>
      <c r="D716" t="s">
        <v>13</v>
      </c>
      <c r="E716">
        <v>0</v>
      </c>
      <c r="F716">
        <v>10</v>
      </c>
      <c r="G716">
        <v>17</v>
      </c>
      <c r="H716">
        <v>0</v>
      </c>
      <c r="I716" t="s">
        <v>27</v>
      </c>
      <c r="J716">
        <v>95</v>
      </c>
      <c r="K716" t="s">
        <v>13</v>
      </c>
      <c r="L716">
        <v>82</v>
      </c>
      <c r="M716">
        <f>IF(D716=I716,VLOOKUP(D716,a_win_totals_lookup,MATCH(K716,a_wins_total_lookup_header,0)+1,0),VLOOKUP(D716,a_win_totals_lookup,MATCH(I716,a_wins_total_lookup_header,0)+1,0))</f>
        <v>0.28473557877177313</v>
      </c>
      <c r="N716">
        <f t="shared" ca="1" si="11"/>
        <v>1</v>
      </c>
    </row>
    <row r="717" spans="1:14" x14ac:dyDescent="0.25">
      <c r="A717">
        <v>400578651</v>
      </c>
      <c r="B717">
        <v>2015</v>
      </c>
      <c r="C717" s="1">
        <v>41988</v>
      </c>
      <c r="D717" t="s">
        <v>27</v>
      </c>
      <c r="E717">
        <v>1</v>
      </c>
      <c r="F717">
        <v>19</v>
      </c>
      <c r="G717">
        <v>6</v>
      </c>
      <c r="H717">
        <v>1</v>
      </c>
      <c r="I717" t="s">
        <v>27</v>
      </c>
      <c r="J717">
        <v>95</v>
      </c>
      <c r="K717" t="s">
        <v>13</v>
      </c>
      <c r="L717">
        <v>82</v>
      </c>
      <c r="M717">
        <f>IF(D717=I717,VLOOKUP(D717,a_win_totals_lookup,MATCH(K717,a_wins_total_lookup_header,0)+1,0),VLOOKUP(D717,a_win_totals_lookup,MATCH(I717,a_wins_total_lookup_header,0)+1,0))</f>
        <v>0.71526442122822687</v>
      </c>
      <c r="N717">
        <f t="shared" ca="1" si="11"/>
        <v>1</v>
      </c>
    </row>
    <row r="718" spans="1:14" x14ac:dyDescent="0.25">
      <c r="A718">
        <v>400578652</v>
      </c>
      <c r="B718">
        <v>2015</v>
      </c>
      <c r="C718" s="1">
        <v>41988</v>
      </c>
      <c r="D718" t="s">
        <v>19</v>
      </c>
      <c r="E718">
        <v>1</v>
      </c>
      <c r="F718">
        <v>13</v>
      </c>
      <c r="G718">
        <v>12</v>
      </c>
      <c r="H718">
        <v>0</v>
      </c>
      <c r="I718" t="s">
        <v>35</v>
      </c>
      <c r="J718">
        <v>94</v>
      </c>
      <c r="K718" t="s">
        <v>19</v>
      </c>
      <c r="L718">
        <v>96</v>
      </c>
      <c r="M718">
        <f>IF(D718=I718,VLOOKUP(D718,a_win_totals_lookup,MATCH(K718,a_wins_total_lookup_header,0)+1,0),VLOOKUP(D718,a_win_totals_lookup,MATCH(I718,a_wins_total_lookup_header,0)+1,0))</f>
        <v>0.31938034690791411</v>
      </c>
      <c r="N718">
        <f t="shared" ca="1" si="11"/>
        <v>1</v>
      </c>
    </row>
    <row r="719" spans="1:14" x14ac:dyDescent="0.25">
      <c r="A719">
        <v>400578652</v>
      </c>
      <c r="B719">
        <v>2015</v>
      </c>
      <c r="C719" s="1">
        <v>41988</v>
      </c>
      <c r="D719" t="s">
        <v>35</v>
      </c>
      <c r="E719">
        <v>0</v>
      </c>
      <c r="F719">
        <v>12</v>
      </c>
      <c r="G719">
        <v>14</v>
      </c>
      <c r="H719">
        <v>1</v>
      </c>
      <c r="I719" t="s">
        <v>35</v>
      </c>
      <c r="J719">
        <v>94</v>
      </c>
      <c r="K719" t="s">
        <v>19</v>
      </c>
      <c r="L719">
        <v>96</v>
      </c>
      <c r="M719">
        <f>IF(D719=I719,VLOOKUP(D719,a_win_totals_lookup,MATCH(K719,a_wins_total_lookup_header,0)+1,0),VLOOKUP(D719,a_win_totals_lookup,MATCH(I719,a_wins_total_lookup_header,0)+1,0))</f>
        <v>0.68061965309208583</v>
      </c>
      <c r="N719">
        <f t="shared" ca="1" si="11"/>
        <v>0</v>
      </c>
    </row>
    <row r="720" spans="1:14" x14ac:dyDescent="0.25">
      <c r="A720">
        <v>400578653</v>
      </c>
      <c r="B720">
        <v>2015</v>
      </c>
      <c r="C720" s="1">
        <v>41988</v>
      </c>
      <c r="D720" t="s">
        <v>39</v>
      </c>
      <c r="E720">
        <v>1</v>
      </c>
      <c r="F720">
        <v>19</v>
      </c>
      <c r="G720">
        <v>6</v>
      </c>
      <c r="H720">
        <v>1</v>
      </c>
      <c r="I720" t="s">
        <v>39</v>
      </c>
      <c r="J720">
        <v>108</v>
      </c>
      <c r="K720" t="s">
        <v>15</v>
      </c>
      <c r="L720">
        <v>95</v>
      </c>
      <c r="M720">
        <f>IF(D720=I720,VLOOKUP(D720,a_win_totals_lookup,MATCH(K720,a_wins_total_lookup_header,0)+1,0),VLOOKUP(D720,a_win_totals_lookup,MATCH(I720,a_wins_total_lookup_header,0)+1,0))</f>
        <v>0.44928415963258811</v>
      </c>
      <c r="N720">
        <f t="shared" ca="1" si="11"/>
        <v>1</v>
      </c>
    </row>
    <row r="721" spans="1:14" x14ac:dyDescent="0.25">
      <c r="A721">
        <v>400578653</v>
      </c>
      <c r="B721">
        <v>2015</v>
      </c>
      <c r="C721" s="1">
        <v>41988</v>
      </c>
      <c r="D721" t="s">
        <v>15</v>
      </c>
      <c r="E721">
        <v>0</v>
      </c>
      <c r="F721">
        <v>17</v>
      </c>
      <c r="G721">
        <v>8</v>
      </c>
      <c r="H721">
        <v>0</v>
      </c>
      <c r="I721" t="s">
        <v>39</v>
      </c>
      <c r="J721">
        <v>108</v>
      </c>
      <c r="K721" t="s">
        <v>15</v>
      </c>
      <c r="L721">
        <v>95</v>
      </c>
      <c r="M721">
        <f>IF(D721=I721,VLOOKUP(D721,a_win_totals_lookup,MATCH(K721,a_wins_total_lookup_header,0)+1,0),VLOOKUP(D721,a_win_totals_lookup,MATCH(I721,a_wins_total_lookup_header,0)+1,0))</f>
        <v>0.55071584036741195</v>
      </c>
      <c r="N721">
        <f t="shared" ca="1" si="11"/>
        <v>0</v>
      </c>
    </row>
    <row r="722" spans="1:14" x14ac:dyDescent="0.25">
      <c r="A722">
        <v>400578654</v>
      </c>
      <c r="B722">
        <v>2015</v>
      </c>
      <c r="C722" s="1">
        <v>41988</v>
      </c>
      <c r="D722" t="s">
        <v>33</v>
      </c>
      <c r="E722">
        <v>0</v>
      </c>
      <c r="F722">
        <v>5</v>
      </c>
      <c r="G722">
        <v>20</v>
      </c>
      <c r="H722">
        <v>0</v>
      </c>
      <c r="I722" t="s">
        <v>41</v>
      </c>
      <c r="J722">
        <v>113</v>
      </c>
      <c r="K722" t="s">
        <v>33</v>
      </c>
      <c r="L722">
        <v>91</v>
      </c>
      <c r="M722">
        <f>IF(D722=I722,VLOOKUP(D722,a_win_totals_lookup,MATCH(K722,a_wins_total_lookup_header,0)+1,0),VLOOKUP(D722,a_win_totals_lookup,MATCH(I722,a_wins_total_lookup_header,0)+1,0))</f>
        <v>0.31114548025336697</v>
      </c>
      <c r="N722">
        <f t="shared" ca="1" si="11"/>
        <v>1</v>
      </c>
    </row>
    <row r="723" spans="1:14" x14ac:dyDescent="0.25">
      <c r="A723">
        <v>400578654</v>
      </c>
      <c r="B723">
        <v>2015</v>
      </c>
      <c r="C723" s="1">
        <v>41988</v>
      </c>
      <c r="D723" t="s">
        <v>41</v>
      </c>
      <c r="E723">
        <v>1</v>
      </c>
      <c r="F723">
        <v>17</v>
      </c>
      <c r="G723">
        <v>7</v>
      </c>
      <c r="H723">
        <v>1</v>
      </c>
      <c r="I723" t="s">
        <v>41</v>
      </c>
      <c r="J723">
        <v>113</v>
      </c>
      <c r="K723" t="s">
        <v>33</v>
      </c>
      <c r="L723">
        <v>91</v>
      </c>
      <c r="M723">
        <f>IF(D723=I723,VLOOKUP(D723,a_win_totals_lookup,MATCH(K723,a_wins_total_lookup_header,0)+1,0),VLOOKUP(D723,a_win_totals_lookup,MATCH(I723,a_wins_total_lookup_header,0)+1,0))</f>
        <v>0.68885451974663314</v>
      </c>
      <c r="N723">
        <f t="shared" ca="1" si="11"/>
        <v>1</v>
      </c>
    </row>
    <row r="724" spans="1:14" x14ac:dyDescent="0.25">
      <c r="A724">
        <v>400578655</v>
      </c>
      <c r="B724">
        <v>2015</v>
      </c>
      <c r="C724" s="1">
        <v>41989</v>
      </c>
      <c r="D724" t="s">
        <v>29</v>
      </c>
      <c r="E724">
        <v>0</v>
      </c>
      <c r="F724">
        <v>5</v>
      </c>
      <c r="G724">
        <v>19</v>
      </c>
      <c r="H724">
        <v>0</v>
      </c>
      <c r="I724" t="s">
        <v>25</v>
      </c>
      <c r="J724">
        <v>109</v>
      </c>
      <c r="K724" t="s">
        <v>29</v>
      </c>
      <c r="L724">
        <v>95</v>
      </c>
      <c r="M724">
        <f>IF(D724=I724,VLOOKUP(D724,a_win_totals_lookup,MATCH(K724,a_wins_total_lookup_header,0)+1,0),VLOOKUP(D724,a_win_totals_lookup,MATCH(I724,a_wins_total_lookup_header,0)+1,0))</f>
        <v>0.267238229826881</v>
      </c>
      <c r="N724">
        <f t="shared" ca="1" si="11"/>
        <v>0</v>
      </c>
    </row>
    <row r="725" spans="1:14" x14ac:dyDescent="0.25">
      <c r="A725">
        <v>400578655</v>
      </c>
      <c r="B725">
        <v>2015</v>
      </c>
      <c r="C725" s="1">
        <v>41989</v>
      </c>
      <c r="D725" t="s">
        <v>25</v>
      </c>
      <c r="E725">
        <v>1</v>
      </c>
      <c r="F725">
        <v>18</v>
      </c>
      <c r="G725">
        <v>6</v>
      </c>
      <c r="H725">
        <v>1</v>
      </c>
      <c r="I725" t="s">
        <v>25</v>
      </c>
      <c r="J725">
        <v>109</v>
      </c>
      <c r="K725" t="s">
        <v>29</v>
      </c>
      <c r="L725">
        <v>95</v>
      </c>
      <c r="M725">
        <f>IF(D725=I725,VLOOKUP(D725,a_win_totals_lookup,MATCH(K725,a_wins_total_lookup_header,0)+1,0),VLOOKUP(D725,a_win_totals_lookup,MATCH(I725,a_wins_total_lookup_header,0)+1,0))</f>
        <v>0.73276177017311905</v>
      </c>
      <c r="N725">
        <f t="shared" ca="1" si="11"/>
        <v>1</v>
      </c>
    </row>
    <row r="726" spans="1:14" x14ac:dyDescent="0.25">
      <c r="A726">
        <v>400578656</v>
      </c>
      <c r="B726">
        <v>2015</v>
      </c>
      <c r="C726" s="1">
        <v>41989</v>
      </c>
      <c r="D726" t="s">
        <v>23</v>
      </c>
      <c r="E726">
        <v>0</v>
      </c>
      <c r="F726">
        <v>10</v>
      </c>
      <c r="G726">
        <v>13</v>
      </c>
      <c r="H726">
        <v>1</v>
      </c>
      <c r="I726" t="s">
        <v>23</v>
      </c>
      <c r="J726">
        <v>91</v>
      </c>
      <c r="K726" t="s">
        <v>24</v>
      </c>
      <c r="L726">
        <v>95</v>
      </c>
      <c r="M726">
        <f>IF(D726=I726,VLOOKUP(D726,a_win_totals_lookup,MATCH(K726,a_wins_total_lookup_header,0)+1,0),VLOOKUP(D726,a_win_totals_lookup,MATCH(I726,a_wins_total_lookup_header,0)+1,0))</f>
        <v>0.4489330916958254</v>
      </c>
      <c r="N726">
        <f t="shared" ca="1" si="11"/>
        <v>1</v>
      </c>
    </row>
    <row r="727" spans="1:14" x14ac:dyDescent="0.25">
      <c r="A727">
        <v>400578656</v>
      </c>
      <c r="B727">
        <v>2015</v>
      </c>
      <c r="C727" s="1">
        <v>41989</v>
      </c>
      <c r="D727" t="s">
        <v>24</v>
      </c>
      <c r="E727">
        <v>1</v>
      </c>
      <c r="F727">
        <v>12</v>
      </c>
      <c r="G727">
        <v>13</v>
      </c>
      <c r="H727">
        <v>0</v>
      </c>
      <c r="I727" t="s">
        <v>23</v>
      </c>
      <c r="J727">
        <v>91</v>
      </c>
      <c r="K727" t="s">
        <v>24</v>
      </c>
      <c r="L727">
        <v>95</v>
      </c>
      <c r="M727">
        <f>IF(D727=I727,VLOOKUP(D727,a_win_totals_lookup,MATCH(K727,a_wins_total_lookup_header,0)+1,0),VLOOKUP(D727,a_win_totals_lookup,MATCH(I727,a_wins_total_lookup_header,0)+1,0))</f>
        <v>0.5510669083041746</v>
      </c>
      <c r="N727">
        <f t="shared" ca="1" si="11"/>
        <v>1</v>
      </c>
    </row>
    <row r="728" spans="1:14" x14ac:dyDescent="0.25">
      <c r="A728">
        <v>400578657</v>
      </c>
      <c r="B728">
        <v>2015</v>
      </c>
      <c r="C728" s="1">
        <v>41989</v>
      </c>
      <c r="D728" t="s">
        <v>36</v>
      </c>
      <c r="E728">
        <v>0</v>
      </c>
      <c r="F728">
        <v>21</v>
      </c>
      <c r="G728">
        <v>3</v>
      </c>
      <c r="H728">
        <v>0</v>
      </c>
      <c r="I728" t="s">
        <v>28</v>
      </c>
      <c r="J728">
        <v>105</v>
      </c>
      <c r="K728" t="s">
        <v>36</v>
      </c>
      <c r="L728">
        <v>98</v>
      </c>
      <c r="M728">
        <f>IF(D728=I728,VLOOKUP(D728,a_win_totals_lookup,MATCH(K728,a_wins_total_lookup_header,0)+1,0),VLOOKUP(D728,a_win_totals_lookup,MATCH(I728,a_wins_total_lookup_header,0)+1,0))</f>
        <v>0.5232579357992978</v>
      </c>
      <c r="N728">
        <f t="shared" ca="1" si="11"/>
        <v>1</v>
      </c>
    </row>
    <row r="729" spans="1:14" x14ac:dyDescent="0.25">
      <c r="A729">
        <v>400578657</v>
      </c>
      <c r="B729">
        <v>2015</v>
      </c>
      <c r="C729" s="1">
        <v>41989</v>
      </c>
      <c r="D729" t="s">
        <v>28</v>
      </c>
      <c r="E729">
        <v>1</v>
      </c>
      <c r="F729">
        <v>20</v>
      </c>
      <c r="G729">
        <v>4</v>
      </c>
      <c r="H729">
        <v>1</v>
      </c>
      <c r="I729" t="s">
        <v>28</v>
      </c>
      <c r="J729">
        <v>105</v>
      </c>
      <c r="K729" t="s">
        <v>36</v>
      </c>
      <c r="L729">
        <v>98</v>
      </c>
      <c r="M729">
        <f>IF(D729=I729,VLOOKUP(D729,a_win_totals_lookup,MATCH(K729,a_wins_total_lookup_header,0)+1,0),VLOOKUP(D729,a_win_totals_lookup,MATCH(I729,a_wins_total_lookup_header,0)+1,0))</f>
        <v>0.4767420642007022</v>
      </c>
      <c r="N729">
        <f t="shared" ca="1" si="11"/>
        <v>0</v>
      </c>
    </row>
    <row r="730" spans="1:14" x14ac:dyDescent="0.25">
      <c r="A730">
        <v>400578658</v>
      </c>
      <c r="B730">
        <v>2015</v>
      </c>
      <c r="C730" s="1">
        <v>41989</v>
      </c>
      <c r="D730" t="s">
        <v>12</v>
      </c>
      <c r="E730">
        <v>1</v>
      </c>
      <c r="F730">
        <v>12</v>
      </c>
      <c r="G730">
        <v>12</v>
      </c>
      <c r="H730">
        <v>1</v>
      </c>
      <c r="I730" t="s">
        <v>12</v>
      </c>
      <c r="J730">
        <v>119</v>
      </c>
      <c r="K730" t="s">
        <v>34</v>
      </c>
      <c r="L730">
        <v>111</v>
      </c>
      <c r="M730">
        <f>IF(D730=I730,VLOOKUP(D730,a_win_totals_lookup,MATCH(K730,a_wins_total_lookup_header,0)+1,0),VLOOKUP(D730,a_win_totals_lookup,MATCH(I730,a_wins_total_lookup_header,0)+1,0))</f>
        <v>0.62386816358907304</v>
      </c>
      <c r="N730">
        <f t="shared" ca="1" si="11"/>
        <v>1</v>
      </c>
    </row>
    <row r="731" spans="1:14" x14ac:dyDescent="0.25">
      <c r="A731">
        <v>400578658</v>
      </c>
      <c r="B731">
        <v>2015</v>
      </c>
      <c r="C731" s="1">
        <v>41989</v>
      </c>
      <c r="D731" t="s">
        <v>34</v>
      </c>
      <c r="E731">
        <v>0</v>
      </c>
      <c r="F731">
        <v>6</v>
      </c>
      <c r="G731">
        <v>19</v>
      </c>
      <c r="H731">
        <v>0</v>
      </c>
      <c r="I731" t="s">
        <v>12</v>
      </c>
      <c r="J731">
        <v>119</v>
      </c>
      <c r="K731" t="s">
        <v>34</v>
      </c>
      <c r="L731">
        <v>111</v>
      </c>
      <c r="M731">
        <f>IF(D731=I731,VLOOKUP(D731,a_win_totals_lookup,MATCH(K731,a_wins_total_lookup_header,0)+1,0),VLOOKUP(D731,a_win_totals_lookup,MATCH(I731,a_wins_total_lookup_header,0)+1,0))</f>
        <v>0.37613183641092696</v>
      </c>
      <c r="N731">
        <f t="shared" ca="1" si="11"/>
        <v>0</v>
      </c>
    </row>
    <row r="732" spans="1:14" x14ac:dyDescent="0.25">
      <c r="A732">
        <v>400578659</v>
      </c>
      <c r="B732">
        <v>2015</v>
      </c>
      <c r="C732" s="1">
        <v>41989</v>
      </c>
      <c r="D732" t="s">
        <v>14</v>
      </c>
      <c r="E732">
        <v>1</v>
      </c>
      <c r="F732">
        <v>18</v>
      </c>
      <c r="G732">
        <v>8</v>
      </c>
      <c r="H732">
        <v>0</v>
      </c>
      <c r="I732" t="s">
        <v>31</v>
      </c>
      <c r="J732">
        <v>87</v>
      </c>
      <c r="K732" t="s">
        <v>14</v>
      </c>
      <c r="L732">
        <v>107</v>
      </c>
      <c r="M732">
        <f>IF(D732=I732,VLOOKUP(D732,a_win_totals_lookup,MATCH(K732,a_wins_total_lookup_header,0)+1,0),VLOOKUP(D732,a_win_totals_lookup,MATCH(I732,a_wins_total_lookup_header,0)+1,0))</f>
        <v>0.61540135422811282</v>
      </c>
      <c r="N732">
        <f t="shared" ca="1" si="11"/>
        <v>1</v>
      </c>
    </row>
    <row r="733" spans="1:14" x14ac:dyDescent="0.25">
      <c r="A733">
        <v>400578659</v>
      </c>
      <c r="B733">
        <v>2015</v>
      </c>
      <c r="C733" s="1">
        <v>41989</v>
      </c>
      <c r="D733" t="s">
        <v>31</v>
      </c>
      <c r="E733">
        <v>0</v>
      </c>
      <c r="F733">
        <v>5</v>
      </c>
      <c r="G733">
        <v>22</v>
      </c>
      <c r="H733">
        <v>1</v>
      </c>
      <c r="I733" t="s">
        <v>31</v>
      </c>
      <c r="J733">
        <v>87</v>
      </c>
      <c r="K733" t="s">
        <v>14</v>
      </c>
      <c r="L733">
        <v>107</v>
      </c>
      <c r="M733">
        <f>IF(D733=I733,VLOOKUP(D733,a_win_totals_lookup,MATCH(K733,a_wins_total_lookup_header,0)+1,0),VLOOKUP(D733,a_win_totals_lookup,MATCH(I733,a_wins_total_lookup_header,0)+1,0))</f>
        <v>0.38459864577188729</v>
      </c>
      <c r="N733">
        <f t="shared" ca="1" si="11"/>
        <v>1</v>
      </c>
    </row>
    <row r="734" spans="1:14" x14ac:dyDescent="0.25">
      <c r="A734">
        <v>400578660</v>
      </c>
      <c r="B734">
        <v>2015</v>
      </c>
      <c r="C734" s="1">
        <v>41989</v>
      </c>
      <c r="D734" t="s">
        <v>38</v>
      </c>
      <c r="E734">
        <v>1</v>
      </c>
      <c r="F734">
        <v>12</v>
      </c>
      <c r="G734">
        <v>13</v>
      </c>
      <c r="H734">
        <v>0</v>
      </c>
      <c r="I734" t="s">
        <v>37</v>
      </c>
      <c r="J734">
        <v>92</v>
      </c>
      <c r="K734" t="s">
        <v>38</v>
      </c>
      <c r="L734">
        <v>104</v>
      </c>
      <c r="M734">
        <f>IF(D734=I734,VLOOKUP(D734,a_win_totals_lookup,MATCH(K734,a_wins_total_lookup_header,0)+1,0),VLOOKUP(D734,a_win_totals_lookup,MATCH(I734,a_wins_total_lookup_header,0)+1,0))</f>
        <v>0.69779347286419835</v>
      </c>
      <c r="N734">
        <f t="shared" ca="1" si="11"/>
        <v>1</v>
      </c>
    </row>
    <row r="735" spans="1:14" x14ac:dyDescent="0.25">
      <c r="A735">
        <v>400578660</v>
      </c>
      <c r="B735">
        <v>2015</v>
      </c>
      <c r="C735" s="1">
        <v>41989</v>
      </c>
      <c r="D735" t="s">
        <v>37</v>
      </c>
      <c r="E735">
        <v>0</v>
      </c>
      <c r="F735">
        <v>11</v>
      </c>
      <c r="G735">
        <v>14</v>
      </c>
      <c r="H735">
        <v>1</v>
      </c>
      <c r="I735" t="s">
        <v>37</v>
      </c>
      <c r="J735">
        <v>92</v>
      </c>
      <c r="K735" t="s">
        <v>38</v>
      </c>
      <c r="L735">
        <v>104</v>
      </c>
      <c r="M735">
        <f>IF(D735=I735,VLOOKUP(D735,a_win_totals_lookup,MATCH(K735,a_wins_total_lookup_header,0)+1,0),VLOOKUP(D735,a_win_totals_lookup,MATCH(I735,a_wins_total_lookup_header,0)+1,0))</f>
        <v>0.30220652713580148</v>
      </c>
      <c r="N735">
        <f t="shared" ca="1" si="11"/>
        <v>0</v>
      </c>
    </row>
    <row r="736" spans="1:14" x14ac:dyDescent="0.25">
      <c r="A736">
        <v>400578661</v>
      </c>
      <c r="B736">
        <v>2015</v>
      </c>
      <c r="C736" s="1">
        <v>41990</v>
      </c>
      <c r="D736" t="s">
        <v>18</v>
      </c>
      <c r="E736">
        <v>0</v>
      </c>
      <c r="F736">
        <v>6</v>
      </c>
      <c r="G736">
        <v>19</v>
      </c>
      <c r="H736">
        <v>1</v>
      </c>
      <c r="I736" t="s">
        <v>18</v>
      </c>
      <c r="J736">
        <v>106</v>
      </c>
      <c r="K736" t="s">
        <v>35</v>
      </c>
      <c r="L736">
        <v>111</v>
      </c>
      <c r="M736">
        <f>IF(D736=I736,VLOOKUP(D736,a_win_totals_lookup,MATCH(K736,a_wins_total_lookup_header,0)+1,0),VLOOKUP(D736,a_win_totals_lookup,MATCH(I736,a_wins_total_lookup_header,0)+1,0))</f>
        <v>0.52311357171843698</v>
      </c>
      <c r="N736">
        <f t="shared" ca="1" si="11"/>
        <v>0</v>
      </c>
    </row>
    <row r="737" spans="1:14" x14ac:dyDescent="0.25">
      <c r="A737">
        <v>400578661</v>
      </c>
      <c r="B737">
        <v>2015</v>
      </c>
      <c r="C737" s="1">
        <v>41990</v>
      </c>
      <c r="D737" t="s">
        <v>35</v>
      </c>
      <c r="E737">
        <v>1</v>
      </c>
      <c r="F737">
        <v>13</v>
      </c>
      <c r="G737">
        <v>14</v>
      </c>
      <c r="H737">
        <v>0</v>
      </c>
      <c r="I737" t="s">
        <v>18</v>
      </c>
      <c r="J737">
        <v>106</v>
      </c>
      <c r="K737" t="s">
        <v>35</v>
      </c>
      <c r="L737">
        <v>111</v>
      </c>
      <c r="M737">
        <f>IF(D737=I737,VLOOKUP(D737,a_win_totals_lookup,MATCH(K737,a_wins_total_lookup_header,0)+1,0),VLOOKUP(D737,a_win_totals_lookup,MATCH(I737,a_wins_total_lookup_header,0)+1,0))</f>
        <v>0.47688642828156308</v>
      </c>
      <c r="N737">
        <f t="shared" ca="1" si="11"/>
        <v>0</v>
      </c>
    </row>
    <row r="738" spans="1:14" x14ac:dyDescent="0.25">
      <c r="A738">
        <v>400578662</v>
      </c>
      <c r="B738">
        <v>2015</v>
      </c>
      <c r="C738" s="1">
        <v>41990</v>
      </c>
      <c r="D738" t="s">
        <v>26</v>
      </c>
      <c r="E738">
        <v>1</v>
      </c>
      <c r="F738">
        <v>18</v>
      </c>
      <c r="G738">
        <v>7</v>
      </c>
      <c r="H738">
        <v>0</v>
      </c>
      <c r="I738" t="s">
        <v>40</v>
      </c>
      <c r="J738">
        <v>98</v>
      </c>
      <c r="K738" t="s">
        <v>26</v>
      </c>
      <c r="L738">
        <v>127</v>
      </c>
      <c r="M738">
        <f>IF(D738=I738,VLOOKUP(D738,a_win_totals_lookup,MATCH(K738,a_wins_total_lookup_header,0)+1,0),VLOOKUP(D738,a_win_totals_lookup,MATCH(I738,a_wins_total_lookup_header,0)+1,0))</f>
        <v>0.3875228826260283</v>
      </c>
      <c r="N738">
        <f t="shared" ca="1" si="11"/>
        <v>1</v>
      </c>
    </row>
    <row r="739" spans="1:14" x14ac:dyDescent="0.25">
      <c r="A739">
        <v>400578662</v>
      </c>
      <c r="B739">
        <v>2015</v>
      </c>
      <c r="C739" s="1">
        <v>41990</v>
      </c>
      <c r="D739" t="s">
        <v>40</v>
      </c>
      <c r="E739">
        <v>0</v>
      </c>
      <c r="F739">
        <v>14</v>
      </c>
      <c r="G739">
        <v>10</v>
      </c>
      <c r="H739">
        <v>1</v>
      </c>
      <c r="I739" t="s">
        <v>40</v>
      </c>
      <c r="J739">
        <v>98</v>
      </c>
      <c r="K739" t="s">
        <v>26</v>
      </c>
      <c r="L739">
        <v>127</v>
      </c>
      <c r="M739">
        <f>IF(D739=I739,VLOOKUP(D739,a_win_totals_lookup,MATCH(K739,a_wins_total_lookup_header,0)+1,0),VLOOKUP(D739,a_win_totals_lookup,MATCH(I739,a_wins_total_lookup_header,0)+1,0))</f>
        <v>0.6124771173739717</v>
      </c>
      <c r="N739">
        <f t="shared" ca="1" si="11"/>
        <v>1</v>
      </c>
    </row>
    <row r="740" spans="1:14" x14ac:dyDescent="0.25">
      <c r="A740">
        <v>400578663</v>
      </c>
      <c r="B740">
        <v>2015</v>
      </c>
      <c r="C740" s="1">
        <v>41990</v>
      </c>
      <c r="D740" t="s">
        <v>22</v>
      </c>
      <c r="E740">
        <v>1</v>
      </c>
      <c r="F740">
        <v>9</v>
      </c>
      <c r="G740">
        <v>14</v>
      </c>
      <c r="H740">
        <v>1</v>
      </c>
      <c r="I740" t="s">
        <v>22</v>
      </c>
      <c r="J740">
        <v>109</v>
      </c>
      <c r="K740" t="s">
        <v>13</v>
      </c>
      <c r="L740">
        <v>92</v>
      </c>
      <c r="M740">
        <f>IF(D740=I740,VLOOKUP(D740,a_win_totals_lookup,MATCH(K740,a_wins_total_lookup_header,0)+1,0),VLOOKUP(D740,a_win_totals_lookup,MATCH(I740,a_wins_total_lookup_header,0)+1,0))</f>
        <v>0.44399285510679726</v>
      </c>
      <c r="N740">
        <f t="shared" ca="1" si="11"/>
        <v>0</v>
      </c>
    </row>
    <row r="741" spans="1:14" x14ac:dyDescent="0.25">
      <c r="A741">
        <v>400578663</v>
      </c>
      <c r="B741">
        <v>2015</v>
      </c>
      <c r="C741" s="1">
        <v>41990</v>
      </c>
      <c r="D741" t="s">
        <v>13</v>
      </c>
      <c r="E741">
        <v>0</v>
      </c>
      <c r="F741">
        <v>10</v>
      </c>
      <c r="G741">
        <v>18</v>
      </c>
      <c r="H741">
        <v>0</v>
      </c>
      <c r="I741" t="s">
        <v>22</v>
      </c>
      <c r="J741">
        <v>109</v>
      </c>
      <c r="K741" t="s">
        <v>13</v>
      </c>
      <c r="L741">
        <v>92</v>
      </c>
      <c r="M741">
        <f>IF(D741=I741,VLOOKUP(D741,a_win_totals_lookup,MATCH(K741,a_wins_total_lookup_header,0)+1,0),VLOOKUP(D741,a_win_totals_lookup,MATCH(I741,a_wins_total_lookup_header,0)+1,0))</f>
        <v>0.5560071448932028</v>
      </c>
      <c r="N741">
        <f t="shared" ca="1" si="11"/>
        <v>1</v>
      </c>
    </row>
    <row r="742" spans="1:14" x14ac:dyDescent="0.25">
      <c r="A742">
        <v>400578664</v>
      </c>
      <c r="B742">
        <v>2015</v>
      </c>
      <c r="C742" s="1">
        <v>41990</v>
      </c>
      <c r="D742" t="s">
        <v>14</v>
      </c>
      <c r="E742">
        <v>1</v>
      </c>
      <c r="F742">
        <v>19</v>
      </c>
      <c r="G742">
        <v>8</v>
      </c>
      <c r="H742">
        <v>0</v>
      </c>
      <c r="I742" t="s">
        <v>33</v>
      </c>
      <c r="J742">
        <v>106</v>
      </c>
      <c r="K742" t="s">
        <v>14</v>
      </c>
      <c r="L742">
        <v>117</v>
      </c>
      <c r="M742">
        <f>IF(D742=I742,VLOOKUP(D742,a_win_totals_lookup,MATCH(K742,a_wins_total_lookup_header,0)+1,0),VLOOKUP(D742,a_win_totals_lookup,MATCH(I742,a_wins_total_lookup_header,0)+1,0))</f>
        <v>0.65692649613824394</v>
      </c>
      <c r="N742">
        <f t="shared" ca="1" si="11"/>
        <v>1</v>
      </c>
    </row>
    <row r="743" spans="1:14" x14ac:dyDescent="0.25">
      <c r="A743">
        <v>400578664</v>
      </c>
      <c r="B743">
        <v>2015</v>
      </c>
      <c r="C743" s="1">
        <v>41990</v>
      </c>
      <c r="D743" t="s">
        <v>33</v>
      </c>
      <c r="E743">
        <v>0</v>
      </c>
      <c r="F743">
        <v>5</v>
      </c>
      <c r="G743">
        <v>21</v>
      </c>
      <c r="H743">
        <v>1</v>
      </c>
      <c r="I743" t="s">
        <v>33</v>
      </c>
      <c r="J743">
        <v>106</v>
      </c>
      <c r="K743" t="s">
        <v>14</v>
      </c>
      <c r="L743">
        <v>117</v>
      </c>
      <c r="M743">
        <f>IF(D743=I743,VLOOKUP(D743,a_win_totals_lookup,MATCH(K743,a_wins_total_lookup_header,0)+1,0),VLOOKUP(D743,a_win_totals_lookup,MATCH(I743,a_wins_total_lookup_header,0)+1,0))</f>
        <v>0.34307350386175622</v>
      </c>
      <c r="N743">
        <f t="shared" ca="1" si="11"/>
        <v>1</v>
      </c>
    </row>
    <row r="744" spans="1:14" x14ac:dyDescent="0.25">
      <c r="A744">
        <v>400578665</v>
      </c>
      <c r="B744">
        <v>2015</v>
      </c>
      <c r="C744" s="1">
        <v>41990</v>
      </c>
      <c r="D744" t="s">
        <v>24</v>
      </c>
      <c r="E744">
        <v>0</v>
      </c>
      <c r="F744">
        <v>12</v>
      </c>
      <c r="G744">
        <v>14</v>
      </c>
      <c r="H744">
        <v>1</v>
      </c>
      <c r="I744" t="s">
        <v>24</v>
      </c>
      <c r="J744">
        <v>87</v>
      </c>
      <c r="K744" t="s">
        <v>34</v>
      </c>
      <c r="L744">
        <v>105</v>
      </c>
      <c r="M744">
        <f>IF(D744=I744,VLOOKUP(D744,a_win_totals_lookup,MATCH(K744,a_wins_total_lookup_header,0)+1,0),VLOOKUP(D744,a_win_totals_lookup,MATCH(I744,a_wins_total_lookup_header,0)+1,0))</f>
        <v>0.65836112820019976</v>
      </c>
      <c r="N744">
        <f t="shared" ca="1" si="11"/>
        <v>1</v>
      </c>
    </row>
    <row r="745" spans="1:14" x14ac:dyDescent="0.25">
      <c r="A745">
        <v>400578665</v>
      </c>
      <c r="B745">
        <v>2015</v>
      </c>
      <c r="C745" s="1">
        <v>41990</v>
      </c>
      <c r="D745" t="s">
        <v>34</v>
      </c>
      <c r="E745">
        <v>1</v>
      </c>
      <c r="F745">
        <v>7</v>
      </c>
      <c r="G745">
        <v>19</v>
      </c>
      <c r="H745">
        <v>0</v>
      </c>
      <c r="I745" t="s">
        <v>24</v>
      </c>
      <c r="J745">
        <v>87</v>
      </c>
      <c r="K745" t="s">
        <v>34</v>
      </c>
      <c r="L745">
        <v>105</v>
      </c>
      <c r="M745">
        <f>IF(D745=I745,VLOOKUP(D745,a_win_totals_lookup,MATCH(K745,a_wins_total_lookup_header,0)+1,0),VLOOKUP(D745,a_win_totals_lookup,MATCH(I745,a_wins_total_lookup_header,0)+1,0))</f>
        <v>0.34163887179980024</v>
      </c>
      <c r="N745">
        <f t="shared" ca="1" si="11"/>
        <v>1</v>
      </c>
    </row>
    <row r="746" spans="1:14" x14ac:dyDescent="0.25">
      <c r="A746">
        <v>400578666</v>
      </c>
      <c r="B746">
        <v>2015</v>
      </c>
      <c r="C746" s="1">
        <v>41990</v>
      </c>
      <c r="D746" t="s">
        <v>23</v>
      </c>
      <c r="E746">
        <v>0</v>
      </c>
      <c r="F746">
        <v>10</v>
      </c>
      <c r="G746">
        <v>14</v>
      </c>
      <c r="H746">
        <v>0</v>
      </c>
      <c r="I746" t="s">
        <v>27</v>
      </c>
      <c r="J746">
        <v>105</v>
      </c>
      <c r="K746" t="s">
        <v>23</v>
      </c>
      <c r="L746">
        <v>89</v>
      </c>
      <c r="M746">
        <f>IF(D746=I746,VLOOKUP(D746,a_win_totals_lookup,MATCH(K746,a_wins_total_lookup_header,0)+1,0),VLOOKUP(D746,a_win_totals_lookup,MATCH(I746,a_wins_total_lookup_header,0)+1,0))</f>
        <v>0.38459864577188729</v>
      </c>
      <c r="N746">
        <f t="shared" ca="1" si="11"/>
        <v>0</v>
      </c>
    </row>
    <row r="747" spans="1:14" x14ac:dyDescent="0.25">
      <c r="A747">
        <v>400578666</v>
      </c>
      <c r="B747">
        <v>2015</v>
      </c>
      <c r="C747" s="1">
        <v>41990</v>
      </c>
      <c r="D747" t="s">
        <v>27</v>
      </c>
      <c r="E747">
        <v>1</v>
      </c>
      <c r="F747">
        <v>20</v>
      </c>
      <c r="G747">
        <v>6</v>
      </c>
      <c r="H747">
        <v>1</v>
      </c>
      <c r="I747" t="s">
        <v>27</v>
      </c>
      <c r="J747">
        <v>105</v>
      </c>
      <c r="K747" t="s">
        <v>23</v>
      </c>
      <c r="L747">
        <v>89</v>
      </c>
      <c r="M747">
        <f>IF(D747=I747,VLOOKUP(D747,a_win_totals_lookup,MATCH(K747,a_wins_total_lookup_header,0)+1,0),VLOOKUP(D747,a_win_totals_lookup,MATCH(I747,a_wins_total_lookup_header,0)+1,0))</f>
        <v>0.61540135422811282</v>
      </c>
      <c r="N747">
        <f t="shared" ca="1" si="11"/>
        <v>1</v>
      </c>
    </row>
    <row r="748" spans="1:14" x14ac:dyDescent="0.25">
      <c r="A748">
        <v>400578667</v>
      </c>
      <c r="B748">
        <v>2015</v>
      </c>
      <c r="C748" s="1">
        <v>41990</v>
      </c>
      <c r="D748" t="s">
        <v>28</v>
      </c>
      <c r="E748">
        <v>1</v>
      </c>
      <c r="F748">
        <v>21</v>
      </c>
      <c r="G748">
        <v>4</v>
      </c>
      <c r="H748">
        <v>0</v>
      </c>
      <c r="I748" t="s">
        <v>15</v>
      </c>
      <c r="J748">
        <v>116</v>
      </c>
      <c r="K748" t="s">
        <v>28</v>
      </c>
      <c r="L748">
        <v>117</v>
      </c>
      <c r="M748">
        <f>IF(D748=I748,VLOOKUP(D748,a_win_totals_lookup,MATCH(K748,a_wins_total_lookup_header,0)+1,0),VLOOKUP(D748,a_win_totals_lookup,MATCH(I748,a_wins_total_lookup_header,0)+1,0))</f>
        <v>0.45806716423177474</v>
      </c>
      <c r="N748">
        <f t="shared" ca="1" si="11"/>
        <v>0</v>
      </c>
    </row>
    <row r="749" spans="1:14" x14ac:dyDescent="0.25">
      <c r="A749">
        <v>400578667</v>
      </c>
      <c r="B749">
        <v>2015</v>
      </c>
      <c r="C749" s="1">
        <v>41990</v>
      </c>
      <c r="D749" t="s">
        <v>15</v>
      </c>
      <c r="E749">
        <v>0</v>
      </c>
      <c r="F749">
        <v>17</v>
      </c>
      <c r="G749">
        <v>9</v>
      </c>
      <c r="H749">
        <v>1</v>
      </c>
      <c r="I749" t="s">
        <v>15</v>
      </c>
      <c r="J749">
        <v>116</v>
      </c>
      <c r="K749" t="s">
        <v>28</v>
      </c>
      <c r="L749">
        <v>117</v>
      </c>
      <c r="M749">
        <f>IF(D749=I749,VLOOKUP(D749,a_win_totals_lookup,MATCH(K749,a_wins_total_lookup_header,0)+1,0),VLOOKUP(D749,a_win_totals_lookup,MATCH(I749,a_wins_total_lookup_header,0)+1,0))</f>
        <v>0.54193283576822526</v>
      </c>
      <c r="N749">
        <f t="shared" ca="1" si="11"/>
        <v>1</v>
      </c>
    </row>
    <row r="750" spans="1:14" x14ac:dyDescent="0.25">
      <c r="A750">
        <v>400578668</v>
      </c>
      <c r="B750">
        <v>2015</v>
      </c>
      <c r="C750" s="1">
        <v>41990</v>
      </c>
      <c r="D750" t="s">
        <v>19</v>
      </c>
      <c r="E750">
        <v>0</v>
      </c>
      <c r="F750">
        <v>13</v>
      </c>
      <c r="G750">
        <v>13</v>
      </c>
      <c r="H750">
        <v>0</v>
      </c>
      <c r="I750" t="s">
        <v>39</v>
      </c>
      <c r="J750">
        <v>104</v>
      </c>
      <c r="K750" t="s">
        <v>19</v>
      </c>
      <c r="L750">
        <v>97</v>
      </c>
      <c r="M750">
        <f>IF(D750=I750,VLOOKUP(D750,a_win_totals_lookup,MATCH(K750,a_wins_total_lookup_header,0)+1,0),VLOOKUP(D750,a_win_totals_lookup,MATCH(I750,a_wins_total_lookup_header,0)+1,0))</f>
        <v>0.27496260988622268</v>
      </c>
      <c r="N750">
        <f t="shared" ca="1" si="11"/>
        <v>1</v>
      </c>
    </row>
    <row r="751" spans="1:14" x14ac:dyDescent="0.25">
      <c r="A751">
        <v>400578668</v>
      </c>
      <c r="B751">
        <v>2015</v>
      </c>
      <c r="C751" s="1">
        <v>41990</v>
      </c>
      <c r="D751" t="s">
        <v>39</v>
      </c>
      <c r="E751">
        <v>1</v>
      </c>
      <c r="F751">
        <v>20</v>
      </c>
      <c r="G751">
        <v>6</v>
      </c>
      <c r="H751">
        <v>1</v>
      </c>
      <c r="I751" t="s">
        <v>39</v>
      </c>
      <c r="J751">
        <v>104</v>
      </c>
      <c r="K751" t="s">
        <v>19</v>
      </c>
      <c r="L751">
        <v>97</v>
      </c>
      <c r="M751">
        <f>IF(D751=I751,VLOOKUP(D751,a_win_totals_lookup,MATCH(K751,a_wins_total_lookup_header,0)+1,0),VLOOKUP(D751,a_win_totals_lookup,MATCH(I751,a_wins_total_lookup_header,0)+1,0))</f>
        <v>0.72503739011377732</v>
      </c>
      <c r="N751">
        <f t="shared" ca="1" si="11"/>
        <v>1</v>
      </c>
    </row>
    <row r="752" spans="1:14" x14ac:dyDescent="0.25">
      <c r="A752">
        <v>400578669</v>
      </c>
      <c r="B752">
        <v>2015</v>
      </c>
      <c r="C752" s="1">
        <v>41990</v>
      </c>
      <c r="D752" t="s">
        <v>20</v>
      </c>
      <c r="E752">
        <v>0</v>
      </c>
      <c r="F752">
        <v>8</v>
      </c>
      <c r="G752">
        <v>18</v>
      </c>
      <c r="H752">
        <v>0</v>
      </c>
      <c r="I752" t="s">
        <v>41</v>
      </c>
      <c r="J752">
        <v>102</v>
      </c>
      <c r="K752" t="s">
        <v>20</v>
      </c>
      <c r="L752">
        <v>100</v>
      </c>
      <c r="M752">
        <f>IF(D752=I752,VLOOKUP(D752,a_win_totals_lookup,MATCH(K752,a_wins_total_lookup_header,0)+1,0),VLOOKUP(D752,a_win_totals_lookup,MATCH(I752,a_wins_total_lookup_header,0)+1,0))</f>
        <v>0.29747885135041813</v>
      </c>
      <c r="N752">
        <f t="shared" ca="1" si="11"/>
        <v>1</v>
      </c>
    </row>
    <row r="753" spans="1:14" x14ac:dyDescent="0.25">
      <c r="A753">
        <v>400578669</v>
      </c>
      <c r="B753">
        <v>2015</v>
      </c>
      <c r="C753" s="1">
        <v>41990</v>
      </c>
      <c r="D753" t="s">
        <v>41</v>
      </c>
      <c r="E753">
        <v>1</v>
      </c>
      <c r="F753">
        <v>18</v>
      </c>
      <c r="G753">
        <v>7</v>
      </c>
      <c r="H753">
        <v>1</v>
      </c>
      <c r="I753" t="s">
        <v>41</v>
      </c>
      <c r="J753">
        <v>102</v>
      </c>
      <c r="K753" t="s">
        <v>20</v>
      </c>
      <c r="L753">
        <v>100</v>
      </c>
      <c r="M753">
        <f>IF(D753=I753,VLOOKUP(D753,a_win_totals_lookup,MATCH(K753,a_wins_total_lookup_header,0)+1,0),VLOOKUP(D753,a_win_totals_lookup,MATCH(I753,a_wins_total_lookup_header,0)+1,0))</f>
        <v>0.70252114864958182</v>
      </c>
      <c r="N753">
        <f t="shared" ca="1" si="11"/>
        <v>1</v>
      </c>
    </row>
    <row r="754" spans="1:14" x14ac:dyDescent="0.25">
      <c r="A754">
        <v>400578670</v>
      </c>
      <c r="B754">
        <v>2015</v>
      </c>
      <c r="C754" s="1">
        <v>41990</v>
      </c>
      <c r="D754" t="s">
        <v>32</v>
      </c>
      <c r="E754">
        <v>0</v>
      </c>
      <c r="F754">
        <v>10</v>
      </c>
      <c r="G754">
        <v>15</v>
      </c>
      <c r="H754">
        <v>1</v>
      </c>
      <c r="I754" t="s">
        <v>32</v>
      </c>
      <c r="J754">
        <v>111</v>
      </c>
      <c r="K754" t="s">
        <v>16</v>
      </c>
      <c r="L754">
        <v>115</v>
      </c>
      <c r="M754">
        <f>IF(D754=I754,VLOOKUP(D754,a_win_totals_lookup,MATCH(K754,a_wins_total_lookup_header,0)+1,0),VLOOKUP(D754,a_win_totals_lookup,MATCH(I754,a_wins_total_lookup_header,0)+1,0))</f>
        <v>0.41758613378174975</v>
      </c>
      <c r="N754">
        <f t="shared" ca="1" si="11"/>
        <v>0</v>
      </c>
    </row>
    <row r="755" spans="1:14" x14ac:dyDescent="0.25">
      <c r="A755">
        <v>400578670</v>
      </c>
      <c r="B755">
        <v>2015</v>
      </c>
      <c r="C755" s="1">
        <v>41990</v>
      </c>
      <c r="D755" t="s">
        <v>16</v>
      </c>
      <c r="E755">
        <v>1</v>
      </c>
      <c r="F755">
        <v>19</v>
      </c>
      <c r="G755">
        <v>5</v>
      </c>
      <c r="H755">
        <v>0</v>
      </c>
      <c r="I755" t="s">
        <v>32</v>
      </c>
      <c r="J755">
        <v>111</v>
      </c>
      <c r="K755" t="s">
        <v>16</v>
      </c>
      <c r="L755">
        <v>115</v>
      </c>
      <c r="M755">
        <f>IF(D755=I755,VLOOKUP(D755,a_win_totals_lookup,MATCH(K755,a_wins_total_lookup_header,0)+1,0),VLOOKUP(D755,a_win_totals_lookup,MATCH(I755,a_wins_total_lookup_header,0)+1,0))</f>
        <v>0.5824138662182502</v>
      </c>
      <c r="N755">
        <f t="shared" ca="1" si="11"/>
        <v>0</v>
      </c>
    </row>
    <row r="756" spans="1:14" x14ac:dyDescent="0.25">
      <c r="A756">
        <v>400578671</v>
      </c>
      <c r="B756">
        <v>2015</v>
      </c>
      <c r="C756" s="1">
        <v>41991</v>
      </c>
      <c r="D756" t="s">
        <v>30</v>
      </c>
      <c r="E756">
        <v>1</v>
      </c>
      <c r="F756">
        <v>16</v>
      </c>
      <c r="G756">
        <v>9</v>
      </c>
      <c r="H756">
        <v>1</v>
      </c>
      <c r="I756" t="s">
        <v>30</v>
      </c>
      <c r="J756">
        <v>103</v>
      </c>
      <c r="K756" t="s">
        <v>31</v>
      </c>
      <c r="L756">
        <v>97</v>
      </c>
      <c r="M756">
        <f>IF(D756=I756,VLOOKUP(D756,a_win_totals_lookup,MATCH(K756,a_wins_total_lookup_header,0)+1,0),VLOOKUP(D756,a_win_totals_lookup,MATCH(I756,a_wins_total_lookup_header,0)+1,0))</f>
        <v>0.63968802393025326</v>
      </c>
      <c r="N756">
        <f t="shared" ca="1" si="11"/>
        <v>0</v>
      </c>
    </row>
    <row r="757" spans="1:14" x14ac:dyDescent="0.25">
      <c r="A757">
        <v>400578671</v>
      </c>
      <c r="B757">
        <v>2015</v>
      </c>
      <c r="C757" s="1">
        <v>41991</v>
      </c>
      <c r="D757" t="s">
        <v>31</v>
      </c>
      <c r="E757">
        <v>0</v>
      </c>
      <c r="F757">
        <v>5</v>
      </c>
      <c r="G757">
        <v>23</v>
      </c>
      <c r="H757">
        <v>0</v>
      </c>
      <c r="I757" t="s">
        <v>30</v>
      </c>
      <c r="J757">
        <v>103</v>
      </c>
      <c r="K757" t="s">
        <v>31</v>
      </c>
      <c r="L757">
        <v>97</v>
      </c>
      <c r="M757">
        <f>IF(D757=I757,VLOOKUP(D757,a_win_totals_lookup,MATCH(K757,a_wins_total_lookup_header,0)+1,0),VLOOKUP(D757,a_win_totals_lookup,MATCH(I757,a_wins_total_lookup_header,0)+1,0))</f>
        <v>0.36031197606974674</v>
      </c>
      <c r="N757">
        <f t="shared" ca="1" si="11"/>
        <v>0</v>
      </c>
    </row>
    <row r="758" spans="1:14" x14ac:dyDescent="0.25">
      <c r="A758">
        <v>400578672</v>
      </c>
      <c r="B758">
        <v>2015</v>
      </c>
      <c r="C758" s="1">
        <v>41991</v>
      </c>
      <c r="D758" t="s">
        <v>16</v>
      </c>
      <c r="E758">
        <v>0</v>
      </c>
      <c r="F758">
        <v>19</v>
      </c>
      <c r="G758">
        <v>6</v>
      </c>
      <c r="H758">
        <v>1</v>
      </c>
      <c r="I758" t="s">
        <v>16</v>
      </c>
      <c r="J758">
        <v>90</v>
      </c>
      <c r="K758" t="s">
        <v>12</v>
      </c>
      <c r="L758">
        <v>99</v>
      </c>
      <c r="M758">
        <f>IF(D758=I758,VLOOKUP(D758,a_win_totals_lookup,MATCH(K758,a_wins_total_lookup_header,0)+1,0),VLOOKUP(D758,a_win_totals_lookup,MATCH(I758,a_wins_total_lookup_header,0)+1,0))</f>
        <v>0.56898424522980195</v>
      </c>
      <c r="N758">
        <f t="shared" ca="1" si="11"/>
        <v>0</v>
      </c>
    </row>
    <row r="759" spans="1:14" x14ac:dyDescent="0.25">
      <c r="A759">
        <v>400578672</v>
      </c>
      <c r="B759">
        <v>2015</v>
      </c>
      <c r="C759" s="1">
        <v>41991</v>
      </c>
      <c r="D759" t="s">
        <v>12</v>
      </c>
      <c r="E759">
        <v>1</v>
      </c>
      <c r="F759">
        <v>13</v>
      </c>
      <c r="G759">
        <v>12</v>
      </c>
      <c r="H759">
        <v>0</v>
      </c>
      <c r="I759" t="s">
        <v>16</v>
      </c>
      <c r="J759">
        <v>90</v>
      </c>
      <c r="K759" t="s">
        <v>12</v>
      </c>
      <c r="L759">
        <v>99</v>
      </c>
      <c r="M759">
        <f>IF(D759=I759,VLOOKUP(D759,a_win_totals_lookup,MATCH(K759,a_wins_total_lookup_header,0)+1,0),VLOOKUP(D759,a_win_totals_lookup,MATCH(I759,a_wins_total_lookup_header,0)+1,0))</f>
        <v>0.43101575477019799</v>
      </c>
      <c r="N759">
        <f t="shared" ca="1" si="11"/>
        <v>0</v>
      </c>
    </row>
    <row r="760" spans="1:14" x14ac:dyDescent="0.25">
      <c r="A760">
        <v>400578673</v>
      </c>
      <c r="B760">
        <v>2015</v>
      </c>
      <c r="C760" s="1">
        <v>41991</v>
      </c>
      <c r="D760" t="s">
        <v>19</v>
      </c>
      <c r="E760">
        <v>1</v>
      </c>
      <c r="F760">
        <v>14</v>
      </c>
      <c r="G760">
        <v>13</v>
      </c>
      <c r="H760">
        <v>0</v>
      </c>
      <c r="I760" t="s">
        <v>37</v>
      </c>
      <c r="J760">
        <v>107</v>
      </c>
      <c r="K760" t="s">
        <v>19</v>
      </c>
      <c r="L760">
        <v>108</v>
      </c>
      <c r="M760">
        <f>IF(D760=I760,VLOOKUP(D760,a_win_totals_lookup,MATCH(K760,a_wins_total_lookup_header,0)+1,0),VLOOKUP(D760,a_win_totals_lookup,MATCH(I760,a_wins_total_lookup_header,0)+1,0))</f>
        <v>0.42844224863695335</v>
      </c>
      <c r="N760">
        <f t="shared" ca="1" si="11"/>
        <v>1</v>
      </c>
    </row>
    <row r="761" spans="1:14" x14ac:dyDescent="0.25">
      <c r="A761">
        <v>400578673</v>
      </c>
      <c r="B761">
        <v>2015</v>
      </c>
      <c r="C761" s="1">
        <v>41991</v>
      </c>
      <c r="D761" t="s">
        <v>37</v>
      </c>
      <c r="E761">
        <v>0</v>
      </c>
      <c r="F761">
        <v>11</v>
      </c>
      <c r="G761">
        <v>15</v>
      </c>
      <c r="H761">
        <v>1</v>
      </c>
      <c r="I761" t="s">
        <v>37</v>
      </c>
      <c r="J761">
        <v>107</v>
      </c>
      <c r="K761" t="s">
        <v>19</v>
      </c>
      <c r="L761">
        <v>108</v>
      </c>
      <c r="M761">
        <f>IF(D761=I761,VLOOKUP(D761,a_win_totals_lookup,MATCH(K761,a_wins_total_lookup_header,0)+1,0),VLOOKUP(D761,a_win_totals_lookup,MATCH(I761,a_wins_total_lookup_header,0)+1,0))</f>
        <v>0.57155775136304665</v>
      </c>
      <c r="N761">
        <f t="shared" ca="1" si="11"/>
        <v>0</v>
      </c>
    </row>
    <row r="762" spans="1:14" x14ac:dyDescent="0.25">
      <c r="A762">
        <v>400578674</v>
      </c>
      <c r="B762">
        <v>2015</v>
      </c>
      <c r="C762" s="1">
        <v>41991</v>
      </c>
      <c r="D762" t="s">
        <v>36</v>
      </c>
      <c r="E762">
        <v>1</v>
      </c>
      <c r="F762">
        <v>22</v>
      </c>
      <c r="G762">
        <v>3</v>
      </c>
      <c r="H762">
        <v>1</v>
      </c>
      <c r="I762" t="s">
        <v>36</v>
      </c>
      <c r="J762">
        <v>114</v>
      </c>
      <c r="K762" t="s">
        <v>38</v>
      </c>
      <c r="L762">
        <v>109</v>
      </c>
      <c r="M762">
        <f>IF(D762=I762,VLOOKUP(D762,a_win_totals_lookup,MATCH(K762,a_wins_total_lookup_header,0)+1,0),VLOOKUP(D762,a_win_totals_lookup,MATCH(I762,a_wins_total_lookup_header,0)+1,0))</f>
        <v>0.49327592359171141</v>
      </c>
      <c r="N762">
        <f t="shared" ca="1" si="11"/>
        <v>0</v>
      </c>
    </row>
    <row r="763" spans="1:14" x14ac:dyDescent="0.25">
      <c r="A763">
        <v>400578674</v>
      </c>
      <c r="B763">
        <v>2015</v>
      </c>
      <c r="C763" s="1">
        <v>41991</v>
      </c>
      <c r="D763" t="s">
        <v>38</v>
      </c>
      <c r="E763">
        <v>0</v>
      </c>
      <c r="F763">
        <v>12</v>
      </c>
      <c r="G763">
        <v>14</v>
      </c>
      <c r="H763">
        <v>0</v>
      </c>
      <c r="I763" t="s">
        <v>36</v>
      </c>
      <c r="J763">
        <v>114</v>
      </c>
      <c r="K763" t="s">
        <v>38</v>
      </c>
      <c r="L763">
        <v>109</v>
      </c>
      <c r="M763">
        <f>IF(D763=I763,VLOOKUP(D763,a_win_totals_lookup,MATCH(K763,a_wins_total_lookup_header,0)+1,0),VLOOKUP(D763,a_win_totals_lookup,MATCH(I763,a_wins_total_lookup_header,0)+1,0))</f>
        <v>0.50672407640828865</v>
      </c>
      <c r="N763">
        <f t="shared" ca="1" si="11"/>
        <v>1</v>
      </c>
    </row>
    <row r="764" spans="1:14" x14ac:dyDescent="0.25">
      <c r="A764">
        <v>400578675</v>
      </c>
      <c r="B764">
        <v>2015</v>
      </c>
      <c r="C764" s="1">
        <v>41992</v>
      </c>
      <c r="D764" t="s">
        <v>13</v>
      </c>
      <c r="E764">
        <v>0</v>
      </c>
      <c r="F764">
        <v>10</v>
      </c>
      <c r="G764">
        <v>19</v>
      </c>
      <c r="H764">
        <v>1</v>
      </c>
      <c r="I764" t="s">
        <v>13</v>
      </c>
      <c r="J764">
        <v>94</v>
      </c>
      <c r="K764" t="s">
        <v>34</v>
      </c>
      <c r="L764">
        <v>101</v>
      </c>
      <c r="M764">
        <f>IF(D764=I764,VLOOKUP(D764,a_win_totals_lookup,MATCH(K764,a_wins_total_lookup_header,0)+1,0),VLOOKUP(D764,a_win_totals_lookup,MATCH(I764,a_wins_total_lookup_header,0)+1,0))</f>
        <v>0.5</v>
      </c>
      <c r="N764">
        <f t="shared" ca="1" si="11"/>
        <v>0</v>
      </c>
    </row>
    <row r="765" spans="1:14" x14ac:dyDescent="0.25">
      <c r="A765">
        <v>400578675</v>
      </c>
      <c r="B765">
        <v>2015</v>
      </c>
      <c r="C765" s="1">
        <v>41992</v>
      </c>
      <c r="D765" t="s">
        <v>34</v>
      </c>
      <c r="E765">
        <v>1</v>
      </c>
      <c r="F765">
        <v>8</v>
      </c>
      <c r="G765">
        <v>19</v>
      </c>
      <c r="H765">
        <v>0</v>
      </c>
      <c r="I765" t="s">
        <v>13</v>
      </c>
      <c r="J765">
        <v>94</v>
      </c>
      <c r="K765" t="s">
        <v>34</v>
      </c>
      <c r="L765">
        <v>101</v>
      </c>
      <c r="M765">
        <f>IF(D765=I765,VLOOKUP(D765,a_win_totals_lookup,MATCH(K765,a_wins_total_lookup_header,0)+1,0),VLOOKUP(D765,a_win_totals_lookup,MATCH(I765,a_wins_total_lookup_header,0)+1,0))</f>
        <v>0.5</v>
      </c>
      <c r="N765">
        <f t="shared" ca="1" si="11"/>
        <v>0</v>
      </c>
    </row>
    <row r="766" spans="1:14" x14ac:dyDescent="0.25">
      <c r="A766">
        <v>400578676</v>
      </c>
      <c r="B766">
        <v>2015</v>
      </c>
      <c r="C766" s="1">
        <v>41992</v>
      </c>
      <c r="D766" t="s">
        <v>18</v>
      </c>
      <c r="E766">
        <v>1</v>
      </c>
      <c r="F766">
        <v>7</v>
      </c>
      <c r="G766">
        <v>19</v>
      </c>
      <c r="H766">
        <v>0</v>
      </c>
      <c r="I766" t="s">
        <v>21</v>
      </c>
      <c r="J766">
        <v>91</v>
      </c>
      <c r="K766" t="s">
        <v>18</v>
      </c>
      <c r="L766">
        <v>109</v>
      </c>
      <c r="M766">
        <f>IF(D766=I766,VLOOKUP(D766,a_win_totals_lookup,MATCH(K766,a_wins_total_lookup_header,0)+1,0),VLOOKUP(D766,a_win_totals_lookup,MATCH(I766,a_wins_total_lookup_header,0)+1,0))</f>
        <v>0.74739815693098044</v>
      </c>
      <c r="N766">
        <f t="shared" ca="1" si="11"/>
        <v>1</v>
      </c>
    </row>
    <row r="767" spans="1:14" x14ac:dyDescent="0.25">
      <c r="A767">
        <v>400578676</v>
      </c>
      <c r="B767">
        <v>2015</v>
      </c>
      <c r="C767" s="1">
        <v>41992</v>
      </c>
      <c r="D767" t="s">
        <v>21</v>
      </c>
      <c r="E767">
        <v>0</v>
      </c>
      <c r="F767">
        <v>2</v>
      </c>
      <c r="G767">
        <v>23</v>
      </c>
      <c r="H767">
        <v>1</v>
      </c>
      <c r="I767" t="s">
        <v>21</v>
      </c>
      <c r="J767">
        <v>91</v>
      </c>
      <c r="K767" t="s">
        <v>18</v>
      </c>
      <c r="L767">
        <v>109</v>
      </c>
      <c r="M767">
        <f>IF(D767=I767,VLOOKUP(D767,a_win_totals_lookup,MATCH(K767,a_wins_total_lookup_header,0)+1,0),VLOOKUP(D767,a_win_totals_lookup,MATCH(I767,a_wins_total_lookup_header,0)+1,0))</f>
        <v>0.25260184306901956</v>
      </c>
      <c r="N767">
        <f t="shared" ca="1" si="11"/>
        <v>0</v>
      </c>
    </row>
    <row r="768" spans="1:14" x14ac:dyDescent="0.25">
      <c r="A768">
        <v>400578677</v>
      </c>
      <c r="B768">
        <v>2015</v>
      </c>
      <c r="C768" s="1">
        <v>41992</v>
      </c>
      <c r="D768" t="s">
        <v>22</v>
      </c>
      <c r="E768">
        <v>1</v>
      </c>
      <c r="F768">
        <v>10</v>
      </c>
      <c r="G768">
        <v>14</v>
      </c>
      <c r="H768">
        <v>1</v>
      </c>
      <c r="I768" t="s">
        <v>22</v>
      </c>
      <c r="J768">
        <v>114</v>
      </c>
      <c r="K768" t="s">
        <v>29</v>
      </c>
      <c r="L768">
        <v>98</v>
      </c>
      <c r="M768">
        <f>IF(D768=I768,VLOOKUP(D768,a_win_totals_lookup,MATCH(K768,a_wins_total_lookup_header,0)+1,0),VLOOKUP(D768,a_win_totals_lookup,MATCH(I768,a_wins_total_lookup_header,0)+1,0))</f>
        <v>0.5</v>
      </c>
      <c r="N768">
        <f t="shared" ca="1" si="11"/>
        <v>0</v>
      </c>
    </row>
    <row r="769" spans="1:14" x14ac:dyDescent="0.25">
      <c r="A769">
        <v>400578677</v>
      </c>
      <c r="B769">
        <v>2015</v>
      </c>
      <c r="C769" s="1">
        <v>41992</v>
      </c>
      <c r="D769" t="s">
        <v>29</v>
      </c>
      <c r="E769">
        <v>0</v>
      </c>
      <c r="F769">
        <v>5</v>
      </c>
      <c r="G769">
        <v>20</v>
      </c>
      <c r="H769">
        <v>0</v>
      </c>
      <c r="I769" t="s">
        <v>22</v>
      </c>
      <c r="J769">
        <v>114</v>
      </c>
      <c r="K769" t="s">
        <v>29</v>
      </c>
      <c r="L769">
        <v>98</v>
      </c>
      <c r="M769">
        <f>IF(D769=I769,VLOOKUP(D769,a_win_totals_lookup,MATCH(K769,a_wins_total_lookup_header,0)+1,0),VLOOKUP(D769,a_win_totals_lookup,MATCH(I769,a_wins_total_lookup_header,0)+1,0))</f>
        <v>0.5</v>
      </c>
      <c r="N769">
        <f t="shared" ca="1" si="11"/>
        <v>1</v>
      </c>
    </row>
    <row r="770" spans="1:14" x14ac:dyDescent="0.25">
      <c r="A770">
        <v>400578678</v>
      </c>
      <c r="B770">
        <v>2015</v>
      </c>
      <c r="C770" s="1">
        <v>41992</v>
      </c>
      <c r="D770" t="s">
        <v>23</v>
      </c>
      <c r="E770">
        <v>0</v>
      </c>
      <c r="F770">
        <v>10</v>
      </c>
      <c r="G770">
        <v>15</v>
      </c>
      <c r="H770">
        <v>0</v>
      </c>
      <c r="I770" t="s">
        <v>40</v>
      </c>
      <c r="J770">
        <v>95</v>
      </c>
      <c r="K770" t="s">
        <v>23</v>
      </c>
      <c r="L770">
        <v>91</v>
      </c>
      <c r="M770">
        <f>IF(D770=I770,VLOOKUP(D770,a_win_totals_lookup,MATCH(K770,a_wins_total_lookup_header,0)+1,0),VLOOKUP(D770,a_win_totals_lookup,MATCH(I770,a_wins_total_lookup_header,0)+1,0))</f>
        <v>0.35087017426187905</v>
      </c>
      <c r="N770">
        <f t="shared" ca="1" si="11"/>
        <v>0</v>
      </c>
    </row>
    <row r="771" spans="1:14" x14ac:dyDescent="0.25">
      <c r="A771">
        <v>400578678</v>
      </c>
      <c r="B771">
        <v>2015</v>
      </c>
      <c r="C771" s="1">
        <v>41992</v>
      </c>
      <c r="D771" t="s">
        <v>40</v>
      </c>
      <c r="E771">
        <v>1</v>
      </c>
      <c r="F771">
        <v>15</v>
      </c>
      <c r="G771">
        <v>10</v>
      </c>
      <c r="H771">
        <v>1</v>
      </c>
      <c r="I771" t="s">
        <v>40</v>
      </c>
      <c r="J771">
        <v>95</v>
      </c>
      <c r="K771" t="s">
        <v>23</v>
      </c>
      <c r="L771">
        <v>91</v>
      </c>
      <c r="M771">
        <f>IF(D771=I771,VLOOKUP(D771,a_win_totals_lookup,MATCH(K771,a_wins_total_lookup_header,0)+1,0),VLOOKUP(D771,a_win_totals_lookup,MATCH(I771,a_wins_total_lookup_header,0)+1,0))</f>
        <v>0.64912982573812106</v>
      </c>
      <c r="N771">
        <f t="shared" ref="N771:N834" ca="1" si="12">ROUND(0.5*RANDBETWEEN(-1,1)+M771,0)</f>
        <v>0</v>
      </c>
    </row>
    <row r="772" spans="1:14" x14ac:dyDescent="0.25">
      <c r="A772">
        <v>400578679</v>
      </c>
      <c r="B772">
        <v>2015</v>
      </c>
      <c r="C772" s="1">
        <v>41992</v>
      </c>
      <c r="D772" t="s">
        <v>33</v>
      </c>
      <c r="E772">
        <v>0</v>
      </c>
      <c r="F772">
        <v>5</v>
      </c>
      <c r="G772">
        <v>22</v>
      </c>
      <c r="H772">
        <v>1</v>
      </c>
      <c r="I772" t="s">
        <v>33</v>
      </c>
      <c r="J772">
        <v>100</v>
      </c>
      <c r="K772" t="s">
        <v>27</v>
      </c>
      <c r="L772">
        <v>110</v>
      </c>
      <c r="M772">
        <f>IF(D772=I772,VLOOKUP(D772,a_win_totals_lookup,MATCH(K772,a_wins_total_lookup_header,0)+1,0),VLOOKUP(D772,a_win_totals_lookup,MATCH(I772,a_wins_total_lookup_header,0)+1,0))</f>
        <v>0.34307350386175622</v>
      </c>
      <c r="N772">
        <f t="shared" ca="1" si="12"/>
        <v>0</v>
      </c>
    </row>
    <row r="773" spans="1:14" x14ac:dyDescent="0.25">
      <c r="A773">
        <v>400578679</v>
      </c>
      <c r="B773">
        <v>2015</v>
      </c>
      <c r="C773" s="1">
        <v>41992</v>
      </c>
      <c r="D773" t="s">
        <v>27</v>
      </c>
      <c r="E773">
        <v>1</v>
      </c>
      <c r="F773">
        <v>21</v>
      </c>
      <c r="G773">
        <v>6</v>
      </c>
      <c r="H773">
        <v>0</v>
      </c>
      <c r="I773" t="s">
        <v>33</v>
      </c>
      <c r="J773">
        <v>100</v>
      </c>
      <c r="K773" t="s">
        <v>27</v>
      </c>
      <c r="L773">
        <v>110</v>
      </c>
      <c r="M773">
        <f>IF(D773=I773,VLOOKUP(D773,a_win_totals_lookup,MATCH(K773,a_wins_total_lookup_header,0)+1,0),VLOOKUP(D773,a_win_totals_lookup,MATCH(I773,a_wins_total_lookup_header,0)+1,0))</f>
        <v>0.65692649613824394</v>
      </c>
      <c r="N773">
        <f t="shared" ca="1" si="12"/>
        <v>1</v>
      </c>
    </row>
    <row r="774" spans="1:14" x14ac:dyDescent="0.25">
      <c r="A774">
        <v>400578680</v>
      </c>
      <c r="B774">
        <v>2015</v>
      </c>
      <c r="C774" s="1">
        <v>41992</v>
      </c>
      <c r="D774" t="s">
        <v>24</v>
      </c>
      <c r="E774">
        <v>0</v>
      </c>
      <c r="F774">
        <v>12</v>
      </c>
      <c r="G774">
        <v>15</v>
      </c>
      <c r="H774">
        <v>1</v>
      </c>
      <c r="I774" t="s">
        <v>24</v>
      </c>
      <c r="J774">
        <v>103</v>
      </c>
      <c r="K774" t="s">
        <v>25</v>
      </c>
      <c r="L774">
        <v>105</v>
      </c>
      <c r="M774">
        <f>IF(D774=I774,VLOOKUP(D774,a_win_totals_lookup,MATCH(K774,a_wins_total_lookup_header,0)+1,0),VLOOKUP(D774,a_win_totals_lookup,MATCH(I774,a_wins_total_lookup_header,0)+1,0))</f>
        <v>0.46811629634230822</v>
      </c>
      <c r="N774">
        <f t="shared" ca="1" si="12"/>
        <v>1</v>
      </c>
    </row>
    <row r="775" spans="1:14" x14ac:dyDescent="0.25">
      <c r="A775">
        <v>400578680</v>
      </c>
      <c r="B775">
        <v>2015</v>
      </c>
      <c r="C775" s="1">
        <v>41992</v>
      </c>
      <c r="D775" t="s">
        <v>25</v>
      </c>
      <c r="E775">
        <v>1</v>
      </c>
      <c r="F775">
        <v>19</v>
      </c>
      <c r="G775">
        <v>6</v>
      </c>
      <c r="H775">
        <v>0</v>
      </c>
      <c r="I775" t="s">
        <v>24</v>
      </c>
      <c r="J775">
        <v>103</v>
      </c>
      <c r="K775" t="s">
        <v>25</v>
      </c>
      <c r="L775">
        <v>105</v>
      </c>
      <c r="M775">
        <f>IF(D775=I775,VLOOKUP(D775,a_win_totals_lookup,MATCH(K775,a_wins_total_lookup_header,0)+1,0),VLOOKUP(D775,a_win_totals_lookup,MATCH(I775,a_wins_total_lookup_header,0)+1,0))</f>
        <v>0.53188370365769178</v>
      </c>
      <c r="N775">
        <f t="shared" ca="1" si="12"/>
        <v>1</v>
      </c>
    </row>
    <row r="776" spans="1:14" x14ac:dyDescent="0.25">
      <c r="A776">
        <v>400578681</v>
      </c>
      <c r="B776">
        <v>2015</v>
      </c>
      <c r="C776" s="1">
        <v>41992</v>
      </c>
      <c r="D776" t="s">
        <v>30</v>
      </c>
      <c r="E776">
        <v>1</v>
      </c>
      <c r="F776">
        <v>17</v>
      </c>
      <c r="G776">
        <v>9</v>
      </c>
      <c r="H776">
        <v>0</v>
      </c>
      <c r="I776" t="s">
        <v>28</v>
      </c>
      <c r="J776">
        <v>97</v>
      </c>
      <c r="K776" t="s">
        <v>30</v>
      </c>
      <c r="L776">
        <v>103</v>
      </c>
      <c r="M776">
        <f>IF(D776=I776,VLOOKUP(D776,a_win_totals_lookup,MATCH(K776,a_wins_total_lookup_header,0)+1,0),VLOOKUP(D776,a_win_totals_lookup,MATCH(I776,a_wins_total_lookup_header,0)+1,0))</f>
        <v>0.54193283576822526</v>
      </c>
      <c r="N776">
        <f t="shared" ca="1" si="12"/>
        <v>1</v>
      </c>
    </row>
    <row r="777" spans="1:14" x14ac:dyDescent="0.25">
      <c r="A777">
        <v>400578681</v>
      </c>
      <c r="B777">
        <v>2015</v>
      </c>
      <c r="C777" s="1">
        <v>41992</v>
      </c>
      <c r="D777" t="s">
        <v>28</v>
      </c>
      <c r="E777">
        <v>0</v>
      </c>
      <c r="F777">
        <v>21</v>
      </c>
      <c r="G777">
        <v>5</v>
      </c>
      <c r="H777">
        <v>1</v>
      </c>
      <c r="I777" t="s">
        <v>28</v>
      </c>
      <c r="J777">
        <v>97</v>
      </c>
      <c r="K777" t="s">
        <v>30</v>
      </c>
      <c r="L777">
        <v>103</v>
      </c>
      <c r="M777">
        <f>IF(D777=I777,VLOOKUP(D777,a_win_totals_lookup,MATCH(K777,a_wins_total_lookup_header,0)+1,0),VLOOKUP(D777,a_win_totals_lookup,MATCH(I777,a_wins_total_lookup_header,0)+1,0))</f>
        <v>0.45806716423177474</v>
      </c>
      <c r="N777">
        <f t="shared" ca="1" si="12"/>
        <v>0</v>
      </c>
    </row>
    <row r="778" spans="1:14" x14ac:dyDescent="0.25">
      <c r="A778">
        <v>400578682</v>
      </c>
      <c r="B778">
        <v>2015</v>
      </c>
      <c r="C778" s="1">
        <v>41992</v>
      </c>
      <c r="D778" t="s">
        <v>39</v>
      </c>
      <c r="E778">
        <v>1</v>
      </c>
      <c r="F778">
        <v>21</v>
      </c>
      <c r="G778">
        <v>6</v>
      </c>
      <c r="H778">
        <v>0</v>
      </c>
      <c r="I778" t="s">
        <v>15</v>
      </c>
      <c r="J778">
        <v>119</v>
      </c>
      <c r="K778" t="s">
        <v>39</v>
      </c>
      <c r="L778">
        <v>129</v>
      </c>
      <c r="M778">
        <f>IF(D778=I778,VLOOKUP(D778,a_win_totals_lookup,MATCH(K778,a_wins_total_lookup_header,0)+1,0),VLOOKUP(D778,a_win_totals_lookup,MATCH(I778,a_wins_total_lookup_header,0)+1,0))</f>
        <v>0.44928415963258811</v>
      </c>
      <c r="N778">
        <f t="shared" ca="1" si="12"/>
        <v>0</v>
      </c>
    </row>
    <row r="779" spans="1:14" x14ac:dyDescent="0.25">
      <c r="A779">
        <v>400578682</v>
      </c>
      <c r="B779">
        <v>2015</v>
      </c>
      <c r="C779" s="1">
        <v>41992</v>
      </c>
      <c r="D779" t="s">
        <v>15</v>
      </c>
      <c r="E779">
        <v>0</v>
      </c>
      <c r="F779">
        <v>17</v>
      </c>
      <c r="G779">
        <v>10</v>
      </c>
      <c r="H779">
        <v>1</v>
      </c>
      <c r="I779" t="s">
        <v>15</v>
      </c>
      <c r="J779">
        <v>119</v>
      </c>
      <c r="K779" t="s">
        <v>39</v>
      </c>
      <c r="L779">
        <v>129</v>
      </c>
      <c r="M779">
        <f>IF(D779=I779,VLOOKUP(D779,a_win_totals_lookup,MATCH(K779,a_wins_total_lookup_header,0)+1,0),VLOOKUP(D779,a_win_totals_lookup,MATCH(I779,a_wins_total_lookup_header,0)+1,0))</f>
        <v>0.55071584036741195</v>
      </c>
      <c r="N779">
        <f t="shared" ca="1" si="12"/>
        <v>1</v>
      </c>
    </row>
    <row r="780" spans="1:14" x14ac:dyDescent="0.25">
      <c r="A780">
        <v>400578683</v>
      </c>
      <c r="B780">
        <v>2015</v>
      </c>
      <c r="C780" s="1">
        <v>41992</v>
      </c>
      <c r="D780" t="s">
        <v>32</v>
      </c>
      <c r="E780">
        <v>1</v>
      </c>
      <c r="F780">
        <v>11</v>
      </c>
      <c r="G780">
        <v>15</v>
      </c>
      <c r="H780">
        <v>1</v>
      </c>
      <c r="I780" t="s">
        <v>32</v>
      </c>
      <c r="J780">
        <v>109</v>
      </c>
      <c r="K780" t="s">
        <v>41</v>
      </c>
      <c r="L780">
        <v>106</v>
      </c>
      <c r="M780">
        <f>IF(D780=I780,VLOOKUP(D780,a_win_totals_lookup,MATCH(K780,a_wins_total_lookup_header,0)+1,0),VLOOKUP(D780,a_win_totals_lookup,MATCH(I780,a_wins_total_lookup_header,0)+1,0))</f>
        <v>0.35087017426187905</v>
      </c>
      <c r="N780">
        <f t="shared" ca="1" si="12"/>
        <v>1</v>
      </c>
    </row>
    <row r="781" spans="1:14" x14ac:dyDescent="0.25">
      <c r="A781">
        <v>400578683</v>
      </c>
      <c r="B781">
        <v>2015</v>
      </c>
      <c r="C781" s="1">
        <v>41992</v>
      </c>
      <c r="D781" t="s">
        <v>41</v>
      </c>
      <c r="E781">
        <v>0</v>
      </c>
      <c r="F781">
        <v>18</v>
      </c>
      <c r="G781">
        <v>8</v>
      </c>
      <c r="H781">
        <v>0</v>
      </c>
      <c r="I781" t="s">
        <v>32</v>
      </c>
      <c r="J781">
        <v>109</v>
      </c>
      <c r="K781" t="s">
        <v>41</v>
      </c>
      <c r="L781">
        <v>106</v>
      </c>
      <c r="M781">
        <f>IF(D781=I781,VLOOKUP(D781,a_win_totals_lookup,MATCH(K781,a_wins_total_lookup_header,0)+1,0),VLOOKUP(D781,a_win_totals_lookup,MATCH(I781,a_wins_total_lookup_header,0)+1,0))</f>
        <v>0.64912982573812106</v>
      </c>
      <c r="N781">
        <f t="shared" ca="1" si="12"/>
        <v>1</v>
      </c>
    </row>
    <row r="782" spans="1:14" x14ac:dyDescent="0.25">
      <c r="A782">
        <v>400578684</v>
      </c>
      <c r="B782">
        <v>2015</v>
      </c>
      <c r="C782" s="1">
        <v>41992</v>
      </c>
      <c r="D782" t="s">
        <v>17</v>
      </c>
      <c r="E782">
        <v>0</v>
      </c>
      <c r="F782">
        <v>8</v>
      </c>
      <c r="G782">
        <v>18</v>
      </c>
      <c r="H782">
        <v>1</v>
      </c>
      <c r="I782" t="s">
        <v>17</v>
      </c>
      <c r="J782">
        <v>103</v>
      </c>
      <c r="K782" t="s">
        <v>38</v>
      </c>
      <c r="L782">
        <v>104</v>
      </c>
      <c r="M782">
        <f>IF(D782=I782,VLOOKUP(D782,a_win_totals_lookup,MATCH(K782,a_wins_total_lookup_header,0)+1,0),VLOOKUP(D782,a_win_totals_lookup,MATCH(I782,a_wins_total_lookup_header,0)+1,0))</f>
        <v>0.30220652713580148</v>
      </c>
      <c r="N782">
        <f t="shared" ca="1" si="12"/>
        <v>0</v>
      </c>
    </row>
    <row r="783" spans="1:14" x14ac:dyDescent="0.25">
      <c r="A783">
        <v>400578684</v>
      </c>
      <c r="B783">
        <v>2015</v>
      </c>
      <c r="C783" s="1">
        <v>41992</v>
      </c>
      <c r="D783" t="s">
        <v>38</v>
      </c>
      <c r="E783">
        <v>1</v>
      </c>
      <c r="F783">
        <v>13</v>
      </c>
      <c r="G783">
        <v>14</v>
      </c>
      <c r="H783">
        <v>0</v>
      </c>
      <c r="I783" t="s">
        <v>17</v>
      </c>
      <c r="J783">
        <v>103</v>
      </c>
      <c r="K783" t="s">
        <v>38</v>
      </c>
      <c r="L783">
        <v>104</v>
      </c>
      <c r="M783">
        <f>IF(D783=I783,VLOOKUP(D783,a_win_totals_lookup,MATCH(K783,a_wins_total_lookup_header,0)+1,0),VLOOKUP(D783,a_win_totals_lookup,MATCH(I783,a_wins_total_lookup_header,0)+1,0))</f>
        <v>0.69779347286419835</v>
      </c>
      <c r="N783">
        <f t="shared" ca="1" si="12"/>
        <v>1</v>
      </c>
    </row>
    <row r="784" spans="1:14" x14ac:dyDescent="0.25">
      <c r="A784">
        <v>400578685</v>
      </c>
      <c r="B784">
        <v>2015</v>
      </c>
      <c r="C784" s="1">
        <v>41993</v>
      </c>
      <c r="D784" t="s">
        <v>31</v>
      </c>
      <c r="E784">
        <v>0</v>
      </c>
      <c r="F784">
        <v>5</v>
      </c>
      <c r="G784">
        <v>24</v>
      </c>
      <c r="H784">
        <v>1</v>
      </c>
      <c r="I784" t="s">
        <v>31</v>
      </c>
      <c r="J784">
        <v>90</v>
      </c>
      <c r="K784" t="s">
        <v>35</v>
      </c>
      <c r="L784">
        <v>99</v>
      </c>
      <c r="M784">
        <f>IF(D784=I784,VLOOKUP(D784,a_win_totals_lookup,MATCH(K784,a_wins_total_lookup_header,0)+1,0),VLOOKUP(D784,a_win_totals_lookup,MATCH(I784,a_wins_total_lookup_header,0)+1,0))</f>
        <v>0.46071121990694175</v>
      </c>
      <c r="N784">
        <f t="shared" ca="1" si="12"/>
        <v>0</v>
      </c>
    </row>
    <row r="785" spans="1:14" x14ac:dyDescent="0.25">
      <c r="A785">
        <v>400578685</v>
      </c>
      <c r="B785">
        <v>2015</v>
      </c>
      <c r="C785" s="1">
        <v>41993</v>
      </c>
      <c r="D785" t="s">
        <v>35</v>
      </c>
      <c r="E785">
        <v>1</v>
      </c>
      <c r="F785">
        <v>14</v>
      </c>
      <c r="G785">
        <v>14</v>
      </c>
      <c r="H785">
        <v>0</v>
      </c>
      <c r="I785" t="s">
        <v>31</v>
      </c>
      <c r="J785">
        <v>90</v>
      </c>
      <c r="K785" t="s">
        <v>35</v>
      </c>
      <c r="L785">
        <v>99</v>
      </c>
      <c r="M785">
        <f>IF(D785=I785,VLOOKUP(D785,a_win_totals_lookup,MATCH(K785,a_wins_total_lookup_header,0)+1,0),VLOOKUP(D785,a_win_totals_lookup,MATCH(I785,a_wins_total_lookup_header,0)+1,0))</f>
        <v>0.53928878009305825</v>
      </c>
      <c r="N785">
        <f t="shared" ca="1" si="12"/>
        <v>0</v>
      </c>
    </row>
    <row r="786" spans="1:14" x14ac:dyDescent="0.25">
      <c r="A786">
        <v>400578686</v>
      </c>
      <c r="B786">
        <v>2015</v>
      </c>
      <c r="C786" s="1">
        <v>41993</v>
      </c>
      <c r="D786" t="s">
        <v>12</v>
      </c>
      <c r="E786">
        <v>0</v>
      </c>
      <c r="F786">
        <v>13</v>
      </c>
      <c r="G786">
        <v>13</v>
      </c>
      <c r="H786">
        <v>1</v>
      </c>
      <c r="I786" t="s">
        <v>12</v>
      </c>
      <c r="J786">
        <v>88</v>
      </c>
      <c r="K786" t="s">
        <v>39</v>
      </c>
      <c r="L786">
        <v>114</v>
      </c>
      <c r="M786">
        <f>IF(D786=I786,VLOOKUP(D786,a_win_totals_lookup,MATCH(K786,a_wins_total_lookup_header,0)+1,0),VLOOKUP(D786,a_win_totals_lookup,MATCH(I786,a_wins_total_lookup_header,0)+1,0))</f>
        <v>0.42178146370054864</v>
      </c>
      <c r="N786">
        <f t="shared" ca="1" si="12"/>
        <v>1</v>
      </c>
    </row>
    <row r="787" spans="1:14" x14ac:dyDescent="0.25">
      <c r="A787">
        <v>400578686</v>
      </c>
      <c r="B787">
        <v>2015</v>
      </c>
      <c r="C787" s="1">
        <v>41993</v>
      </c>
      <c r="D787" t="s">
        <v>39</v>
      </c>
      <c r="E787">
        <v>1</v>
      </c>
      <c r="F787">
        <v>22</v>
      </c>
      <c r="G787">
        <v>6</v>
      </c>
      <c r="H787">
        <v>0</v>
      </c>
      <c r="I787" t="s">
        <v>12</v>
      </c>
      <c r="J787">
        <v>88</v>
      </c>
      <c r="K787" t="s">
        <v>39</v>
      </c>
      <c r="L787">
        <v>114</v>
      </c>
      <c r="M787">
        <f>IF(D787=I787,VLOOKUP(D787,a_win_totals_lookup,MATCH(K787,a_wins_total_lookup_header,0)+1,0),VLOOKUP(D787,a_win_totals_lookup,MATCH(I787,a_wins_total_lookup_header,0)+1,0))</f>
        <v>0.57821853629945141</v>
      </c>
      <c r="N787">
        <f t="shared" ca="1" si="12"/>
        <v>1</v>
      </c>
    </row>
    <row r="788" spans="1:14" x14ac:dyDescent="0.25">
      <c r="A788">
        <v>400578687</v>
      </c>
      <c r="B788">
        <v>2015</v>
      </c>
      <c r="C788" s="1">
        <v>41993</v>
      </c>
      <c r="D788" t="s">
        <v>18</v>
      </c>
      <c r="E788">
        <v>1</v>
      </c>
      <c r="F788">
        <v>8</v>
      </c>
      <c r="G788">
        <v>19</v>
      </c>
      <c r="H788">
        <v>1</v>
      </c>
      <c r="I788" t="s">
        <v>18</v>
      </c>
      <c r="J788">
        <v>104</v>
      </c>
      <c r="K788" t="s">
        <v>34</v>
      </c>
      <c r="L788">
        <v>86</v>
      </c>
      <c r="M788">
        <f>IF(D788=I788,VLOOKUP(D788,a_win_totals_lookup,MATCH(K788,a_wins_total_lookup_header,0)+1,0),VLOOKUP(D788,a_win_totals_lookup,MATCH(I788,a_wins_total_lookup_header,0)+1,0))</f>
        <v>0.66841321269200027</v>
      </c>
      <c r="N788">
        <f t="shared" ca="1" si="12"/>
        <v>1</v>
      </c>
    </row>
    <row r="789" spans="1:14" x14ac:dyDescent="0.25">
      <c r="A789">
        <v>400578687</v>
      </c>
      <c r="B789">
        <v>2015</v>
      </c>
      <c r="C789" s="1">
        <v>41993</v>
      </c>
      <c r="D789" t="s">
        <v>34</v>
      </c>
      <c r="E789">
        <v>0</v>
      </c>
      <c r="F789">
        <v>8</v>
      </c>
      <c r="G789">
        <v>20</v>
      </c>
      <c r="H789">
        <v>0</v>
      </c>
      <c r="I789" t="s">
        <v>18</v>
      </c>
      <c r="J789">
        <v>104</v>
      </c>
      <c r="K789" t="s">
        <v>34</v>
      </c>
      <c r="L789">
        <v>86</v>
      </c>
      <c r="M789">
        <f>IF(D789=I789,VLOOKUP(D789,a_win_totals_lookup,MATCH(K789,a_wins_total_lookup_header,0)+1,0),VLOOKUP(D789,a_win_totals_lookup,MATCH(I789,a_wins_total_lookup_header,0)+1,0))</f>
        <v>0.33158678730799973</v>
      </c>
      <c r="N789">
        <f t="shared" ca="1" si="12"/>
        <v>1</v>
      </c>
    </row>
    <row r="790" spans="1:14" x14ac:dyDescent="0.25">
      <c r="A790">
        <v>400578688</v>
      </c>
      <c r="B790">
        <v>2015</v>
      </c>
      <c r="C790" s="1">
        <v>41993</v>
      </c>
      <c r="D790" t="s">
        <v>26</v>
      </c>
      <c r="E790">
        <v>1</v>
      </c>
      <c r="F790">
        <v>19</v>
      </c>
      <c r="G790">
        <v>7</v>
      </c>
      <c r="H790">
        <v>0</v>
      </c>
      <c r="I790" t="s">
        <v>16</v>
      </c>
      <c r="J790">
        <v>97</v>
      </c>
      <c r="K790" t="s">
        <v>26</v>
      </c>
      <c r="L790">
        <v>104</v>
      </c>
      <c r="M790">
        <f>IF(D790=I790,VLOOKUP(D790,a_win_totals_lookup,MATCH(K790,a_wins_total_lookup_header,0)+1,0),VLOOKUP(D790,a_win_totals_lookup,MATCH(I790,a_wins_total_lookup_header,0)+1,0))</f>
        <v>0.45630903898702979</v>
      </c>
      <c r="N790">
        <f t="shared" ca="1" si="12"/>
        <v>0</v>
      </c>
    </row>
    <row r="791" spans="1:14" x14ac:dyDescent="0.25">
      <c r="A791">
        <v>400578688</v>
      </c>
      <c r="B791">
        <v>2015</v>
      </c>
      <c r="C791" s="1">
        <v>41993</v>
      </c>
      <c r="D791" t="s">
        <v>16</v>
      </c>
      <c r="E791">
        <v>0</v>
      </c>
      <c r="F791">
        <v>19</v>
      </c>
      <c r="G791">
        <v>7</v>
      </c>
      <c r="H791">
        <v>1</v>
      </c>
      <c r="I791" t="s">
        <v>16</v>
      </c>
      <c r="J791">
        <v>97</v>
      </c>
      <c r="K791" t="s">
        <v>26</v>
      </c>
      <c r="L791">
        <v>104</v>
      </c>
      <c r="M791">
        <f>IF(D791=I791,VLOOKUP(D791,a_win_totals_lookup,MATCH(K791,a_wins_total_lookup_header,0)+1,0),VLOOKUP(D791,a_win_totals_lookup,MATCH(I791,a_wins_total_lookup_header,0)+1,0))</f>
        <v>0.54369096101297021</v>
      </c>
      <c r="N791">
        <f t="shared" ca="1" si="12"/>
        <v>0</v>
      </c>
    </row>
    <row r="792" spans="1:14" x14ac:dyDescent="0.25">
      <c r="A792">
        <v>400578689</v>
      </c>
      <c r="B792">
        <v>2015</v>
      </c>
      <c r="C792" s="1">
        <v>41993</v>
      </c>
      <c r="D792" t="s">
        <v>14</v>
      </c>
      <c r="E792">
        <v>1</v>
      </c>
      <c r="F792">
        <v>20</v>
      </c>
      <c r="G792">
        <v>8</v>
      </c>
      <c r="H792">
        <v>1</v>
      </c>
      <c r="I792" t="s">
        <v>14</v>
      </c>
      <c r="J792">
        <v>99</v>
      </c>
      <c r="K792" t="s">
        <v>15</v>
      </c>
      <c r="L792">
        <v>93</v>
      </c>
      <c r="M792">
        <f>IF(D792=I792,VLOOKUP(D792,a_win_totals_lookup,MATCH(K792,a_wins_total_lookup_header,0)+1,0),VLOOKUP(D792,a_win_totals_lookup,MATCH(I792,a_wins_total_lookup_header,0)+1,0))</f>
        <v>0.47403936940493457</v>
      </c>
      <c r="N792">
        <f t="shared" ca="1" si="12"/>
        <v>0</v>
      </c>
    </row>
    <row r="793" spans="1:14" x14ac:dyDescent="0.25">
      <c r="A793">
        <v>400578689</v>
      </c>
      <c r="B793">
        <v>2015</v>
      </c>
      <c r="C793" s="1">
        <v>41993</v>
      </c>
      <c r="D793" t="s">
        <v>15</v>
      </c>
      <c r="E793">
        <v>0</v>
      </c>
      <c r="F793">
        <v>17</v>
      </c>
      <c r="G793">
        <v>11</v>
      </c>
      <c r="H793">
        <v>0</v>
      </c>
      <c r="I793" t="s">
        <v>14</v>
      </c>
      <c r="J793">
        <v>99</v>
      </c>
      <c r="K793" t="s">
        <v>15</v>
      </c>
      <c r="L793">
        <v>93</v>
      </c>
      <c r="M793">
        <f>IF(D793=I793,VLOOKUP(D793,a_win_totals_lookup,MATCH(K793,a_wins_total_lookup_header,0)+1,0),VLOOKUP(D793,a_win_totals_lookup,MATCH(I793,a_wins_total_lookup_header,0)+1,0))</f>
        <v>0.52596063059506537</v>
      </c>
      <c r="N793">
        <f t="shared" ca="1" si="12"/>
        <v>0</v>
      </c>
    </row>
    <row r="794" spans="1:14" x14ac:dyDescent="0.25">
      <c r="A794">
        <v>400578690</v>
      </c>
      <c r="B794">
        <v>2015</v>
      </c>
      <c r="C794" s="1">
        <v>41993</v>
      </c>
      <c r="D794" t="s">
        <v>32</v>
      </c>
      <c r="E794">
        <v>1</v>
      </c>
      <c r="F794">
        <v>12</v>
      </c>
      <c r="G794">
        <v>15</v>
      </c>
      <c r="H794">
        <v>1</v>
      </c>
      <c r="I794" t="s">
        <v>32</v>
      </c>
      <c r="J794">
        <v>76</v>
      </c>
      <c r="K794" t="s">
        <v>20</v>
      </c>
      <c r="L794">
        <v>73</v>
      </c>
      <c r="M794">
        <f>IF(D794=I794,VLOOKUP(D794,a_win_totals_lookup,MATCH(K794,a_wins_total_lookup_header,0)+1,0),VLOOKUP(D794,a_win_totals_lookup,MATCH(I794,a_wins_total_lookup_header,0)+1,0))</f>
        <v>0.56072770135857142</v>
      </c>
      <c r="N794">
        <f t="shared" ca="1" si="12"/>
        <v>1</v>
      </c>
    </row>
    <row r="795" spans="1:14" x14ac:dyDescent="0.25">
      <c r="A795">
        <v>400578690</v>
      </c>
      <c r="B795">
        <v>2015</v>
      </c>
      <c r="C795" s="1">
        <v>41993</v>
      </c>
      <c r="D795" t="s">
        <v>20</v>
      </c>
      <c r="E795">
        <v>0</v>
      </c>
      <c r="F795">
        <v>8</v>
      </c>
      <c r="G795">
        <v>19</v>
      </c>
      <c r="H795">
        <v>0</v>
      </c>
      <c r="I795" t="s">
        <v>32</v>
      </c>
      <c r="J795">
        <v>76</v>
      </c>
      <c r="K795" t="s">
        <v>20</v>
      </c>
      <c r="L795">
        <v>73</v>
      </c>
      <c r="M795">
        <f>IF(D795=I795,VLOOKUP(D795,a_win_totals_lookup,MATCH(K795,a_wins_total_lookup_header,0)+1,0),VLOOKUP(D795,a_win_totals_lookup,MATCH(I795,a_wins_total_lookup_header,0)+1,0))</f>
        <v>0.43927229864142858</v>
      </c>
      <c r="N795">
        <f t="shared" ca="1" si="12"/>
        <v>1</v>
      </c>
    </row>
    <row r="796" spans="1:14" x14ac:dyDescent="0.25">
      <c r="A796">
        <v>400578691</v>
      </c>
      <c r="B796">
        <v>2015</v>
      </c>
      <c r="C796" s="1">
        <v>41993</v>
      </c>
      <c r="D796" t="s">
        <v>41</v>
      </c>
      <c r="E796">
        <v>1</v>
      </c>
      <c r="F796">
        <v>19</v>
      </c>
      <c r="G796">
        <v>8</v>
      </c>
      <c r="H796">
        <v>1</v>
      </c>
      <c r="I796" t="s">
        <v>41</v>
      </c>
      <c r="J796">
        <v>106</v>
      </c>
      <c r="K796" t="s">
        <v>19</v>
      </c>
      <c r="L796">
        <v>102</v>
      </c>
      <c r="M796">
        <f>IF(D796=I796,VLOOKUP(D796,a_win_totals_lookup,MATCH(K796,a_wins_total_lookup_header,0)+1,0),VLOOKUP(D796,a_win_totals_lookup,MATCH(I796,a_wins_total_lookup_header,0)+1,0))</f>
        <v>0.77106907112086653</v>
      </c>
      <c r="N796">
        <f t="shared" ca="1" si="12"/>
        <v>1</v>
      </c>
    </row>
    <row r="797" spans="1:14" x14ac:dyDescent="0.25">
      <c r="A797">
        <v>400578691</v>
      </c>
      <c r="B797">
        <v>2015</v>
      </c>
      <c r="C797" s="1">
        <v>41993</v>
      </c>
      <c r="D797" t="s">
        <v>19</v>
      </c>
      <c r="E797">
        <v>0</v>
      </c>
      <c r="F797">
        <v>14</v>
      </c>
      <c r="G797">
        <v>14</v>
      </c>
      <c r="H797">
        <v>0</v>
      </c>
      <c r="I797" t="s">
        <v>41</v>
      </c>
      <c r="J797">
        <v>106</v>
      </c>
      <c r="K797" t="s">
        <v>19</v>
      </c>
      <c r="L797">
        <v>102</v>
      </c>
      <c r="M797">
        <f>IF(D797=I797,VLOOKUP(D797,a_win_totals_lookup,MATCH(K797,a_wins_total_lookup_header,0)+1,0),VLOOKUP(D797,a_win_totals_lookup,MATCH(I797,a_wins_total_lookup_header,0)+1,0))</f>
        <v>0.22893092887913349</v>
      </c>
      <c r="N797">
        <f t="shared" ca="1" si="12"/>
        <v>0</v>
      </c>
    </row>
    <row r="798" spans="1:14" x14ac:dyDescent="0.25">
      <c r="A798">
        <v>400578692</v>
      </c>
      <c r="B798">
        <v>2015</v>
      </c>
      <c r="C798" s="1">
        <v>41994</v>
      </c>
      <c r="D798" t="s">
        <v>31</v>
      </c>
      <c r="E798">
        <v>0</v>
      </c>
      <c r="F798">
        <v>5</v>
      </c>
      <c r="G798">
        <v>25</v>
      </c>
      <c r="H798">
        <v>0</v>
      </c>
      <c r="I798" t="s">
        <v>27</v>
      </c>
      <c r="J798">
        <v>118</v>
      </c>
      <c r="K798" t="s">
        <v>31</v>
      </c>
      <c r="L798">
        <v>108</v>
      </c>
      <c r="M798">
        <f>IF(D798=I798,VLOOKUP(D798,a_win_totals_lookup,MATCH(K798,a_wins_total_lookup_header,0)+1,0),VLOOKUP(D798,a_win_totals_lookup,MATCH(I798,a_wins_total_lookup_header,0)+1,0))</f>
        <v>0.38459864577188729</v>
      </c>
      <c r="N798">
        <f t="shared" ca="1" si="12"/>
        <v>0</v>
      </c>
    </row>
    <row r="799" spans="1:14" x14ac:dyDescent="0.25">
      <c r="A799">
        <v>400578692</v>
      </c>
      <c r="B799">
        <v>2015</v>
      </c>
      <c r="C799" s="1">
        <v>41994</v>
      </c>
      <c r="D799" t="s">
        <v>27</v>
      </c>
      <c r="E799">
        <v>1</v>
      </c>
      <c r="F799">
        <v>22</v>
      </c>
      <c r="G799">
        <v>6</v>
      </c>
      <c r="H799">
        <v>1</v>
      </c>
      <c r="I799" t="s">
        <v>27</v>
      </c>
      <c r="J799">
        <v>118</v>
      </c>
      <c r="K799" t="s">
        <v>31</v>
      </c>
      <c r="L799">
        <v>108</v>
      </c>
      <c r="M799">
        <f>IF(D799=I799,VLOOKUP(D799,a_win_totals_lookup,MATCH(K799,a_wins_total_lookup_header,0)+1,0),VLOOKUP(D799,a_win_totals_lookup,MATCH(I799,a_wins_total_lookup_header,0)+1,0))</f>
        <v>0.61540135422811282</v>
      </c>
      <c r="N799">
        <f t="shared" ca="1" si="12"/>
        <v>1</v>
      </c>
    </row>
    <row r="800" spans="1:14" x14ac:dyDescent="0.25">
      <c r="A800">
        <v>400578693</v>
      </c>
      <c r="B800">
        <v>2015</v>
      </c>
      <c r="C800" s="1">
        <v>41994</v>
      </c>
      <c r="D800" t="s">
        <v>40</v>
      </c>
      <c r="E800">
        <v>1</v>
      </c>
      <c r="F800">
        <v>16</v>
      </c>
      <c r="G800">
        <v>10</v>
      </c>
      <c r="H800">
        <v>1</v>
      </c>
      <c r="I800" t="s">
        <v>40</v>
      </c>
      <c r="J800">
        <v>105</v>
      </c>
      <c r="K800" t="s">
        <v>28</v>
      </c>
      <c r="L800">
        <v>91</v>
      </c>
      <c r="M800">
        <f>IF(D800=I800,VLOOKUP(D800,a_win_totals_lookup,MATCH(K800,a_wins_total_lookup_header,0)+1,0),VLOOKUP(D800,a_win_totals_lookup,MATCH(I800,a_wins_total_lookup_header,0)+1,0))</f>
        <v>0.5521428232847434</v>
      </c>
      <c r="N800">
        <f t="shared" ca="1" si="12"/>
        <v>1</v>
      </c>
    </row>
    <row r="801" spans="1:14" x14ac:dyDescent="0.25">
      <c r="A801">
        <v>400578693</v>
      </c>
      <c r="B801">
        <v>2015</v>
      </c>
      <c r="C801" s="1">
        <v>41994</v>
      </c>
      <c r="D801" t="s">
        <v>28</v>
      </c>
      <c r="E801">
        <v>0</v>
      </c>
      <c r="F801">
        <v>21</v>
      </c>
      <c r="G801">
        <v>6</v>
      </c>
      <c r="H801">
        <v>0</v>
      </c>
      <c r="I801" t="s">
        <v>40</v>
      </c>
      <c r="J801">
        <v>105</v>
      </c>
      <c r="K801" t="s">
        <v>28</v>
      </c>
      <c r="L801">
        <v>91</v>
      </c>
      <c r="M801">
        <f>IF(D801=I801,VLOOKUP(D801,a_win_totals_lookup,MATCH(K801,a_wins_total_lookup_header,0)+1,0),VLOOKUP(D801,a_win_totals_lookup,MATCH(I801,a_wins_total_lookup_header,0)+1,0))</f>
        <v>0.44785717671525666</v>
      </c>
      <c r="N801">
        <f t="shared" ca="1" si="12"/>
        <v>0</v>
      </c>
    </row>
    <row r="802" spans="1:14" x14ac:dyDescent="0.25">
      <c r="A802">
        <v>400578694</v>
      </c>
      <c r="B802">
        <v>2015</v>
      </c>
      <c r="C802" s="1">
        <v>41994</v>
      </c>
      <c r="D802" t="s">
        <v>17</v>
      </c>
      <c r="E802">
        <v>0</v>
      </c>
      <c r="F802">
        <v>8</v>
      </c>
      <c r="G802">
        <v>19</v>
      </c>
      <c r="H802">
        <v>0</v>
      </c>
      <c r="I802" t="s">
        <v>37</v>
      </c>
      <c r="J802">
        <v>108</v>
      </c>
      <c r="K802" t="s">
        <v>17</v>
      </c>
      <c r="L802">
        <v>101</v>
      </c>
      <c r="M802">
        <f>IF(D802=I802,VLOOKUP(D802,a_win_totals_lookup,MATCH(K802,a_wins_total_lookup_header,0)+1,0),VLOOKUP(D802,a_win_totals_lookup,MATCH(I802,a_wins_total_lookup_header,0)+1,0))</f>
        <v>0.5</v>
      </c>
      <c r="N802">
        <f t="shared" ca="1" si="12"/>
        <v>1</v>
      </c>
    </row>
    <row r="803" spans="1:14" x14ac:dyDescent="0.25">
      <c r="A803">
        <v>400578694</v>
      </c>
      <c r="B803">
        <v>2015</v>
      </c>
      <c r="C803" s="1">
        <v>41994</v>
      </c>
      <c r="D803" t="s">
        <v>37</v>
      </c>
      <c r="E803">
        <v>1</v>
      </c>
      <c r="F803">
        <v>12</v>
      </c>
      <c r="G803">
        <v>15</v>
      </c>
      <c r="H803">
        <v>1</v>
      </c>
      <c r="I803" t="s">
        <v>37</v>
      </c>
      <c r="J803">
        <v>108</v>
      </c>
      <c r="K803" t="s">
        <v>17</v>
      </c>
      <c r="L803">
        <v>101</v>
      </c>
      <c r="M803">
        <f>IF(D803=I803,VLOOKUP(D803,a_win_totals_lookup,MATCH(K803,a_wins_total_lookup_header,0)+1,0),VLOOKUP(D803,a_win_totals_lookup,MATCH(I803,a_wins_total_lookup_header,0)+1,0))</f>
        <v>0.5</v>
      </c>
      <c r="N803">
        <f t="shared" ca="1" si="12"/>
        <v>0</v>
      </c>
    </row>
    <row r="804" spans="1:14" x14ac:dyDescent="0.25">
      <c r="A804">
        <v>400578695</v>
      </c>
      <c r="B804">
        <v>2015</v>
      </c>
      <c r="C804" s="1">
        <v>41994</v>
      </c>
      <c r="D804" t="s">
        <v>23</v>
      </c>
      <c r="E804">
        <v>1</v>
      </c>
      <c r="F804">
        <v>11</v>
      </c>
      <c r="G804">
        <v>15</v>
      </c>
      <c r="H804">
        <v>1</v>
      </c>
      <c r="I804" t="s">
        <v>23</v>
      </c>
      <c r="J804">
        <v>110</v>
      </c>
      <c r="K804" t="s">
        <v>33</v>
      </c>
      <c r="L804">
        <v>105</v>
      </c>
      <c r="M804">
        <f>IF(D804=I804,VLOOKUP(D804,a_win_totals_lookup,MATCH(K804,a_wins_total_lookup_header,0)+1,0),VLOOKUP(D804,a_win_totals_lookup,MATCH(I804,a_wins_total_lookup_header,0)+1,0))</f>
        <v>0.54476805573373421</v>
      </c>
      <c r="N804">
        <f t="shared" ca="1" si="12"/>
        <v>1</v>
      </c>
    </row>
    <row r="805" spans="1:14" x14ac:dyDescent="0.25">
      <c r="A805">
        <v>400578695</v>
      </c>
      <c r="B805">
        <v>2015</v>
      </c>
      <c r="C805" s="1">
        <v>41994</v>
      </c>
      <c r="D805" t="s">
        <v>33</v>
      </c>
      <c r="E805">
        <v>0</v>
      </c>
      <c r="F805">
        <v>5</v>
      </c>
      <c r="G805">
        <v>23</v>
      </c>
      <c r="H805">
        <v>0</v>
      </c>
      <c r="I805" t="s">
        <v>23</v>
      </c>
      <c r="J805">
        <v>110</v>
      </c>
      <c r="K805" t="s">
        <v>33</v>
      </c>
      <c r="L805">
        <v>105</v>
      </c>
      <c r="M805">
        <f>IF(D805=I805,VLOOKUP(D805,a_win_totals_lookup,MATCH(K805,a_wins_total_lookup_header,0)+1,0),VLOOKUP(D805,a_win_totals_lookup,MATCH(I805,a_wins_total_lookup_header,0)+1,0))</f>
        <v>0.45523194426626579</v>
      </c>
      <c r="N805">
        <f t="shared" ca="1" si="12"/>
        <v>1</v>
      </c>
    </row>
    <row r="806" spans="1:14" x14ac:dyDescent="0.25">
      <c r="A806">
        <v>400578696</v>
      </c>
      <c r="B806">
        <v>2015</v>
      </c>
      <c r="C806" s="1">
        <v>41994</v>
      </c>
      <c r="D806" t="s">
        <v>22</v>
      </c>
      <c r="E806">
        <v>0</v>
      </c>
      <c r="F806">
        <v>10</v>
      </c>
      <c r="G806">
        <v>15</v>
      </c>
      <c r="H806">
        <v>0</v>
      </c>
      <c r="I806" t="s">
        <v>24</v>
      </c>
      <c r="J806">
        <v>100</v>
      </c>
      <c r="K806" t="s">
        <v>22</v>
      </c>
      <c r="L806">
        <v>84</v>
      </c>
      <c r="M806">
        <f>IF(D806=I806,VLOOKUP(D806,a_win_totals_lookup,MATCH(K806,a_wins_total_lookup_header,0)+1,0),VLOOKUP(D806,a_win_totals_lookup,MATCH(I806,a_wins_total_lookup_header,0)+1,0))</f>
        <v>0.29297639017457672</v>
      </c>
      <c r="N806">
        <f t="shared" ca="1" si="12"/>
        <v>0</v>
      </c>
    </row>
    <row r="807" spans="1:14" x14ac:dyDescent="0.25">
      <c r="A807">
        <v>400578696</v>
      </c>
      <c r="B807">
        <v>2015</v>
      </c>
      <c r="C807" s="1">
        <v>41994</v>
      </c>
      <c r="D807" t="s">
        <v>24</v>
      </c>
      <c r="E807">
        <v>1</v>
      </c>
      <c r="F807">
        <v>13</v>
      </c>
      <c r="G807">
        <v>15</v>
      </c>
      <c r="H807">
        <v>1</v>
      </c>
      <c r="I807" t="s">
        <v>24</v>
      </c>
      <c r="J807">
        <v>100</v>
      </c>
      <c r="K807" t="s">
        <v>22</v>
      </c>
      <c r="L807">
        <v>84</v>
      </c>
      <c r="M807">
        <f>IF(D807=I807,VLOOKUP(D807,a_win_totals_lookup,MATCH(K807,a_wins_total_lookup_header,0)+1,0),VLOOKUP(D807,a_win_totals_lookup,MATCH(I807,a_wins_total_lookup_header,0)+1,0))</f>
        <v>0.70702360982542323</v>
      </c>
      <c r="N807">
        <f t="shared" ca="1" si="12"/>
        <v>1</v>
      </c>
    </row>
    <row r="808" spans="1:14" x14ac:dyDescent="0.25">
      <c r="A808">
        <v>400578697</v>
      </c>
      <c r="B808">
        <v>2015</v>
      </c>
      <c r="C808" s="1">
        <v>41994</v>
      </c>
      <c r="D808" t="s">
        <v>13</v>
      </c>
      <c r="E808">
        <v>0</v>
      </c>
      <c r="F808">
        <v>10</v>
      </c>
      <c r="G808">
        <v>20</v>
      </c>
      <c r="H808">
        <v>1</v>
      </c>
      <c r="I808" t="s">
        <v>13</v>
      </c>
      <c r="J808">
        <v>88</v>
      </c>
      <c r="K808" t="s">
        <v>21</v>
      </c>
      <c r="L808">
        <v>96</v>
      </c>
      <c r="M808">
        <f>IF(D808=I808,VLOOKUP(D808,a_win_totals_lookup,MATCH(K808,a_wins_total_lookup_header,0)+1,0),VLOOKUP(D808,a_win_totals_lookup,MATCH(I808,a_wins_total_lookup_header,0)+1,0))</f>
        <v>0.59478122871339911</v>
      </c>
      <c r="N808">
        <f t="shared" ca="1" si="12"/>
        <v>1</v>
      </c>
    </row>
    <row r="809" spans="1:14" x14ac:dyDescent="0.25">
      <c r="A809">
        <v>400578697</v>
      </c>
      <c r="B809">
        <v>2015</v>
      </c>
      <c r="C809" s="1">
        <v>41994</v>
      </c>
      <c r="D809" t="s">
        <v>21</v>
      </c>
      <c r="E809">
        <v>1</v>
      </c>
      <c r="F809">
        <v>3</v>
      </c>
      <c r="G809">
        <v>23</v>
      </c>
      <c r="H809">
        <v>0</v>
      </c>
      <c r="I809" t="s">
        <v>13</v>
      </c>
      <c r="J809">
        <v>88</v>
      </c>
      <c r="K809" t="s">
        <v>21</v>
      </c>
      <c r="L809">
        <v>96</v>
      </c>
      <c r="M809">
        <f>IF(D809=I809,VLOOKUP(D809,a_win_totals_lookup,MATCH(K809,a_wins_total_lookup_header,0)+1,0),VLOOKUP(D809,a_win_totals_lookup,MATCH(I809,a_wins_total_lookup_header,0)+1,0))</f>
        <v>0.40521877128660083</v>
      </c>
      <c r="N809">
        <f t="shared" ca="1" si="12"/>
        <v>0</v>
      </c>
    </row>
    <row r="810" spans="1:14" x14ac:dyDescent="0.25">
      <c r="A810">
        <v>400578698</v>
      </c>
      <c r="B810">
        <v>2015</v>
      </c>
      <c r="C810" s="1">
        <v>41994</v>
      </c>
      <c r="D810" t="s">
        <v>35</v>
      </c>
      <c r="E810">
        <v>1</v>
      </c>
      <c r="F810">
        <v>15</v>
      </c>
      <c r="G810">
        <v>14</v>
      </c>
      <c r="H810">
        <v>0</v>
      </c>
      <c r="I810" t="s">
        <v>25</v>
      </c>
      <c r="J810">
        <v>92</v>
      </c>
      <c r="K810" t="s">
        <v>35</v>
      </c>
      <c r="L810">
        <v>104</v>
      </c>
      <c r="M810">
        <f>IF(D810=I810,VLOOKUP(D810,a_win_totals_lookup,MATCH(K810,a_wins_total_lookup_header,0)+1,0),VLOOKUP(D810,a_win_totals_lookup,MATCH(I810,a_wins_total_lookup_header,0)+1,0))</f>
        <v>0.45630903898702979</v>
      </c>
      <c r="N810">
        <f t="shared" ca="1" si="12"/>
        <v>0</v>
      </c>
    </row>
    <row r="811" spans="1:14" x14ac:dyDescent="0.25">
      <c r="A811">
        <v>400578698</v>
      </c>
      <c r="B811">
        <v>2015</v>
      </c>
      <c r="C811" s="1">
        <v>41994</v>
      </c>
      <c r="D811" t="s">
        <v>25</v>
      </c>
      <c r="E811">
        <v>0</v>
      </c>
      <c r="F811">
        <v>19</v>
      </c>
      <c r="G811">
        <v>7</v>
      </c>
      <c r="H811">
        <v>1</v>
      </c>
      <c r="I811" t="s">
        <v>25</v>
      </c>
      <c r="J811">
        <v>92</v>
      </c>
      <c r="K811" t="s">
        <v>35</v>
      </c>
      <c r="L811">
        <v>104</v>
      </c>
      <c r="M811">
        <f>IF(D811=I811,VLOOKUP(D811,a_win_totals_lookup,MATCH(K811,a_wins_total_lookup_header,0)+1,0),VLOOKUP(D811,a_win_totals_lookup,MATCH(I811,a_wins_total_lookup_header,0)+1,0))</f>
        <v>0.54369096101297021</v>
      </c>
      <c r="N811">
        <f t="shared" ca="1" si="12"/>
        <v>0</v>
      </c>
    </row>
    <row r="812" spans="1:14" x14ac:dyDescent="0.25">
      <c r="A812">
        <v>400578699</v>
      </c>
      <c r="B812">
        <v>2015</v>
      </c>
      <c r="C812" s="1">
        <v>41994</v>
      </c>
      <c r="D812" t="s">
        <v>20</v>
      </c>
      <c r="E812">
        <v>1</v>
      </c>
      <c r="F812">
        <v>9</v>
      </c>
      <c r="G812">
        <v>19</v>
      </c>
      <c r="H812">
        <v>0</v>
      </c>
      <c r="I812" t="s">
        <v>29</v>
      </c>
      <c r="J812">
        <v>96</v>
      </c>
      <c r="K812" t="s">
        <v>20</v>
      </c>
      <c r="L812">
        <v>100</v>
      </c>
      <c r="M812">
        <f>IF(D812=I812,VLOOKUP(D812,a_win_totals_lookup,MATCH(K812,a_wins_total_lookup_header,0)+1,0),VLOOKUP(D812,a_win_totals_lookup,MATCH(I812,a_wins_total_lookup_header,0)+1,0))</f>
        <v>0.60632101271449668</v>
      </c>
      <c r="N812">
        <f t="shared" ca="1" si="12"/>
        <v>1</v>
      </c>
    </row>
    <row r="813" spans="1:14" x14ac:dyDescent="0.25">
      <c r="A813">
        <v>400578699</v>
      </c>
      <c r="B813">
        <v>2015</v>
      </c>
      <c r="C813" s="1">
        <v>41994</v>
      </c>
      <c r="D813" t="s">
        <v>29</v>
      </c>
      <c r="E813">
        <v>0</v>
      </c>
      <c r="F813">
        <v>5</v>
      </c>
      <c r="G813">
        <v>21</v>
      </c>
      <c r="H813">
        <v>1</v>
      </c>
      <c r="I813" t="s">
        <v>29</v>
      </c>
      <c r="J813">
        <v>96</v>
      </c>
      <c r="K813" t="s">
        <v>20</v>
      </c>
      <c r="L813">
        <v>100</v>
      </c>
      <c r="M813">
        <f>IF(D813=I813,VLOOKUP(D813,a_win_totals_lookup,MATCH(K813,a_wins_total_lookup_header,0)+1,0),VLOOKUP(D813,a_win_totals_lookup,MATCH(I813,a_wins_total_lookup_header,0)+1,0))</f>
        <v>0.39367898728550332</v>
      </c>
      <c r="N813">
        <f t="shared" ca="1" si="12"/>
        <v>1</v>
      </c>
    </row>
    <row r="814" spans="1:14" x14ac:dyDescent="0.25">
      <c r="A814">
        <v>400578700</v>
      </c>
      <c r="B814">
        <v>2015</v>
      </c>
      <c r="C814" s="1">
        <v>41994</v>
      </c>
      <c r="D814" t="s">
        <v>12</v>
      </c>
      <c r="E814">
        <v>1</v>
      </c>
      <c r="F814">
        <v>14</v>
      </c>
      <c r="G814">
        <v>13</v>
      </c>
      <c r="H814">
        <v>0</v>
      </c>
      <c r="I814" t="s">
        <v>38</v>
      </c>
      <c r="J814">
        <v>99</v>
      </c>
      <c r="K814" t="s">
        <v>12</v>
      </c>
      <c r="L814">
        <v>101</v>
      </c>
      <c r="M814">
        <f>IF(D814=I814,VLOOKUP(D814,a_win_totals_lookup,MATCH(K814,a_wins_total_lookup_header,0)+1,0),VLOOKUP(D814,a_win_totals_lookup,MATCH(I814,a_wins_total_lookup_header,0)+1,0))</f>
        <v>0.38440358663606417</v>
      </c>
      <c r="N814">
        <f t="shared" ca="1" si="12"/>
        <v>1</v>
      </c>
    </row>
    <row r="815" spans="1:14" x14ac:dyDescent="0.25">
      <c r="A815">
        <v>400578700</v>
      </c>
      <c r="B815">
        <v>2015</v>
      </c>
      <c r="C815" s="1">
        <v>41994</v>
      </c>
      <c r="D815" t="s">
        <v>38</v>
      </c>
      <c r="E815">
        <v>0</v>
      </c>
      <c r="F815">
        <v>13</v>
      </c>
      <c r="G815">
        <v>15</v>
      </c>
      <c r="H815">
        <v>1</v>
      </c>
      <c r="I815" t="s">
        <v>38</v>
      </c>
      <c r="J815">
        <v>99</v>
      </c>
      <c r="K815" t="s">
        <v>12</v>
      </c>
      <c r="L815">
        <v>101</v>
      </c>
      <c r="M815">
        <f>IF(D815=I815,VLOOKUP(D815,a_win_totals_lookup,MATCH(K815,a_wins_total_lookup_header,0)+1,0),VLOOKUP(D815,a_win_totals_lookup,MATCH(I815,a_wins_total_lookup_header,0)+1,0))</f>
        <v>0.61559641336393578</v>
      </c>
      <c r="N815">
        <f t="shared" ca="1" si="12"/>
        <v>1</v>
      </c>
    </row>
    <row r="816" spans="1:14" x14ac:dyDescent="0.25">
      <c r="A816">
        <v>400578701</v>
      </c>
      <c r="B816">
        <v>2015</v>
      </c>
      <c r="C816" s="1">
        <v>41995</v>
      </c>
      <c r="D816" t="s">
        <v>18</v>
      </c>
      <c r="E816">
        <v>1</v>
      </c>
      <c r="F816">
        <v>9</v>
      </c>
      <c r="G816">
        <v>19</v>
      </c>
      <c r="H816">
        <v>1</v>
      </c>
      <c r="I816" t="s">
        <v>18</v>
      </c>
      <c r="J816">
        <v>110</v>
      </c>
      <c r="K816" t="s">
        <v>32</v>
      </c>
      <c r="L816">
        <v>82</v>
      </c>
      <c r="M816">
        <f>IF(D816=I816,VLOOKUP(D816,a_win_totals_lookup,MATCH(K816,a_wins_total_lookup_header,0)+1,0),VLOOKUP(D816,a_win_totals_lookup,MATCH(I816,a_wins_total_lookup_header,0)+1,0))</f>
        <v>0.56217650088579807</v>
      </c>
      <c r="N816">
        <f t="shared" ca="1" si="12"/>
        <v>1</v>
      </c>
    </row>
    <row r="817" spans="1:14" x14ac:dyDescent="0.25">
      <c r="A817">
        <v>400578701</v>
      </c>
      <c r="B817">
        <v>2015</v>
      </c>
      <c r="C817" s="1">
        <v>41995</v>
      </c>
      <c r="D817" t="s">
        <v>32</v>
      </c>
      <c r="E817">
        <v>0</v>
      </c>
      <c r="F817">
        <v>12</v>
      </c>
      <c r="G817">
        <v>16</v>
      </c>
      <c r="H817">
        <v>0</v>
      </c>
      <c r="I817" t="s">
        <v>18</v>
      </c>
      <c r="J817">
        <v>110</v>
      </c>
      <c r="K817" t="s">
        <v>32</v>
      </c>
      <c r="L817">
        <v>82</v>
      </c>
      <c r="M817">
        <f>IF(D817=I817,VLOOKUP(D817,a_win_totals_lookup,MATCH(K817,a_wins_total_lookup_header,0)+1,0),VLOOKUP(D817,a_win_totals_lookup,MATCH(I817,a_wins_total_lookup_header,0)+1,0))</f>
        <v>0.43782349911420193</v>
      </c>
      <c r="N817">
        <f t="shared" ca="1" si="12"/>
        <v>0</v>
      </c>
    </row>
    <row r="818" spans="1:14" x14ac:dyDescent="0.25">
      <c r="A818">
        <v>400578702</v>
      </c>
      <c r="B818">
        <v>2015</v>
      </c>
      <c r="C818" s="1">
        <v>41995</v>
      </c>
      <c r="D818" t="s">
        <v>30</v>
      </c>
      <c r="E818">
        <v>1</v>
      </c>
      <c r="F818">
        <v>18</v>
      </c>
      <c r="G818">
        <v>9</v>
      </c>
      <c r="H818">
        <v>1</v>
      </c>
      <c r="I818" t="s">
        <v>30</v>
      </c>
      <c r="J818">
        <v>129</v>
      </c>
      <c r="K818" t="s">
        <v>27</v>
      </c>
      <c r="L818">
        <v>120</v>
      </c>
      <c r="M818">
        <f>IF(D818=I818,VLOOKUP(D818,a_win_totals_lookup,MATCH(K818,a_wins_total_lookup_header,0)+1,0),VLOOKUP(D818,a_win_totals_lookup,MATCH(I818,a_wins_total_lookup_header,0)+1,0))</f>
        <v>0.52596063059506537</v>
      </c>
      <c r="N818">
        <f t="shared" ca="1" si="12"/>
        <v>1</v>
      </c>
    </row>
    <row r="819" spans="1:14" x14ac:dyDescent="0.25">
      <c r="A819">
        <v>400578702</v>
      </c>
      <c r="B819">
        <v>2015</v>
      </c>
      <c r="C819" s="1">
        <v>41995</v>
      </c>
      <c r="D819" t="s">
        <v>27</v>
      </c>
      <c r="E819">
        <v>0</v>
      </c>
      <c r="F819">
        <v>22</v>
      </c>
      <c r="G819">
        <v>7</v>
      </c>
      <c r="H819">
        <v>0</v>
      </c>
      <c r="I819" t="s">
        <v>30</v>
      </c>
      <c r="J819">
        <v>129</v>
      </c>
      <c r="K819" t="s">
        <v>27</v>
      </c>
      <c r="L819">
        <v>120</v>
      </c>
      <c r="M819">
        <f>IF(D819=I819,VLOOKUP(D819,a_win_totals_lookup,MATCH(K819,a_wins_total_lookup_header,0)+1,0),VLOOKUP(D819,a_win_totals_lookup,MATCH(I819,a_wins_total_lookup_header,0)+1,0))</f>
        <v>0.47403936940493457</v>
      </c>
      <c r="N819">
        <f t="shared" ca="1" si="12"/>
        <v>0</v>
      </c>
    </row>
    <row r="820" spans="1:14" x14ac:dyDescent="0.25">
      <c r="A820">
        <v>400578703</v>
      </c>
      <c r="B820">
        <v>2015</v>
      </c>
      <c r="C820" s="1">
        <v>41995</v>
      </c>
      <c r="D820" t="s">
        <v>16</v>
      </c>
      <c r="E820">
        <v>1</v>
      </c>
      <c r="F820">
        <v>20</v>
      </c>
      <c r="G820">
        <v>7</v>
      </c>
      <c r="H820">
        <v>1</v>
      </c>
      <c r="I820" t="s">
        <v>16</v>
      </c>
      <c r="J820">
        <v>110</v>
      </c>
      <c r="K820" t="s">
        <v>39</v>
      </c>
      <c r="L820">
        <v>95</v>
      </c>
      <c r="M820">
        <f>IF(D820=I820,VLOOKUP(D820,a_win_totals_lookup,MATCH(K820,a_wins_total_lookup_header,0)+1,0),VLOOKUP(D820,a_win_totals_lookup,MATCH(I820,a_wins_total_lookup_header,0)+1,0))</f>
        <v>0.4905620050347928</v>
      </c>
      <c r="N820">
        <f t="shared" ca="1" si="12"/>
        <v>0</v>
      </c>
    </row>
    <row r="821" spans="1:14" x14ac:dyDescent="0.25">
      <c r="A821">
        <v>400578703</v>
      </c>
      <c r="B821">
        <v>2015</v>
      </c>
      <c r="C821" s="1">
        <v>41995</v>
      </c>
      <c r="D821" t="s">
        <v>39</v>
      </c>
      <c r="E821">
        <v>0</v>
      </c>
      <c r="F821">
        <v>22</v>
      </c>
      <c r="G821">
        <v>7</v>
      </c>
      <c r="H821">
        <v>0</v>
      </c>
      <c r="I821" t="s">
        <v>16</v>
      </c>
      <c r="J821">
        <v>110</v>
      </c>
      <c r="K821" t="s">
        <v>39</v>
      </c>
      <c r="L821">
        <v>95</v>
      </c>
      <c r="M821">
        <f>IF(D821=I821,VLOOKUP(D821,a_win_totals_lookup,MATCH(K821,a_wins_total_lookup_header,0)+1,0),VLOOKUP(D821,a_win_totals_lookup,MATCH(I821,a_wins_total_lookup_header,0)+1,0))</f>
        <v>0.50943799496520714</v>
      </c>
      <c r="N821">
        <f t="shared" ca="1" si="12"/>
        <v>0</v>
      </c>
    </row>
    <row r="822" spans="1:14" x14ac:dyDescent="0.25">
      <c r="A822">
        <v>400578704</v>
      </c>
      <c r="B822">
        <v>2015</v>
      </c>
      <c r="C822" s="1">
        <v>41995</v>
      </c>
      <c r="D822" t="s">
        <v>28</v>
      </c>
      <c r="E822">
        <v>0</v>
      </c>
      <c r="F822">
        <v>21</v>
      </c>
      <c r="G822">
        <v>7</v>
      </c>
      <c r="H822">
        <v>1</v>
      </c>
      <c r="I822" t="s">
        <v>28</v>
      </c>
      <c r="J822">
        <v>91</v>
      </c>
      <c r="K822" t="s">
        <v>34</v>
      </c>
      <c r="L822">
        <v>97</v>
      </c>
      <c r="M822">
        <f>IF(D822=I822,VLOOKUP(D822,a_win_totals_lookup,MATCH(K822,a_wins_total_lookup_header,0)+1,0),VLOOKUP(D822,a_win_totals_lookup,MATCH(I822,a_wins_total_lookup_header,0)+1,0))</f>
        <v>0.70201279293629204</v>
      </c>
      <c r="N822">
        <f t="shared" ca="1" si="12"/>
        <v>0</v>
      </c>
    </row>
    <row r="823" spans="1:14" x14ac:dyDescent="0.25">
      <c r="A823">
        <v>400578704</v>
      </c>
      <c r="B823">
        <v>2015</v>
      </c>
      <c r="C823" s="1">
        <v>41995</v>
      </c>
      <c r="D823" t="s">
        <v>34</v>
      </c>
      <c r="E823">
        <v>1</v>
      </c>
      <c r="F823">
        <v>9</v>
      </c>
      <c r="G823">
        <v>20</v>
      </c>
      <c r="H823">
        <v>0</v>
      </c>
      <c r="I823" t="s">
        <v>28</v>
      </c>
      <c r="J823">
        <v>91</v>
      </c>
      <c r="K823" t="s">
        <v>34</v>
      </c>
      <c r="L823">
        <v>97</v>
      </c>
      <c r="M823">
        <f>IF(D823=I823,VLOOKUP(D823,a_win_totals_lookup,MATCH(K823,a_wins_total_lookup_header,0)+1,0),VLOOKUP(D823,a_win_totals_lookup,MATCH(I823,a_wins_total_lookup_header,0)+1,0))</f>
        <v>0.29798720706370802</v>
      </c>
      <c r="N823">
        <f t="shared" ca="1" si="12"/>
        <v>0</v>
      </c>
    </row>
    <row r="824" spans="1:14" x14ac:dyDescent="0.25">
      <c r="A824">
        <v>400578705</v>
      </c>
      <c r="B824">
        <v>2015</v>
      </c>
      <c r="C824" s="1">
        <v>41995</v>
      </c>
      <c r="D824" t="s">
        <v>26</v>
      </c>
      <c r="E824">
        <v>1</v>
      </c>
      <c r="F824">
        <v>20</v>
      </c>
      <c r="G824">
        <v>7</v>
      </c>
      <c r="H824">
        <v>0</v>
      </c>
      <c r="I824" t="s">
        <v>14</v>
      </c>
      <c r="J824">
        <v>102</v>
      </c>
      <c r="K824" t="s">
        <v>26</v>
      </c>
      <c r="L824">
        <v>105</v>
      </c>
      <c r="M824">
        <f>IF(D824=I824,VLOOKUP(D824,a_win_totals_lookup,MATCH(K824,a_wins_total_lookup_header,0)+1,0),VLOOKUP(D824,a_win_totals_lookup,MATCH(I824,a_wins_total_lookup_header,0)+1,0))</f>
        <v>0.42248155809117843</v>
      </c>
      <c r="N824">
        <f t="shared" ca="1" si="12"/>
        <v>1</v>
      </c>
    </row>
    <row r="825" spans="1:14" x14ac:dyDescent="0.25">
      <c r="A825">
        <v>400578705</v>
      </c>
      <c r="B825">
        <v>2015</v>
      </c>
      <c r="C825" s="1">
        <v>41995</v>
      </c>
      <c r="D825" t="s">
        <v>14</v>
      </c>
      <c r="E825">
        <v>0</v>
      </c>
      <c r="F825">
        <v>20</v>
      </c>
      <c r="G825">
        <v>9</v>
      </c>
      <c r="H825">
        <v>1</v>
      </c>
      <c r="I825" t="s">
        <v>14</v>
      </c>
      <c r="J825">
        <v>102</v>
      </c>
      <c r="K825" t="s">
        <v>26</v>
      </c>
      <c r="L825">
        <v>105</v>
      </c>
      <c r="M825">
        <f>IF(D825=I825,VLOOKUP(D825,a_win_totals_lookup,MATCH(K825,a_wins_total_lookup_header,0)+1,0),VLOOKUP(D825,a_win_totals_lookup,MATCH(I825,a_wins_total_lookup_header,0)+1,0))</f>
        <v>0.57751844190882151</v>
      </c>
      <c r="N825">
        <f t="shared" ca="1" si="12"/>
        <v>0</v>
      </c>
    </row>
    <row r="826" spans="1:14" x14ac:dyDescent="0.25">
      <c r="A826">
        <v>400578706</v>
      </c>
      <c r="B826">
        <v>2015</v>
      </c>
      <c r="C826" s="1">
        <v>41995</v>
      </c>
      <c r="D826" t="s">
        <v>41</v>
      </c>
      <c r="E826">
        <v>0</v>
      </c>
      <c r="F826">
        <v>19</v>
      </c>
      <c r="G826">
        <v>9</v>
      </c>
      <c r="H826">
        <v>0</v>
      </c>
      <c r="I826" t="s">
        <v>15</v>
      </c>
      <c r="J826">
        <v>125</v>
      </c>
      <c r="K826" t="s">
        <v>41</v>
      </c>
      <c r="L826">
        <v>118</v>
      </c>
      <c r="M826">
        <f>IF(D826=I826,VLOOKUP(D826,a_win_totals_lookup,MATCH(K826,a_wins_total_lookup_header,0)+1,0),VLOOKUP(D826,a_win_totals_lookup,MATCH(I826,a_wins_total_lookup_header,0)+1,0))</f>
        <v>0.5103000717980084</v>
      </c>
      <c r="N826">
        <f t="shared" ca="1" si="12"/>
        <v>1</v>
      </c>
    </row>
    <row r="827" spans="1:14" x14ac:dyDescent="0.25">
      <c r="A827">
        <v>400578706</v>
      </c>
      <c r="B827">
        <v>2015</v>
      </c>
      <c r="C827" s="1">
        <v>41995</v>
      </c>
      <c r="D827" t="s">
        <v>15</v>
      </c>
      <c r="E827">
        <v>1</v>
      </c>
      <c r="F827">
        <v>18</v>
      </c>
      <c r="G827">
        <v>11</v>
      </c>
      <c r="H827">
        <v>1</v>
      </c>
      <c r="I827" t="s">
        <v>15</v>
      </c>
      <c r="J827">
        <v>125</v>
      </c>
      <c r="K827" t="s">
        <v>41</v>
      </c>
      <c r="L827">
        <v>118</v>
      </c>
      <c r="M827">
        <f>IF(D827=I827,VLOOKUP(D827,a_win_totals_lookup,MATCH(K827,a_wins_total_lookup_header,0)+1,0),VLOOKUP(D827,a_win_totals_lookup,MATCH(I827,a_wins_total_lookup_header,0)+1,0))</f>
        <v>0.48969992820199154</v>
      </c>
      <c r="N827">
        <f t="shared" ca="1" si="12"/>
        <v>0</v>
      </c>
    </row>
    <row r="828" spans="1:14" x14ac:dyDescent="0.25">
      <c r="A828">
        <v>400578707</v>
      </c>
      <c r="B828">
        <v>2015</v>
      </c>
      <c r="C828" s="1">
        <v>41995</v>
      </c>
      <c r="D828" t="s">
        <v>36</v>
      </c>
      <c r="E828">
        <v>1</v>
      </c>
      <c r="F828">
        <v>23</v>
      </c>
      <c r="G828">
        <v>3</v>
      </c>
      <c r="H828">
        <v>1</v>
      </c>
      <c r="I828" t="s">
        <v>36</v>
      </c>
      <c r="J828">
        <v>128</v>
      </c>
      <c r="K828" t="s">
        <v>37</v>
      </c>
      <c r="L828">
        <v>108</v>
      </c>
      <c r="M828">
        <f>IF(D828=I828,VLOOKUP(D828,a_win_totals_lookup,MATCH(K828,a_wins_total_lookup_header,0)+1,0),VLOOKUP(D828,a_win_totals_lookup,MATCH(I828,a_wins_total_lookup_header,0)+1,0))</f>
        <v>0.69209130562404242</v>
      </c>
      <c r="N828">
        <f t="shared" ca="1" si="12"/>
        <v>1</v>
      </c>
    </row>
    <row r="829" spans="1:14" x14ac:dyDescent="0.25">
      <c r="A829">
        <v>400578707</v>
      </c>
      <c r="B829">
        <v>2015</v>
      </c>
      <c r="C829" s="1">
        <v>41995</v>
      </c>
      <c r="D829" t="s">
        <v>37</v>
      </c>
      <c r="E829">
        <v>0</v>
      </c>
      <c r="F829">
        <v>12</v>
      </c>
      <c r="G829">
        <v>16</v>
      </c>
      <c r="H829">
        <v>0</v>
      </c>
      <c r="I829" t="s">
        <v>36</v>
      </c>
      <c r="J829">
        <v>128</v>
      </c>
      <c r="K829" t="s">
        <v>37</v>
      </c>
      <c r="L829">
        <v>108</v>
      </c>
      <c r="M829">
        <f>IF(D829=I829,VLOOKUP(D829,a_win_totals_lookup,MATCH(K829,a_wins_total_lookup_header,0)+1,0),VLOOKUP(D829,a_win_totals_lookup,MATCH(I829,a_wins_total_lookup_header,0)+1,0))</f>
        <v>0.30790869437595753</v>
      </c>
      <c r="N829">
        <f t="shared" ca="1" si="12"/>
        <v>1</v>
      </c>
    </row>
    <row r="830" spans="1:14" x14ac:dyDescent="0.25">
      <c r="A830">
        <v>400578708</v>
      </c>
      <c r="B830">
        <v>2015</v>
      </c>
      <c r="C830" s="1">
        <v>41996</v>
      </c>
      <c r="D830" t="s">
        <v>40</v>
      </c>
      <c r="E830">
        <v>1</v>
      </c>
      <c r="F830">
        <v>17</v>
      </c>
      <c r="G830">
        <v>10</v>
      </c>
      <c r="H830">
        <v>1</v>
      </c>
      <c r="I830" t="s">
        <v>40</v>
      </c>
      <c r="J830">
        <v>125</v>
      </c>
      <c r="K830" t="s">
        <v>29</v>
      </c>
      <c r="L830">
        <v>104</v>
      </c>
      <c r="M830">
        <f>IF(D830=I830,VLOOKUP(D830,a_win_totals_lookup,MATCH(K830,a_wins_total_lookup_header,0)+1,0),VLOOKUP(D830,a_win_totals_lookup,MATCH(I830,a_wins_total_lookup_header,0)+1,0))</f>
        <v>0.7843512669729592</v>
      </c>
      <c r="N830">
        <f t="shared" ca="1" si="12"/>
        <v>0</v>
      </c>
    </row>
    <row r="831" spans="1:14" x14ac:dyDescent="0.25">
      <c r="A831">
        <v>400578708</v>
      </c>
      <c r="B831">
        <v>2015</v>
      </c>
      <c r="C831" s="1">
        <v>41996</v>
      </c>
      <c r="D831" t="s">
        <v>29</v>
      </c>
      <c r="E831">
        <v>0</v>
      </c>
      <c r="F831">
        <v>5</v>
      </c>
      <c r="G831">
        <v>22</v>
      </c>
      <c r="H831">
        <v>0</v>
      </c>
      <c r="I831" t="s">
        <v>40</v>
      </c>
      <c r="J831">
        <v>125</v>
      </c>
      <c r="K831" t="s">
        <v>29</v>
      </c>
      <c r="L831">
        <v>104</v>
      </c>
      <c r="M831">
        <f>IF(D831=I831,VLOOKUP(D831,a_win_totals_lookup,MATCH(K831,a_wins_total_lookup_header,0)+1,0),VLOOKUP(D831,a_win_totals_lookup,MATCH(I831,a_wins_total_lookup_header,0)+1,0))</f>
        <v>0.21564873302704085</v>
      </c>
      <c r="N831">
        <f t="shared" ca="1" si="12"/>
        <v>0</v>
      </c>
    </row>
    <row r="832" spans="1:14" x14ac:dyDescent="0.25">
      <c r="A832">
        <v>400578709</v>
      </c>
      <c r="B832">
        <v>2015</v>
      </c>
      <c r="C832" s="1">
        <v>41996</v>
      </c>
      <c r="D832" t="s">
        <v>20</v>
      </c>
      <c r="E832">
        <v>1</v>
      </c>
      <c r="F832">
        <v>10</v>
      </c>
      <c r="G832">
        <v>19</v>
      </c>
      <c r="H832">
        <v>1</v>
      </c>
      <c r="I832" t="s">
        <v>20</v>
      </c>
      <c r="J832">
        <v>96</v>
      </c>
      <c r="K832" t="s">
        <v>12</v>
      </c>
      <c r="L832">
        <v>84</v>
      </c>
      <c r="M832">
        <f>IF(D832=I832,VLOOKUP(D832,a_win_totals_lookup,MATCH(K832,a_wins_total_lookup_header,0)+1,0),VLOOKUP(D832,a_win_totals_lookup,MATCH(I832,a_wins_total_lookup_header,0)+1,0))</f>
        <v>0.42577792898536088</v>
      </c>
      <c r="N832">
        <f t="shared" ca="1" si="12"/>
        <v>1</v>
      </c>
    </row>
    <row r="833" spans="1:14" x14ac:dyDescent="0.25">
      <c r="A833">
        <v>400578709</v>
      </c>
      <c r="B833">
        <v>2015</v>
      </c>
      <c r="C833" s="1">
        <v>41996</v>
      </c>
      <c r="D833" t="s">
        <v>12</v>
      </c>
      <c r="E833">
        <v>0</v>
      </c>
      <c r="F833">
        <v>14</v>
      </c>
      <c r="G833">
        <v>14</v>
      </c>
      <c r="H833">
        <v>0</v>
      </c>
      <c r="I833" t="s">
        <v>20</v>
      </c>
      <c r="J833">
        <v>96</v>
      </c>
      <c r="K833" t="s">
        <v>12</v>
      </c>
      <c r="L833">
        <v>84</v>
      </c>
      <c r="M833">
        <f>IF(D833=I833,VLOOKUP(D833,a_win_totals_lookup,MATCH(K833,a_wins_total_lookup_header,0)+1,0),VLOOKUP(D833,a_win_totals_lookup,MATCH(I833,a_wins_total_lookup_header,0)+1,0))</f>
        <v>0.57422207101463918</v>
      </c>
      <c r="N833">
        <f t="shared" ca="1" si="12"/>
        <v>1</v>
      </c>
    </row>
    <row r="834" spans="1:14" x14ac:dyDescent="0.25">
      <c r="A834">
        <v>400578710</v>
      </c>
      <c r="B834">
        <v>2015</v>
      </c>
      <c r="C834" s="1">
        <v>41996</v>
      </c>
      <c r="D834" t="s">
        <v>22</v>
      </c>
      <c r="E834">
        <v>0</v>
      </c>
      <c r="F834">
        <v>10</v>
      </c>
      <c r="G834">
        <v>16</v>
      </c>
      <c r="H834">
        <v>0</v>
      </c>
      <c r="I834" t="s">
        <v>13</v>
      </c>
      <c r="J834">
        <v>100</v>
      </c>
      <c r="K834" t="s">
        <v>22</v>
      </c>
      <c r="L834">
        <v>95</v>
      </c>
      <c r="M834">
        <f>IF(D834=I834,VLOOKUP(D834,a_win_totals_lookup,MATCH(K834,a_wins_total_lookup_header,0)+1,0),VLOOKUP(D834,a_win_totals_lookup,MATCH(I834,a_wins_total_lookup_header,0)+1,0))</f>
        <v>0.44399285510679726</v>
      </c>
      <c r="N834">
        <f t="shared" ca="1" si="12"/>
        <v>1</v>
      </c>
    </row>
    <row r="835" spans="1:14" x14ac:dyDescent="0.25">
      <c r="A835">
        <v>400578710</v>
      </c>
      <c r="B835">
        <v>2015</v>
      </c>
      <c r="C835" s="1">
        <v>41996</v>
      </c>
      <c r="D835" t="s">
        <v>13</v>
      </c>
      <c r="E835">
        <v>1</v>
      </c>
      <c r="F835">
        <v>11</v>
      </c>
      <c r="G835">
        <v>20</v>
      </c>
      <c r="H835">
        <v>1</v>
      </c>
      <c r="I835" t="s">
        <v>13</v>
      </c>
      <c r="J835">
        <v>100</v>
      </c>
      <c r="K835" t="s">
        <v>22</v>
      </c>
      <c r="L835">
        <v>95</v>
      </c>
      <c r="M835">
        <f>IF(D835=I835,VLOOKUP(D835,a_win_totals_lookup,MATCH(K835,a_wins_total_lookup_header,0)+1,0),VLOOKUP(D835,a_win_totals_lookup,MATCH(I835,a_wins_total_lookup_header,0)+1,0))</f>
        <v>0.5560071448932028</v>
      </c>
      <c r="N835">
        <f t="shared" ref="N835:N898" ca="1" si="13">ROUND(0.5*RANDBETWEEN(-1,1)+M835,0)</f>
        <v>1</v>
      </c>
    </row>
    <row r="836" spans="1:14" x14ac:dyDescent="0.25">
      <c r="A836">
        <v>400578711</v>
      </c>
      <c r="B836">
        <v>2015</v>
      </c>
      <c r="C836" s="1">
        <v>41996</v>
      </c>
      <c r="D836" t="s">
        <v>30</v>
      </c>
      <c r="E836">
        <v>1</v>
      </c>
      <c r="F836">
        <v>19</v>
      </c>
      <c r="G836">
        <v>9</v>
      </c>
      <c r="H836">
        <v>0</v>
      </c>
      <c r="I836" t="s">
        <v>25</v>
      </c>
      <c r="J836">
        <v>91</v>
      </c>
      <c r="K836" t="s">
        <v>30</v>
      </c>
      <c r="L836">
        <v>99</v>
      </c>
      <c r="M836">
        <f>IF(D836=I836,VLOOKUP(D836,a_win_totals_lookup,MATCH(K836,a_wins_total_lookup_header,0)+1,0),VLOOKUP(D836,a_win_totals_lookup,MATCH(I836,a_wins_total_lookup_header,0)+1,0))</f>
        <v>0.5600388834823441</v>
      </c>
      <c r="N836">
        <f t="shared" ca="1" si="13"/>
        <v>1</v>
      </c>
    </row>
    <row r="837" spans="1:14" x14ac:dyDescent="0.25">
      <c r="A837">
        <v>400578711</v>
      </c>
      <c r="B837">
        <v>2015</v>
      </c>
      <c r="C837" s="1">
        <v>41996</v>
      </c>
      <c r="D837" t="s">
        <v>25</v>
      </c>
      <c r="E837">
        <v>0</v>
      </c>
      <c r="F837">
        <v>19</v>
      </c>
      <c r="G837">
        <v>8</v>
      </c>
      <c r="H837">
        <v>1</v>
      </c>
      <c r="I837" t="s">
        <v>25</v>
      </c>
      <c r="J837">
        <v>91</v>
      </c>
      <c r="K837" t="s">
        <v>30</v>
      </c>
      <c r="L837">
        <v>99</v>
      </c>
      <c r="M837">
        <f>IF(D837=I837,VLOOKUP(D837,a_win_totals_lookup,MATCH(K837,a_wins_total_lookup_header,0)+1,0),VLOOKUP(D837,a_win_totals_lookup,MATCH(I837,a_wins_total_lookup_header,0)+1,0))</f>
        <v>0.43996111651765601</v>
      </c>
      <c r="N837">
        <f t="shared" ca="1" si="13"/>
        <v>0</v>
      </c>
    </row>
    <row r="838" spans="1:14" x14ac:dyDescent="0.25">
      <c r="A838">
        <v>400578712</v>
      </c>
      <c r="B838">
        <v>2015</v>
      </c>
      <c r="C838" s="1">
        <v>41996</v>
      </c>
      <c r="D838" t="s">
        <v>26</v>
      </c>
      <c r="E838">
        <v>1</v>
      </c>
      <c r="F838">
        <v>21</v>
      </c>
      <c r="G838">
        <v>7</v>
      </c>
      <c r="H838">
        <v>1</v>
      </c>
      <c r="I838" t="s">
        <v>26</v>
      </c>
      <c r="J838">
        <v>107</v>
      </c>
      <c r="K838" t="s">
        <v>41</v>
      </c>
      <c r="L838">
        <v>104</v>
      </c>
      <c r="M838">
        <f>IF(D838=I838,VLOOKUP(D838,a_win_totals_lookup,MATCH(K838,a_wins_total_lookup_header,0)+1,0),VLOOKUP(D838,a_win_totals_lookup,MATCH(I838,a_wins_total_lookup_header,0)+1,0))</f>
        <v>0.3875228826260283</v>
      </c>
      <c r="N838">
        <f t="shared" ca="1" si="13"/>
        <v>0</v>
      </c>
    </row>
    <row r="839" spans="1:14" x14ac:dyDescent="0.25">
      <c r="A839">
        <v>400578712</v>
      </c>
      <c r="B839">
        <v>2015</v>
      </c>
      <c r="C839" s="1">
        <v>41996</v>
      </c>
      <c r="D839" t="s">
        <v>41</v>
      </c>
      <c r="E839">
        <v>0</v>
      </c>
      <c r="F839">
        <v>19</v>
      </c>
      <c r="G839">
        <v>10</v>
      </c>
      <c r="H839">
        <v>0</v>
      </c>
      <c r="I839" t="s">
        <v>26</v>
      </c>
      <c r="J839">
        <v>107</v>
      </c>
      <c r="K839" t="s">
        <v>41</v>
      </c>
      <c r="L839">
        <v>104</v>
      </c>
      <c r="M839">
        <f>IF(D839=I839,VLOOKUP(D839,a_win_totals_lookup,MATCH(K839,a_wins_total_lookup_header,0)+1,0),VLOOKUP(D839,a_win_totals_lookup,MATCH(I839,a_wins_total_lookup_header,0)+1,0))</f>
        <v>0.6124771173739717</v>
      </c>
      <c r="N839">
        <f t="shared" ca="1" si="13"/>
        <v>1</v>
      </c>
    </row>
    <row r="840" spans="1:14" x14ac:dyDescent="0.25">
      <c r="A840">
        <v>400578713</v>
      </c>
      <c r="B840">
        <v>2015</v>
      </c>
      <c r="C840" s="1">
        <v>41996</v>
      </c>
      <c r="D840" t="s">
        <v>23</v>
      </c>
      <c r="E840">
        <v>1</v>
      </c>
      <c r="F840">
        <v>12</v>
      </c>
      <c r="G840">
        <v>15</v>
      </c>
      <c r="H840">
        <v>1</v>
      </c>
      <c r="I840" t="s">
        <v>23</v>
      </c>
      <c r="J840">
        <v>102</v>
      </c>
      <c r="K840" t="s">
        <v>32</v>
      </c>
      <c r="L840">
        <v>96</v>
      </c>
      <c r="M840">
        <f>IF(D840=I840,VLOOKUP(D840,a_win_totals_lookup,MATCH(K840,a_wins_total_lookup_header,0)+1,0),VLOOKUP(D840,a_win_totals_lookup,MATCH(I840,a_wins_total_lookup_header,0)+1,0))</f>
        <v>0.5</v>
      </c>
      <c r="N840">
        <f t="shared" ca="1" si="13"/>
        <v>0</v>
      </c>
    </row>
    <row r="841" spans="1:14" x14ac:dyDescent="0.25">
      <c r="A841">
        <v>400578713</v>
      </c>
      <c r="B841">
        <v>2015</v>
      </c>
      <c r="C841" s="1">
        <v>41996</v>
      </c>
      <c r="D841" t="s">
        <v>32</v>
      </c>
      <c r="E841">
        <v>0</v>
      </c>
      <c r="F841">
        <v>12</v>
      </c>
      <c r="G841">
        <v>17</v>
      </c>
      <c r="H841">
        <v>0</v>
      </c>
      <c r="I841" t="s">
        <v>23</v>
      </c>
      <c r="J841">
        <v>102</v>
      </c>
      <c r="K841" t="s">
        <v>32</v>
      </c>
      <c r="L841">
        <v>96</v>
      </c>
      <c r="M841">
        <f>IF(D841=I841,VLOOKUP(D841,a_win_totals_lookup,MATCH(K841,a_wins_total_lookup_header,0)+1,0),VLOOKUP(D841,a_win_totals_lookup,MATCH(I841,a_wins_total_lookup_header,0)+1,0))</f>
        <v>0.5</v>
      </c>
      <c r="N841">
        <f t="shared" ca="1" si="13"/>
        <v>0</v>
      </c>
    </row>
    <row r="842" spans="1:14" x14ac:dyDescent="0.25">
      <c r="A842">
        <v>400578714</v>
      </c>
      <c r="B842">
        <v>2015</v>
      </c>
      <c r="C842" s="1">
        <v>41996</v>
      </c>
      <c r="D842" t="s">
        <v>24</v>
      </c>
      <c r="E842">
        <v>0</v>
      </c>
      <c r="F842">
        <v>13</v>
      </c>
      <c r="G842">
        <v>16</v>
      </c>
      <c r="H842">
        <v>1</v>
      </c>
      <c r="I842" t="s">
        <v>24</v>
      </c>
      <c r="J842">
        <v>87</v>
      </c>
      <c r="K842" t="s">
        <v>21</v>
      </c>
      <c r="L842">
        <v>91</v>
      </c>
      <c r="M842">
        <f>IF(D842=I842,VLOOKUP(D842,a_win_totals_lookup,MATCH(K842,a_wins_total_lookup_header,0)+1,0),VLOOKUP(D842,a_win_totals_lookup,MATCH(I842,a_wins_total_lookup_header,0)+1,0))</f>
        <v>0.73880483706315025</v>
      </c>
      <c r="N842">
        <f t="shared" ca="1" si="13"/>
        <v>0</v>
      </c>
    </row>
    <row r="843" spans="1:14" x14ac:dyDescent="0.25">
      <c r="A843">
        <v>400578714</v>
      </c>
      <c r="B843">
        <v>2015</v>
      </c>
      <c r="C843" s="1">
        <v>41996</v>
      </c>
      <c r="D843" t="s">
        <v>21</v>
      </c>
      <c r="E843">
        <v>1</v>
      </c>
      <c r="F843">
        <v>4</v>
      </c>
      <c r="G843">
        <v>23</v>
      </c>
      <c r="H843">
        <v>0</v>
      </c>
      <c r="I843" t="s">
        <v>24</v>
      </c>
      <c r="J843">
        <v>87</v>
      </c>
      <c r="K843" t="s">
        <v>21</v>
      </c>
      <c r="L843">
        <v>91</v>
      </c>
      <c r="M843">
        <f>IF(D843=I843,VLOOKUP(D843,a_win_totals_lookup,MATCH(K843,a_wins_total_lookup_header,0)+1,0),VLOOKUP(D843,a_win_totals_lookup,MATCH(I843,a_wins_total_lookup_header,0)+1,0))</f>
        <v>0.26119516293684975</v>
      </c>
      <c r="N843">
        <f t="shared" ca="1" si="13"/>
        <v>1</v>
      </c>
    </row>
    <row r="844" spans="1:14" x14ac:dyDescent="0.25">
      <c r="A844">
        <v>400578715</v>
      </c>
      <c r="B844">
        <v>2015</v>
      </c>
      <c r="C844" s="1">
        <v>41996</v>
      </c>
      <c r="D844" t="s">
        <v>18</v>
      </c>
      <c r="E844">
        <v>1</v>
      </c>
      <c r="F844">
        <v>10</v>
      </c>
      <c r="G844">
        <v>19</v>
      </c>
      <c r="H844">
        <v>0</v>
      </c>
      <c r="I844" t="s">
        <v>19</v>
      </c>
      <c r="J844">
        <v>101</v>
      </c>
      <c r="K844" t="s">
        <v>18</v>
      </c>
      <c r="L844">
        <v>108</v>
      </c>
      <c r="M844">
        <f>IF(D844=I844,VLOOKUP(D844,a_win_totals_lookup,MATCH(K844,a_wins_total_lookup_header,0)+1,0),VLOOKUP(D844,a_win_totals_lookup,MATCH(I844,a_wins_total_lookup_header,0)+1,0))</f>
        <v>0.70038695085018321</v>
      </c>
      <c r="N844">
        <f t="shared" ca="1" si="13"/>
        <v>0</v>
      </c>
    </row>
    <row r="845" spans="1:14" x14ac:dyDescent="0.25">
      <c r="A845">
        <v>400578715</v>
      </c>
      <c r="B845">
        <v>2015</v>
      </c>
      <c r="C845" s="1">
        <v>41996</v>
      </c>
      <c r="D845" t="s">
        <v>19</v>
      </c>
      <c r="E845">
        <v>0</v>
      </c>
      <c r="F845">
        <v>14</v>
      </c>
      <c r="G845">
        <v>15</v>
      </c>
      <c r="H845">
        <v>1</v>
      </c>
      <c r="I845" t="s">
        <v>19</v>
      </c>
      <c r="J845">
        <v>101</v>
      </c>
      <c r="K845" t="s">
        <v>18</v>
      </c>
      <c r="L845">
        <v>108</v>
      </c>
      <c r="M845">
        <f>IF(D845=I845,VLOOKUP(D845,a_win_totals_lookup,MATCH(K845,a_wins_total_lookup_header,0)+1,0),VLOOKUP(D845,a_win_totals_lookup,MATCH(I845,a_wins_total_lookup_header,0)+1,0))</f>
        <v>0.29961304914981679</v>
      </c>
      <c r="N845">
        <f t="shared" ca="1" si="13"/>
        <v>1</v>
      </c>
    </row>
    <row r="846" spans="1:14" x14ac:dyDescent="0.25">
      <c r="A846">
        <v>400578716</v>
      </c>
      <c r="B846">
        <v>2015</v>
      </c>
      <c r="C846" s="1">
        <v>41996</v>
      </c>
      <c r="D846" t="s">
        <v>38</v>
      </c>
      <c r="E846">
        <v>0</v>
      </c>
      <c r="F846">
        <v>13</v>
      </c>
      <c r="G846">
        <v>16</v>
      </c>
      <c r="H846">
        <v>1</v>
      </c>
      <c r="I846" t="s">
        <v>38</v>
      </c>
      <c r="J846">
        <v>111</v>
      </c>
      <c r="K846" t="s">
        <v>39</v>
      </c>
      <c r="L846">
        <v>115</v>
      </c>
      <c r="M846">
        <f>IF(D846=I846,VLOOKUP(D846,a_win_totals_lookup,MATCH(K846,a_wins_total_lookup_header,0)+1,0),VLOOKUP(D846,a_win_totals_lookup,MATCH(I846,a_wins_total_lookup_header,0)+1,0))</f>
        <v>0.5387804547757824</v>
      </c>
      <c r="N846">
        <f t="shared" ca="1" si="13"/>
        <v>0</v>
      </c>
    </row>
    <row r="847" spans="1:14" x14ac:dyDescent="0.25">
      <c r="A847">
        <v>400578716</v>
      </c>
      <c r="B847">
        <v>2015</v>
      </c>
      <c r="C847" s="1">
        <v>41996</v>
      </c>
      <c r="D847" t="s">
        <v>39</v>
      </c>
      <c r="E847">
        <v>1</v>
      </c>
      <c r="F847">
        <v>23</v>
      </c>
      <c r="G847">
        <v>7</v>
      </c>
      <c r="H847">
        <v>0</v>
      </c>
      <c r="I847" t="s">
        <v>38</v>
      </c>
      <c r="J847">
        <v>111</v>
      </c>
      <c r="K847" t="s">
        <v>39</v>
      </c>
      <c r="L847">
        <v>115</v>
      </c>
      <c r="M847">
        <f>IF(D847=I847,VLOOKUP(D847,a_win_totals_lookup,MATCH(K847,a_wins_total_lookup_header,0)+1,0),VLOOKUP(D847,a_win_totals_lookup,MATCH(I847,a_wins_total_lookup_header,0)+1,0))</f>
        <v>0.46121954522421765</v>
      </c>
      <c r="N847">
        <f t="shared" ca="1" si="13"/>
        <v>0</v>
      </c>
    </row>
    <row r="848" spans="1:14" x14ac:dyDescent="0.25">
      <c r="A848">
        <v>400578717</v>
      </c>
      <c r="B848">
        <v>2015</v>
      </c>
      <c r="C848" s="1">
        <v>41996</v>
      </c>
      <c r="D848" t="s">
        <v>14</v>
      </c>
      <c r="E848">
        <v>0</v>
      </c>
      <c r="F848">
        <v>20</v>
      </c>
      <c r="G848">
        <v>10</v>
      </c>
      <c r="H848">
        <v>0</v>
      </c>
      <c r="I848" t="s">
        <v>35</v>
      </c>
      <c r="J848">
        <v>124</v>
      </c>
      <c r="K848" t="s">
        <v>14</v>
      </c>
      <c r="L848">
        <v>115</v>
      </c>
      <c r="M848">
        <f>IF(D848=I848,VLOOKUP(D848,a_win_totals_lookup,MATCH(K848,a_wins_total_lookup_header,0)+1,0),VLOOKUP(D848,a_win_totals_lookup,MATCH(I848,a_wins_total_lookup_header,0)+1,0))</f>
        <v>0.57751844190882151</v>
      </c>
      <c r="N848">
        <f t="shared" ca="1" si="13"/>
        <v>0</v>
      </c>
    </row>
    <row r="849" spans="1:14" x14ac:dyDescent="0.25">
      <c r="A849">
        <v>400578717</v>
      </c>
      <c r="B849">
        <v>2015</v>
      </c>
      <c r="C849" s="1">
        <v>41996</v>
      </c>
      <c r="D849" t="s">
        <v>35</v>
      </c>
      <c r="E849">
        <v>1</v>
      </c>
      <c r="F849">
        <v>16</v>
      </c>
      <c r="G849">
        <v>14</v>
      </c>
      <c r="H849">
        <v>1</v>
      </c>
      <c r="I849" t="s">
        <v>35</v>
      </c>
      <c r="J849">
        <v>124</v>
      </c>
      <c r="K849" t="s">
        <v>14</v>
      </c>
      <c r="L849">
        <v>115</v>
      </c>
      <c r="M849">
        <f>IF(D849=I849,VLOOKUP(D849,a_win_totals_lookup,MATCH(K849,a_wins_total_lookup_header,0)+1,0),VLOOKUP(D849,a_win_totals_lookup,MATCH(I849,a_wins_total_lookup_header,0)+1,0))</f>
        <v>0.42248155809117843</v>
      </c>
      <c r="N849">
        <f t="shared" ca="1" si="13"/>
        <v>0</v>
      </c>
    </row>
    <row r="850" spans="1:14" x14ac:dyDescent="0.25">
      <c r="A850">
        <v>400578718</v>
      </c>
      <c r="B850">
        <v>2015</v>
      </c>
      <c r="C850" s="1">
        <v>41996</v>
      </c>
      <c r="D850" t="s">
        <v>36</v>
      </c>
      <c r="E850">
        <v>0</v>
      </c>
      <c r="F850">
        <v>23</v>
      </c>
      <c r="G850">
        <v>4</v>
      </c>
      <c r="H850">
        <v>0</v>
      </c>
      <c r="I850" t="s">
        <v>17</v>
      </c>
      <c r="J850">
        <v>115</v>
      </c>
      <c r="K850" t="s">
        <v>36</v>
      </c>
      <c r="L850">
        <v>105</v>
      </c>
      <c r="M850">
        <f>IF(D850=I850,VLOOKUP(D850,a_win_totals_lookup,MATCH(K850,a_wins_total_lookup_header,0)+1,0),VLOOKUP(D850,a_win_totals_lookup,MATCH(I850,a_wins_total_lookup_header,0)+1,0))</f>
        <v>0.69209130562404242</v>
      </c>
      <c r="N850">
        <f t="shared" ca="1" si="13"/>
        <v>0</v>
      </c>
    </row>
    <row r="851" spans="1:14" x14ac:dyDescent="0.25">
      <c r="A851">
        <v>400578718</v>
      </c>
      <c r="B851">
        <v>2015</v>
      </c>
      <c r="C851" s="1">
        <v>41996</v>
      </c>
      <c r="D851" t="s">
        <v>17</v>
      </c>
      <c r="E851">
        <v>1</v>
      </c>
      <c r="F851">
        <v>9</v>
      </c>
      <c r="G851">
        <v>19</v>
      </c>
      <c r="H851">
        <v>1</v>
      </c>
      <c r="I851" t="s">
        <v>17</v>
      </c>
      <c r="J851">
        <v>115</v>
      </c>
      <c r="K851" t="s">
        <v>36</v>
      </c>
      <c r="L851">
        <v>105</v>
      </c>
      <c r="M851">
        <f>IF(D851=I851,VLOOKUP(D851,a_win_totals_lookup,MATCH(K851,a_wins_total_lookup_header,0)+1,0),VLOOKUP(D851,a_win_totals_lookup,MATCH(I851,a_wins_total_lookup_header,0)+1,0))</f>
        <v>0.30790869437595753</v>
      </c>
      <c r="N851">
        <f t="shared" ca="1" si="13"/>
        <v>0</v>
      </c>
    </row>
    <row r="852" spans="1:14" x14ac:dyDescent="0.25">
      <c r="A852">
        <v>400578719</v>
      </c>
      <c r="B852">
        <v>2015</v>
      </c>
      <c r="C852" s="1">
        <v>41998</v>
      </c>
      <c r="D852" t="s">
        <v>31</v>
      </c>
      <c r="E852">
        <v>0</v>
      </c>
      <c r="F852">
        <v>5</v>
      </c>
      <c r="G852">
        <v>26</v>
      </c>
      <c r="H852">
        <v>1</v>
      </c>
      <c r="I852" t="s">
        <v>31</v>
      </c>
      <c r="J852">
        <v>91</v>
      </c>
      <c r="K852" t="s">
        <v>25</v>
      </c>
      <c r="L852">
        <v>102</v>
      </c>
      <c r="M852">
        <f>IF(D852=I852,VLOOKUP(D852,a_win_totals_lookup,MATCH(K852,a_wins_total_lookup_header,0)+1,0),VLOOKUP(D852,a_win_totals_lookup,MATCH(I852,a_wins_total_lookup_header,0)+1,0))</f>
        <v>0.41758613378174975</v>
      </c>
      <c r="N852">
        <f t="shared" ca="1" si="13"/>
        <v>0</v>
      </c>
    </row>
    <row r="853" spans="1:14" x14ac:dyDescent="0.25">
      <c r="A853">
        <v>400578719</v>
      </c>
      <c r="B853">
        <v>2015</v>
      </c>
      <c r="C853" s="1">
        <v>41998</v>
      </c>
      <c r="D853" t="s">
        <v>25</v>
      </c>
      <c r="E853">
        <v>1</v>
      </c>
      <c r="F853">
        <v>20</v>
      </c>
      <c r="G853">
        <v>8</v>
      </c>
      <c r="H853">
        <v>0</v>
      </c>
      <c r="I853" t="s">
        <v>31</v>
      </c>
      <c r="J853">
        <v>91</v>
      </c>
      <c r="K853" t="s">
        <v>25</v>
      </c>
      <c r="L853">
        <v>102</v>
      </c>
      <c r="M853">
        <f>IF(D853=I853,VLOOKUP(D853,a_win_totals_lookup,MATCH(K853,a_wins_total_lookup_header,0)+1,0),VLOOKUP(D853,a_win_totals_lookup,MATCH(I853,a_wins_total_lookup_header,0)+1,0))</f>
        <v>0.5824138662182502</v>
      </c>
      <c r="N853">
        <f t="shared" ca="1" si="13"/>
        <v>1</v>
      </c>
    </row>
    <row r="854" spans="1:14" x14ac:dyDescent="0.25">
      <c r="A854">
        <v>400578720</v>
      </c>
      <c r="B854">
        <v>2015</v>
      </c>
      <c r="C854" s="1">
        <v>41998</v>
      </c>
      <c r="D854" t="s">
        <v>38</v>
      </c>
      <c r="E854">
        <v>1</v>
      </c>
      <c r="F854">
        <v>14</v>
      </c>
      <c r="G854">
        <v>16</v>
      </c>
      <c r="H854">
        <v>0</v>
      </c>
      <c r="I854" t="s">
        <v>15</v>
      </c>
      <c r="J854">
        <v>106</v>
      </c>
      <c r="K854" t="s">
        <v>38</v>
      </c>
      <c r="L854">
        <v>114</v>
      </c>
      <c r="M854">
        <f>IF(D854=I854,VLOOKUP(D854,a_win_totals_lookup,MATCH(K854,a_wins_total_lookup_header,0)+1,0),VLOOKUP(D854,a_win_totals_lookup,MATCH(I854,a_wins_total_lookup_header,0)+1,0))</f>
        <v>0.48796997257765107</v>
      </c>
      <c r="N854">
        <f t="shared" ca="1" si="13"/>
        <v>0</v>
      </c>
    </row>
    <row r="855" spans="1:14" x14ac:dyDescent="0.25">
      <c r="A855">
        <v>400578720</v>
      </c>
      <c r="B855">
        <v>2015</v>
      </c>
      <c r="C855" s="1">
        <v>41998</v>
      </c>
      <c r="D855" t="s">
        <v>15</v>
      </c>
      <c r="E855">
        <v>0</v>
      </c>
      <c r="F855">
        <v>18</v>
      </c>
      <c r="G855">
        <v>12</v>
      </c>
      <c r="H855">
        <v>1</v>
      </c>
      <c r="I855" t="s">
        <v>15</v>
      </c>
      <c r="J855">
        <v>106</v>
      </c>
      <c r="K855" t="s">
        <v>38</v>
      </c>
      <c r="L855">
        <v>114</v>
      </c>
      <c r="M855">
        <f>IF(D855=I855,VLOOKUP(D855,a_win_totals_lookup,MATCH(K855,a_wins_total_lookup_header,0)+1,0),VLOOKUP(D855,a_win_totals_lookup,MATCH(I855,a_wins_total_lookup_header,0)+1,0))</f>
        <v>0.51203002742234893</v>
      </c>
      <c r="N855">
        <f t="shared" ca="1" si="13"/>
        <v>0</v>
      </c>
    </row>
    <row r="856" spans="1:14" x14ac:dyDescent="0.25">
      <c r="A856">
        <v>400578721</v>
      </c>
      <c r="B856">
        <v>2015</v>
      </c>
      <c r="C856" s="1">
        <v>41998</v>
      </c>
      <c r="D856" t="s">
        <v>40</v>
      </c>
      <c r="E856">
        <v>0</v>
      </c>
      <c r="F856">
        <v>17</v>
      </c>
      <c r="G856">
        <v>11</v>
      </c>
      <c r="H856">
        <v>0</v>
      </c>
      <c r="I856" t="s">
        <v>24</v>
      </c>
      <c r="J856">
        <v>101</v>
      </c>
      <c r="K856" t="s">
        <v>40</v>
      </c>
      <c r="L856">
        <v>91</v>
      </c>
      <c r="M856">
        <f>IF(D856=I856,VLOOKUP(D856,a_win_totals_lookup,MATCH(K856,a_wins_total_lookup_header,0)+1,0),VLOOKUP(D856,a_win_totals_lookup,MATCH(I856,a_wins_total_lookup_header,0)+1,0))</f>
        <v>0.60114400626087006</v>
      </c>
      <c r="N856">
        <f t="shared" ca="1" si="13"/>
        <v>1</v>
      </c>
    </row>
    <row r="857" spans="1:14" x14ac:dyDescent="0.25">
      <c r="A857">
        <v>400578721</v>
      </c>
      <c r="B857">
        <v>2015</v>
      </c>
      <c r="C857" s="1">
        <v>41998</v>
      </c>
      <c r="D857" t="s">
        <v>24</v>
      </c>
      <c r="E857">
        <v>1</v>
      </c>
      <c r="F857">
        <v>14</v>
      </c>
      <c r="G857">
        <v>16</v>
      </c>
      <c r="H857">
        <v>1</v>
      </c>
      <c r="I857" t="s">
        <v>24</v>
      </c>
      <c r="J857">
        <v>101</v>
      </c>
      <c r="K857" t="s">
        <v>40</v>
      </c>
      <c r="L857">
        <v>91</v>
      </c>
      <c r="M857">
        <f>IF(D857=I857,VLOOKUP(D857,a_win_totals_lookup,MATCH(K857,a_wins_total_lookup_header,0)+1,0),VLOOKUP(D857,a_win_totals_lookup,MATCH(I857,a_wins_total_lookup_header,0)+1,0))</f>
        <v>0.39885599373912994</v>
      </c>
      <c r="N857">
        <f t="shared" ca="1" si="13"/>
        <v>0</v>
      </c>
    </row>
    <row r="858" spans="1:14" x14ac:dyDescent="0.25">
      <c r="A858">
        <v>400578722</v>
      </c>
      <c r="B858">
        <v>2015</v>
      </c>
      <c r="C858" s="1">
        <v>41998</v>
      </c>
      <c r="D858" t="s">
        <v>30</v>
      </c>
      <c r="E858">
        <v>1</v>
      </c>
      <c r="F858">
        <v>20</v>
      </c>
      <c r="G858">
        <v>9</v>
      </c>
      <c r="H858">
        <v>1</v>
      </c>
      <c r="I858" t="s">
        <v>30</v>
      </c>
      <c r="J858">
        <v>113</v>
      </c>
      <c r="K858" t="s">
        <v>17</v>
      </c>
      <c r="L858">
        <v>93</v>
      </c>
      <c r="M858">
        <f>IF(D858=I858,VLOOKUP(D858,a_win_totals_lookup,MATCH(K858,a_wins_total_lookup_header,0)+1,0),VLOOKUP(D858,a_win_totals_lookup,MATCH(I858,a_wins_total_lookup_header,0)+1,0))</f>
        <v>0.70784526159162375</v>
      </c>
      <c r="N858">
        <f t="shared" ca="1" si="13"/>
        <v>0</v>
      </c>
    </row>
    <row r="859" spans="1:14" x14ac:dyDescent="0.25">
      <c r="A859">
        <v>400578722</v>
      </c>
      <c r="B859">
        <v>2015</v>
      </c>
      <c r="C859" s="1">
        <v>41998</v>
      </c>
      <c r="D859" t="s">
        <v>17</v>
      </c>
      <c r="E859">
        <v>0</v>
      </c>
      <c r="F859">
        <v>9</v>
      </c>
      <c r="G859">
        <v>20</v>
      </c>
      <c r="H859">
        <v>0</v>
      </c>
      <c r="I859" t="s">
        <v>30</v>
      </c>
      <c r="J859">
        <v>113</v>
      </c>
      <c r="K859" t="s">
        <v>17</v>
      </c>
      <c r="L859">
        <v>93</v>
      </c>
      <c r="M859">
        <f>IF(D859=I859,VLOOKUP(D859,a_win_totals_lookup,MATCH(K859,a_wins_total_lookup_header,0)+1,0),VLOOKUP(D859,a_win_totals_lookup,MATCH(I859,a_wins_total_lookup_header,0)+1,0))</f>
        <v>0.29215473840837614</v>
      </c>
      <c r="N859">
        <f t="shared" ca="1" si="13"/>
        <v>0</v>
      </c>
    </row>
    <row r="860" spans="1:14" x14ac:dyDescent="0.25">
      <c r="A860">
        <v>400578723</v>
      </c>
      <c r="B860">
        <v>2015</v>
      </c>
      <c r="C860" s="1">
        <v>41998</v>
      </c>
      <c r="D860" t="s">
        <v>36</v>
      </c>
      <c r="E860">
        <v>0</v>
      </c>
      <c r="F860">
        <v>23</v>
      </c>
      <c r="G860">
        <v>5</v>
      </c>
      <c r="H860">
        <v>0</v>
      </c>
      <c r="I860" t="s">
        <v>41</v>
      </c>
      <c r="J860">
        <v>100</v>
      </c>
      <c r="K860" t="s">
        <v>36</v>
      </c>
      <c r="L860">
        <v>86</v>
      </c>
      <c r="M860">
        <f>IF(D860=I860,VLOOKUP(D860,a_win_totals_lookup,MATCH(K860,a_wins_total_lookup_header,0)+1,0),VLOOKUP(D860,a_win_totals_lookup,MATCH(I860,a_wins_total_lookup_header,0)+1,0))</f>
        <v>0.47097431070275608</v>
      </c>
      <c r="N860">
        <f t="shared" ca="1" si="13"/>
        <v>0</v>
      </c>
    </row>
    <row r="861" spans="1:14" x14ac:dyDescent="0.25">
      <c r="A861">
        <v>400578723</v>
      </c>
      <c r="B861">
        <v>2015</v>
      </c>
      <c r="C861" s="1">
        <v>41998</v>
      </c>
      <c r="D861" t="s">
        <v>41</v>
      </c>
      <c r="E861">
        <v>1</v>
      </c>
      <c r="F861">
        <v>20</v>
      </c>
      <c r="G861">
        <v>10</v>
      </c>
      <c r="H861">
        <v>1</v>
      </c>
      <c r="I861" t="s">
        <v>41</v>
      </c>
      <c r="J861">
        <v>100</v>
      </c>
      <c r="K861" t="s">
        <v>36</v>
      </c>
      <c r="L861">
        <v>86</v>
      </c>
      <c r="M861">
        <f>IF(D861=I861,VLOOKUP(D861,a_win_totals_lookup,MATCH(K861,a_wins_total_lookup_header,0)+1,0),VLOOKUP(D861,a_win_totals_lookup,MATCH(I861,a_wins_total_lookup_header,0)+1,0))</f>
        <v>0.52902568929724392</v>
      </c>
      <c r="N861">
        <f t="shared" ca="1" si="13"/>
        <v>0</v>
      </c>
    </row>
    <row r="862" spans="1:14" x14ac:dyDescent="0.25">
      <c r="A862">
        <v>400578724</v>
      </c>
      <c r="B862">
        <v>2015</v>
      </c>
      <c r="C862" s="1">
        <v>41999</v>
      </c>
      <c r="D862" t="s">
        <v>22</v>
      </c>
      <c r="E862">
        <v>0</v>
      </c>
      <c r="F862">
        <v>10</v>
      </c>
      <c r="G862">
        <v>17</v>
      </c>
      <c r="H862">
        <v>1</v>
      </c>
      <c r="I862" t="s">
        <v>22</v>
      </c>
      <c r="J862">
        <v>107</v>
      </c>
      <c r="K862" t="s">
        <v>23</v>
      </c>
      <c r="L862">
        <v>109</v>
      </c>
      <c r="M862">
        <f>IF(D862=I862,VLOOKUP(D862,a_win_totals_lookup,MATCH(K862,a_wins_total_lookup_header,0)+1,0),VLOOKUP(D862,a_win_totals_lookup,MATCH(I862,a_wins_total_lookup_header,0)+1,0))</f>
        <v>0.33715695553306341</v>
      </c>
      <c r="N862">
        <f t="shared" ca="1" si="13"/>
        <v>0</v>
      </c>
    </row>
    <row r="863" spans="1:14" x14ac:dyDescent="0.25">
      <c r="A863">
        <v>400578724</v>
      </c>
      <c r="B863">
        <v>2015</v>
      </c>
      <c r="C863" s="1">
        <v>41999</v>
      </c>
      <c r="D863" t="s">
        <v>23</v>
      </c>
      <c r="E863">
        <v>1</v>
      </c>
      <c r="F863">
        <v>13</v>
      </c>
      <c r="G863">
        <v>15</v>
      </c>
      <c r="H863">
        <v>0</v>
      </c>
      <c r="I863" t="s">
        <v>22</v>
      </c>
      <c r="J863">
        <v>107</v>
      </c>
      <c r="K863" t="s">
        <v>23</v>
      </c>
      <c r="L863">
        <v>109</v>
      </c>
      <c r="M863">
        <f>IF(D863=I863,VLOOKUP(D863,a_win_totals_lookup,MATCH(K863,a_wins_total_lookup_header,0)+1,0),VLOOKUP(D863,a_win_totals_lookup,MATCH(I863,a_wins_total_lookup_header,0)+1,0))</f>
        <v>0.66284304446693665</v>
      </c>
      <c r="N863">
        <f t="shared" ca="1" si="13"/>
        <v>0</v>
      </c>
    </row>
    <row r="864" spans="1:14" x14ac:dyDescent="0.25">
      <c r="A864">
        <v>400578725</v>
      </c>
      <c r="B864">
        <v>2015</v>
      </c>
      <c r="C864" s="1">
        <v>41999</v>
      </c>
      <c r="D864" t="s">
        <v>40</v>
      </c>
      <c r="E864">
        <v>1</v>
      </c>
      <c r="F864">
        <v>18</v>
      </c>
      <c r="G864">
        <v>11</v>
      </c>
      <c r="H864">
        <v>0</v>
      </c>
      <c r="I864" t="s">
        <v>13</v>
      </c>
      <c r="J864">
        <v>89</v>
      </c>
      <c r="K864" t="s">
        <v>40</v>
      </c>
      <c r="L864">
        <v>98</v>
      </c>
      <c r="M864">
        <f>IF(D864=I864,VLOOKUP(D864,a_win_totals_lookup,MATCH(K864,a_wins_total_lookup_header,0)+1,0),VLOOKUP(D864,a_win_totals_lookup,MATCH(I864,a_wins_total_lookup_header,0)+1,0))</f>
        <v>0.74387996100574205</v>
      </c>
      <c r="N864">
        <f t="shared" ca="1" si="13"/>
        <v>0</v>
      </c>
    </row>
    <row r="865" spans="1:14" x14ac:dyDescent="0.25">
      <c r="A865">
        <v>400578725</v>
      </c>
      <c r="B865">
        <v>2015</v>
      </c>
      <c r="C865" s="1">
        <v>41999</v>
      </c>
      <c r="D865" t="s">
        <v>13</v>
      </c>
      <c r="E865">
        <v>0</v>
      </c>
      <c r="F865">
        <v>11</v>
      </c>
      <c r="G865">
        <v>21</v>
      </c>
      <c r="H865">
        <v>1</v>
      </c>
      <c r="I865" t="s">
        <v>13</v>
      </c>
      <c r="J865">
        <v>89</v>
      </c>
      <c r="K865" t="s">
        <v>40</v>
      </c>
      <c r="L865">
        <v>98</v>
      </c>
      <c r="M865">
        <f>IF(D865=I865,VLOOKUP(D865,a_win_totals_lookup,MATCH(K865,a_wins_total_lookup_header,0)+1,0),VLOOKUP(D865,a_win_totals_lookup,MATCH(I865,a_wins_total_lookup_header,0)+1,0))</f>
        <v>0.25612003899425795</v>
      </c>
      <c r="N865">
        <f t="shared" ca="1" si="13"/>
        <v>1</v>
      </c>
    </row>
    <row r="866" spans="1:14" x14ac:dyDescent="0.25">
      <c r="A866">
        <v>400578726</v>
      </c>
      <c r="B866">
        <v>2015</v>
      </c>
      <c r="C866" s="1">
        <v>41999</v>
      </c>
      <c r="D866" t="s">
        <v>26</v>
      </c>
      <c r="E866">
        <v>0</v>
      </c>
      <c r="F866">
        <v>21</v>
      </c>
      <c r="G866">
        <v>8</v>
      </c>
      <c r="H866">
        <v>1</v>
      </c>
      <c r="I866" t="s">
        <v>26</v>
      </c>
      <c r="J866">
        <v>77</v>
      </c>
      <c r="K866" t="s">
        <v>19</v>
      </c>
      <c r="L866">
        <v>107</v>
      </c>
      <c r="M866">
        <f>IF(D866=I866,VLOOKUP(D866,a_win_totals_lookup,MATCH(K866,a_wins_total_lookup_header,0)+1,0),VLOOKUP(D866,a_win_totals_lookup,MATCH(I866,a_wins_total_lookup_header,0)+1,0))</f>
        <v>0.68061965309208583</v>
      </c>
      <c r="N866">
        <f t="shared" ca="1" si="13"/>
        <v>0</v>
      </c>
    </row>
    <row r="867" spans="1:14" x14ac:dyDescent="0.25">
      <c r="A867">
        <v>400578726</v>
      </c>
      <c r="B867">
        <v>2015</v>
      </c>
      <c r="C867" s="1">
        <v>41999</v>
      </c>
      <c r="D867" t="s">
        <v>19</v>
      </c>
      <c r="E867">
        <v>1</v>
      </c>
      <c r="F867">
        <v>15</v>
      </c>
      <c r="G867">
        <v>15</v>
      </c>
      <c r="H867">
        <v>0</v>
      </c>
      <c r="I867" t="s">
        <v>26</v>
      </c>
      <c r="J867">
        <v>77</v>
      </c>
      <c r="K867" t="s">
        <v>19</v>
      </c>
      <c r="L867">
        <v>107</v>
      </c>
      <c r="M867">
        <f>IF(D867=I867,VLOOKUP(D867,a_win_totals_lookup,MATCH(K867,a_wins_total_lookup_header,0)+1,0),VLOOKUP(D867,a_win_totals_lookup,MATCH(I867,a_wins_total_lookup_header,0)+1,0))</f>
        <v>0.31938034690791411</v>
      </c>
      <c r="N867">
        <f t="shared" ca="1" si="13"/>
        <v>1</v>
      </c>
    </row>
    <row r="868" spans="1:14" x14ac:dyDescent="0.25">
      <c r="A868">
        <v>400578727</v>
      </c>
      <c r="B868">
        <v>2015</v>
      </c>
      <c r="C868" s="1">
        <v>41999</v>
      </c>
      <c r="D868" t="s">
        <v>33</v>
      </c>
      <c r="E868">
        <v>1</v>
      </c>
      <c r="F868">
        <v>6</v>
      </c>
      <c r="G868">
        <v>23</v>
      </c>
      <c r="H868">
        <v>1</v>
      </c>
      <c r="I868" t="s">
        <v>33</v>
      </c>
      <c r="J868">
        <v>119</v>
      </c>
      <c r="K868" t="s">
        <v>20</v>
      </c>
      <c r="L868">
        <v>109</v>
      </c>
      <c r="M868">
        <f>IF(D868=I868,VLOOKUP(D868,a_win_totals_lookup,MATCH(K868,a_wins_total_lookup_header,0)+1,0),VLOOKUP(D868,a_win_totals_lookup,MATCH(I868,a_wins_total_lookup_header,0)+1,0))</f>
        <v>0.51613510920097938</v>
      </c>
      <c r="N868">
        <f t="shared" ca="1" si="13"/>
        <v>1</v>
      </c>
    </row>
    <row r="869" spans="1:14" x14ac:dyDescent="0.25">
      <c r="A869">
        <v>400578727</v>
      </c>
      <c r="B869">
        <v>2015</v>
      </c>
      <c r="C869" s="1">
        <v>41999</v>
      </c>
      <c r="D869" t="s">
        <v>20</v>
      </c>
      <c r="E869">
        <v>0</v>
      </c>
      <c r="F869">
        <v>10</v>
      </c>
      <c r="G869">
        <v>20</v>
      </c>
      <c r="H869">
        <v>0</v>
      </c>
      <c r="I869" t="s">
        <v>33</v>
      </c>
      <c r="J869">
        <v>119</v>
      </c>
      <c r="K869" t="s">
        <v>20</v>
      </c>
      <c r="L869">
        <v>109</v>
      </c>
      <c r="M869">
        <f>IF(D869=I869,VLOOKUP(D869,a_win_totals_lookup,MATCH(K869,a_wins_total_lookup_header,0)+1,0),VLOOKUP(D869,a_win_totals_lookup,MATCH(I869,a_wins_total_lookup_header,0)+1,0))</f>
        <v>0.48386489079902056</v>
      </c>
      <c r="N869">
        <f t="shared" ca="1" si="13"/>
        <v>1</v>
      </c>
    </row>
    <row r="870" spans="1:14" x14ac:dyDescent="0.25">
      <c r="A870">
        <v>400578728</v>
      </c>
      <c r="B870">
        <v>2015</v>
      </c>
      <c r="C870" s="1">
        <v>41999</v>
      </c>
      <c r="D870" t="s">
        <v>16</v>
      </c>
      <c r="E870">
        <v>1</v>
      </c>
      <c r="F870">
        <v>21</v>
      </c>
      <c r="G870">
        <v>7</v>
      </c>
      <c r="H870">
        <v>0</v>
      </c>
      <c r="I870" t="s">
        <v>28</v>
      </c>
      <c r="J870">
        <v>111</v>
      </c>
      <c r="K870" t="s">
        <v>16</v>
      </c>
      <c r="L870">
        <v>117</v>
      </c>
      <c r="M870">
        <f>IF(D870=I870,VLOOKUP(D870,a_win_totals_lookup,MATCH(K870,a_wins_total_lookup_header,0)+1,0),VLOOKUP(D870,a_win_totals_lookup,MATCH(I870,a_wins_total_lookup_header,0)+1,0))</f>
        <v>0.48170976222854806</v>
      </c>
      <c r="N870">
        <f t="shared" ca="1" si="13"/>
        <v>0</v>
      </c>
    </row>
    <row r="871" spans="1:14" x14ac:dyDescent="0.25">
      <c r="A871">
        <v>400578728</v>
      </c>
      <c r="B871">
        <v>2015</v>
      </c>
      <c r="C871" s="1">
        <v>41999</v>
      </c>
      <c r="D871" t="s">
        <v>28</v>
      </c>
      <c r="E871">
        <v>0</v>
      </c>
      <c r="F871">
        <v>21</v>
      </c>
      <c r="G871">
        <v>8</v>
      </c>
      <c r="H871">
        <v>1</v>
      </c>
      <c r="I871" t="s">
        <v>28</v>
      </c>
      <c r="J871">
        <v>111</v>
      </c>
      <c r="K871" t="s">
        <v>16</v>
      </c>
      <c r="L871">
        <v>117</v>
      </c>
      <c r="M871">
        <f>IF(D871=I871,VLOOKUP(D871,a_win_totals_lookup,MATCH(K871,a_wins_total_lookup_header,0)+1,0),VLOOKUP(D871,a_win_totals_lookup,MATCH(I871,a_wins_total_lookup_header,0)+1,0))</f>
        <v>0.51829023777145189</v>
      </c>
      <c r="N871">
        <f t="shared" ca="1" si="13"/>
        <v>0</v>
      </c>
    </row>
    <row r="872" spans="1:14" x14ac:dyDescent="0.25">
      <c r="A872">
        <v>400578729</v>
      </c>
      <c r="B872">
        <v>2015</v>
      </c>
      <c r="C872" s="1">
        <v>41999</v>
      </c>
      <c r="D872" t="s">
        <v>12</v>
      </c>
      <c r="E872">
        <v>1</v>
      </c>
      <c r="F872">
        <v>15</v>
      </c>
      <c r="G872">
        <v>14</v>
      </c>
      <c r="H872">
        <v>1</v>
      </c>
      <c r="I872" t="s">
        <v>12</v>
      </c>
      <c r="J872">
        <v>97</v>
      </c>
      <c r="K872" t="s">
        <v>15</v>
      </c>
      <c r="L872">
        <v>90</v>
      </c>
      <c r="M872">
        <f>IF(D872=I872,VLOOKUP(D872,a_win_totals_lookup,MATCH(K872,a_wins_total_lookup_header,0)+1,0),VLOOKUP(D872,a_win_totals_lookup,MATCH(I872,a_wins_total_lookup_header,0)+1,0))</f>
        <v>0.37307955571959134</v>
      </c>
      <c r="N872">
        <f t="shared" ca="1" si="13"/>
        <v>1</v>
      </c>
    </row>
    <row r="873" spans="1:14" x14ac:dyDescent="0.25">
      <c r="A873">
        <v>400578729</v>
      </c>
      <c r="B873">
        <v>2015</v>
      </c>
      <c r="C873" s="1">
        <v>41999</v>
      </c>
      <c r="D873" t="s">
        <v>15</v>
      </c>
      <c r="E873">
        <v>0</v>
      </c>
      <c r="F873">
        <v>18</v>
      </c>
      <c r="G873">
        <v>13</v>
      </c>
      <c r="H873">
        <v>0</v>
      </c>
      <c r="I873" t="s">
        <v>12</v>
      </c>
      <c r="J873">
        <v>97</v>
      </c>
      <c r="K873" t="s">
        <v>15</v>
      </c>
      <c r="L873">
        <v>90</v>
      </c>
      <c r="M873">
        <f>IF(D873=I873,VLOOKUP(D873,a_win_totals_lookup,MATCH(K873,a_wins_total_lookup_header,0)+1,0),VLOOKUP(D873,a_win_totals_lookup,MATCH(I873,a_wins_total_lookup_header,0)+1,0))</f>
        <v>0.62692044428040861</v>
      </c>
      <c r="N873">
        <f t="shared" ca="1" si="13"/>
        <v>1</v>
      </c>
    </row>
    <row r="874" spans="1:14" x14ac:dyDescent="0.25">
      <c r="A874">
        <v>400578730</v>
      </c>
      <c r="B874">
        <v>2015</v>
      </c>
      <c r="C874" s="1">
        <v>41999</v>
      </c>
      <c r="D874" t="s">
        <v>18</v>
      </c>
      <c r="E874">
        <v>0</v>
      </c>
      <c r="F874">
        <v>10</v>
      </c>
      <c r="G874">
        <v>20</v>
      </c>
      <c r="H874">
        <v>0</v>
      </c>
      <c r="I874" t="s">
        <v>38</v>
      </c>
      <c r="J874">
        <v>98</v>
      </c>
      <c r="K874" t="s">
        <v>18</v>
      </c>
      <c r="L874">
        <v>75</v>
      </c>
      <c r="M874">
        <f>IF(D874=I874,VLOOKUP(D874,a_win_totals_lookup,MATCH(K874,a_wins_total_lookup_header,0)+1,0),VLOOKUP(D874,a_win_totals_lookup,MATCH(I874,a_wins_total_lookup_header,0)+1,0))</f>
        <v>0.4314639063717029</v>
      </c>
      <c r="N874">
        <f t="shared" ca="1" si="13"/>
        <v>0</v>
      </c>
    </row>
    <row r="875" spans="1:14" x14ac:dyDescent="0.25">
      <c r="A875">
        <v>400578730</v>
      </c>
      <c r="B875">
        <v>2015</v>
      </c>
      <c r="C875" s="1">
        <v>41999</v>
      </c>
      <c r="D875" t="s">
        <v>38</v>
      </c>
      <c r="E875">
        <v>1</v>
      </c>
      <c r="F875">
        <v>15</v>
      </c>
      <c r="G875">
        <v>16</v>
      </c>
      <c r="H875">
        <v>1</v>
      </c>
      <c r="I875" t="s">
        <v>38</v>
      </c>
      <c r="J875">
        <v>98</v>
      </c>
      <c r="K875" t="s">
        <v>18</v>
      </c>
      <c r="L875">
        <v>75</v>
      </c>
      <c r="M875">
        <f>IF(D875=I875,VLOOKUP(D875,a_win_totals_lookup,MATCH(K875,a_wins_total_lookup_header,0)+1,0),VLOOKUP(D875,a_win_totals_lookup,MATCH(I875,a_wins_total_lookup_header,0)+1,0))</f>
        <v>0.56853609362829716</v>
      </c>
      <c r="N875">
        <f t="shared" ca="1" si="13"/>
        <v>1</v>
      </c>
    </row>
    <row r="876" spans="1:14" x14ac:dyDescent="0.25">
      <c r="A876">
        <v>400578731</v>
      </c>
      <c r="B876">
        <v>2015</v>
      </c>
      <c r="C876" s="1">
        <v>41999</v>
      </c>
      <c r="D876" t="s">
        <v>14</v>
      </c>
      <c r="E876">
        <v>1</v>
      </c>
      <c r="F876">
        <v>21</v>
      </c>
      <c r="G876">
        <v>10</v>
      </c>
      <c r="H876">
        <v>1</v>
      </c>
      <c r="I876" t="s">
        <v>14</v>
      </c>
      <c r="J876">
        <v>102</v>
      </c>
      <c r="K876" t="s">
        <v>17</v>
      </c>
      <c r="L876">
        <v>98</v>
      </c>
      <c r="M876">
        <f>IF(D876=I876,VLOOKUP(D876,a_win_totals_lookup,MATCH(K876,a_wins_total_lookup_header,0)+1,0),VLOOKUP(D876,a_win_totals_lookup,MATCH(I876,a_wins_total_lookup_header,0)+1,0))</f>
        <v>0.68589687603228333</v>
      </c>
      <c r="N876">
        <f t="shared" ca="1" si="13"/>
        <v>1</v>
      </c>
    </row>
    <row r="877" spans="1:14" x14ac:dyDescent="0.25">
      <c r="A877">
        <v>400578731</v>
      </c>
      <c r="B877">
        <v>2015</v>
      </c>
      <c r="C877" s="1">
        <v>41999</v>
      </c>
      <c r="D877" t="s">
        <v>17</v>
      </c>
      <c r="E877">
        <v>0</v>
      </c>
      <c r="F877">
        <v>9</v>
      </c>
      <c r="G877">
        <v>21</v>
      </c>
      <c r="H877">
        <v>0</v>
      </c>
      <c r="I877" t="s">
        <v>14</v>
      </c>
      <c r="J877">
        <v>102</v>
      </c>
      <c r="K877" t="s">
        <v>17</v>
      </c>
      <c r="L877">
        <v>98</v>
      </c>
      <c r="M877">
        <f>IF(D877=I877,VLOOKUP(D877,a_win_totals_lookup,MATCH(K877,a_wins_total_lookup_header,0)+1,0),VLOOKUP(D877,a_win_totals_lookup,MATCH(I877,a_wins_total_lookup_header,0)+1,0))</f>
        <v>0.31410312396771667</v>
      </c>
      <c r="N877">
        <f t="shared" ca="1" si="13"/>
        <v>0</v>
      </c>
    </row>
    <row r="878" spans="1:14" x14ac:dyDescent="0.25">
      <c r="A878">
        <v>400578732</v>
      </c>
      <c r="B878">
        <v>2015</v>
      </c>
      <c r="C878" s="1">
        <v>41999</v>
      </c>
      <c r="D878" t="s">
        <v>32</v>
      </c>
      <c r="E878">
        <v>1</v>
      </c>
      <c r="F878">
        <v>13</v>
      </c>
      <c r="G878">
        <v>17</v>
      </c>
      <c r="H878">
        <v>1</v>
      </c>
      <c r="I878" t="s">
        <v>32</v>
      </c>
      <c r="J878">
        <v>106</v>
      </c>
      <c r="K878" t="s">
        <v>29</v>
      </c>
      <c r="L878">
        <v>102</v>
      </c>
      <c r="M878">
        <f>IF(D878=I878,VLOOKUP(D878,a_win_totals_lookup,MATCH(K878,a_wins_total_lookup_header,0)+1,0),VLOOKUP(D878,a_win_totals_lookup,MATCH(I878,a_wins_total_lookup_header,0)+1,0))</f>
        <v>0.66284304446693665</v>
      </c>
      <c r="N878">
        <f t="shared" ca="1" si="13"/>
        <v>1</v>
      </c>
    </row>
    <row r="879" spans="1:14" x14ac:dyDescent="0.25">
      <c r="A879">
        <v>400578732</v>
      </c>
      <c r="B879">
        <v>2015</v>
      </c>
      <c r="C879" s="1">
        <v>41999</v>
      </c>
      <c r="D879" t="s">
        <v>29</v>
      </c>
      <c r="E879">
        <v>0</v>
      </c>
      <c r="F879">
        <v>5</v>
      </c>
      <c r="G879">
        <v>23</v>
      </c>
      <c r="H879">
        <v>0</v>
      </c>
      <c r="I879" t="s">
        <v>32</v>
      </c>
      <c r="J879">
        <v>106</v>
      </c>
      <c r="K879" t="s">
        <v>29</v>
      </c>
      <c r="L879">
        <v>102</v>
      </c>
      <c r="M879">
        <f>IF(D879=I879,VLOOKUP(D879,a_win_totals_lookup,MATCH(K879,a_wins_total_lookup_header,0)+1,0),VLOOKUP(D879,a_win_totals_lookup,MATCH(I879,a_wins_total_lookup_header,0)+1,0))</f>
        <v>0.33715695553306341</v>
      </c>
      <c r="N879">
        <f t="shared" ca="1" si="13"/>
        <v>0</v>
      </c>
    </row>
    <row r="880" spans="1:14" x14ac:dyDescent="0.25">
      <c r="A880">
        <v>400578733</v>
      </c>
      <c r="B880">
        <v>2015</v>
      </c>
      <c r="C880" s="1">
        <v>41999</v>
      </c>
      <c r="D880" t="s">
        <v>21</v>
      </c>
      <c r="E880">
        <v>0</v>
      </c>
      <c r="F880">
        <v>4</v>
      </c>
      <c r="G880">
        <v>24</v>
      </c>
      <c r="H880">
        <v>0</v>
      </c>
      <c r="I880" t="s">
        <v>39</v>
      </c>
      <c r="J880">
        <v>114</v>
      </c>
      <c r="K880" t="s">
        <v>21</v>
      </c>
      <c r="L880">
        <v>93</v>
      </c>
      <c r="M880">
        <f>IF(D880=I880,VLOOKUP(D880,a_win_totals_lookup,MATCH(K880,a_wins_total_lookup_header,0)+1,0),VLOOKUP(D880,a_win_totals_lookup,MATCH(I880,a_wins_total_lookup_header,0)+1,0))</f>
        <v>0.2305460497630403</v>
      </c>
      <c r="N880">
        <f t="shared" ca="1" si="13"/>
        <v>0</v>
      </c>
    </row>
    <row r="881" spans="1:14" x14ac:dyDescent="0.25">
      <c r="A881">
        <v>400578733</v>
      </c>
      <c r="B881">
        <v>2015</v>
      </c>
      <c r="C881" s="1">
        <v>41999</v>
      </c>
      <c r="D881" t="s">
        <v>39</v>
      </c>
      <c r="E881">
        <v>1</v>
      </c>
      <c r="F881">
        <v>24</v>
      </c>
      <c r="G881">
        <v>7</v>
      </c>
      <c r="H881">
        <v>1</v>
      </c>
      <c r="I881" t="s">
        <v>39</v>
      </c>
      <c r="J881">
        <v>114</v>
      </c>
      <c r="K881" t="s">
        <v>21</v>
      </c>
      <c r="L881">
        <v>93</v>
      </c>
      <c r="M881">
        <f>IF(D881=I881,VLOOKUP(D881,a_win_totals_lookup,MATCH(K881,a_wins_total_lookup_header,0)+1,0),VLOOKUP(D881,a_win_totals_lookup,MATCH(I881,a_wins_total_lookup_header,0)+1,0))</f>
        <v>0.76945395023695973</v>
      </c>
      <c r="N881">
        <f t="shared" ca="1" si="13"/>
        <v>1</v>
      </c>
    </row>
    <row r="882" spans="1:14" x14ac:dyDescent="0.25">
      <c r="A882">
        <v>400578734</v>
      </c>
      <c r="B882">
        <v>2015</v>
      </c>
      <c r="C882" s="1">
        <v>41999</v>
      </c>
      <c r="D882" t="s">
        <v>35</v>
      </c>
      <c r="E882">
        <v>1</v>
      </c>
      <c r="F882">
        <v>17</v>
      </c>
      <c r="G882">
        <v>14</v>
      </c>
      <c r="H882">
        <v>0</v>
      </c>
      <c r="I882" t="s">
        <v>37</v>
      </c>
      <c r="J882">
        <v>106</v>
      </c>
      <c r="K882" t="s">
        <v>35</v>
      </c>
      <c r="L882">
        <v>115</v>
      </c>
      <c r="M882">
        <f>IF(D882=I882,VLOOKUP(D882,a_win_totals_lookup,MATCH(K882,a_wins_total_lookup_header,0)+1,0),VLOOKUP(D882,a_win_totals_lookup,MATCH(I882,a_wins_total_lookup_header,0)+1,0))</f>
        <v>0.61500767730198336</v>
      </c>
      <c r="N882">
        <f t="shared" ca="1" si="13"/>
        <v>0</v>
      </c>
    </row>
    <row r="883" spans="1:14" x14ac:dyDescent="0.25">
      <c r="A883">
        <v>400578734</v>
      </c>
      <c r="B883">
        <v>2015</v>
      </c>
      <c r="C883" s="1">
        <v>41999</v>
      </c>
      <c r="D883" t="s">
        <v>37</v>
      </c>
      <c r="E883">
        <v>0</v>
      </c>
      <c r="F883">
        <v>12</v>
      </c>
      <c r="G883">
        <v>17</v>
      </c>
      <c r="H883">
        <v>1</v>
      </c>
      <c r="I883" t="s">
        <v>37</v>
      </c>
      <c r="J883">
        <v>106</v>
      </c>
      <c r="K883" t="s">
        <v>35</v>
      </c>
      <c r="L883">
        <v>115</v>
      </c>
      <c r="M883">
        <f>IF(D883=I883,VLOOKUP(D883,a_win_totals_lookup,MATCH(K883,a_wins_total_lookup_header,0)+1,0),VLOOKUP(D883,a_win_totals_lookup,MATCH(I883,a_wins_total_lookup_header,0)+1,0))</f>
        <v>0.38499232269801659</v>
      </c>
      <c r="N883">
        <f t="shared" ca="1" si="13"/>
        <v>0</v>
      </c>
    </row>
    <row r="884" spans="1:14" x14ac:dyDescent="0.25">
      <c r="A884">
        <v>400578735</v>
      </c>
      <c r="B884">
        <v>2015</v>
      </c>
      <c r="C884" s="1">
        <v>42000</v>
      </c>
      <c r="D884" t="s">
        <v>41</v>
      </c>
      <c r="E884">
        <v>0</v>
      </c>
      <c r="F884">
        <v>20</v>
      </c>
      <c r="G884">
        <v>11</v>
      </c>
      <c r="H884">
        <v>1</v>
      </c>
      <c r="I884" t="s">
        <v>41</v>
      </c>
      <c r="J884">
        <v>98</v>
      </c>
      <c r="K884" t="s">
        <v>27</v>
      </c>
      <c r="L884">
        <v>110</v>
      </c>
      <c r="M884">
        <f>IF(D884=I884,VLOOKUP(D884,a_win_totals_lookup,MATCH(K884,a_wins_total_lookup_header,0)+1,0),VLOOKUP(D884,a_win_totals_lookup,MATCH(I884,a_wins_total_lookup_header,0)+1,0))</f>
        <v>0.53622195991228083</v>
      </c>
      <c r="N884">
        <f t="shared" ca="1" si="13"/>
        <v>1</v>
      </c>
    </row>
    <row r="885" spans="1:14" x14ac:dyDescent="0.25">
      <c r="A885">
        <v>400578735</v>
      </c>
      <c r="B885">
        <v>2015</v>
      </c>
      <c r="C885" s="1">
        <v>42000</v>
      </c>
      <c r="D885" t="s">
        <v>27</v>
      </c>
      <c r="E885">
        <v>1</v>
      </c>
      <c r="F885">
        <v>23</v>
      </c>
      <c r="G885">
        <v>7</v>
      </c>
      <c r="H885">
        <v>0</v>
      </c>
      <c r="I885" t="s">
        <v>41</v>
      </c>
      <c r="J885">
        <v>98</v>
      </c>
      <c r="K885" t="s">
        <v>27</v>
      </c>
      <c r="L885">
        <v>110</v>
      </c>
      <c r="M885">
        <f>IF(D885=I885,VLOOKUP(D885,a_win_totals_lookup,MATCH(K885,a_wins_total_lookup_header,0)+1,0),VLOOKUP(D885,a_win_totals_lookup,MATCH(I885,a_wins_total_lookup_header,0)+1,0))</f>
        <v>0.46377804008771911</v>
      </c>
      <c r="N885">
        <f t="shared" ca="1" si="13"/>
        <v>0</v>
      </c>
    </row>
    <row r="886" spans="1:14" x14ac:dyDescent="0.25">
      <c r="A886">
        <v>400578736</v>
      </c>
      <c r="B886">
        <v>2015</v>
      </c>
      <c r="C886" s="1">
        <v>42000</v>
      </c>
      <c r="D886" t="s">
        <v>18</v>
      </c>
      <c r="E886">
        <v>0</v>
      </c>
      <c r="F886">
        <v>10</v>
      </c>
      <c r="G886">
        <v>21</v>
      </c>
      <c r="H886">
        <v>1</v>
      </c>
      <c r="I886" t="s">
        <v>18</v>
      </c>
      <c r="J886">
        <v>94</v>
      </c>
      <c r="K886" t="s">
        <v>13</v>
      </c>
      <c r="L886">
        <v>102</v>
      </c>
      <c r="M886">
        <f>IF(D886=I886,VLOOKUP(D886,a_win_totals_lookup,MATCH(K886,a_wins_total_lookup_header,0)+1,0),VLOOKUP(D886,a_win_totals_lookup,MATCH(I886,a_wins_total_lookup_header,0)+1,0))</f>
        <v>0.66841321269200027</v>
      </c>
      <c r="N886">
        <f t="shared" ca="1" si="13"/>
        <v>1</v>
      </c>
    </row>
    <row r="887" spans="1:14" x14ac:dyDescent="0.25">
      <c r="A887">
        <v>400578736</v>
      </c>
      <c r="B887">
        <v>2015</v>
      </c>
      <c r="C887" s="1">
        <v>42000</v>
      </c>
      <c r="D887" t="s">
        <v>13</v>
      </c>
      <c r="E887">
        <v>1</v>
      </c>
      <c r="F887">
        <v>12</v>
      </c>
      <c r="G887">
        <v>21</v>
      </c>
      <c r="H887">
        <v>0</v>
      </c>
      <c r="I887" t="s">
        <v>18</v>
      </c>
      <c r="J887">
        <v>94</v>
      </c>
      <c r="K887" t="s">
        <v>13</v>
      </c>
      <c r="L887">
        <v>102</v>
      </c>
      <c r="M887">
        <f>IF(D887=I887,VLOOKUP(D887,a_win_totals_lookup,MATCH(K887,a_wins_total_lookup_header,0)+1,0),VLOOKUP(D887,a_win_totals_lookup,MATCH(I887,a_wins_total_lookup_header,0)+1,0))</f>
        <v>0.33158678730799973</v>
      </c>
      <c r="N887">
        <f t="shared" ca="1" si="13"/>
        <v>0</v>
      </c>
    </row>
    <row r="888" spans="1:14" x14ac:dyDescent="0.25">
      <c r="A888">
        <v>400578737</v>
      </c>
      <c r="B888">
        <v>2015</v>
      </c>
      <c r="C888" s="1">
        <v>42000</v>
      </c>
      <c r="D888" t="s">
        <v>22</v>
      </c>
      <c r="E888">
        <v>0</v>
      </c>
      <c r="F888">
        <v>10</v>
      </c>
      <c r="G888">
        <v>18</v>
      </c>
      <c r="H888">
        <v>0</v>
      </c>
      <c r="I888" t="s">
        <v>25</v>
      </c>
      <c r="J888">
        <v>101</v>
      </c>
      <c r="K888" t="s">
        <v>22</v>
      </c>
      <c r="L888">
        <v>88</v>
      </c>
      <c r="M888">
        <f>IF(D888=I888,VLOOKUP(D888,a_win_totals_lookup,MATCH(K888,a_wins_total_lookup_header,0)+1,0),VLOOKUP(D888,a_win_totals_lookup,MATCH(I888,a_wins_total_lookup_header,0)+1,0))</f>
        <v>0.267238229826881</v>
      </c>
      <c r="N888">
        <f t="shared" ca="1" si="13"/>
        <v>0</v>
      </c>
    </row>
    <row r="889" spans="1:14" x14ac:dyDescent="0.25">
      <c r="A889">
        <v>400578737</v>
      </c>
      <c r="B889">
        <v>2015</v>
      </c>
      <c r="C889" s="1">
        <v>42000</v>
      </c>
      <c r="D889" t="s">
        <v>25</v>
      </c>
      <c r="E889">
        <v>1</v>
      </c>
      <c r="F889">
        <v>21</v>
      </c>
      <c r="G889">
        <v>8</v>
      </c>
      <c r="H889">
        <v>1</v>
      </c>
      <c r="I889" t="s">
        <v>25</v>
      </c>
      <c r="J889">
        <v>101</v>
      </c>
      <c r="K889" t="s">
        <v>22</v>
      </c>
      <c r="L889">
        <v>88</v>
      </c>
      <c r="M889">
        <f>IF(D889=I889,VLOOKUP(D889,a_win_totals_lookup,MATCH(K889,a_wins_total_lookup_header,0)+1,0),VLOOKUP(D889,a_win_totals_lookup,MATCH(I889,a_wins_total_lookup_header,0)+1,0))</f>
        <v>0.73276177017311905</v>
      </c>
      <c r="N889">
        <f t="shared" ca="1" si="13"/>
        <v>1</v>
      </c>
    </row>
    <row r="890" spans="1:14" x14ac:dyDescent="0.25">
      <c r="A890">
        <v>400578738</v>
      </c>
      <c r="B890">
        <v>2015</v>
      </c>
      <c r="C890" s="1">
        <v>42000</v>
      </c>
      <c r="D890" t="s">
        <v>28</v>
      </c>
      <c r="E890">
        <v>1</v>
      </c>
      <c r="F890">
        <v>22</v>
      </c>
      <c r="G890">
        <v>8</v>
      </c>
      <c r="H890">
        <v>0</v>
      </c>
      <c r="I890" t="s">
        <v>24</v>
      </c>
      <c r="J890">
        <v>95</v>
      </c>
      <c r="K890" t="s">
        <v>28</v>
      </c>
      <c r="L890">
        <v>103</v>
      </c>
      <c r="M890">
        <f>IF(D890=I890,VLOOKUP(D890,a_win_totals_lookup,MATCH(K890,a_wins_total_lookup_header,0)+1,0),VLOOKUP(D890,a_win_totals_lookup,MATCH(I890,a_wins_total_lookup_header,0)+1,0))</f>
        <v>0.55005717595392067</v>
      </c>
      <c r="N890">
        <f t="shared" ca="1" si="13"/>
        <v>1</v>
      </c>
    </row>
    <row r="891" spans="1:14" x14ac:dyDescent="0.25">
      <c r="A891">
        <v>400578738</v>
      </c>
      <c r="B891">
        <v>2015</v>
      </c>
      <c r="C891" s="1">
        <v>42000</v>
      </c>
      <c r="D891" t="s">
        <v>24</v>
      </c>
      <c r="E891">
        <v>0</v>
      </c>
      <c r="F891">
        <v>14</v>
      </c>
      <c r="G891">
        <v>17</v>
      </c>
      <c r="H891">
        <v>1</v>
      </c>
      <c r="I891" t="s">
        <v>24</v>
      </c>
      <c r="J891">
        <v>95</v>
      </c>
      <c r="K891" t="s">
        <v>28</v>
      </c>
      <c r="L891">
        <v>103</v>
      </c>
      <c r="M891">
        <f>IF(D891=I891,VLOOKUP(D891,a_win_totals_lookup,MATCH(K891,a_wins_total_lookup_header,0)+1,0),VLOOKUP(D891,a_win_totals_lookup,MATCH(I891,a_wins_total_lookup_header,0)+1,0))</f>
        <v>0.44994282404607938</v>
      </c>
      <c r="N891">
        <f t="shared" ca="1" si="13"/>
        <v>0</v>
      </c>
    </row>
    <row r="892" spans="1:14" x14ac:dyDescent="0.25">
      <c r="A892">
        <v>400578739</v>
      </c>
      <c r="B892">
        <v>2015</v>
      </c>
      <c r="C892" s="1">
        <v>42000</v>
      </c>
      <c r="D892" t="s">
        <v>30</v>
      </c>
      <c r="E892">
        <v>1</v>
      </c>
      <c r="F892">
        <v>21</v>
      </c>
      <c r="G892">
        <v>9</v>
      </c>
      <c r="H892">
        <v>1</v>
      </c>
      <c r="I892" t="s">
        <v>30</v>
      </c>
      <c r="J892">
        <v>107</v>
      </c>
      <c r="K892" t="s">
        <v>12</v>
      </c>
      <c r="L892">
        <v>100</v>
      </c>
      <c r="M892">
        <f>IF(D892=I892,VLOOKUP(D892,a_win_totals_lookup,MATCH(K892,a_wins_total_lookup_header,0)+1,0),VLOOKUP(D892,a_win_totals_lookup,MATCH(I892,a_wins_total_lookup_header,0)+1,0))</f>
        <v>0.62692044428040861</v>
      </c>
      <c r="N892">
        <f t="shared" ca="1" si="13"/>
        <v>1</v>
      </c>
    </row>
    <row r="893" spans="1:14" x14ac:dyDescent="0.25">
      <c r="A893">
        <v>400578739</v>
      </c>
      <c r="B893">
        <v>2015</v>
      </c>
      <c r="C893" s="1">
        <v>42000</v>
      </c>
      <c r="D893" t="s">
        <v>12</v>
      </c>
      <c r="E893">
        <v>0</v>
      </c>
      <c r="F893">
        <v>15</v>
      </c>
      <c r="G893">
        <v>15</v>
      </c>
      <c r="H893">
        <v>0</v>
      </c>
      <c r="I893" t="s">
        <v>30</v>
      </c>
      <c r="J893">
        <v>107</v>
      </c>
      <c r="K893" t="s">
        <v>12</v>
      </c>
      <c r="L893">
        <v>100</v>
      </c>
      <c r="M893">
        <f>IF(D893=I893,VLOOKUP(D893,a_win_totals_lookup,MATCH(K893,a_wins_total_lookup_header,0)+1,0),VLOOKUP(D893,a_win_totals_lookup,MATCH(I893,a_wins_total_lookup_header,0)+1,0))</f>
        <v>0.37307955571959134</v>
      </c>
      <c r="N893">
        <f t="shared" ca="1" si="13"/>
        <v>0</v>
      </c>
    </row>
    <row r="894" spans="1:14" x14ac:dyDescent="0.25">
      <c r="A894">
        <v>400578740</v>
      </c>
      <c r="B894">
        <v>2015</v>
      </c>
      <c r="C894" s="1">
        <v>42000</v>
      </c>
      <c r="D894" t="s">
        <v>23</v>
      </c>
      <c r="E894">
        <v>0</v>
      </c>
      <c r="F894">
        <v>13</v>
      </c>
      <c r="G894">
        <v>16</v>
      </c>
      <c r="H894">
        <v>1</v>
      </c>
      <c r="I894" t="s">
        <v>23</v>
      </c>
      <c r="J894">
        <v>85</v>
      </c>
      <c r="K894" t="s">
        <v>20</v>
      </c>
      <c r="L894">
        <v>110</v>
      </c>
      <c r="M894">
        <f>IF(D894=I894,VLOOKUP(D894,a_win_totals_lookup,MATCH(K894,a_wins_total_lookup_header,0)+1,0),VLOOKUP(D894,a_win_totals_lookup,MATCH(I894,a_wins_total_lookup_header,0)+1,0))</f>
        <v>0.56072770135857142</v>
      </c>
      <c r="N894">
        <f t="shared" ca="1" si="13"/>
        <v>1</v>
      </c>
    </row>
    <row r="895" spans="1:14" x14ac:dyDescent="0.25">
      <c r="A895">
        <v>400578740</v>
      </c>
      <c r="B895">
        <v>2015</v>
      </c>
      <c r="C895" s="1">
        <v>42000</v>
      </c>
      <c r="D895" t="s">
        <v>20</v>
      </c>
      <c r="E895">
        <v>1</v>
      </c>
      <c r="F895">
        <v>11</v>
      </c>
      <c r="G895">
        <v>20</v>
      </c>
      <c r="H895">
        <v>0</v>
      </c>
      <c r="I895" t="s">
        <v>23</v>
      </c>
      <c r="J895">
        <v>85</v>
      </c>
      <c r="K895" t="s">
        <v>20</v>
      </c>
      <c r="L895">
        <v>110</v>
      </c>
      <c r="M895">
        <f>IF(D895=I895,VLOOKUP(D895,a_win_totals_lookup,MATCH(K895,a_wins_total_lookup_header,0)+1,0),VLOOKUP(D895,a_win_totals_lookup,MATCH(I895,a_wins_total_lookup_header,0)+1,0))</f>
        <v>0.43927229864142858</v>
      </c>
      <c r="N895">
        <f t="shared" ca="1" si="13"/>
        <v>1</v>
      </c>
    </row>
    <row r="896" spans="1:14" x14ac:dyDescent="0.25">
      <c r="A896">
        <v>400578741</v>
      </c>
      <c r="B896">
        <v>2015</v>
      </c>
      <c r="C896" s="1">
        <v>42000</v>
      </c>
      <c r="D896" t="s">
        <v>26</v>
      </c>
      <c r="E896">
        <v>1</v>
      </c>
      <c r="F896">
        <v>22</v>
      </c>
      <c r="G896">
        <v>8</v>
      </c>
      <c r="H896">
        <v>0</v>
      </c>
      <c r="I896" t="s">
        <v>19</v>
      </c>
      <c r="J896">
        <v>85</v>
      </c>
      <c r="K896" t="s">
        <v>26</v>
      </c>
      <c r="L896">
        <v>90</v>
      </c>
      <c r="M896">
        <f>IF(D896=I896,VLOOKUP(D896,a_win_totals_lookup,MATCH(K896,a_wins_total_lookup_header,0)+1,0),VLOOKUP(D896,a_win_totals_lookup,MATCH(I896,a_wins_total_lookup_header,0)+1,0))</f>
        <v>0.68061965309208583</v>
      </c>
      <c r="N896">
        <f t="shared" ca="1" si="13"/>
        <v>1</v>
      </c>
    </row>
    <row r="897" spans="1:14" x14ac:dyDescent="0.25">
      <c r="A897">
        <v>400578741</v>
      </c>
      <c r="B897">
        <v>2015</v>
      </c>
      <c r="C897" s="1">
        <v>42000</v>
      </c>
      <c r="D897" t="s">
        <v>19</v>
      </c>
      <c r="E897">
        <v>0</v>
      </c>
      <c r="F897">
        <v>15</v>
      </c>
      <c r="G897">
        <v>16</v>
      </c>
      <c r="H897">
        <v>1</v>
      </c>
      <c r="I897" t="s">
        <v>19</v>
      </c>
      <c r="J897">
        <v>85</v>
      </c>
      <c r="K897" t="s">
        <v>26</v>
      </c>
      <c r="L897">
        <v>90</v>
      </c>
      <c r="M897">
        <f>IF(D897=I897,VLOOKUP(D897,a_win_totals_lookup,MATCH(K897,a_wins_total_lookup_header,0)+1,0),VLOOKUP(D897,a_win_totals_lookup,MATCH(I897,a_wins_total_lookup_header,0)+1,0))</f>
        <v>0.31938034690791411</v>
      </c>
      <c r="N897">
        <f t="shared" ca="1" si="13"/>
        <v>1</v>
      </c>
    </row>
    <row r="898" spans="1:14" x14ac:dyDescent="0.25">
      <c r="A898">
        <v>400578742</v>
      </c>
      <c r="B898">
        <v>2015</v>
      </c>
      <c r="C898" s="1">
        <v>42000</v>
      </c>
      <c r="D898" t="s">
        <v>21</v>
      </c>
      <c r="E898">
        <v>0</v>
      </c>
      <c r="F898">
        <v>4</v>
      </c>
      <c r="G898">
        <v>25</v>
      </c>
      <c r="H898">
        <v>0</v>
      </c>
      <c r="I898" t="s">
        <v>34</v>
      </c>
      <c r="J898">
        <v>88</v>
      </c>
      <c r="K898" t="s">
        <v>21</v>
      </c>
      <c r="L898">
        <v>71</v>
      </c>
      <c r="M898">
        <f>IF(D898=I898,VLOOKUP(D898,a_win_totals_lookup,MATCH(K898,a_wins_total_lookup_header,0)+1,0),VLOOKUP(D898,a_win_totals_lookup,MATCH(I898,a_wins_total_lookup_header,0)+1,0))</f>
        <v>0.40521877128660083</v>
      </c>
      <c r="N898">
        <f t="shared" ca="1" si="13"/>
        <v>0</v>
      </c>
    </row>
    <row r="899" spans="1:14" x14ac:dyDescent="0.25">
      <c r="A899">
        <v>400578742</v>
      </c>
      <c r="B899">
        <v>2015</v>
      </c>
      <c r="C899" s="1">
        <v>42000</v>
      </c>
      <c r="D899" t="s">
        <v>34</v>
      </c>
      <c r="E899">
        <v>1</v>
      </c>
      <c r="F899">
        <v>10</v>
      </c>
      <c r="G899">
        <v>20</v>
      </c>
      <c r="H899">
        <v>1</v>
      </c>
      <c r="I899" t="s">
        <v>34</v>
      </c>
      <c r="J899">
        <v>88</v>
      </c>
      <c r="K899" t="s">
        <v>21</v>
      </c>
      <c r="L899">
        <v>71</v>
      </c>
      <c r="M899">
        <f>IF(D899=I899,VLOOKUP(D899,a_win_totals_lookup,MATCH(K899,a_wins_total_lookup_header,0)+1,0),VLOOKUP(D899,a_win_totals_lookup,MATCH(I899,a_wins_total_lookup_header,0)+1,0))</f>
        <v>0.59478122871339911</v>
      </c>
      <c r="N899">
        <f t="shared" ref="N899:N962" ca="1" si="14">ROUND(0.5*RANDBETWEEN(-1,1)+M899,0)</f>
        <v>0</v>
      </c>
    </row>
    <row r="900" spans="1:14" x14ac:dyDescent="0.25">
      <c r="A900">
        <v>400578743</v>
      </c>
      <c r="B900">
        <v>2015</v>
      </c>
      <c r="C900" s="1">
        <v>42000</v>
      </c>
      <c r="D900" t="s">
        <v>31</v>
      </c>
      <c r="E900">
        <v>0</v>
      </c>
      <c r="F900">
        <v>5</v>
      </c>
      <c r="G900">
        <v>27</v>
      </c>
      <c r="H900">
        <v>0</v>
      </c>
      <c r="I900" t="s">
        <v>37</v>
      </c>
      <c r="J900">
        <v>135</v>
      </c>
      <c r="K900" t="s">
        <v>31</v>
      </c>
      <c r="L900">
        <v>129</v>
      </c>
      <c r="M900">
        <f>IF(D900=I900,VLOOKUP(D900,a_win_totals_lookup,MATCH(K900,a_wins_total_lookup_header,0)+1,0),VLOOKUP(D900,a_win_totals_lookup,MATCH(I900,a_wins_total_lookup_header,0)+1,0))</f>
        <v>0.57711263446281591</v>
      </c>
      <c r="N900">
        <f t="shared" ca="1" si="14"/>
        <v>1</v>
      </c>
    </row>
    <row r="901" spans="1:14" x14ac:dyDescent="0.25">
      <c r="A901">
        <v>400578743</v>
      </c>
      <c r="B901">
        <v>2015</v>
      </c>
      <c r="C901" s="1">
        <v>42000</v>
      </c>
      <c r="D901" t="s">
        <v>37</v>
      </c>
      <c r="E901">
        <v>1</v>
      </c>
      <c r="F901">
        <v>13</v>
      </c>
      <c r="G901">
        <v>17</v>
      </c>
      <c r="H901">
        <v>1</v>
      </c>
      <c r="I901" t="s">
        <v>37</v>
      </c>
      <c r="J901">
        <v>135</v>
      </c>
      <c r="K901" t="s">
        <v>31</v>
      </c>
      <c r="L901">
        <v>129</v>
      </c>
      <c r="M901">
        <f>IF(D901=I901,VLOOKUP(D901,a_win_totals_lookup,MATCH(K901,a_wins_total_lookup_header,0)+1,0),VLOOKUP(D901,a_win_totals_lookup,MATCH(I901,a_wins_total_lookup_header,0)+1,0))</f>
        <v>0.42288736553718415</v>
      </c>
      <c r="N901">
        <f t="shared" ca="1" si="14"/>
        <v>0</v>
      </c>
    </row>
    <row r="902" spans="1:14" x14ac:dyDescent="0.25">
      <c r="A902">
        <v>400578744</v>
      </c>
      <c r="B902">
        <v>2015</v>
      </c>
      <c r="C902" s="1">
        <v>42000</v>
      </c>
      <c r="D902" t="s">
        <v>36</v>
      </c>
      <c r="E902">
        <v>1</v>
      </c>
      <c r="F902">
        <v>24</v>
      </c>
      <c r="G902">
        <v>5</v>
      </c>
      <c r="H902">
        <v>1</v>
      </c>
      <c r="I902" t="s">
        <v>36</v>
      </c>
      <c r="J902">
        <v>110</v>
      </c>
      <c r="K902" t="s">
        <v>29</v>
      </c>
      <c r="L902">
        <v>97</v>
      </c>
      <c r="M902">
        <f>IF(D902=I902,VLOOKUP(D902,a_win_totals_lookup,MATCH(K902,a_wins_total_lookup_header,0)+1,0),VLOOKUP(D902,a_win_totals_lookup,MATCH(I902,a_wins_total_lookup_header,0)+1,0))</f>
        <v>0.7640426735507897</v>
      </c>
      <c r="N902">
        <f t="shared" ca="1" si="14"/>
        <v>1</v>
      </c>
    </row>
    <row r="903" spans="1:14" x14ac:dyDescent="0.25">
      <c r="A903">
        <v>400578744</v>
      </c>
      <c r="B903">
        <v>2015</v>
      </c>
      <c r="C903" s="1">
        <v>42000</v>
      </c>
      <c r="D903" t="s">
        <v>29</v>
      </c>
      <c r="E903">
        <v>0</v>
      </c>
      <c r="F903">
        <v>5</v>
      </c>
      <c r="G903">
        <v>24</v>
      </c>
      <c r="H903">
        <v>0</v>
      </c>
      <c r="I903" t="s">
        <v>36</v>
      </c>
      <c r="J903">
        <v>110</v>
      </c>
      <c r="K903" t="s">
        <v>29</v>
      </c>
      <c r="L903">
        <v>97</v>
      </c>
      <c r="M903">
        <f>IF(D903=I903,VLOOKUP(D903,a_win_totals_lookup,MATCH(K903,a_wins_total_lookup_header,0)+1,0),VLOOKUP(D903,a_win_totals_lookup,MATCH(I903,a_wins_total_lookup_header,0)+1,0))</f>
        <v>0.23595732644921025</v>
      </c>
      <c r="N903">
        <f t="shared" ca="1" si="14"/>
        <v>1</v>
      </c>
    </row>
    <row r="904" spans="1:14" x14ac:dyDescent="0.25">
      <c r="A904">
        <v>400578745</v>
      </c>
      <c r="B904">
        <v>2015</v>
      </c>
      <c r="C904" s="1">
        <v>42001</v>
      </c>
      <c r="D904" t="s">
        <v>40</v>
      </c>
      <c r="E904">
        <v>0</v>
      </c>
      <c r="F904">
        <v>18</v>
      </c>
      <c r="G904">
        <v>12</v>
      </c>
      <c r="H904">
        <v>1</v>
      </c>
      <c r="I904" t="s">
        <v>40</v>
      </c>
      <c r="J904">
        <v>80</v>
      </c>
      <c r="K904" t="s">
        <v>33</v>
      </c>
      <c r="L904">
        <v>103</v>
      </c>
      <c r="M904">
        <f>IF(D904=I904,VLOOKUP(D904,a_win_totals_lookup,MATCH(K904,a_wins_total_lookup_header,0)+1,0),VLOOKUP(D904,a_win_totals_lookup,MATCH(I904,a_wins_total_lookup_header,0)+1,0))</f>
        <v>0.68885451974663314</v>
      </c>
      <c r="N904">
        <f t="shared" ca="1" si="14"/>
        <v>0</v>
      </c>
    </row>
    <row r="905" spans="1:14" x14ac:dyDescent="0.25">
      <c r="A905">
        <v>400578745</v>
      </c>
      <c r="B905">
        <v>2015</v>
      </c>
      <c r="C905" s="1">
        <v>42001</v>
      </c>
      <c r="D905" t="s">
        <v>33</v>
      </c>
      <c r="E905">
        <v>1</v>
      </c>
      <c r="F905">
        <v>7</v>
      </c>
      <c r="G905">
        <v>23</v>
      </c>
      <c r="H905">
        <v>0</v>
      </c>
      <c r="I905" t="s">
        <v>40</v>
      </c>
      <c r="J905">
        <v>80</v>
      </c>
      <c r="K905" t="s">
        <v>33</v>
      </c>
      <c r="L905">
        <v>103</v>
      </c>
      <c r="M905">
        <f>IF(D905=I905,VLOOKUP(D905,a_win_totals_lookup,MATCH(K905,a_wins_total_lookup_header,0)+1,0),VLOOKUP(D905,a_win_totals_lookup,MATCH(I905,a_wins_total_lookup_header,0)+1,0))</f>
        <v>0.31114548025336697</v>
      </c>
      <c r="N905">
        <f t="shared" ca="1" si="14"/>
        <v>1</v>
      </c>
    </row>
    <row r="906" spans="1:14" x14ac:dyDescent="0.25">
      <c r="A906">
        <v>400578746</v>
      </c>
      <c r="B906">
        <v>2015</v>
      </c>
      <c r="C906" s="1">
        <v>42001</v>
      </c>
      <c r="D906" t="s">
        <v>16</v>
      </c>
      <c r="E906">
        <v>0</v>
      </c>
      <c r="F906">
        <v>21</v>
      </c>
      <c r="G906">
        <v>8</v>
      </c>
      <c r="H906">
        <v>0</v>
      </c>
      <c r="I906" t="s">
        <v>15</v>
      </c>
      <c r="J906">
        <v>110</v>
      </c>
      <c r="K906" t="s">
        <v>16</v>
      </c>
      <c r="L906">
        <v>106</v>
      </c>
      <c r="M906">
        <f>IF(D906=I906,VLOOKUP(D906,a_win_totals_lookup,MATCH(K906,a_wins_total_lookup_header,0)+1,0),VLOOKUP(D906,a_win_totals_lookup,MATCH(I906,a_wins_total_lookup_header,0)+1,0))</f>
        <v>0.43996111651765601</v>
      </c>
      <c r="N906">
        <f t="shared" ca="1" si="14"/>
        <v>1</v>
      </c>
    </row>
    <row r="907" spans="1:14" x14ac:dyDescent="0.25">
      <c r="A907">
        <v>400578746</v>
      </c>
      <c r="B907">
        <v>2015</v>
      </c>
      <c r="C907" s="1">
        <v>42001</v>
      </c>
      <c r="D907" t="s">
        <v>15</v>
      </c>
      <c r="E907">
        <v>1</v>
      </c>
      <c r="F907">
        <v>19</v>
      </c>
      <c r="G907">
        <v>13</v>
      </c>
      <c r="H907">
        <v>1</v>
      </c>
      <c r="I907" t="s">
        <v>15</v>
      </c>
      <c r="J907">
        <v>110</v>
      </c>
      <c r="K907" t="s">
        <v>16</v>
      </c>
      <c r="L907">
        <v>106</v>
      </c>
      <c r="M907">
        <f>IF(D907=I907,VLOOKUP(D907,a_win_totals_lookup,MATCH(K907,a_wins_total_lookup_header,0)+1,0),VLOOKUP(D907,a_win_totals_lookup,MATCH(I907,a_wins_total_lookup_header,0)+1,0))</f>
        <v>0.5600388834823441</v>
      </c>
      <c r="N907">
        <f t="shared" ca="1" si="14"/>
        <v>1</v>
      </c>
    </row>
    <row r="908" spans="1:14" x14ac:dyDescent="0.25">
      <c r="A908">
        <v>400578747</v>
      </c>
      <c r="B908">
        <v>2015</v>
      </c>
      <c r="C908" s="1">
        <v>42001</v>
      </c>
      <c r="D908" t="s">
        <v>14</v>
      </c>
      <c r="E908">
        <v>1</v>
      </c>
      <c r="F908">
        <v>22</v>
      </c>
      <c r="G908">
        <v>10</v>
      </c>
      <c r="H908">
        <v>1</v>
      </c>
      <c r="I908" t="s">
        <v>14</v>
      </c>
      <c r="J908">
        <v>112</v>
      </c>
      <c r="K908" t="s">
        <v>38</v>
      </c>
      <c r="L908">
        <v>107</v>
      </c>
      <c r="M908">
        <f>IF(D908=I908,VLOOKUP(D908,a_win_totals_lookup,MATCH(K908,a_wins_total_lookup_header,0)+1,0),VLOOKUP(D908,a_win_totals_lookup,MATCH(I908,a_wins_total_lookup_header,0)+1,0))</f>
        <v>0.48605197255538951</v>
      </c>
      <c r="N908">
        <f t="shared" ca="1" si="14"/>
        <v>1</v>
      </c>
    </row>
    <row r="909" spans="1:14" x14ac:dyDescent="0.25">
      <c r="A909">
        <v>400578747</v>
      </c>
      <c r="B909">
        <v>2015</v>
      </c>
      <c r="C909" s="1">
        <v>42001</v>
      </c>
      <c r="D909" t="s">
        <v>38</v>
      </c>
      <c r="E909">
        <v>0</v>
      </c>
      <c r="F909">
        <v>15</v>
      </c>
      <c r="G909">
        <v>17</v>
      </c>
      <c r="H909">
        <v>0</v>
      </c>
      <c r="I909" t="s">
        <v>14</v>
      </c>
      <c r="J909">
        <v>112</v>
      </c>
      <c r="K909" t="s">
        <v>38</v>
      </c>
      <c r="L909">
        <v>107</v>
      </c>
      <c r="M909">
        <f>IF(D909=I909,VLOOKUP(D909,a_win_totals_lookup,MATCH(K909,a_wins_total_lookup_header,0)+1,0),VLOOKUP(D909,a_win_totals_lookup,MATCH(I909,a_wins_total_lookup_header,0)+1,0))</f>
        <v>0.51394802744461043</v>
      </c>
      <c r="N909">
        <f t="shared" ca="1" si="14"/>
        <v>1</v>
      </c>
    </row>
    <row r="910" spans="1:14" x14ac:dyDescent="0.25">
      <c r="A910">
        <v>400578748</v>
      </c>
      <c r="B910">
        <v>2015</v>
      </c>
      <c r="C910" s="1">
        <v>42001</v>
      </c>
      <c r="D910" t="s">
        <v>31</v>
      </c>
      <c r="E910">
        <v>0</v>
      </c>
      <c r="F910">
        <v>5</v>
      </c>
      <c r="G910">
        <v>28</v>
      </c>
      <c r="H910">
        <v>0</v>
      </c>
      <c r="I910" t="s">
        <v>39</v>
      </c>
      <c r="J910">
        <v>101</v>
      </c>
      <c r="K910" t="s">
        <v>31</v>
      </c>
      <c r="L910">
        <v>79</v>
      </c>
      <c r="M910">
        <f>IF(D910=I910,VLOOKUP(D910,a_win_totals_lookup,MATCH(K910,a_wins_total_lookup_header,0)+1,0),VLOOKUP(D910,a_win_totals_lookup,MATCH(I910,a_wins_total_lookup_header,0)+1,0))</f>
        <v>0.40843302990522401</v>
      </c>
      <c r="N910">
        <f t="shared" ca="1" si="14"/>
        <v>0</v>
      </c>
    </row>
    <row r="911" spans="1:14" x14ac:dyDescent="0.25">
      <c r="A911">
        <v>400578748</v>
      </c>
      <c r="B911">
        <v>2015</v>
      </c>
      <c r="C911" s="1">
        <v>42001</v>
      </c>
      <c r="D911" t="s">
        <v>39</v>
      </c>
      <c r="E911">
        <v>1</v>
      </c>
      <c r="F911">
        <v>25</v>
      </c>
      <c r="G911">
        <v>7</v>
      </c>
      <c r="H911">
        <v>1</v>
      </c>
      <c r="I911" t="s">
        <v>39</v>
      </c>
      <c r="J911">
        <v>101</v>
      </c>
      <c r="K911" t="s">
        <v>31</v>
      </c>
      <c r="L911">
        <v>79</v>
      </c>
      <c r="M911">
        <f>IF(D911=I911,VLOOKUP(D911,a_win_totals_lookup,MATCH(K911,a_wins_total_lookup_header,0)+1,0),VLOOKUP(D911,a_win_totals_lookup,MATCH(I911,a_wins_total_lookup_header,0)+1,0))</f>
        <v>0.59156697009477588</v>
      </c>
      <c r="N911">
        <f t="shared" ca="1" si="14"/>
        <v>1</v>
      </c>
    </row>
    <row r="912" spans="1:14" x14ac:dyDescent="0.25">
      <c r="A912">
        <v>400578749</v>
      </c>
      <c r="B912">
        <v>2015</v>
      </c>
      <c r="C912" s="1">
        <v>42001</v>
      </c>
      <c r="D912" t="s">
        <v>32</v>
      </c>
      <c r="E912">
        <v>0</v>
      </c>
      <c r="F912">
        <v>13</v>
      </c>
      <c r="G912">
        <v>18</v>
      </c>
      <c r="H912">
        <v>1</v>
      </c>
      <c r="I912" t="s">
        <v>32</v>
      </c>
      <c r="J912">
        <v>102</v>
      </c>
      <c r="K912" t="s">
        <v>27</v>
      </c>
      <c r="L912">
        <v>116</v>
      </c>
      <c r="M912">
        <f>IF(D912=I912,VLOOKUP(D912,a_win_totals_lookup,MATCH(K912,a_wins_total_lookup_header,0)+1,0),VLOOKUP(D912,a_win_totals_lookup,MATCH(I912,a_wins_total_lookup_header,0)+1,0))</f>
        <v>0.38459864577188729</v>
      </c>
      <c r="N912">
        <f t="shared" ca="1" si="14"/>
        <v>0</v>
      </c>
    </row>
    <row r="913" spans="1:14" x14ac:dyDescent="0.25">
      <c r="A913">
        <v>400578749</v>
      </c>
      <c r="B913">
        <v>2015</v>
      </c>
      <c r="C913" s="1">
        <v>42001</v>
      </c>
      <c r="D913" t="s">
        <v>27</v>
      </c>
      <c r="E913">
        <v>1</v>
      </c>
      <c r="F913">
        <v>24</v>
      </c>
      <c r="G913">
        <v>7</v>
      </c>
      <c r="H913">
        <v>0</v>
      </c>
      <c r="I913" t="s">
        <v>32</v>
      </c>
      <c r="J913">
        <v>102</v>
      </c>
      <c r="K913" t="s">
        <v>27</v>
      </c>
      <c r="L913">
        <v>116</v>
      </c>
      <c r="M913">
        <f>IF(D913=I913,VLOOKUP(D913,a_win_totals_lookup,MATCH(K913,a_wins_total_lookup_header,0)+1,0),VLOOKUP(D913,a_win_totals_lookup,MATCH(I913,a_wins_total_lookup_header,0)+1,0))</f>
        <v>0.61540135422811282</v>
      </c>
      <c r="N913">
        <f t="shared" ca="1" si="14"/>
        <v>1</v>
      </c>
    </row>
    <row r="914" spans="1:14" x14ac:dyDescent="0.25">
      <c r="A914">
        <v>400578750</v>
      </c>
      <c r="B914">
        <v>2015</v>
      </c>
      <c r="C914" s="1">
        <v>42001</v>
      </c>
      <c r="D914" t="s">
        <v>17</v>
      </c>
      <c r="E914">
        <v>0</v>
      </c>
      <c r="F914">
        <v>9</v>
      </c>
      <c r="G914">
        <v>22</v>
      </c>
      <c r="H914">
        <v>1</v>
      </c>
      <c r="I914" t="s">
        <v>17</v>
      </c>
      <c r="J914">
        <v>107</v>
      </c>
      <c r="K914" t="s">
        <v>35</v>
      </c>
      <c r="L914">
        <v>116</v>
      </c>
      <c r="M914">
        <f>IF(D914=I914,VLOOKUP(D914,a_win_totals_lookup,MATCH(K914,a_wins_total_lookup_header,0)+1,0),VLOOKUP(D914,a_win_totals_lookup,MATCH(I914,a_wins_total_lookup_header,0)+1,0))</f>
        <v>0.38499232269801659</v>
      </c>
      <c r="N914">
        <f t="shared" ca="1" si="14"/>
        <v>0</v>
      </c>
    </row>
    <row r="915" spans="1:14" x14ac:dyDescent="0.25">
      <c r="A915">
        <v>400578750</v>
      </c>
      <c r="B915">
        <v>2015</v>
      </c>
      <c r="C915" s="1">
        <v>42001</v>
      </c>
      <c r="D915" t="s">
        <v>35</v>
      </c>
      <c r="E915">
        <v>1</v>
      </c>
      <c r="F915">
        <v>18</v>
      </c>
      <c r="G915">
        <v>14</v>
      </c>
      <c r="H915">
        <v>0</v>
      </c>
      <c r="I915" t="s">
        <v>17</v>
      </c>
      <c r="J915">
        <v>107</v>
      </c>
      <c r="K915" t="s">
        <v>35</v>
      </c>
      <c r="L915">
        <v>116</v>
      </c>
      <c r="M915">
        <f>IF(D915=I915,VLOOKUP(D915,a_win_totals_lookup,MATCH(K915,a_wins_total_lookup_header,0)+1,0),VLOOKUP(D915,a_win_totals_lookup,MATCH(I915,a_wins_total_lookup_header,0)+1,0))</f>
        <v>0.61500767730198336</v>
      </c>
      <c r="N915">
        <f t="shared" ca="1" si="14"/>
        <v>1</v>
      </c>
    </row>
    <row r="916" spans="1:14" x14ac:dyDescent="0.25">
      <c r="A916">
        <v>400578751</v>
      </c>
      <c r="B916">
        <v>2015</v>
      </c>
      <c r="C916" s="1">
        <v>42002</v>
      </c>
      <c r="D916" t="s">
        <v>18</v>
      </c>
      <c r="E916">
        <v>0</v>
      </c>
      <c r="F916">
        <v>10</v>
      </c>
      <c r="G916">
        <v>22</v>
      </c>
      <c r="H916">
        <v>1</v>
      </c>
      <c r="I916" t="s">
        <v>18</v>
      </c>
      <c r="J916">
        <v>94</v>
      </c>
      <c r="K916" t="s">
        <v>19</v>
      </c>
      <c r="L916">
        <v>104</v>
      </c>
      <c r="M916">
        <f>IF(D916=I916,VLOOKUP(D916,a_win_totals_lookup,MATCH(K916,a_wins_total_lookup_header,0)+1,0),VLOOKUP(D916,a_win_totals_lookup,MATCH(I916,a_wins_total_lookup_header,0)+1,0))</f>
        <v>0.70038695085018321</v>
      </c>
      <c r="N916">
        <f t="shared" ca="1" si="14"/>
        <v>1</v>
      </c>
    </row>
    <row r="917" spans="1:14" x14ac:dyDescent="0.25">
      <c r="A917">
        <v>400578751</v>
      </c>
      <c r="B917">
        <v>2015</v>
      </c>
      <c r="C917" s="1">
        <v>42002</v>
      </c>
      <c r="D917" t="s">
        <v>19</v>
      </c>
      <c r="E917">
        <v>1</v>
      </c>
      <c r="F917">
        <v>16</v>
      </c>
      <c r="G917">
        <v>16</v>
      </c>
      <c r="H917">
        <v>0</v>
      </c>
      <c r="I917" t="s">
        <v>18</v>
      </c>
      <c r="J917">
        <v>94</v>
      </c>
      <c r="K917" t="s">
        <v>19</v>
      </c>
      <c r="L917">
        <v>104</v>
      </c>
      <c r="M917">
        <f>IF(D917=I917,VLOOKUP(D917,a_win_totals_lookup,MATCH(K917,a_wins_total_lookup_header,0)+1,0),VLOOKUP(D917,a_win_totals_lookup,MATCH(I917,a_wins_total_lookup_header,0)+1,0))</f>
        <v>0.29961304914981679</v>
      </c>
      <c r="N917">
        <f t="shared" ca="1" si="14"/>
        <v>1</v>
      </c>
    </row>
    <row r="918" spans="1:14" x14ac:dyDescent="0.25">
      <c r="A918">
        <v>400578752</v>
      </c>
      <c r="B918">
        <v>2015</v>
      </c>
      <c r="C918" s="1">
        <v>42002</v>
      </c>
      <c r="D918" t="s">
        <v>30</v>
      </c>
      <c r="E918">
        <v>1</v>
      </c>
      <c r="F918">
        <v>22</v>
      </c>
      <c r="G918">
        <v>9</v>
      </c>
      <c r="H918">
        <v>0</v>
      </c>
      <c r="I918" t="s">
        <v>20</v>
      </c>
      <c r="J918">
        <v>90</v>
      </c>
      <c r="K918" t="s">
        <v>30</v>
      </c>
      <c r="L918">
        <v>92</v>
      </c>
      <c r="M918">
        <f>IF(D918=I918,VLOOKUP(D918,a_win_totals_lookup,MATCH(K918,a_wins_total_lookup_header,0)+1,0),VLOOKUP(D918,a_win_totals_lookup,MATCH(I918,a_wins_total_lookup_header,0)+1,0))</f>
        <v>0.69383845122039145</v>
      </c>
      <c r="N918">
        <f t="shared" ca="1" si="14"/>
        <v>1</v>
      </c>
    </row>
    <row r="919" spans="1:14" x14ac:dyDescent="0.25">
      <c r="A919">
        <v>400578752</v>
      </c>
      <c r="B919">
        <v>2015</v>
      </c>
      <c r="C919" s="1">
        <v>42002</v>
      </c>
      <c r="D919" t="s">
        <v>20</v>
      </c>
      <c r="E919">
        <v>0</v>
      </c>
      <c r="F919">
        <v>11</v>
      </c>
      <c r="G919">
        <v>21</v>
      </c>
      <c r="H919">
        <v>1</v>
      </c>
      <c r="I919" t="s">
        <v>20</v>
      </c>
      <c r="J919">
        <v>90</v>
      </c>
      <c r="K919" t="s">
        <v>30</v>
      </c>
      <c r="L919">
        <v>92</v>
      </c>
      <c r="M919">
        <f>IF(D919=I919,VLOOKUP(D919,a_win_totals_lookup,MATCH(K919,a_wins_total_lookup_header,0)+1,0),VLOOKUP(D919,a_win_totals_lookup,MATCH(I919,a_wins_total_lookup_header,0)+1,0))</f>
        <v>0.30616154877960861</v>
      </c>
      <c r="N919">
        <f t="shared" ca="1" si="14"/>
        <v>0</v>
      </c>
    </row>
    <row r="920" spans="1:14" x14ac:dyDescent="0.25">
      <c r="A920">
        <v>400578753</v>
      </c>
      <c r="B920">
        <v>2015</v>
      </c>
      <c r="C920" s="1">
        <v>42002</v>
      </c>
      <c r="D920" t="s">
        <v>23</v>
      </c>
      <c r="E920">
        <v>1</v>
      </c>
      <c r="F920">
        <v>14</v>
      </c>
      <c r="G920">
        <v>16</v>
      </c>
      <c r="H920">
        <v>1</v>
      </c>
      <c r="I920" t="s">
        <v>23</v>
      </c>
      <c r="J920">
        <v>107</v>
      </c>
      <c r="K920" t="s">
        <v>37</v>
      </c>
      <c r="L920">
        <v>99</v>
      </c>
      <c r="M920">
        <f>IF(D920=I920,VLOOKUP(D920,a_win_totals_lookup,MATCH(K920,a_wins_total_lookup_header,0)+1,0),VLOOKUP(D920,a_win_totals_lookup,MATCH(I920,a_wins_total_lookup_header,0)+1,0))</f>
        <v>0.57711263446281591</v>
      </c>
      <c r="N920">
        <f t="shared" ca="1" si="14"/>
        <v>0</v>
      </c>
    </row>
    <row r="921" spans="1:14" x14ac:dyDescent="0.25">
      <c r="A921">
        <v>400578753</v>
      </c>
      <c r="B921">
        <v>2015</v>
      </c>
      <c r="C921" s="1">
        <v>42002</v>
      </c>
      <c r="D921" t="s">
        <v>37</v>
      </c>
      <c r="E921">
        <v>0</v>
      </c>
      <c r="F921">
        <v>13</v>
      </c>
      <c r="G921">
        <v>18</v>
      </c>
      <c r="H921">
        <v>0</v>
      </c>
      <c r="I921" t="s">
        <v>23</v>
      </c>
      <c r="J921">
        <v>107</v>
      </c>
      <c r="K921" t="s">
        <v>37</v>
      </c>
      <c r="L921">
        <v>99</v>
      </c>
      <c r="M921">
        <f>IF(D921=I921,VLOOKUP(D921,a_win_totals_lookup,MATCH(K921,a_wins_total_lookup_header,0)+1,0),VLOOKUP(D921,a_win_totals_lookup,MATCH(I921,a_wins_total_lookup_header,0)+1,0))</f>
        <v>0.42288736553718415</v>
      </c>
      <c r="N921">
        <f t="shared" ca="1" si="14"/>
        <v>0</v>
      </c>
    </row>
    <row r="922" spans="1:14" x14ac:dyDescent="0.25">
      <c r="A922">
        <v>400578754</v>
      </c>
      <c r="B922">
        <v>2015</v>
      </c>
      <c r="C922" s="1">
        <v>42002</v>
      </c>
      <c r="D922" t="s">
        <v>24</v>
      </c>
      <c r="E922">
        <v>0</v>
      </c>
      <c r="F922">
        <v>14</v>
      </c>
      <c r="G922">
        <v>18</v>
      </c>
      <c r="H922">
        <v>1</v>
      </c>
      <c r="I922" t="s">
        <v>24</v>
      </c>
      <c r="J922">
        <v>101</v>
      </c>
      <c r="K922" t="s">
        <v>13</v>
      </c>
      <c r="L922">
        <v>102</v>
      </c>
      <c r="M922">
        <f>IF(D922=I922,VLOOKUP(D922,a_win_totals_lookup,MATCH(K922,a_wins_total_lookup_header,0)+1,0),VLOOKUP(D922,a_win_totals_lookup,MATCH(I922,a_wins_total_lookup_header,0)+1,0))</f>
        <v>0.65836112820019976</v>
      </c>
      <c r="N922">
        <f t="shared" ca="1" si="14"/>
        <v>1</v>
      </c>
    </row>
    <row r="923" spans="1:14" x14ac:dyDescent="0.25">
      <c r="A923">
        <v>400578754</v>
      </c>
      <c r="B923">
        <v>2015</v>
      </c>
      <c r="C923" s="1">
        <v>42002</v>
      </c>
      <c r="D923" t="s">
        <v>13</v>
      </c>
      <c r="E923">
        <v>1</v>
      </c>
      <c r="F923">
        <v>13</v>
      </c>
      <c r="G923">
        <v>21</v>
      </c>
      <c r="H923">
        <v>0</v>
      </c>
      <c r="I923" t="s">
        <v>24</v>
      </c>
      <c r="J923">
        <v>101</v>
      </c>
      <c r="K923" t="s">
        <v>13</v>
      </c>
      <c r="L923">
        <v>102</v>
      </c>
      <c r="M923">
        <f>IF(D923=I923,VLOOKUP(D923,a_win_totals_lookup,MATCH(K923,a_wins_total_lookup_header,0)+1,0),VLOOKUP(D923,a_win_totals_lookup,MATCH(I923,a_wins_total_lookup_header,0)+1,0))</f>
        <v>0.34163887179980024</v>
      </c>
      <c r="N923">
        <f t="shared" ca="1" si="14"/>
        <v>0</v>
      </c>
    </row>
    <row r="924" spans="1:14" x14ac:dyDescent="0.25">
      <c r="A924">
        <v>400578755</v>
      </c>
      <c r="B924">
        <v>2015</v>
      </c>
      <c r="C924" s="1">
        <v>42002</v>
      </c>
      <c r="D924" t="s">
        <v>16</v>
      </c>
      <c r="E924">
        <v>0</v>
      </c>
      <c r="F924">
        <v>21</v>
      </c>
      <c r="G924">
        <v>9</v>
      </c>
      <c r="H924">
        <v>1</v>
      </c>
      <c r="I924" t="s">
        <v>16</v>
      </c>
      <c r="J924">
        <v>103</v>
      </c>
      <c r="K924" t="s">
        <v>25</v>
      </c>
      <c r="L924">
        <v>104</v>
      </c>
      <c r="M924">
        <f>IF(D924=I924,VLOOKUP(D924,a_win_totals_lookup,MATCH(K924,a_wins_total_lookup_header,0)+1,0),VLOOKUP(D924,a_win_totals_lookup,MATCH(I924,a_wins_total_lookup_header,0)+1,0))</f>
        <v>0.5</v>
      </c>
      <c r="N924">
        <f t="shared" ca="1" si="14"/>
        <v>1</v>
      </c>
    </row>
    <row r="925" spans="1:14" x14ac:dyDescent="0.25">
      <c r="A925">
        <v>400578755</v>
      </c>
      <c r="B925">
        <v>2015</v>
      </c>
      <c r="C925" s="1">
        <v>42002</v>
      </c>
      <c r="D925" t="s">
        <v>25</v>
      </c>
      <c r="E925">
        <v>1</v>
      </c>
      <c r="F925">
        <v>22</v>
      </c>
      <c r="G925">
        <v>8</v>
      </c>
      <c r="H925">
        <v>0</v>
      </c>
      <c r="I925" t="s">
        <v>16</v>
      </c>
      <c r="J925">
        <v>103</v>
      </c>
      <c r="K925" t="s">
        <v>25</v>
      </c>
      <c r="L925">
        <v>104</v>
      </c>
      <c r="M925">
        <f>IF(D925=I925,VLOOKUP(D925,a_win_totals_lookup,MATCH(K925,a_wins_total_lookup_header,0)+1,0),VLOOKUP(D925,a_win_totals_lookup,MATCH(I925,a_wins_total_lookup_header,0)+1,0))</f>
        <v>0.5</v>
      </c>
      <c r="N925">
        <f t="shared" ca="1" si="14"/>
        <v>1</v>
      </c>
    </row>
    <row r="926" spans="1:14" x14ac:dyDescent="0.25">
      <c r="A926">
        <v>400578756</v>
      </c>
      <c r="B926">
        <v>2015</v>
      </c>
      <c r="C926" s="1">
        <v>42002</v>
      </c>
      <c r="D926" t="s">
        <v>41</v>
      </c>
      <c r="E926">
        <v>1</v>
      </c>
      <c r="F926">
        <v>21</v>
      </c>
      <c r="G926">
        <v>11</v>
      </c>
      <c r="H926">
        <v>1</v>
      </c>
      <c r="I926" t="s">
        <v>41</v>
      </c>
      <c r="J926">
        <v>101</v>
      </c>
      <c r="K926" t="s">
        <v>34</v>
      </c>
      <c r="L926">
        <v>97</v>
      </c>
      <c r="M926">
        <f>IF(D926=I926,VLOOKUP(D926,a_win_totals_lookup,MATCH(K926,a_wins_total_lookup_header,0)+1,0),VLOOKUP(D926,a_win_totals_lookup,MATCH(I926,a_wins_total_lookup_header,0)+1,0))</f>
        <v>0.74387996100574205</v>
      </c>
      <c r="N926">
        <f t="shared" ca="1" si="14"/>
        <v>1</v>
      </c>
    </row>
    <row r="927" spans="1:14" x14ac:dyDescent="0.25">
      <c r="A927">
        <v>400578756</v>
      </c>
      <c r="B927">
        <v>2015</v>
      </c>
      <c r="C927" s="1">
        <v>42002</v>
      </c>
      <c r="D927" t="s">
        <v>34</v>
      </c>
      <c r="E927">
        <v>0</v>
      </c>
      <c r="F927">
        <v>10</v>
      </c>
      <c r="G927">
        <v>21</v>
      </c>
      <c r="H927">
        <v>0</v>
      </c>
      <c r="I927" t="s">
        <v>41</v>
      </c>
      <c r="J927">
        <v>101</v>
      </c>
      <c r="K927" t="s">
        <v>34</v>
      </c>
      <c r="L927">
        <v>97</v>
      </c>
      <c r="M927">
        <f>IF(D927=I927,VLOOKUP(D927,a_win_totals_lookup,MATCH(K927,a_wins_total_lookup_header,0)+1,0),VLOOKUP(D927,a_win_totals_lookup,MATCH(I927,a_wins_total_lookup_header,0)+1,0))</f>
        <v>0.25612003899425795</v>
      </c>
      <c r="N927">
        <f t="shared" ca="1" si="14"/>
        <v>0</v>
      </c>
    </row>
    <row r="928" spans="1:14" x14ac:dyDescent="0.25">
      <c r="A928">
        <v>400578757</v>
      </c>
      <c r="B928">
        <v>2015</v>
      </c>
      <c r="C928" s="1">
        <v>42003</v>
      </c>
      <c r="D928" t="s">
        <v>33</v>
      </c>
      <c r="E928">
        <v>1</v>
      </c>
      <c r="F928">
        <v>8</v>
      </c>
      <c r="G928">
        <v>23</v>
      </c>
      <c r="H928">
        <v>0</v>
      </c>
      <c r="I928" t="s">
        <v>13</v>
      </c>
      <c r="J928">
        <v>86</v>
      </c>
      <c r="K928" t="s">
        <v>33</v>
      </c>
      <c r="L928">
        <v>109</v>
      </c>
      <c r="M928">
        <f>IF(D928=I928,VLOOKUP(D928,a_win_totals_lookup,MATCH(K928,a_wins_total_lookup_header,0)+1,0),VLOOKUP(D928,a_win_totals_lookup,MATCH(I928,a_wins_total_lookup_header,0)+1,0))</f>
        <v>0.56745226115407632</v>
      </c>
      <c r="N928">
        <f t="shared" ca="1" si="14"/>
        <v>1</v>
      </c>
    </row>
    <row r="929" spans="1:14" x14ac:dyDescent="0.25">
      <c r="A929">
        <v>400578757</v>
      </c>
      <c r="B929">
        <v>2015</v>
      </c>
      <c r="C929" s="1">
        <v>42003</v>
      </c>
      <c r="D929" t="s">
        <v>13</v>
      </c>
      <c r="E929">
        <v>0</v>
      </c>
      <c r="F929">
        <v>13</v>
      </c>
      <c r="G929">
        <v>22</v>
      </c>
      <c r="H929">
        <v>1</v>
      </c>
      <c r="I929" t="s">
        <v>13</v>
      </c>
      <c r="J929">
        <v>86</v>
      </c>
      <c r="K929" t="s">
        <v>33</v>
      </c>
      <c r="L929">
        <v>109</v>
      </c>
      <c r="M929">
        <f>IF(D929=I929,VLOOKUP(D929,a_win_totals_lookup,MATCH(K929,a_wins_total_lookup_header,0)+1,0),VLOOKUP(D929,a_win_totals_lookup,MATCH(I929,a_wins_total_lookup_header,0)+1,0))</f>
        <v>0.43254773884592373</v>
      </c>
      <c r="N929">
        <f t="shared" ca="1" si="14"/>
        <v>0</v>
      </c>
    </row>
    <row r="930" spans="1:14" x14ac:dyDescent="0.25">
      <c r="A930">
        <v>400578758</v>
      </c>
      <c r="B930">
        <v>2015</v>
      </c>
      <c r="C930" s="1">
        <v>42003</v>
      </c>
      <c r="D930" t="s">
        <v>26</v>
      </c>
      <c r="E930">
        <v>1</v>
      </c>
      <c r="F930">
        <v>23</v>
      </c>
      <c r="G930">
        <v>8</v>
      </c>
      <c r="H930">
        <v>1</v>
      </c>
      <c r="I930" t="s">
        <v>26</v>
      </c>
      <c r="J930">
        <v>109</v>
      </c>
      <c r="K930" t="s">
        <v>40</v>
      </c>
      <c r="L930">
        <v>101</v>
      </c>
      <c r="M930">
        <f>IF(D930=I930,VLOOKUP(D930,a_win_totals_lookup,MATCH(K930,a_wins_total_lookup_header,0)+1,0),VLOOKUP(D930,a_win_totals_lookup,MATCH(I930,a_wins_total_lookup_header,0)+1,0))</f>
        <v>0.3875228826260283</v>
      </c>
      <c r="N930">
        <f t="shared" ca="1" si="14"/>
        <v>1</v>
      </c>
    </row>
    <row r="931" spans="1:14" x14ac:dyDescent="0.25">
      <c r="A931">
        <v>400578758</v>
      </c>
      <c r="B931">
        <v>2015</v>
      </c>
      <c r="C931" s="1">
        <v>42003</v>
      </c>
      <c r="D931" t="s">
        <v>40</v>
      </c>
      <c r="E931">
        <v>0</v>
      </c>
      <c r="F931">
        <v>18</v>
      </c>
      <c r="G931">
        <v>13</v>
      </c>
      <c r="H931">
        <v>0</v>
      </c>
      <c r="I931" t="s">
        <v>26</v>
      </c>
      <c r="J931">
        <v>109</v>
      </c>
      <c r="K931" t="s">
        <v>40</v>
      </c>
      <c r="L931">
        <v>101</v>
      </c>
      <c r="M931">
        <f>IF(D931=I931,VLOOKUP(D931,a_win_totals_lookup,MATCH(K931,a_wins_total_lookup_header,0)+1,0),VLOOKUP(D931,a_win_totals_lookup,MATCH(I931,a_wins_total_lookup_header,0)+1,0))</f>
        <v>0.6124771173739717</v>
      </c>
      <c r="N931">
        <f t="shared" ca="1" si="14"/>
        <v>1</v>
      </c>
    </row>
    <row r="932" spans="1:14" x14ac:dyDescent="0.25">
      <c r="A932">
        <v>400578759</v>
      </c>
      <c r="B932">
        <v>2015</v>
      </c>
      <c r="C932" s="1">
        <v>42003</v>
      </c>
      <c r="D932" t="s">
        <v>23</v>
      </c>
      <c r="E932">
        <v>1</v>
      </c>
      <c r="F932">
        <v>15</v>
      </c>
      <c r="G932">
        <v>16</v>
      </c>
      <c r="H932">
        <v>0</v>
      </c>
      <c r="I932" t="s">
        <v>30</v>
      </c>
      <c r="J932">
        <v>82</v>
      </c>
      <c r="K932" t="s">
        <v>23</v>
      </c>
      <c r="L932">
        <v>96</v>
      </c>
      <c r="M932">
        <f>IF(D932=I932,VLOOKUP(D932,a_win_totals_lookup,MATCH(K932,a_wins_total_lookup_header,0)+1,0),VLOOKUP(D932,a_win_totals_lookup,MATCH(I932,a_wins_total_lookup_header,0)+1,0))</f>
        <v>0.36031197606974674</v>
      </c>
      <c r="N932">
        <f t="shared" ca="1" si="14"/>
        <v>1</v>
      </c>
    </row>
    <row r="933" spans="1:14" x14ac:dyDescent="0.25">
      <c r="A933">
        <v>400578759</v>
      </c>
      <c r="B933">
        <v>2015</v>
      </c>
      <c r="C933" s="1">
        <v>42003</v>
      </c>
      <c r="D933" t="s">
        <v>30</v>
      </c>
      <c r="E933">
        <v>0</v>
      </c>
      <c r="F933">
        <v>22</v>
      </c>
      <c r="G933">
        <v>10</v>
      </c>
      <c r="H933">
        <v>1</v>
      </c>
      <c r="I933" t="s">
        <v>30</v>
      </c>
      <c r="J933">
        <v>82</v>
      </c>
      <c r="K933" t="s">
        <v>23</v>
      </c>
      <c r="L933">
        <v>96</v>
      </c>
      <c r="M933">
        <f>IF(D933=I933,VLOOKUP(D933,a_win_totals_lookup,MATCH(K933,a_wins_total_lookup_header,0)+1,0),VLOOKUP(D933,a_win_totals_lookup,MATCH(I933,a_wins_total_lookup_header,0)+1,0))</f>
        <v>0.63968802393025326</v>
      </c>
      <c r="N933">
        <f t="shared" ca="1" si="14"/>
        <v>1</v>
      </c>
    </row>
    <row r="934" spans="1:14" x14ac:dyDescent="0.25">
      <c r="A934">
        <v>400578760</v>
      </c>
      <c r="B934">
        <v>2015</v>
      </c>
      <c r="C934" s="1">
        <v>42003</v>
      </c>
      <c r="D934" t="s">
        <v>28</v>
      </c>
      <c r="E934">
        <v>1</v>
      </c>
      <c r="F934">
        <v>23</v>
      </c>
      <c r="G934">
        <v>8</v>
      </c>
      <c r="H934">
        <v>1</v>
      </c>
      <c r="I934" t="s">
        <v>28</v>
      </c>
      <c r="J934">
        <v>95</v>
      </c>
      <c r="K934" t="s">
        <v>15</v>
      </c>
      <c r="L934">
        <v>87</v>
      </c>
      <c r="M934">
        <f>IF(D934=I934,VLOOKUP(D934,a_win_totals_lookup,MATCH(K934,a_wins_total_lookup_header,0)+1,0),VLOOKUP(D934,a_win_totals_lookup,MATCH(I934,a_wins_total_lookup_header,0)+1,0))</f>
        <v>0.45806716423177474</v>
      </c>
      <c r="N934">
        <f t="shared" ca="1" si="14"/>
        <v>0</v>
      </c>
    </row>
    <row r="935" spans="1:14" x14ac:dyDescent="0.25">
      <c r="A935">
        <v>400578760</v>
      </c>
      <c r="B935">
        <v>2015</v>
      </c>
      <c r="C935" s="1">
        <v>42003</v>
      </c>
      <c r="D935" t="s">
        <v>15</v>
      </c>
      <c r="E935">
        <v>0</v>
      </c>
      <c r="F935">
        <v>19</v>
      </c>
      <c r="G935">
        <v>14</v>
      </c>
      <c r="H935">
        <v>0</v>
      </c>
      <c r="I935" t="s">
        <v>28</v>
      </c>
      <c r="J935">
        <v>95</v>
      </c>
      <c r="K935" t="s">
        <v>15</v>
      </c>
      <c r="L935">
        <v>87</v>
      </c>
      <c r="M935">
        <f>IF(D935=I935,VLOOKUP(D935,a_win_totals_lookup,MATCH(K935,a_wins_total_lookup_header,0)+1,0),VLOOKUP(D935,a_win_totals_lookup,MATCH(I935,a_wins_total_lookup_header,0)+1,0))</f>
        <v>0.54193283576822526</v>
      </c>
      <c r="N935">
        <f t="shared" ca="1" si="14"/>
        <v>0</v>
      </c>
    </row>
    <row r="936" spans="1:14" x14ac:dyDescent="0.25">
      <c r="A936">
        <v>400578761</v>
      </c>
      <c r="B936">
        <v>2015</v>
      </c>
      <c r="C936" s="1">
        <v>42003</v>
      </c>
      <c r="D936" t="s">
        <v>12</v>
      </c>
      <c r="E936">
        <v>1</v>
      </c>
      <c r="F936">
        <v>16</v>
      </c>
      <c r="G936">
        <v>15</v>
      </c>
      <c r="H936">
        <v>1</v>
      </c>
      <c r="I936" t="s">
        <v>12</v>
      </c>
      <c r="J936">
        <v>110</v>
      </c>
      <c r="K936" t="s">
        <v>35</v>
      </c>
      <c r="L936">
        <v>106</v>
      </c>
      <c r="M936">
        <f>IF(D936=I936,VLOOKUP(D936,a_win_totals_lookup,MATCH(K936,a_wins_total_lookup_header,0)+1,0),VLOOKUP(D936,a_win_totals_lookup,MATCH(I936,a_wins_total_lookup_header,0)+1,0))</f>
        <v>0.47439806002693663</v>
      </c>
      <c r="N936">
        <f t="shared" ca="1" si="14"/>
        <v>1</v>
      </c>
    </row>
    <row r="937" spans="1:14" x14ac:dyDescent="0.25">
      <c r="A937">
        <v>400578761</v>
      </c>
      <c r="B937">
        <v>2015</v>
      </c>
      <c r="C937" s="1">
        <v>42003</v>
      </c>
      <c r="D937" t="s">
        <v>35</v>
      </c>
      <c r="E937">
        <v>0</v>
      </c>
      <c r="F937">
        <v>18</v>
      </c>
      <c r="G937">
        <v>15</v>
      </c>
      <c r="H937">
        <v>0</v>
      </c>
      <c r="I937" t="s">
        <v>12</v>
      </c>
      <c r="J937">
        <v>110</v>
      </c>
      <c r="K937" t="s">
        <v>35</v>
      </c>
      <c r="L937">
        <v>106</v>
      </c>
      <c r="M937">
        <f>IF(D937=I937,VLOOKUP(D937,a_win_totals_lookup,MATCH(K937,a_wins_total_lookup_header,0)+1,0),VLOOKUP(D937,a_win_totals_lookup,MATCH(I937,a_wins_total_lookup_header,0)+1,0))</f>
        <v>0.52560193997306337</v>
      </c>
      <c r="N937">
        <f t="shared" ca="1" si="14"/>
        <v>1</v>
      </c>
    </row>
    <row r="938" spans="1:14" x14ac:dyDescent="0.25">
      <c r="A938">
        <v>400578762</v>
      </c>
      <c r="B938">
        <v>2015</v>
      </c>
      <c r="C938" s="1">
        <v>42003</v>
      </c>
      <c r="D938" t="s">
        <v>14</v>
      </c>
      <c r="E938">
        <v>1</v>
      </c>
      <c r="F938">
        <v>23</v>
      </c>
      <c r="G938">
        <v>10</v>
      </c>
      <c r="H938">
        <v>1</v>
      </c>
      <c r="I938" t="s">
        <v>14</v>
      </c>
      <c r="J938">
        <v>114</v>
      </c>
      <c r="K938" t="s">
        <v>25</v>
      </c>
      <c r="L938">
        <v>87</v>
      </c>
      <c r="M938">
        <f>IF(D938=I938,VLOOKUP(D938,a_win_totals_lookup,MATCH(K938,a_wins_total_lookup_header,0)+1,0),VLOOKUP(D938,a_win_totals_lookup,MATCH(I938,a_wins_total_lookup_header,0)+1,0))</f>
        <v>0.53429204972678024</v>
      </c>
      <c r="N938">
        <f t="shared" ca="1" si="14"/>
        <v>0</v>
      </c>
    </row>
    <row r="939" spans="1:14" x14ac:dyDescent="0.25">
      <c r="A939">
        <v>400578762</v>
      </c>
      <c r="B939">
        <v>2015</v>
      </c>
      <c r="C939" s="1">
        <v>42003</v>
      </c>
      <c r="D939" t="s">
        <v>25</v>
      </c>
      <c r="E939">
        <v>0</v>
      </c>
      <c r="F939">
        <v>22</v>
      </c>
      <c r="G939">
        <v>9</v>
      </c>
      <c r="H939">
        <v>0</v>
      </c>
      <c r="I939" t="s">
        <v>14</v>
      </c>
      <c r="J939">
        <v>114</v>
      </c>
      <c r="K939" t="s">
        <v>25</v>
      </c>
      <c r="L939">
        <v>87</v>
      </c>
      <c r="M939">
        <f>IF(D939=I939,VLOOKUP(D939,a_win_totals_lookup,MATCH(K939,a_wins_total_lookup_header,0)+1,0),VLOOKUP(D939,a_win_totals_lookup,MATCH(I939,a_wins_total_lookup_header,0)+1,0))</f>
        <v>0.46570795027321976</v>
      </c>
      <c r="N939">
        <f t="shared" ca="1" si="14"/>
        <v>0</v>
      </c>
    </row>
    <row r="940" spans="1:14" x14ac:dyDescent="0.25">
      <c r="A940">
        <v>400578763</v>
      </c>
      <c r="B940">
        <v>2015</v>
      </c>
      <c r="C940" s="1">
        <v>42003</v>
      </c>
      <c r="D940" t="s">
        <v>32</v>
      </c>
      <c r="E940">
        <v>0</v>
      </c>
      <c r="F940">
        <v>13</v>
      </c>
      <c r="G940">
        <v>19</v>
      </c>
      <c r="H940">
        <v>1</v>
      </c>
      <c r="I940" t="s">
        <v>32</v>
      </c>
      <c r="J940">
        <v>103</v>
      </c>
      <c r="K940" t="s">
        <v>17</v>
      </c>
      <c r="L940">
        <v>111</v>
      </c>
      <c r="M940">
        <f>IF(D940=I940,VLOOKUP(D940,a_win_totals_lookup,MATCH(K940,a_wins_total_lookup_header,0)+1,0),VLOOKUP(D940,a_win_totals_lookup,MATCH(I940,a_wins_total_lookup_header,0)+1,0))</f>
        <v>0.57711263446281591</v>
      </c>
      <c r="N940">
        <f t="shared" ca="1" si="14"/>
        <v>0</v>
      </c>
    </row>
    <row r="941" spans="1:14" x14ac:dyDescent="0.25">
      <c r="A941">
        <v>400578763</v>
      </c>
      <c r="B941">
        <v>2015</v>
      </c>
      <c r="C941" s="1">
        <v>42003</v>
      </c>
      <c r="D941" t="s">
        <v>17</v>
      </c>
      <c r="E941">
        <v>1</v>
      </c>
      <c r="F941">
        <v>10</v>
      </c>
      <c r="G941">
        <v>22</v>
      </c>
      <c r="H941">
        <v>0</v>
      </c>
      <c r="I941" t="s">
        <v>32</v>
      </c>
      <c r="J941">
        <v>103</v>
      </c>
      <c r="K941" t="s">
        <v>17</v>
      </c>
      <c r="L941">
        <v>111</v>
      </c>
      <c r="M941">
        <f>IF(D941=I941,VLOOKUP(D941,a_win_totals_lookup,MATCH(K941,a_wins_total_lookup_header,0)+1,0),VLOOKUP(D941,a_win_totals_lookup,MATCH(I941,a_wins_total_lookup_header,0)+1,0))</f>
        <v>0.42288736553718415</v>
      </c>
      <c r="N941">
        <f t="shared" ca="1" si="14"/>
        <v>0</v>
      </c>
    </row>
    <row r="942" spans="1:14" x14ac:dyDescent="0.25">
      <c r="A942">
        <v>400578764</v>
      </c>
      <c r="B942">
        <v>2015</v>
      </c>
      <c r="C942" s="1">
        <v>42003</v>
      </c>
      <c r="D942" t="s">
        <v>29</v>
      </c>
      <c r="E942">
        <v>0</v>
      </c>
      <c r="F942">
        <v>5</v>
      </c>
      <c r="G942">
        <v>25</v>
      </c>
      <c r="H942">
        <v>0</v>
      </c>
      <c r="I942" t="s">
        <v>34</v>
      </c>
      <c r="J942">
        <v>100</v>
      </c>
      <c r="K942" t="s">
        <v>29</v>
      </c>
      <c r="L942">
        <v>94</v>
      </c>
      <c r="M942">
        <f>IF(D942=I942,VLOOKUP(D942,a_win_totals_lookup,MATCH(K942,a_wins_total_lookup_header,0)+1,0),VLOOKUP(D942,a_win_totals_lookup,MATCH(I942,a_wins_total_lookup_header,0)+1,0))</f>
        <v>0.44399285510679726</v>
      </c>
      <c r="N942">
        <f t="shared" ca="1" si="14"/>
        <v>0</v>
      </c>
    </row>
    <row r="943" spans="1:14" x14ac:dyDescent="0.25">
      <c r="A943">
        <v>400578764</v>
      </c>
      <c r="B943">
        <v>2015</v>
      </c>
      <c r="C943" s="1">
        <v>42003</v>
      </c>
      <c r="D943" t="s">
        <v>34</v>
      </c>
      <c r="E943">
        <v>1</v>
      </c>
      <c r="F943">
        <v>11</v>
      </c>
      <c r="G943">
        <v>21</v>
      </c>
      <c r="H943">
        <v>1</v>
      </c>
      <c r="I943" t="s">
        <v>34</v>
      </c>
      <c r="J943">
        <v>100</v>
      </c>
      <c r="K943" t="s">
        <v>29</v>
      </c>
      <c r="L943">
        <v>94</v>
      </c>
      <c r="M943">
        <f>IF(D943=I943,VLOOKUP(D943,a_win_totals_lookup,MATCH(K943,a_wins_total_lookup_header,0)+1,0),VLOOKUP(D943,a_win_totals_lookup,MATCH(I943,a_wins_total_lookup_header,0)+1,0))</f>
        <v>0.5560071448932028</v>
      </c>
      <c r="N943">
        <f t="shared" ca="1" si="14"/>
        <v>0</v>
      </c>
    </row>
    <row r="944" spans="1:14" x14ac:dyDescent="0.25">
      <c r="A944">
        <v>400578765</v>
      </c>
      <c r="B944">
        <v>2015</v>
      </c>
      <c r="C944" s="1">
        <v>42003</v>
      </c>
      <c r="D944" t="s">
        <v>39</v>
      </c>
      <c r="E944">
        <v>1</v>
      </c>
      <c r="F944">
        <v>26</v>
      </c>
      <c r="G944">
        <v>7</v>
      </c>
      <c r="H944">
        <v>1</v>
      </c>
      <c r="I944" t="s">
        <v>39</v>
      </c>
      <c r="J944">
        <v>102</v>
      </c>
      <c r="K944" t="s">
        <v>27</v>
      </c>
      <c r="L944">
        <v>97</v>
      </c>
      <c r="M944">
        <f>IF(D944=I944,VLOOKUP(D944,a_win_totals_lookup,MATCH(K944,a_wins_total_lookup_header,0)+1,0),VLOOKUP(D944,a_win_totals_lookup,MATCH(I944,a_wins_total_lookup_header,0)+1,0))</f>
        <v>0.47511372765015386</v>
      </c>
      <c r="N944">
        <f t="shared" ca="1" si="14"/>
        <v>0</v>
      </c>
    </row>
    <row r="945" spans="1:14" x14ac:dyDescent="0.25">
      <c r="A945">
        <v>400578765</v>
      </c>
      <c r="B945">
        <v>2015</v>
      </c>
      <c r="C945" s="1">
        <v>42003</v>
      </c>
      <c r="D945" t="s">
        <v>27</v>
      </c>
      <c r="E945">
        <v>0</v>
      </c>
      <c r="F945">
        <v>24</v>
      </c>
      <c r="G945">
        <v>8</v>
      </c>
      <c r="H945">
        <v>0</v>
      </c>
      <c r="I945" t="s">
        <v>39</v>
      </c>
      <c r="J945">
        <v>102</v>
      </c>
      <c r="K945" t="s">
        <v>27</v>
      </c>
      <c r="L945">
        <v>97</v>
      </c>
      <c r="M945">
        <f>IF(D945=I945,VLOOKUP(D945,a_win_totals_lookup,MATCH(K945,a_wins_total_lookup_header,0)+1,0),VLOOKUP(D945,a_win_totals_lookup,MATCH(I945,a_wins_total_lookup_header,0)+1,0))</f>
        <v>0.52488627234984619</v>
      </c>
      <c r="N945">
        <f t="shared" ca="1" si="14"/>
        <v>1</v>
      </c>
    </row>
    <row r="946" spans="1:14" x14ac:dyDescent="0.25">
      <c r="A946">
        <v>400578766</v>
      </c>
      <c r="B946">
        <v>2015</v>
      </c>
      <c r="C946" s="1">
        <v>42003</v>
      </c>
      <c r="D946" t="s">
        <v>36</v>
      </c>
      <c r="E946">
        <v>1</v>
      </c>
      <c r="F946">
        <v>25</v>
      </c>
      <c r="G946">
        <v>5</v>
      </c>
      <c r="H946">
        <v>1</v>
      </c>
      <c r="I946" t="s">
        <v>36</v>
      </c>
      <c r="J946">
        <v>126</v>
      </c>
      <c r="K946" t="s">
        <v>21</v>
      </c>
      <c r="L946">
        <v>86</v>
      </c>
      <c r="M946">
        <f>IF(D946=I946,VLOOKUP(D946,a_win_totals_lookup,MATCH(K946,a_wins_total_lookup_header,0)+1,0),VLOOKUP(D946,a_win_totals_lookup,MATCH(I946,a_wins_total_lookup_header,0)+1,0))</f>
        <v>0.79146298511296831</v>
      </c>
      <c r="N946">
        <f t="shared" ca="1" si="14"/>
        <v>0</v>
      </c>
    </row>
    <row r="947" spans="1:14" x14ac:dyDescent="0.25">
      <c r="A947">
        <v>400578766</v>
      </c>
      <c r="B947">
        <v>2015</v>
      </c>
      <c r="C947" s="1">
        <v>42003</v>
      </c>
      <c r="D947" t="s">
        <v>21</v>
      </c>
      <c r="E947">
        <v>0</v>
      </c>
      <c r="F947">
        <v>4</v>
      </c>
      <c r="G947">
        <v>26</v>
      </c>
      <c r="H947">
        <v>0</v>
      </c>
      <c r="I947" t="s">
        <v>36</v>
      </c>
      <c r="J947">
        <v>126</v>
      </c>
      <c r="K947" t="s">
        <v>21</v>
      </c>
      <c r="L947">
        <v>86</v>
      </c>
      <c r="M947">
        <f>IF(D947=I947,VLOOKUP(D947,a_win_totals_lookup,MATCH(K947,a_wins_total_lookup_header,0)+1,0),VLOOKUP(D947,a_win_totals_lookup,MATCH(I947,a_wins_total_lookup_header,0)+1,0))</f>
        <v>0.20853701488703166</v>
      </c>
      <c r="N947">
        <f t="shared" ca="1" si="14"/>
        <v>0</v>
      </c>
    </row>
    <row r="948" spans="1:14" x14ac:dyDescent="0.25">
      <c r="A948">
        <v>400578767</v>
      </c>
      <c r="B948">
        <v>2015</v>
      </c>
      <c r="C948" s="1">
        <v>42004</v>
      </c>
      <c r="D948" t="s">
        <v>22</v>
      </c>
      <c r="E948">
        <v>1</v>
      </c>
      <c r="F948">
        <v>11</v>
      </c>
      <c r="G948">
        <v>18</v>
      </c>
      <c r="H948">
        <v>1</v>
      </c>
      <c r="I948" t="s">
        <v>22</v>
      </c>
      <c r="J948">
        <v>106</v>
      </c>
      <c r="K948" t="s">
        <v>37</v>
      </c>
      <c r="L948">
        <v>84</v>
      </c>
      <c r="M948">
        <f>IF(D948=I948,VLOOKUP(D948,a_win_totals_lookup,MATCH(K948,a_wins_total_lookup_header,0)+1,0),VLOOKUP(D948,a_win_totals_lookup,MATCH(I948,a_wins_total_lookup_header,0)+1,0))</f>
        <v>0.40973570236484297</v>
      </c>
      <c r="N948">
        <f t="shared" ca="1" si="14"/>
        <v>1</v>
      </c>
    </row>
    <row r="949" spans="1:14" x14ac:dyDescent="0.25">
      <c r="A949">
        <v>400578767</v>
      </c>
      <c r="B949">
        <v>2015</v>
      </c>
      <c r="C949" s="1">
        <v>42004</v>
      </c>
      <c r="D949" t="s">
        <v>37</v>
      </c>
      <c r="E949">
        <v>0</v>
      </c>
      <c r="F949">
        <v>13</v>
      </c>
      <c r="G949">
        <v>19</v>
      </c>
      <c r="H949">
        <v>0</v>
      </c>
      <c r="I949" t="s">
        <v>22</v>
      </c>
      <c r="J949">
        <v>106</v>
      </c>
      <c r="K949" t="s">
        <v>37</v>
      </c>
      <c r="L949">
        <v>84</v>
      </c>
      <c r="M949">
        <f>IF(D949=I949,VLOOKUP(D949,a_win_totals_lookup,MATCH(K949,a_wins_total_lookup_header,0)+1,0),VLOOKUP(D949,a_win_totals_lookup,MATCH(I949,a_wins_total_lookup_header,0)+1,0))</f>
        <v>0.59026429763515698</v>
      </c>
      <c r="N949">
        <f t="shared" ca="1" si="14"/>
        <v>1</v>
      </c>
    </row>
    <row r="950" spans="1:14" x14ac:dyDescent="0.25">
      <c r="A950">
        <v>400578768</v>
      </c>
      <c r="B950">
        <v>2015</v>
      </c>
      <c r="C950" s="1">
        <v>42004</v>
      </c>
      <c r="D950" t="s">
        <v>20</v>
      </c>
      <c r="E950">
        <v>1</v>
      </c>
      <c r="F950">
        <v>12</v>
      </c>
      <c r="G950">
        <v>21</v>
      </c>
      <c r="H950">
        <v>1</v>
      </c>
      <c r="I950" t="s">
        <v>20</v>
      </c>
      <c r="J950">
        <v>106</v>
      </c>
      <c r="K950" t="s">
        <v>24</v>
      </c>
      <c r="L950">
        <v>95</v>
      </c>
      <c r="M950">
        <f>IF(D950=I950,VLOOKUP(D950,a_win_totals_lookup,MATCH(K950,a_wins_total_lookup_header,0)+1,0),VLOOKUP(D950,a_win_totals_lookup,MATCH(I950,a_wins_total_lookup_header,0)+1,0))</f>
        <v>0.38957517755485771</v>
      </c>
      <c r="N950">
        <f t="shared" ca="1" si="14"/>
        <v>0</v>
      </c>
    </row>
    <row r="951" spans="1:14" x14ac:dyDescent="0.25">
      <c r="A951">
        <v>400578768</v>
      </c>
      <c r="B951">
        <v>2015</v>
      </c>
      <c r="C951" s="1">
        <v>42004</v>
      </c>
      <c r="D951" t="s">
        <v>24</v>
      </c>
      <c r="E951">
        <v>0</v>
      </c>
      <c r="F951">
        <v>14</v>
      </c>
      <c r="G951">
        <v>19</v>
      </c>
      <c r="H951">
        <v>0</v>
      </c>
      <c r="I951" t="s">
        <v>20</v>
      </c>
      <c r="J951">
        <v>106</v>
      </c>
      <c r="K951" t="s">
        <v>24</v>
      </c>
      <c r="L951">
        <v>95</v>
      </c>
      <c r="M951">
        <f>IF(D951=I951,VLOOKUP(D951,a_win_totals_lookup,MATCH(K951,a_wins_total_lookup_header,0)+1,0),VLOOKUP(D951,a_win_totals_lookup,MATCH(I951,a_wins_total_lookup_header,0)+1,0))</f>
        <v>0.61042482244514229</v>
      </c>
      <c r="N951">
        <f t="shared" ca="1" si="14"/>
        <v>1</v>
      </c>
    </row>
    <row r="952" spans="1:14" x14ac:dyDescent="0.25">
      <c r="A952">
        <v>400578769</v>
      </c>
      <c r="B952">
        <v>2015</v>
      </c>
      <c r="C952" s="1">
        <v>42004</v>
      </c>
      <c r="D952" t="s">
        <v>41</v>
      </c>
      <c r="E952">
        <v>1</v>
      </c>
      <c r="F952">
        <v>22</v>
      </c>
      <c r="G952">
        <v>11</v>
      </c>
      <c r="H952">
        <v>1</v>
      </c>
      <c r="I952" t="s">
        <v>41</v>
      </c>
      <c r="J952">
        <v>99</v>
      </c>
      <c r="K952" t="s">
        <v>31</v>
      </c>
      <c r="L952">
        <v>78</v>
      </c>
      <c r="M952">
        <f>IF(D952=I952,VLOOKUP(D952,a_win_totals_lookup,MATCH(K952,a_wins_total_lookup_header,0)+1,0),VLOOKUP(D952,a_win_totals_lookup,MATCH(I952,a_wins_total_lookup_header,0)+1,0))</f>
        <v>0.64912982573812106</v>
      </c>
      <c r="N952">
        <f t="shared" ca="1" si="14"/>
        <v>0</v>
      </c>
    </row>
    <row r="953" spans="1:14" x14ac:dyDescent="0.25">
      <c r="A953">
        <v>400578769</v>
      </c>
      <c r="B953">
        <v>2015</v>
      </c>
      <c r="C953" s="1">
        <v>42004</v>
      </c>
      <c r="D953" t="s">
        <v>31</v>
      </c>
      <c r="E953">
        <v>0</v>
      </c>
      <c r="F953">
        <v>5</v>
      </c>
      <c r="G953">
        <v>29</v>
      </c>
      <c r="H953">
        <v>0</v>
      </c>
      <c r="I953" t="s">
        <v>41</v>
      </c>
      <c r="J953">
        <v>99</v>
      </c>
      <c r="K953" t="s">
        <v>31</v>
      </c>
      <c r="L953">
        <v>78</v>
      </c>
      <c r="M953">
        <f>IF(D953=I953,VLOOKUP(D953,a_win_totals_lookup,MATCH(K953,a_wins_total_lookup_header,0)+1,0),VLOOKUP(D953,a_win_totals_lookup,MATCH(I953,a_wins_total_lookup_header,0)+1,0))</f>
        <v>0.35087017426187905</v>
      </c>
      <c r="N953">
        <f t="shared" ca="1" si="14"/>
        <v>0</v>
      </c>
    </row>
    <row r="954" spans="1:14" x14ac:dyDescent="0.25">
      <c r="A954">
        <v>400578770</v>
      </c>
      <c r="B954">
        <v>2015</v>
      </c>
      <c r="C954" s="1">
        <v>42004</v>
      </c>
      <c r="D954" t="s">
        <v>18</v>
      </c>
      <c r="E954">
        <v>0</v>
      </c>
      <c r="F954">
        <v>10</v>
      </c>
      <c r="G954">
        <v>23</v>
      </c>
      <c r="H954">
        <v>0</v>
      </c>
      <c r="I954" t="s">
        <v>16</v>
      </c>
      <c r="J954">
        <v>102</v>
      </c>
      <c r="K954" t="s">
        <v>18</v>
      </c>
      <c r="L954">
        <v>83</v>
      </c>
      <c r="M954">
        <f>IF(D954=I954,VLOOKUP(D954,a_win_totals_lookup,MATCH(K954,a_wins_total_lookup_header,0)+1,0),VLOOKUP(D954,a_win_totals_lookup,MATCH(I954,a_wins_total_lookup_header,0)+1,0))</f>
        <v>0.47933915293597207</v>
      </c>
      <c r="N954">
        <f t="shared" ca="1" si="14"/>
        <v>0</v>
      </c>
    </row>
    <row r="955" spans="1:14" x14ac:dyDescent="0.25">
      <c r="A955">
        <v>400578770</v>
      </c>
      <c r="B955">
        <v>2015</v>
      </c>
      <c r="C955" s="1">
        <v>42004</v>
      </c>
      <c r="D955" t="s">
        <v>16</v>
      </c>
      <c r="E955">
        <v>1</v>
      </c>
      <c r="F955">
        <v>22</v>
      </c>
      <c r="G955">
        <v>9</v>
      </c>
      <c r="H955">
        <v>1</v>
      </c>
      <c r="I955" t="s">
        <v>16</v>
      </c>
      <c r="J955">
        <v>102</v>
      </c>
      <c r="K955" t="s">
        <v>18</v>
      </c>
      <c r="L955">
        <v>83</v>
      </c>
      <c r="M955">
        <f>IF(D955=I955,VLOOKUP(D955,a_win_totals_lookup,MATCH(K955,a_wins_total_lookup_header,0)+1,0),VLOOKUP(D955,a_win_totals_lookup,MATCH(I955,a_wins_total_lookup_header,0)+1,0))</f>
        <v>0.52066084706402804</v>
      </c>
      <c r="N955">
        <f t="shared" ca="1" si="14"/>
        <v>1</v>
      </c>
    </row>
    <row r="956" spans="1:14" x14ac:dyDescent="0.25">
      <c r="A956">
        <v>400578771</v>
      </c>
      <c r="B956">
        <v>2015</v>
      </c>
      <c r="C956" s="1">
        <v>42004</v>
      </c>
      <c r="D956" t="s">
        <v>40</v>
      </c>
      <c r="E956">
        <v>0</v>
      </c>
      <c r="F956">
        <v>18</v>
      </c>
      <c r="G956">
        <v>14</v>
      </c>
      <c r="H956">
        <v>1</v>
      </c>
      <c r="I956" t="s">
        <v>40</v>
      </c>
      <c r="J956">
        <v>80</v>
      </c>
      <c r="K956" t="s">
        <v>19</v>
      </c>
      <c r="L956">
        <v>96</v>
      </c>
      <c r="M956">
        <f>IF(D956=I956,VLOOKUP(D956,a_win_totals_lookup,MATCH(K956,a_wins_total_lookup_header,0)+1,0),VLOOKUP(D956,a_win_totals_lookup,MATCH(I956,a_wins_total_lookup_header,0)+1,0))</f>
        <v>0.77106907112086653</v>
      </c>
      <c r="N956">
        <f t="shared" ca="1" si="14"/>
        <v>0</v>
      </c>
    </row>
    <row r="957" spans="1:14" x14ac:dyDescent="0.25">
      <c r="A957">
        <v>400578771</v>
      </c>
      <c r="B957">
        <v>2015</v>
      </c>
      <c r="C957" s="1">
        <v>42004</v>
      </c>
      <c r="D957" t="s">
        <v>19</v>
      </c>
      <c r="E957">
        <v>1</v>
      </c>
      <c r="F957">
        <v>17</v>
      </c>
      <c r="G957">
        <v>16</v>
      </c>
      <c r="H957">
        <v>0</v>
      </c>
      <c r="I957" t="s">
        <v>40</v>
      </c>
      <c r="J957">
        <v>80</v>
      </c>
      <c r="K957" t="s">
        <v>19</v>
      </c>
      <c r="L957">
        <v>96</v>
      </c>
      <c r="M957">
        <f>IF(D957=I957,VLOOKUP(D957,a_win_totals_lookup,MATCH(K957,a_wins_total_lookup_header,0)+1,0),VLOOKUP(D957,a_win_totals_lookup,MATCH(I957,a_wins_total_lookup_header,0)+1,0))</f>
        <v>0.22893092887913349</v>
      </c>
      <c r="N957">
        <f t="shared" ca="1" si="14"/>
        <v>0</v>
      </c>
    </row>
    <row r="958" spans="1:14" x14ac:dyDescent="0.25">
      <c r="A958">
        <v>400578772</v>
      </c>
      <c r="B958">
        <v>2015</v>
      </c>
      <c r="C958" s="1">
        <v>42004</v>
      </c>
      <c r="D958" t="s">
        <v>38</v>
      </c>
      <c r="E958">
        <v>1</v>
      </c>
      <c r="F958">
        <v>16</v>
      </c>
      <c r="G958">
        <v>17</v>
      </c>
      <c r="H958">
        <v>1</v>
      </c>
      <c r="I958" t="s">
        <v>38</v>
      </c>
      <c r="J958">
        <v>137</v>
      </c>
      <c r="K958" t="s">
        <v>35</v>
      </c>
      <c r="L958">
        <v>134</v>
      </c>
      <c r="M958">
        <f>IF(D958=I958,VLOOKUP(D958,a_win_totals_lookup,MATCH(K958,a_wins_total_lookup_header,0)+1,0),VLOOKUP(D958,a_win_totals_lookup,MATCH(I958,a_wins_total_lookup_header,0)+1,0))</f>
        <v>0.59107258793132766</v>
      </c>
      <c r="N958">
        <f t="shared" ca="1" si="14"/>
        <v>1</v>
      </c>
    </row>
    <row r="959" spans="1:14" x14ac:dyDescent="0.25">
      <c r="A959">
        <v>400578772</v>
      </c>
      <c r="B959">
        <v>2015</v>
      </c>
      <c r="C959" s="1">
        <v>42004</v>
      </c>
      <c r="D959" t="s">
        <v>35</v>
      </c>
      <c r="E959">
        <v>0</v>
      </c>
      <c r="F959">
        <v>18</v>
      </c>
      <c r="G959">
        <v>16</v>
      </c>
      <c r="H959">
        <v>0</v>
      </c>
      <c r="I959" t="s">
        <v>38</v>
      </c>
      <c r="J959">
        <v>137</v>
      </c>
      <c r="K959" t="s">
        <v>35</v>
      </c>
      <c r="L959">
        <v>134</v>
      </c>
      <c r="M959">
        <f>IF(D959=I959,VLOOKUP(D959,a_win_totals_lookup,MATCH(K959,a_wins_total_lookup_header,0)+1,0),VLOOKUP(D959,a_win_totals_lookup,MATCH(I959,a_wins_total_lookup_header,0)+1,0))</f>
        <v>0.40892741206867239</v>
      </c>
      <c r="N959">
        <f t="shared" ca="1" si="14"/>
        <v>1</v>
      </c>
    </row>
    <row r="960" spans="1:14" x14ac:dyDescent="0.25">
      <c r="A960">
        <v>400578773</v>
      </c>
      <c r="B960">
        <v>2015</v>
      </c>
      <c r="C960" s="1">
        <v>42004</v>
      </c>
      <c r="D960" t="s">
        <v>12</v>
      </c>
      <c r="E960">
        <v>0</v>
      </c>
      <c r="F960">
        <v>16</v>
      </c>
      <c r="G960">
        <v>16</v>
      </c>
      <c r="H960">
        <v>0</v>
      </c>
      <c r="I960" t="s">
        <v>15</v>
      </c>
      <c r="J960">
        <v>95</v>
      </c>
      <c r="K960" t="s">
        <v>12</v>
      </c>
      <c r="L960">
        <v>93</v>
      </c>
      <c r="M960">
        <f>IF(D960=I960,VLOOKUP(D960,a_win_totals_lookup,MATCH(K960,a_wins_total_lookup_header,0)+1,0),VLOOKUP(D960,a_win_totals_lookup,MATCH(I960,a_wins_total_lookup_header,0)+1,0))</f>
        <v>0.37307955571959134</v>
      </c>
      <c r="N960">
        <f t="shared" ca="1" si="14"/>
        <v>0</v>
      </c>
    </row>
    <row r="961" spans="1:14" x14ac:dyDescent="0.25">
      <c r="A961">
        <v>400578773</v>
      </c>
      <c r="B961">
        <v>2015</v>
      </c>
      <c r="C961" s="1">
        <v>42004</v>
      </c>
      <c r="D961" t="s">
        <v>15</v>
      </c>
      <c r="E961">
        <v>1</v>
      </c>
      <c r="F961">
        <v>20</v>
      </c>
      <c r="G961">
        <v>14</v>
      </c>
      <c r="H961">
        <v>1</v>
      </c>
      <c r="I961" t="s">
        <v>15</v>
      </c>
      <c r="J961">
        <v>95</v>
      </c>
      <c r="K961" t="s">
        <v>12</v>
      </c>
      <c r="L961">
        <v>93</v>
      </c>
      <c r="M961">
        <f>IF(D961=I961,VLOOKUP(D961,a_win_totals_lookup,MATCH(K961,a_wins_total_lookup_header,0)+1,0),VLOOKUP(D961,a_win_totals_lookup,MATCH(I961,a_wins_total_lookup_header,0)+1,0))</f>
        <v>0.62692044428040861</v>
      </c>
      <c r="N961">
        <f t="shared" ca="1" si="14"/>
        <v>1</v>
      </c>
    </row>
    <row r="962" spans="1:14" x14ac:dyDescent="0.25">
      <c r="A962">
        <v>400578774</v>
      </c>
      <c r="B962">
        <v>2015</v>
      </c>
      <c r="C962" s="1">
        <v>42005</v>
      </c>
      <c r="D962" t="s">
        <v>30</v>
      </c>
      <c r="E962">
        <v>1</v>
      </c>
      <c r="F962">
        <v>23</v>
      </c>
      <c r="G962">
        <v>10</v>
      </c>
      <c r="H962">
        <v>1</v>
      </c>
      <c r="I962" t="s">
        <v>30</v>
      </c>
      <c r="J962">
        <v>106</v>
      </c>
      <c r="K962" t="s">
        <v>32</v>
      </c>
      <c r="L962">
        <v>101</v>
      </c>
      <c r="M962">
        <f>IF(D962=I962,VLOOKUP(D962,a_win_totals_lookup,MATCH(K962,a_wins_total_lookup_header,0)+1,0),VLOOKUP(D962,a_win_totals_lookup,MATCH(I962,a_wins_total_lookup_header,0)+1,0))</f>
        <v>0.63968802393025326</v>
      </c>
      <c r="N962">
        <f t="shared" ca="1" si="14"/>
        <v>1</v>
      </c>
    </row>
    <row r="963" spans="1:14" x14ac:dyDescent="0.25">
      <c r="A963">
        <v>400578774</v>
      </c>
      <c r="B963">
        <v>2015</v>
      </c>
      <c r="C963" s="1">
        <v>42005</v>
      </c>
      <c r="D963" t="s">
        <v>32</v>
      </c>
      <c r="E963">
        <v>0</v>
      </c>
      <c r="F963">
        <v>13</v>
      </c>
      <c r="G963">
        <v>20</v>
      </c>
      <c r="H963">
        <v>0</v>
      </c>
      <c r="I963" t="s">
        <v>30</v>
      </c>
      <c r="J963">
        <v>106</v>
      </c>
      <c r="K963" t="s">
        <v>32</v>
      </c>
      <c r="L963">
        <v>101</v>
      </c>
      <c r="M963">
        <f>IF(D963=I963,VLOOKUP(D963,a_win_totals_lookup,MATCH(K963,a_wins_total_lookup_header,0)+1,0),VLOOKUP(D963,a_win_totals_lookup,MATCH(I963,a_wins_total_lookup_header,0)+1,0))</f>
        <v>0.36031197606974674</v>
      </c>
      <c r="N963">
        <f t="shared" ref="N963:N1026" ca="1" si="15">ROUND(0.5*RANDBETWEEN(-1,1)+M963,0)</f>
        <v>1</v>
      </c>
    </row>
    <row r="964" spans="1:14" x14ac:dyDescent="0.25">
      <c r="A964">
        <v>400578775</v>
      </c>
      <c r="B964">
        <v>2015</v>
      </c>
      <c r="C964" s="1">
        <v>42005</v>
      </c>
      <c r="D964" t="s">
        <v>29</v>
      </c>
      <c r="E964">
        <v>0</v>
      </c>
      <c r="F964">
        <v>5</v>
      </c>
      <c r="G964">
        <v>26</v>
      </c>
      <c r="H964">
        <v>1</v>
      </c>
      <c r="I964" t="s">
        <v>29</v>
      </c>
      <c r="J964">
        <v>107</v>
      </c>
      <c r="K964" t="s">
        <v>37</v>
      </c>
      <c r="L964">
        <v>110</v>
      </c>
      <c r="M964">
        <f>IF(D964=I964,VLOOKUP(D964,a_win_totals_lookup,MATCH(K964,a_wins_total_lookup_header,0)+1,0),VLOOKUP(D964,a_win_totals_lookup,MATCH(I964,a_wins_total_lookup_header,0)+1,0))</f>
        <v>0.40973570236484297</v>
      </c>
      <c r="N964">
        <f t="shared" ca="1" si="15"/>
        <v>1</v>
      </c>
    </row>
    <row r="965" spans="1:14" x14ac:dyDescent="0.25">
      <c r="A965">
        <v>400578775</v>
      </c>
      <c r="B965">
        <v>2015</v>
      </c>
      <c r="C965" s="1">
        <v>42005</v>
      </c>
      <c r="D965" t="s">
        <v>37</v>
      </c>
      <c r="E965">
        <v>1</v>
      </c>
      <c r="F965">
        <v>14</v>
      </c>
      <c r="G965">
        <v>19</v>
      </c>
      <c r="H965">
        <v>0</v>
      </c>
      <c r="I965" t="s">
        <v>29</v>
      </c>
      <c r="J965">
        <v>107</v>
      </c>
      <c r="K965" t="s">
        <v>37</v>
      </c>
      <c r="L965">
        <v>110</v>
      </c>
      <c r="M965">
        <f>IF(D965=I965,VLOOKUP(D965,a_win_totals_lookup,MATCH(K965,a_wins_total_lookup_header,0)+1,0),VLOOKUP(D965,a_win_totals_lookup,MATCH(I965,a_wins_total_lookup_header,0)+1,0))</f>
        <v>0.59026429763515698</v>
      </c>
      <c r="N965">
        <f t="shared" ca="1" si="15"/>
        <v>0</v>
      </c>
    </row>
    <row r="966" spans="1:14" x14ac:dyDescent="0.25">
      <c r="A966">
        <v>400578776</v>
      </c>
      <c r="B966">
        <v>2015</v>
      </c>
      <c r="C966" s="1">
        <v>42006</v>
      </c>
      <c r="D966" t="s">
        <v>18</v>
      </c>
      <c r="E966">
        <v>0</v>
      </c>
      <c r="F966">
        <v>10</v>
      </c>
      <c r="G966">
        <v>24</v>
      </c>
      <c r="H966">
        <v>1</v>
      </c>
      <c r="I966" t="s">
        <v>18</v>
      </c>
      <c r="J966">
        <v>87</v>
      </c>
      <c r="K966" t="s">
        <v>40</v>
      </c>
      <c r="L966">
        <v>91</v>
      </c>
      <c r="M966">
        <f>IF(D966=I966,VLOOKUP(D966,a_win_totals_lookup,MATCH(K966,a_wins_total_lookup_header,0)+1,0),VLOOKUP(D966,a_win_totals_lookup,MATCH(I966,a_wins_total_lookup_header,0)+1,0))</f>
        <v>0.40969739834145852</v>
      </c>
      <c r="N966">
        <f t="shared" ca="1" si="15"/>
        <v>0</v>
      </c>
    </row>
    <row r="967" spans="1:14" x14ac:dyDescent="0.25">
      <c r="A967">
        <v>400578776</v>
      </c>
      <c r="B967">
        <v>2015</v>
      </c>
      <c r="C967" s="1">
        <v>42006</v>
      </c>
      <c r="D967" t="s">
        <v>40</v>
      </c>
      <c r="E967">
        <v>1</v>
      </c>
      <c r="F967">
        <v>19</v>
      </c>
      <c r="G967">
        <v>14</v>
      </c>
      <c r="H967">
        <v>0</v>
      </c>
      <c r="I967" t="s">
        <v>18</v>
      </c>
      <c r="J967">
        <v>87</v>
      </c>
      <c r="K967" t="s">
        <v>40</v>
      </c>
      <c r="L967">
        <v>91</v>
      </c>
      <c r="M967">
        <f>IF(D967=I967,VLOOKUP(D967,a_win_totals_lookup,MATCH(K967,a_wins_total_lookup_header,0)+1,0),VLOOKUP(D967,a_win_totals_lookup,MATCH(I967,a_wins_total_lookup_header,0)+1,0))</f>
        <v>0.59030260165854143</v>
      </c>
      <c r="N967">
        <f t="shared" ca="1" si="15"/>
        <v>1</v>
      </c>
    </row>
    <row r="968" spans="1:14" x14ac:dyDescent="0.25">
      <c r="A968">
        <v>400578777</v>
      </c>
      <c r="B968">
        <v>2015</v>
      </c>
      <c r="C968" s="1">
        <v>42006</v>
      </c>
      <c r="D968" t="s">
        <v>23</v>
      </c>
      <c r="E968">
        <v>1</v>
      </c>
      <c r="F968">
        <v>16</v>
      </c>
      <c r="G968">
        <v>16</v>
      </c>
      <c r="H968">
        <v>0</v>
      </c>
      <c r="I968" t="s">
        <v>13</v>
      </c>
      <c r="J968">
        <v>98</v>
      </c>
      <c r="K968" t="s">
        <v>23</v>
      </c>
      <c r="L968">
        <v>100</v>
      </c>
      <c r="M968">
        <f>IF(D968=I968,VLOOKUP(D968,a_win_totals_lookup,MATCH(K968,a_wins_total_lookup_header,0)+1,0),VLOOKUP(D968,a_win_totals_lookup,MATCH(I968,a_wins_total_lookup_header,0)+1,0))</f>
        <v>0.61088100448941873</v>
      </c>
      <c r="N968">
        <f t="shared" ca="1" si="15"/>
        <v>0</v>
      </c>
    </row>
    <row r="969" spans="1:14" x14ac:dyDescent="0.25">
      <c r="A969">
        <v>400578777</v>
      </c>
      <c r="B969">
        <v>2015</v>
      </c>
      <c r="C969" s="1">
        <v>42006</v>
      </c>
      <c r="D969" t="s">
        <v>13</v>
      </c>
      <c r="E969">
        <v>0</v>
      </c>
      <c r="F969">
        <v>13</v>
      </c>
      <c r="G969">
        <v>23</v>
      </c>
      <c r="H969">
        <v>1</v>
      </c>
      <c r="I969" t="s">
        <v>13</v>
      </c>
      <c r="J969">
        <v>98</v>
      </c>
      <c r="K969" t="s">
        <v>23</v>
      </c>
      <c r="L969">
        <v>100</v>
      </c>
      <c r="M969">
        <f>IF(D969=I969,VLOOKUP(D969,a_win_totals_lookup,MATCH(K969,a_wins_total_lookup_header,0)+1,0),VLOOKUP(D969,a_win_totals_lookup,MATCH(I969,a_wins_total_lookup_header,0)+1,0))</f>
        <v>0.38911899551058127</v>
      </c>
      <c r="N969">
        <f t="shared" ca="1" si="15"/>
        <v>1</v>
      </c>
    </row>
    <row r="970" spans="1:14" x14ac:dyDescent="0.25">
      <c r="A970">
        <v>400578778</v>
      </c>
      <c r="B970">
        <v>2015</v>
      </c>
      <c r="C970" s="1">
        <v>42006</v>
      </c>
      <c r="D970" t="s">
        <v>22</v>
      </c>
      <c r="E970">
        <v>0</v>
      </c>
      <c r="F970">
        <v>11</v>
      </c>
      <c r="G970">
        <v>19</v>
      </c>
      <c r="H970">
        <v>1</v>
      </c>
      <c r="I970" t="s">
        <v>22</v>
      </c>
      <c r="J970">
        <v>101</v>
      </c>
      <c r="K970" t="s">
        <v>14</v>
      </c>
      <c r="L970">
        <v>119</v>
      </c>
      <c r="M970">
        <f>IF(D970=I970,VLOOKUP(D970,a_win_totals_lookup,MATCH(K970,a_wins_total_lookup_header,0)+1,0),VLOOKUP(D970,a_win_totals_lookup,MATCH(I970,a_wins_total_lookup_header,0)+1,0))</f>
        <v>0.24120874132126804</v>
      </c>
      <c r="N970">
        <f t="shared" ca="1" si="15"/>
        <v>0</v>
      </c>
    </row>
    <row r="971" spans="1:14" x14ac:dyDescent="0.25">
      <c r="A971">
        <v>400578778</v>
      </c>
      <c r="B971">
        <v>2015</v>
      </c>
      <c r="C971" s="1">
        <v>42006</v>
      </c>
      <c r="D971" t="s">
        <v>14</v>
      </c>
      <c r="E971">
        <v>1</v>
      </c>
      <c r="F971">
        <v>24</v>
      </c>
      <c r="G971">
        <v>10</v>
      </c>
      <c r="H971">
        <v>0</v>
      </c>
      <c r="I971" t="s">
        <v>22</v>
      </c>
      <c r="J971">
        <v>101</v>
      </c>
      <c r="K971" t="s">
        <v>14</v>
      </c>
      <c r="L971">
        <v>119</v>
      </c>
      <c r="M971">
        <f>IF(D971=I971,VLOOKUP(D971,a_win_totals_lookup,MATCH(K971,a_wins_total_lookup_header,0)+1,0),VLOOKUP(D971,a_win_totals_lookup,MATCH(I971,a_wins_total_lookup_header,0)+1,0))</f>
        <v>0.75879125867873198</v>
      </c>
      <c r="N971">
        <f t="shared" ca="1" si="15"/>
        <v>0</v>
      </c>
    </row>
    <row r="972" spans="1:14" x14ac:dyDescent="0.25">
      <c r="A972">
        <v>400578779</v>
      </c>
      <c r="B972">
        <v>2015</v>
      </c>
      <c r="C972" s="1">
        <v>42006</v>
      </c>
      <c r="D972" t="s">
        <v>33</v>
      </c>
      <c r="E972">
        <v>1</v>
      </c>
      <c r="F972">
        <v>9</v>
      </c>
      <c r="G972">
        <v>23</v>
      </c>
      <c r="H972">
        <v>0</v>
      </c>
      <c r="I972" t="s">
        <v>31</v>
      </c>
      <c r="J972">
        <v>81</v>
      </c>
      <c r="K972" t="s">
        <v>33</v>
      </c>
      <c r="L972">
        <v>97</v>
      </c>
      <c r="M972">
        <f>IF(D972=I972,VLOOKUP(D972,a_win_totals_lookup,MATCH(K972,a_wins_total_lookup_header,0)+1,0),VLOOKUP(D972,a_win_totals_lookup,MATCH(I972,a_wins_total_lookup_header,0)+1,0))</f>
        <v>0.45523194426626579</v>
      </c>
      <c r="N972">
        <f t="shared" ca="1" si="15"/>
        <v>1</v>
      </c>
    </row>
    <row r="973" spans="1:14" x14ac:dyDescent="0.25">
      <c r="A973">
        <v>400578779</v>
      </c>
      <c r="B973">
        <v>2015</v>
      </c>
      <c r="C973" s="1">
        <v>42006</v>
      </c>
      <c r="D973" t="s">
        <v>31</v>
      </c>
      <c r="E973">
        <v>0</v>
      </c>
      <c r="F973">
        <v>5</v>
      </c>
      <c r="G973">
        <v>30</v>
      </c>
      <c r="H973">
        <v>1</v>
      </c>
      <c r="I973" t="s">
        <v>31</v>
      </c>
      <c r="J973">
        <v>81</v>
      </c>
      <c r="K973" t="s">
        <v>33</v>
      </c>
      <c r="L973">
        <v>97</v>
      </c>
      <c r="M973">
        <f>IF(D973=I973,VLOOKUP(D973,a_win_totals_lookup,MATCH(K973,a_wins_total_lookup_header,0)+1,0),VLOOKUP(D973,a_win_totals_lookup,MATCH(I973,a_wins_total_lookup_header,0)+1,0))</f>
        <v>0.54476805573373421</v>
      </c>
      <c r="N973">
        <f t="shared" ca="1" si="15"/>
        <v>1</v>
      </c>
    </row>
    <row r="974" spans="1:14" x14ac:dyDescent="0.25">
      <c r="A974">
        <v>400578780</v>
      </c>
      <c r="B974">
        <v>2015</v>
      </c>
      <c r="C974" s="1">
        <v>42006</v>
      </c>
      <c r="D974" t="s">
        <v>16</v>
      </c>
      <c r="E974">
        <v>0</v>
      </c>
      <c r="F974">
        <v>22</v>
      </c>
      <c r="G974">
        <v>10</v>
      </c>
      <c r="H974">
        <v>0</v>
      </c>
      <c r="I974" t="s">
        <v>12</v>
      </c>
      <c r="J974">
        <v>111</v>
      </c>
      <c r="K974" t="s">
        <v>16</v>
      </c>
      <c r="L974">
        <v>83</v>
      </c>
      <c r="M974">
        <f>IF(D974=I974,VLOOKUP(D974,a_win_totals_lookup,MATCH(K974,a_wins_total_lookup_header,0)+1,0),VLOOKUP(D974,a_win_totals_lookup,MATCH(I974,a_wins_total_lookup_header,0)+1,0))</f>
        <v>0.56898424522980195</v>
      </c>
      <c r="N974">
        <f t="shared" ca="1" si="15"/>
        <v>1</v>
      </c>
    </row>
    <row r="975" spans="1:14" x14ac:dyDescent="0.25">
      <c r="A975">
        <v>400578780</v>
      </c>
      <c r="B975">
        <v>2015</v>
      </c>
      <c r="C975" s="1">
        <v>42006</v>
      </c>
      <c r="D975" t="s">
        <v>12</v>
      </c>
      <c r="E975">
        <v>1</v>
      </c>
      <c r="F975">
        <v>17</v>
      </c>
      <c r="G975">
        <v>16</v>
      </c>
      <c r="H975">
        <v>1</v>
      </c>
      <c r="I975" t="s">
        <v>12</v>
      </c>
      <c r="J975">
        <v>111</v>
      </c>
      <c r="K975" t="s">
        <v>16</v>
      </c>
      <c r="L975">
        <v>83</v>
      </c>
      <c r="M975">
        <f>IF(D975=I975,VLOOKUP(D975,a_win_totals_lookup,MATCH(K975,a_wins_total_lookup_header,0)+1,0),VLOOKUP(D975,a_win_totals_lookup,MATCH(I975,a_wins_total_lookup_header,0)+1,0))</f>
        <v>0.43101575477019799</v>
      </c>
      <c r="N975">
        <f t="shared" ca="1" si="15"/>
        <v>0</v>
      </c>
    </row>
    <row r="976" spans="1:14" x14ac:dyDescent="0.25">
      <c r="A976">
        <v>400578781</v>
      </c>
      <c r="B976">
        <v>2015</v>
      </c>
      <c r="C976" s="1">
        <v>42006</v>
      </c>
      <c r="D976" t="s">
        <v>38</v>
      </c>
      <c r="E976">
        <v>1</v>
      </c>
      <c r="F976">
        <v>17</v>
      </c>
      <c r="G976">
        <v>17</v>
      </c>
      <c r="H976">
        <v>1</v>
      </c>
      <c r="I976" t="s">
        <v>38</v>
      </c>
      <c r="J976">
        <v>109</v>
      </c>
      <c r="K976" t="s">
        <v>25</v>
      </c>
      <c r="L976">
        <v>102</v>
      </c>
      <c r="M976">
        <f>IF(D976=I976,VLOOKUP(D976,a_win_totals_lookup,MATCH(K976,a_wins_total_lookup_header,0)+1,0),VLOOKUP(D976,a_win_totals_lookup,MATCH(I976,a_wins_total_lookup_header,0)+1,0))</f>
        <v>0.54814795925339088</v>
      </c>
      <c r="N976">
        <f t="shared" ca="1" si="15"/>
        <v>1</v>
      </c>
    </row>
    <row r="977" spans="1:14" x14ac:dyDescent="0.25">
      <c r="A977">
        <v>400578781</v>
      </c>
      <c r="B977">
        <v>2015</v>
      </c>
      <c r="C977" s="1">
        <v>42006</v>
      </c>
      <c r="D977" t="s">
        <v>25</v>
      </c>
      <c r="E977">
        <v>0</v>
      </c>
      <c r="F977">
        <v>22</v>
      </c>
      <c r="G977">
        <v>10</v>
      </c>
      <c r="H977">
        <v>0</v>
      </c>
      <c r="I977" t="s">
        <v>38</v>
      </c>
      <c r="J977">
        <v>109</v>
      </c>
      <c r="K977" t="s">
        <v>25</v>
      </c>
      <c r="L977">
        <v>102</v>
      </c>
      <c r="M977">
        <f>IF(D977=I977,VLOOKUP(D977,a_win_totals_lookup,MATCH(K977,a_wins_total_lookup_header,0)+1,0),VLOOKUP(D977,a_win_totals_lookup,MATCH(I977,a_wins_total_lookup_header,0)+1,0))</f>
        <v>0.45185204074660917</v>
      </c>
      <c r="N977">
        <f t="shared" ca="1" si="15"/>
        <v>0</v>
      </c>
    </row>
    <row r="978" spans="1:14" x14ac:dyDescent="0.25">
      <c r="A978">
        <v>400578782</v>
      </c>
      <c r="B978">
        <v>2015</v>
      </c>
      <c r="C978" s="1">
        <v>42006</v>
      </c>
      <c r="D978" t="s">
        <v>20</v>
      </c>
      <c r="E978">
        <v>1</v>
      </c>
      <c r="F978">
        <v>13</v>
      </c>
      <c r="G978">
        <v>21</v>
      </c>
      <c r="H978">
        <v>0</v>
      </c>
      <c r="I978" t="s">
        <v>19</v>
      </c>
      <c r="J978">
        <v>91</v>
      </c>
      <c r="K978" t="s">
        <v>20</v>
      </c>
      <c r="L978">
        <v>94</v>
      </c>
      <c r="M978">
        <f>IF(D978=I978,VLOOKUP(D978,a_win_totals_lookup,MATCH(K978,a_wins_total_lookup_header,0)+1,0),VLOOKUP(D978,a_win_totals_lookup,MATCH(I978,a_wins_total_lookup_header,0)+1,0))</f>
        <v>0.58783565558007556</v>
      </c>
      <c r="N978">
        <f t="shared" ca="1" si="15"/>
        <v>0</v>
      </c>
    </row>
    <row r="979" spans="1:14" x14ac:dyDescent="0.25">
      <c r="A979">
        <v>400578782</v>
      </c>
      <c r="B979">
        <v>2015</v>
      </c>
      <c r="C979" s="1">
        <v>42006</v>
      </c>
      <c r="D979" t="s">
        <v>19</v>
      </c>
      <c r="E979">
        <v>0</v>
      </c>
      <c r="F979">
        <v>17</v>
      </c>
      <c r="G979">
        <v>17</v>
      </c>
      <c r="H979">
        <v>1</v>
      </c>
      <c r="I979" t="s">
        <v>19</v>
      </c>
      <c r="J979">
        <v>91</v>
      </c>
      <c r="K979" t="s">
        <v>20</v>
      </c>
      <c r="L979">
        <v>94</v>
      </c>
      <c r="M979">
        <f>IF(D979=I979,VLOOKUP(D979,a_win_totals_lookup,MATCH(K979,a_wins_total_lookup_header,0)+1,0),VLOOKUP(D979,a_win_totals_lookup,MATCH(I979,a_wins_total_lookup_header,0)+1,0))</f>
        <v>0.4121643444199245</v>
      </c>
      <c r="N979">
        <f t="shared" ca="1" si="15"/>
        <v>0</v>
      </c>
    </row>
    <row r="980" spans="1:14" x14ac:dyDescent="0.25">
      <c r="A980">
        <v>400578783</v>
      </c>
      <c r="B980">
        <v>2015</v>
      </c>
      <c r="C980" s="1">
        <v>42006</v>
      </c>
      <c r="D980" t="s">
        <v>21</v>
      </c>
      <c r="E980">
        <v>0</v>
      </c>
      <c r="F980">
        <v>4</v>
      </c>
      <c r="G980">
        <v>27</v>
      </c>
      <c r="H980">
        <v>0</v>
      </c>
      <c r="I980" t="s">
        <v>35</v>
      </c>
      <c r="J980">
        <v>112</v>
      </c>
      <c r="K980" t="s">
        <v>21</v>
      </c>
      <c r="L980">
        <v>96</v>
      </c>
      <c r="M980">
        <f>IF(D980=I980,VLOOKUP(D980,a_win_totals_lookup,MATCH(K980,a_wins_total_lookup_header,0)+1,0),VLOOKUP(D980,a_win_totals_lookup,MATCH(I980,a_wins_total_lookup_header,0)+1,0))</f>
        <v>0.27046526209701249</v>
      </c>
      <c r="N980">
        <f t="shared" ca="1" si="15"/>
        <v>0</v>
      </c>
    </row>
    <row r="981" spans="1:14" x14ac:dyDescent="0.25">
      <c r="A981">
        <v>400578783</v>
      </c>
      <c r="B981">
        <v>2015</v>
      </c>
      <c r="C981" s="1">
        <v>42006</v>
      </c>
      <c r="D981" t="s">
        <v>35</v>
      </c>
      <c r="E981">
        <v>1</v>
      </c>
      <c r="F981">
        <v>19</v>
      </c>
      <c r="G981">
        <v>16</v>
      </c>
      <c r="H981">
        <v>1</v>
      </c>
      <c r="I981" t="s">
        <v>35</v>
      </c>
      <c r="J981">
        <v>112</v>
      </c>
      <c r="K981" t="s">
        <v>21</v>
      </c>
      <c r="L981">
        <v>96</v>
      </c>
      <c r="M981">
        <f>IF(D981=I981,VLOOKUP(D981,a_win_totals_lookup,MATCH(K981,a_wins_total_lookup_header,0)+1,0),VLOOKUP(D981,a_win_totals_lookup,MATCH(I981,a_wins_total_lookup_header,0)+1,0))</f>
        <v>0.72953473790298751</v>
      </c>
      <c r="N981">
        <f t="shared" ca="1" si="15"/>
        <v>0</v>
      </c>
    </row>
    <row r="982" spans="1:14" x14ac:dyDescent="0.25">
      <c r="A982">
        <v>400578784</v>
      </c>
      <c r="B982">
        <v>2015</v>
      </c>
      <c r="C982" s="1">
        <v>42006</v>
      </c>
      <c r="D982" t="s">
        <v>26</v>
      </c>
      <c r="E982">
        <v>1</v>
      </c>
      <c r="F982">
        <v>24</v>
      </c>
      <c r="G982">
        <v>8</v>
      </c>
      <c r="H982">
        <v>0</v>
      </c>
      <c r="I982" t="s">
        <v>34</v>
      </c>
      <c r="J982">
        <v>92</v>
      </c>
      <c r="K982" t="s">
        <v>26</v>
      </c>
      <c r="L982">
        <v>98</v>
      </c>
      <c r="M982">
        <f>IF(D982=I982,VLOOKUP(D982,a_win_totals_lookup,MATCH(K982,a_wins_total_lookup_header,0)+1,0),VLOOKUP(D982,a_win_totals_lookup,MATCH(I982,a_wins_total_lookup_header,0)+1,0))</f>
        <v>0.64759781623680968</v>
      </c>
      <c r="N982">
        <f t="shared" ca="1" si="15"/>
        <v>1</v>
      </c>
    </row>
    <row r="983" spans="1:14" x14ac:dyDescent="0.25">
      <c r="A983">
        <v>400578784</v>
      </c>
      <c r="B983">
        <v>2015</v>
      </c>
      <c r="C983" s="1">
        <v>42006</v>
      </c>
      <c r="D983" t="s">
        <v>34</v>
      </c>
      <c r="E983">
        <v>0</v>
      </c>
      <c r="F983">
        <v>11</v>
      </c>
      <c r="G983">
        <v>22</v>
      </c>
      <c r="H983">
        <v>1</v>
      </c>
      <c r="I983" t="s">
        <v>34</v>
      </c>
      <c r="J983">
        <v>92</v>
      </c>
      <c r="K983" t="s">
        <v>26</v>
      </c>
      <c r="L983">
        <v>98</v>
      </c>
      <c r="M983">
        <f>IF(D983=I983,VLOOKUP(D983,a_win_totals_lookup,MATCH(K983,a_wins_total_lookup_header,0)+1,0),VLOOKUP(D983,a_win_totals_lookup,MATCH(I983,a_wins_total_lookup_header,0)+1,0))</f>
        <v>0.35240218376319032</v>
      </c>
      <c r="N983">
        <f t="shared" ca="1" si="15"/>
        <v>0</v>
      </c>
    </row>
    <row r="984" spans="1:14" x14ac:dyDescent="0.25">
      <c r="A984">
        <v>400578785</v>
      </c>
      <c r="B984">
        <v>2015</v>
      </c>
      <c r="C984" s="1">
        <v>42006</v>
      </c>
      <c r="D984" t="s">
        <v>36</v>
      </c>
      <c r="E984">
        <v>1</v>
      </c>
      <c r="F984">
        <v>26</v>
      </c>
      <c r="G984">
        <v>5</v>
      </c>
      <c r="H984">
        <v>1</v>
      </c>
      <c r="I984" t="s">
        <v>36</v>
      </c>
      <c r="J984">
        <v>126</v>
      </c>
      <c r="K984" t="s">
        <v>27</v>
      </c>
      <c r="L984">
        <v>105</v>
      </c>
      <c r="M984">
        <f>IF(D984=I984,VLOOKUP(D984,a_win_totals_lookup,MATCH(K984,a_wins_total_lookup_header,0)+1,0),VLOOKUP(D984,a_win_totals_lookup,MATCH(I984,a_wins_total_lookup_header,0)+1,0))</f>
        <v>0.50722666212157341</v>
      </c>
      <c r="N984">
        <f t="shared" ca="1" si="15"/>
        <v>1</v>
      </c>
    </row>
    <row r="985" spans="1:14" x14ac:dyDescent="0.25">
      <c r="A985">
        <v>400578785</v>
      </c>
      <c r="B985">
        <v>2015</v>
      </c>
      <c r="C985" s="1">
        <v>42006</v>
      </c>
      <c r="D985" t="s">
        <v>27</v>
      </c>
      <c r="E985">
        <v>0</v>
      </c>
      <c r="F985">
        <v>24</v>
      </c>
      <c r="G985">
        <v>9</v>
      </c>
      <c r="H985">
        <v>0</v>
      </c>
      <c r="I985" t="s">
        <v>36</v>
      </c>
      <c r="J985">
        <v>126</v>
      </c>
      <c r="K985" t="s">
        <v>27</v>
      </c>
      <c r="L985">
        <v>105</v>
      </c>
      <c r="M985">
        <f>IF(D985=I985,VLOOKUP(D985,a_win_totals_lookup,MATCH(K985,a_wins_total_lookup_header,0)+1,0),VLOOKUP(D985,a_win_totals_lookup,MATCH(I985,a_wins_total_lookup_header,0)+1,0))</f>
        <v>0.49277333787842664</v>
      </c>
      <c r="N985">
        <f t="shared" ca="1" si="15"/>
        <v>0</v>
      </c>
    </row>
    <row r="986" spans="1:14" x14ac:dyDescent="0.25">
      <c r="A986">
        <v>400578786</v>
      </c>
      <c r="B986">
        <v>2015</v>
      </c>
      <c r="C986" s="1">
        <v>42006</v>
      </c>
      <c r="D986" t="s">
        <v>17</v>
      </c>
      <c r="E986">
        <v>0</v>
      </c>
      <c r="F986">
        <v>10</v>
      </c>
      <c r="G986">
        <v>23</v>
      </c>
      <c r="H986">
        <v>1</v>
      </c>
      <c r="I986" t="s">
        <v>17</v>
      </c>
      <c r="J986">
        <v>106</v>
      </c>
      <c r="K986" t="s">
        <v>28</v>
      </c>
      <c r="L986">
        <v>109</v>
      </c>
      <c r="M986">
        <f>IF(D986=I986,VLOOKUP(D986,a_win_totals_lookup,MATCH(K986,a_wins_total_lookup_header,0)+1,0),VLOOKUP(D986,a_win_totals_lookup,MATCH(I986,a_wins_total_lookup_header,0)+1,0))</f>
        <v>0.32809457904793099</v>
      </c>
      <c r="N986">
        <f t="shared" ca="1" si="15"/>
        <v>0</v>
      </c>
    </row>
    <row r="987" spans="1:14" x14ac:dyDescent="0.25">
      <c r="A987">
        <v>400578786</v>
      </c>
      <c r="B987">
        <v>2015</v>
      </c>
      <c r="C987" s="1">
        <v>42006</v>
      </c>
      <c r="D987" t="s">
        <v>28</v>
      </c>
      <c r="E987">
        <v>1</v>
      </c>
      <c r="F987">
        <v>24</v>
      </c>
      <c r="G987">
        <v>8</v>
      </c>
      <c r="H987">
        <v>0</v>
      </c>
      <c r="I987" t="s">
        <v>17</v>
      </c>
      <c r="J987">
        <v>106</v>
      </c>
      <c r="K987" t="s">
        <v>28</v>
      </c>
      <c r="L987">
        <v>109</v>
      </c>
      <c r="M987">
        <f>IF(D987=I987,VLOOKUP(D987,a_win_totals_lookup,MATCH(K987,a_wins_total_lookup_header,0)+1,0),VLOOKUP(D987,a_win_totals_lookup,MATCH(I987,a_wins_total_lookup_header,0)+1,0))</f>
        <v>0.67190542095206907</v>
      </c>
      <c r="N987">
        <f t="shared" ca="1" si="15"/>
        <v>1</v>
      </c>
    </row>
    <row r="988" spans="1:14" x14ac:dyDescent="0.25">
      <c r="A988">
        <v>400578787</v>
      </c>
      <c r="B988">
        <v>2015</v>
      </c>
      <c r="C988" s="1">
        <v>42007</v>
      </c>
      <c r="D988" t="s">
        <v>18</v>
      </c>
      <c r="E988">
        <v>1</v>
      </c>
      <c r="F988">
        <v>11</v>
      </c>
      <c r="G988">
        <v>24</v>
      </c>
      <c r="H988">
        <v>0</v>
      </c>
      <c r="I988" t="s">
        <v>13</v>
      </c>
      <c r="J988">
        <v>90</v>
      </c>
      <c r="K988" t="s">
        <v>18</v>
      </c>
      <c r="L988">
        <v>98</v>
      </c>
      <c r="M988">
        <f>IF(D988=I988,VLOOKUP(D988,a_win_totals_lookup,MATCH(K988,a_wins_total_lookup_header,0)+1,0),VLOOKUP(D988,a_win_totals_lookup,MATCH(I988,a_wins_total_lookup_header,0)+1,0))</f>
        <v>0.66841321269200027</v>
      </c>
      <c r="N988">
        <f t="shared" ca="1" si="15"/>
        <v>1</v>
      </c>
    </row>
    <row r="989" spans="1:14" x14ac:dyDescent="0.25">
      <c r="A989">
        <v>400578787</v>
      </c>
      <c r="B989">
        <v>2015</v>
      </c>
      <c r="C989" s="1">
        <v>42007</v>
      </c>
      <c r="D989" t="s">
        <v>13</v>
      </c>
      <c r="E989">
        <v>0</v>
      </c>
      <c r="F989">
        <v>13</v>
      </c>
      <c r="G989">
        <v>24</v>
      </c>
      <c r="H989">
        <v>1</v>
      </c>
      <c r="I989" t="s">
        <v>13</v>
      </c>
      <c r="J989">
        <v>90</v>
      </c>
      <c r="K989" t="s">
        <v>18</v>
      </c>
      <c r="L989">
        <v>98</v>
      </c>
      <c r="M989">
        <f>IF(D989=I989,VLOOKUP(D989,a_win_totals_lookup,MATCH(K989,a_wins_total_lookup_header,0)+1,0),VLOOKUP(D989,a_win_totals_lookup,MATCH(I989,a_wins_total_lookup_header,0)+1,0))</f>
        <v>0.33158678730799973</v>
      </c>
      <c r="N989">
        <f t="shared" ca="1" si="15"/>
        <v>0</v>
      </c>
    </row>
    <row r="990" spans="1:14" x14ac:dyDescent="0.25">
      <c r="A990">
        <v>400578788</v>
      </c>
      <c r="B990">
        <v>2015</v>
      </c>
      <c r="C990" s="1">
        <v>42007</v>
      </c>
      <c r="D990" t="s">
        <v>22</v>
      </c>
      <c r="E990">
        <v>0</v>
      </c>
      <c r="F990">
        <v>11</v>
      </c>
      <c r="G990">
        <v>20</v>
      </c>
      <c r="H990">
        <v>0</v>
      </c>
      <c r="I990" t="s">
        <v>30</v>
      </c>
      <c r="J990">
        <v>109</v>
      </c>
      <c r="K990" t="s">
        <v>22</v>
      </c>
      <c r="L990">
        <v>104</v>
      </c>
      <c r="M990">
        <f>IF(D990=I990,VLOOKUP(D990,a_win_totals_lookup,MATCH(K990,a_wins_total_lookup_header,0)+1,0),VLOOKUP(D990,a_win_totals_lookup,MATCH(I990,a_wins_total_lookup_header,0)+1,0))</f>
        <v>0.22270013882530892</v>
      </c>
      <c r="N990">
        <f t="shared" ca="1" si="15"/>
        <v>0</v>
      </c>
    </row>
    <row r="991" spans="1:14" x14ac:dyDescent="0.25">
      <c r="A991">
        <v>400578788</v>
      </c>
      <c r="B991">
        <v>2015</v>
      </c>
      <c r="C991" s="1">
        <v>42007</v>
      </c>
      <c r="D991" t="s">
        <v>30</v>
      </c>
      <c r="E991">
        <v>1</v>
      </c>
      <c r="F991">
        <v>24</v>
      </c>
      <c r="G991">
        <v>10</v>
      </c>
      <c r="H991">
        <v>1</v>
      </c>
      <c r="I991" t="s">
        <v>30</v>
      </c>
      <c r="J991">
        <v>109</v>
      </c>
      <c r="K991" t="s">
        <v>22</v>
      </c>
      <c r="L991">
        <v>104</v>
      </c>
      <c r="M991">
        <f>IF(D991=I991,VLOOKUP(D991,a_win_totals_lookup,MATCH(K991,a_wins_total_lookup_header,0)+1,0),VLOOKUP(D991,a_win_totals_lookup,MATCH(I991,a_wins_total_lookup_header,0)+1,0))</f>
        <v>0.77729986117469119</v>
      </c>
      <c r="N991">
        <f t="shared" ca="1" si="15"/>
        <v>0</v>
      </c>
    </row>
    <row r="992" spans="1:14" x14ac:dyDescent="0.25">
      <c r="A992">
        <v>400578789</v>
      </c>
      <c r="B992">
        <v>2015</v>
      </c>
      <c r="C992" s="1">
        <v>42007</v>
      </c>
      <c r="D992" t="s">
        <v>16</v>
      </c>
      <c r="E992">
        <v>1</v>
      </c>
      <c r="F992">
        <v>23</v>
      </c>
      <c r="G992">
        <v>10</v>
      </c>
      <c r="H992">
        <v>1</v>
      </c>
      <c r="I992" t="s">
        <v>16</v>
      </c>
      <c r="J992">
        <v>115</v>
      </c>
      <c r="K992" t="s">
        <v>24</v>
      </c>
      <c r="L992">
        <v>79</v>
      </c>
      <c r="M992">
        <f>IF(D992=I992,VLOOKUP(D992,a_win_totals_lookup,MATCH(K992,a_wins_total_lookup_header,0)+1,0),VLOOKUP(D992,a_win_totals_lookup,MATCH(I992,a_wins_total_lookup_header,0)+1,0))</f>
        <v>0.53188370365769178</v>
      </c>
      <c r="N992">
        <f t="shared" ca="1" si="15"/>
        <v>0</v>
      </c>
    </row>
    <row r="993" spans="1:14" x14ac:dyDescent="0.25">
      <c r="A993">
        <v>400578789</v>
      </c>
      <c r="B993">
        <v>2015</v>
      </c>
      <c r="C993" s="1">
        <v>42007</v>
      </c>
      <c r="D993" t="s">
        <v>24</v>
      </c>
      <c r="E993">
        <v>0</v>
      </c>
      <c r="F993">
        <v>14</v>
      </c>
      <c r="G993">
        <v>20</v>
      </c>
      <c r="H993">
        <v>0</v>
      </c>
      <c r="I993" t="s">
        <v>16</v>
      </c>
      <c r="J993">
        <v>115</v>
      </c>
      <c r="K993" t="s">
        <v>24</v>
      </c>
      <c r="L993">
        <v>79</v>
      </c>
      <c r="M993">
        <f>IF(D993=I993,VLOOKUP(D993,a_win_totals_lookup,MATCH(K993,a_wins_total_lookup_header,0)+1,0),VLOOKUP(D993,a_win_totals_lookup,MATCH(I993,a_wins_total_lookup_header,0)+1,0))</f>
        <v>0.46811629634230822</v>
      </c>
      <c r="N993">
        <f t="shared" ca="1" si="15"/>
        <v>0</v>
      </c>
    </row>
    <row r="994" spans="1:14" x14ac:dyDescent="0.25">
      <c r="A994">
        <v>400578790</v>
      </c>
      <c r="B994">
        <v>2015</v>
      </c>
      <c r="C994" s="1">
        <v>42007</v>
      </c>
      <c r="D994" t="s">
        <v>29</v>
      </c>
      <c r="E994">
        <v>0</v>
      </c>
      <c r="F994">
        <v>5</v>
      </c>
      <c r="G994">
        <v>27</v>
      </c>
      <c r="H994">
        <v>1</v>
      </c>
      <c r="I994" t="s">
        <v>29</v>
      </c>
      <c r="J994">
        <v>89</v>
      </c>
      <c r="K994" t="s">
        <v>34</v>
      </c>
      <c r="L994">
        <v>101</v>
      </c>
      <c r="M994">
        <f>IF(D994=I994,VLOOKUP(D994,a_win_totals_lookup,MATCH(K994,a_wins_total_lookup_header,0)+1,0),VLOOKUP(D994,a_win_totals_lookup,MATCH(I994,a_wins_total_lookup_header,0)+1,0))</f>
        <v>0.44399285510679726</v>
      </c>
      <c r="N994">
        <f t="shared" ca="1" si="15"/>
        <v>0</v>
      </c>
    </row>
    <row r="995" spans="1:14" x14ac:dyDescent="0.25">
      <c r="A995">
        <v>400578790</v>
      </c>
      <c r="B995">
        <v>2015</v>
      </c>
      <c r="C995" s="1">
        <v>42007</v>
      </c>
      <c r="D995" t="s">
        <v>34</v>
      </c>
      <c r="E995">
        <v>1</v>
      </c>
      <c r="F995">
        <v>12</v>
      </c>
      <c r="G995">
        <v>22</v>
      </c>
      <c r="H995">
        <v>0</v>
      </c>
      <c r="I995" t="s">
        <v>29</v>
      </c>
      <c r="J995">
        <v>89</v>
      </c>
      <c r="K995" t="s">
        <v>34</v>
      </c>
      <c r="L995">
        <v>101</v>
      </c>
      <c r="M995">
        <f>IF(D995=I995,VLOOKUP(D995,a_win_totals_lookup,MATCH(K995,a_wins_total_lookup_header,0)+1,0),VLOOKUP(D995,a_win_totals_lookup,MATCH(I995,a_wins_total_lookup_header,0)+1,0))</f>
        <v>0.5560071448932028</v>
      </c>
      <c r="N995">
        <f t="shared" ca="1" si="15"/>
        <v>1</v>
      </c>
    </row>
    <row r="996" spans="1:14" x14ac:dyDescent="0.25">
      <c r="A996">
        <v>400578791</v>
      </c>
      <c r="B996">
        <v>2015</v>
      </c>
      <c r="C996" s="1">
        <v>42007</v>
      </c>
      <c r="D996" t="s">
        <v>15</v>
      </c>
      <c r="E996">
        <v>1</v>
      </c>
      <c r="F996">
        <v>21</v>
      </c>
      <c r="G996">
        <v>14</v>
      </c>
      <c r="H996">
        <v>1</v>
      </c>
      <c r="I996" t="s">
        <v>15</v>
      </c>
      <c r="J996">
        <v>101</v>
      </c>
      <c r="K996" t="s">
        <v>25</v>
      </c>
      <c r="L996">
        <v>92</v>
      </c>
      <c r="M996">
        <f>IF(D996=I996,VLOOKUP(D996,a_win_totals_lookup,MATCH(K996,a_wins_total_lookup_header,0)+1,0),VLOOKUP(D996,a_win_totals_lookup,MATCH(I996,a_wins_total_lookup_header,0)+1,0))</f>
        <v>0.5600388834823441</v>
      </c>
      <c r="N996">
        <f t="shared" ca="1" si="15"/>
        <v>0</v>
      </c>
    </row>
    <row r="997" spans="1:14" x14ac:dyDescent="0.25">
      <c r="A997">
        <v>400578791</v>
      </c>
      <c r="B997">
        <v>2015</v>
      </c>
      <c r="C997" s="1">
        <v>42007</v>
      </c>
      <c r="D997" t="s">
        <v>25</v>
      </c>
      <c r="E997">
        <v>0</v>
      </c>
      <c r="F997">
        <v>22</v>
      </c>
      <c r="G997">
        <v>11</v>
      </c>
      <c r="H997">
        <v>0</v>
      </c>
      <c r="I997" t="s">
        <v>15</v>
      </c>
      <c r="J997">
        <v>101</v>
      </c>
      <c r="K997" t="s">
        <v>25</v>
      </c>
      <c r="L997">
        <v>92</v>
      </c>
      <c r="M997">
        <f>IF(D997=I997,VLOOKUP(D997,a_win_totals_lookup,MATCH(K997,a_wins_total_lookup_header,0)+1,0),VLOOKUP(D997,a_win_totals_lookup,MATCH(I997,a_wins_total_lookup_header,0)+1,0))</f>
        <v>0.43996111651765601</v>
      </c>
      <c r="N997">
        <f t="shared" ca="1" si="15"/>
        <v>0</v>
      </c>
    </row>
    <row r="998" spans="1:14" x14ac:dyDescent="0.25">
      <c r="A998">
        <v>400578792</v>
      </c>
      <c r="B998">
        <v>2015</v>
      </c>
      <c r="C998" s="1">
        <v>42007</v>
      </c>
      <c r="D998" t="s">
        <v>32</v>
      </c>
      <c r="E998">
        <v>1</v>
      </c>
      <c r="F998">
        <v>14</v>
      </c>
      <c r="G998">
        <v>20</v>
      </c>
      <c r="H998">
        <v>1</v>
      </c>
      <c r="I998" t="s">
        <v>32</v>
      </c>
      <c r="J998">
        <v>114</v>
      </c>
      <c r="K998" t="s">
        <v>28</v>
      </c>
      <c r="L998">
        <v>85</v>
      </c>
      <c r="M998">
        <f>IF(D998=I998,VLOOKUP(D998,a_win_totals_lookup,MATCH(K998,a_wins_total_lookup_header,0)+1,0),VLOOKUP(D998,a_win_totals_lookup,MATCH(I998,a_wins_total_lookup_header,0)+1,0))</f>
        <v>0.39989944995796567</v>
      </c>
      <c r="N998">
        <f t="shared" ca="1" si="15"/>
        <v>1</v>
      </c>
    </row>
    <row r="999" spans="1:14" x14ac:dyDescent="0.25">
      <c r="A999">
        <v>400578792</v>
      </c>
      <c r="B999">
        <v>2015</v>
      </c>
      <c r="C999" s="1">
        <v>42007</v>
      </c>
      <c r="D999" t="s">
        <v>28</v>
      </c>
      <c r="E999">
        <v>0</v>
      </c>
      <c r="F999">
        <v>24</v>
      </c>
      <c r="G999">
        <v>9</v>
      </c>
      <c r="H999">
        <v>0</v>
      </c>
      <c r="I999" t="s">
        <v>32</v>
      </c>
      <c r="J999">
        <v>114</v>
      </c>
      <c r="K999" t="s">
        <v>28</v>
      </c>
      <c r="L999">
        <v>85</v>
      </c>
      <c r="M999">
        <f>IF(D999=I999,VLOOKUP(D999,a_win_totals_lookup,MATCH(K999,a_wins_total_lookup_header,0)+1,0),VLOOKUP(D999,a_win_totals_lookup,MATCH(I999,a_wins_total_lookup_header,0)+1,0))</f>
        <v>0.60010055004203433</v>
      </c>
      <c r="N999">
        <f t="shared" ca="1" si="15"/>
        <v>1</v>
      </c>
    </row>
    <row r="1000" spans="1:14" x14ac:dyDescent="0.25">
      <c r="A1000">
        <v>400578793</v>
      </c>
      <c r="B1000">
        <v>2015</v>
      </c>
      <c r="C1000" s="1">
        <v>42007</v>
      </c>
      <c r="D1000" t="s">
        <v>26</v>
      </c>
      <c r="E1000">
        <v>1</v>
      </c>
      <c r="F1000">
        <v>25</v>
      </c>
      <c r="G1000">
        <v>8</v>
      </c>
      <c r="H1000">
        <v>0</v>
      </c>
      <c r="I1000" t="s">
        <v>39</v>
      </c>
      <c r="J1000">
        <v>107</v>
      </c>
      <c r="K1000" t="s">
        <v>26</v>
      </c>
      <c r="L1000">
        <v>115</v>
      </c>
      <c r="M1000">
        <f>IF(D1000=I1000,VLOOKUP(D1000,a_win_totals_lookup,MATCH(K1000,a_wins_total_lookup_header,0)+1,0),VLOOKUP(D1000,a_win_totals_lookup,MATCH(I1000,a_wins_total_lookup_header,0)+1,0))</f>
        <v>0.44695853169533922</v>
      </c>
      <c r="N1000">
        <f t="shared" ca="1" si="15"/>
        <v>0</v>
      </c>
    </row>
    <row r="1001" spans="1:14" x14ac:dyDescent="0.25">
      <c r="A1001">
        <v>400578793</v>
      </c>
      <c r="B1001">
        <v>2015</v>
      </c>
      <c r="C1001" s="1">
        <v>42007</v>
      </c>
      <c r="D1001" t="s">
        <v>39</v>
      </c>
      <c r="E1001">
        <v>0</v>
      </c>
      <c r="F1001">
        <v>26</v>
      </c>
      <c r="G1001">
        <v>8</v>
      </c>
      <c r="H1001">
        <v>1</v>
      </c>
      <c r="I1001" t="s">
        <v>39</v>
      </c>
      <c r="J1001">
        <v>107</v>
      </c>
      <c r="K1001" t="s">
        <v>26</v>
      </c>
      <c r="L1001">
        <v>115</v>
      </c>
      <c r="M1001">
        <f>IF(D1001=I1001,VLOOKUP(D1001,a_win_totals_lookup,MATCH(K1001,a_wins_total_lookup_header,0)+1,0),VLOOKUP(D1001,a_win_totals_lookup,MATCH(I1001,a_wins_total_lookup_header,0)+1,0))</f>
        <v>0.55304146830466083</v>
      </c>
      <c r="N1001">
        <f t="shared" ca="1" si="15"/>
        <v>1</v>
      </c>
    </row>
    <row r="1002" spans="1:14" x14ac:dyDescent="0.25">
      <c r="A1002">
        <v>400578794</v>
      </c>
      <c r="B1002">
        <v>2015</v>
      </c>
      <c r="C1002" s="1">
        <v>42007</v>
      </c>
      <c r="D1002" t="s">
        <v>41</v>
      </c>
      <c r="E1002">
        <v>1</v>
      </c>
      <c r="F1002">
        <v>23</v>
      </c>
      <c r="G1002">
        <v>11</v>
      </c>
      <c r="H1002">
        <v>1</v>
      </c>
      <c r="I1002" t="s">
        <v>41</v>
      </c>
      <c r="J1002">
        <v>127</v>
      </c>
      <c r="K1002" t="s">
        <v>21</v>
      </c>
      <c r="L1002">
        <v>91</v>
      </c>
      <c r="M1002">
        <f>IF(D1002=I1002,VLOOKUP(D1002,a_win_totals_lookup,MATCH(K1002,a_wins_total_lookup_header,0)+1,0),VLOOKUP(D1002,a_win_totals_lookup,MATCH(I1002,a_wins_total_lookup_header,0)+1,0))</f>
        <v>0.80999843398468707</v>
      </c>
      <c r="N1002">
        <f t="shared" ca="1" si="15"/>
        <v>1</v>
      </c>
    </row>
    <row r="1003" spans="1:14" x14ac:dyDescent="0.25">
      <c r="A1003">
        <v>400578794</v>
      </c>
      <c r="B1003">
        <v>2015</v>
      </c>
      <c r="C1003" s="1">
        <v>42007</v>
      </c>
      <c r="D1003" t="s">
        <v>21</v>
      </c>
      <c r="E1003">
        <v>0</v>
      </c>
      <c r="F1003">
        <v>4</v>
      </c>
      <c r="G1003">
        <v>28</v>
      </c>
      <c r="H1003">
        <v>0</v>
      </c>
      <c r="I1003" t="s">
        <v>41</v>
      </c>
      <c r="J1003">
        <v>127</v>
      </c>
      <c r="K1003" t="s">
        <v>21</v>
      </c>
      <c r="L1003">
        <v>91</v>
      </c>
      <c r="M1003">
        <f>IF(D1003=I1003,VLOOKUP(D1003,a_win_totals_lookup,MATCH(K1003,a_wins_total_lookup_header,0)+1,0),VLOOKUP(D1003,a_win_totals_lookup,MATCH(I1003,a_wins_total_lookup_header,0)+1,0))</f>
        <v>0.19000156601531293</v>
      </c>
      <c r="N1003">
        <f t="shared" ca="1" si="15"/>
        <v>1</v>
      </c>
    </row>
    <row r="1004" spans="1:14" x14ac:dyDescent="0.25">
      <c r="A1004">
        <v>400578795</v>
      </c>
      <c r="B1004">
        <v>2015</v>
      </c>
      <c r="C1004" s="1">
        <v>42008</v>
      </c>
      <c r="D1004" t="s">
        <v>40</v>
      </c>
      <c r="E1004">
        <v>0</v>
      </c>
      <c r="F1004">
        <v>19</v>
      </c>
      <c r="G1004">
        <v>15</v>
      </c>
      <c r="H1004">
        <v>1</v>
      </c>
      <c r="I1004" t="s">
        <v>40</v>
      </c>
      <c r="J1004">
        <v>90</v>
      </c>
      <c r="K1004" t="s">
        <v>14</v>
      </c>
      <c r="L1004">
        <v>109</v>
      </c>
      <c r="M1004">
        <f>IF(D1004=I1004,VLOOKUP(D1004,a_win_totals_lookup,MATCH(K1004,a_wins_total_lookup_header,0)+1,0),VLOOKUP(D1004,a_win_totals_lookup,MATCH(I1004,a_wins_total_lookup_header,0)+1,0))</f>
        <v>0.53622195991228083</v>
      </c>
      <c r="N1004">
        <f t="shared" ca="1" si="15"/>
        <v>0</v>
      </c>
    </row>
    <row r="1005" spans="1:14" x14ac:dyDescent="0.25">
      <c r="A1005">
        <v>400578795</v>
      </c>
      <c r="B1005">
        <v>2015</v>
      </c>
      <c r="C1005" s="1">
        <v>42008</v>
      </c>
      <c r="D1005" t="s">
        <v>14</v>
      </c>
      <c r="E1005">
        <v>1</v>
      </c>
      <c r="F1005">
        <v>25</v>
      </c>
      <c r="G1005">
        <v>10</v>
      </c>
      <c r="H1005">
        <v>0</v>
      </c>
      <c r="I1005" t="s">
        <v>40</v>
      </c>
      <c r="J1005">
        <v>90</v>
      </c>
      <c r="K1005" t="s">
        <v>14</v>
      </c>
      <c r="L1005">
        <v>109</v>
      </c>
      <c r="M1005">
        <f>IF(D1005=I1005,VLOOKUP(D1005,a_win_totals_lookup,MATCH(K1005,a_wins_total_lookup_header,0)+1,0),VLOOKUP(D1005,a_win_totals_lookup,MATCH(I1005,a_wins_total_lookup_header,0)+1,0))</f>
        <v>0.46377804008771911</v>
      </c>
      <c r="N1005">
        <f t="shared" ca="1" si="15"/>
        <v>1</v>
      </c>
    </row>
    <row r="1006" spans="1:14" x14ac:dyDescent="0.25">
      <c r="A1006">
        <v>400578796</v>
      </c>
      <c r="B1006">
        <v>2015</v>
      </c>
      <c r="C1006" s="1">
        <v>42008</v>
      </c>
      <c r="D1006" t="s">
        <v>33</v>
      </c>
      <c r="E1006">
        <v>1</v>
      </c>
      <c r="F1006">
        <v>10</v>
      </c>
      <c r="G1006">
        <v>23</v>
      </c>
      <c r="H1006">
        <v>1</v>
      </c>
      <c r="I1006" t="s">
        <v>33</v>
      </c>
      <c r="J1006">
        <v>114</v>
      </c>
      <c r="K1006" t="s">
        <v>37</v>
      </c>
      <c r="L1006">
        <v>95</v>
      </c>
      <c r="M1006">
        <f>IF(D1006=I1006,VLOOKUP(D1006,a_win_totals_lookup,MATCH(K1006,a_wins_total_lookup_header,0)+1,0),VLOOKUP(D1006,a_win_totals_lookup,MATCH(I1006,a_wins_total_lookup_header,0)+1,0))</f>
        <v>0.53279747016783385</v>
      </c>
      <c r="N1006">
        <f t="shared" ca="1" si="15"/>
        <v>1</v>
      </c>
    </row>
    <row r="1007" spans="1:14" x14ac:dyDescent="0.25">
      <c r="A1007">
        <v>400578796</v>
      </c>
      <c r="B1007">
        <v>2015</v>
      </c>
      <c r="C1007" s="1">
        <v>42008</v>
      </c>
      <c r="D1007" t="s">
        <v>37</v>
      </c>
      <c r="E1007">
        <v>0</v>
      </c>
      <c r="F1007">
        <v>14</v>
      </c>
      <c r="G1007">
        <v>20</v>
      </c>
      <c r="H1007">
        <v>0</v>
      </c>
      <c r="I1007" t="s">
        <v>33</v>
      </c>
      <c r="J1007">
        <v>114</v>
      </c>
      <c r="K1007" t="s">
        <v>37</v>
      </c>
      <c r="L1007">
        <v>95</v>
      </c>
      <c r="M1007">
        <f>IF(D1007=I1007,VLOOKUP(D1007,a_win_totals_lookup,MATCH(K1007,a_wins_total_lookup_header,0)+1,0),VLOOKUP(D1007,a_win_totals_lookup,MATCH(I1007,a_wins_total_lookup_header,0)+1,0))</f>
        <v>0.46720252983216615</v>
      </c>
      <c r="N1007">
        <f t="shared" ca="1" si="15"/>
        <v>1</v>
      </c>
    </row>
    <row r="1008" spans="1:14" x14ac:dyDescent="0.25">
      <c r="A1008">
        <v>400578797</v>
      </c>
      <c r="B1008">
        <v>2015</v>
      </c>
      <c r="C1008" s="1">
        <v>42008</v>
      </c>
      <c r="D1008" t="s">
        <v>23</v>
      </c>
      <c r="E1008">
        <v>0</v>
      </c>
      <c r="F1008">
        <v>16</v>
      </c>
      <c r="G1008">
        <v>17</v>
      </c>
      <c r="H1008">
        <v>0</v>
      </c>
      <c r="I1008" t="s">
        <v>24</v>
      </c>
      <c r="J1008">
        <v>88</v>
      </c>
      <c r="K1008" t="s">
        <v>23</v>
      </c>
      <c r="L1008">
        <v>84</v>
      </c>
      <c r="M1008">
        <f>IF(D1008=I1008,VLOOKUP(D1008,a_win_totals_lookup,MATCH(K1008,a_wins_total_lookup_header,0)+1,0),VLOOKUP(D1008,a_win_totals_lookup,MATCH(I1008,a_wins_total_lookup_header,0)+1,0))</f>
        <v>0.4489330916958254</v>
      </c>
      <c r="N1008">
        <f t="shared" ca="1" si="15"/>
        <v>0</v>
      </c>
    </row>
    <row r="1009" spans="1:14" x14ac:dyDescent="0.25">
      <c r="A1009">
        <v>400578797</v>
      </c>
      <c r="B1009">
        <v>2015</v>
      </c>
      <c r="C1009" s="1">
        <v>42008</v>
      </c>
      <c r="D1009" t="s">
        <v>24</v>
      </c>
      <c r="E1009">
        <v>1</v>
      </c>
      <c r="F1009">
        <v>15</v>
      </c>
      <c r="G1009">
        <v>20</v>
      </c>
      <c r="H1009">
        <v>1</v>
      </c>
      <c r="I1009" t="s">
        <v>24</v>
      </c>
      <c r="J1009">
        <v>88</v>
      </c>
      <c r="K1009" t="s">
        <v>23</v>
      </c>
      <c r="L1009">
        <v>84</v>
      </c>
      <c r="M1009">
        <f>IF(D1009=I1009,VLOOKUP(D1009,a_win_totals_lookup,MATCH(K1009,a_wins_total_lookup_header,0)+1,0),VLOOKUP(D1009,a_win_totals_lookup,MATCH(I1009,a_wins_total_lookup_header,0)+1,0))</f>
        <v>0.5510669083041746</v>
      </c>
      <c r="N1009">
        <f t="shared" ca="1" si="15"/>
        <v>0</v>
      </c>
    </row>
    <row r="1010" spans="1:14" x14ac:dyDescent="0.25">
      <c r="A1010">
        <v>400578798</v>
      </c>
      <c r="B1010">
        <v>2015</v>
      </c>
      <c r="C1010" s="1">
        <v>42008</v>
      </c>
      <c r="D1010" t="s">
        <v>19</v>
      </c>
      <c r="E1010">
        <v>1</v>
      </c>
      <c r="F1010">
        <v>18</v>
      </c>
      <c r="G1010">
        <v>17</v>
      </c>
      <c r="H1010">
        <v>0</v>
      </c>
      <c r="I1010" t="s">
        <v>31</v>
      </c>
      <c r="J1010">
        <v>82</v>
      </c>
      <c r="K1010" t="s">
        <v>19</v>
      </c>
      <c r="L1010">
        <v>95</v>
      </c>
      <c r="M1010">
        <f>IF(D1010=I1010,VLOOKUP(D1010,a_win_totals_lookup,MATCH(K1010,a_wins_total_lookup_header,0)+1,0),VLOOKUP(D1010,a_win_totals_lookup,MATCH(I1010,a_wins_total_lookup_header,0)+1,0))</f>
        <v>0.35454020664525671</v>
      </c>
      <c r="N1010">
        <f t="shared" ca="1" si="15"/>
        <v>0</v>
      </c>
    </row>
    <row r="1011" spans="1:14" x14ac:dyDescent="0.25">
      <c r="A1011">
        <v>400578798</v>
      </c>
      <c r="B1011">
        <v>2015</v>
      </c>
      <c r="C1011" s="1">
        <v>42008</v>
      </c>
      <c r="D1011" t="s">
        <v>31</v>
      </c>
      <c r="E1011">
        <v>0</v>
      </c>
      <c r="F1011">
        <v>5</v>
      </c>
      <c r="G1011">
        <v>31</v>
      </c>
      <c r="H1011">
        <v>1</v>
      </c>
      <c r="I1011" t="s">
        <v>31</v>
      </c>
      <c r="J1011">
        <v>82</v>
      </c>
      <c r="K1011" t="s">
        <v>19</v>
      </c>
      <c r="L1011">
        <v>95</v>
      </c>
      <c r="M1011">
        <f>IF(D1011=I1011,VLOOKUP(D1011,a_win_totals_lookup,MATCH(K1011,a_wins_total_lookup_header,0)+1,0),VLOOKUP(D1011,a_win_totals_lookup,MATCH(I1011,a_wins_total_lookup_header,0)+1,0))</f>
        <v>0.64545979335474335</v>
      </c>
      <c r="N1011">
        <f t="shared" ca="1" si="15"/>
        <v>1</v>
      </c>
    </row>
    <row r="1012" spans="1:14" x14ac:dyDescent="0.25">
      <c r="A1012">
        <v>400578799</v>
      </c>
      <c r="B1012">
        <v>2015</v>
      </c>
      <c r="C1012" s="1">
        <v>42008</v>
      </c>
      <c r="D1012" t="s">
        <v>35</v>
      </c>
      <c r="E1012">
        <v>1</v>
      </c>
      <c r="F1012">
        <v>20</v>
      </c>
      <c r="G1012">
        <v>16</v>
      </c>
      <c r="H1012">
        <v>1</v>
      </c>
      <c r="I1012" t="s">
        <v>35</v>
      </c>
      <c r="J1012">
        <v>125</v>
      </c>
      <c r="K1012" t="s">
        <v>27</v>
      </c>
      <c r="L1012">
        <v>109</v>
      </c>
      <c r="M1012">
        <f>IF(D1012=I1012,VLOOKUP(D1012,a_win_totals_lookup,MATCH(K1012,a_wins_total_lookup_header,0)+1,0),VLOOKUP(D1012,a_win_totals_lookup,MATCH(I1012,a_wins_total_lookup_header,0)+1,0))</f>
        <v>0.42248155809117843</v>
      </c>
      <c r="N1012">
        <f t="shared" ca="1" si="15"/>
        <v>0</v>
      </c>
    </row>
    <row r="1013" spans="1:14" x14ac:dyDescent="0.25">
      <c r="A1013">
        <v>400578799</v>
      </c>
      <c r="B1013">
        <v>2015</v>
      </c>
      <c r="C1013" s="1">
        <v>42008</v>
      </c>
      <c r="D1013" t="s">
        <v>27</v>
      </c>
      <c r="E1013">
        <v>0</v>
      </c>
      <c r="F1013">
        <v>24</v>
      </c>
      <c r="G1013">
        <v>10</v>
      </c>
      <c r="H1013">
        <v>0</v>
      </c>
      <c r="I1013" t="s">
        <v>35</v>
      </c>
      <c r="J1013">
        <v>125</v>
      </c>
      <c r="K1013" t="s">
        <v>27</v>
      </c>
      <c r="L1013">
        <v>109</v>
      </c>
      <c r="M1013">
        <f>IF(D1013=I1013,VLOOKUP(D1013,a_win_totals_lookup,MATCH(K1013,a_wins_total_lookup_header,0)+1,0),VLOOKUP(D1013,a_win_totals_lookup,MATCH(I1013,a_wins_total_lookup_header,0)+1,0))</f>
        <v>0.57751844190882151</v>
      </c>
      <c r="N1013">
        <f t="shared" ca="1" si="15"/>
        <v>1</v>
      </c>
    </row>
    <row r="1014" spans="1:14" x14ac:dyDescent="0.25">
      <c r="A1014">
        <v>400578800</v>
      </c>
      <c r="B1014">
        <v>2015</v>
      </c>
      <c r="C1014" s="1">
        <v>42008</v>
      </c>
      <c r="D1014" t="s">
        <v>20</v>
      </c>
      <c r="E1014">
        <v>0</v>
      </c>
      <c r="F1014">
        <v>13</v>
      </c>
      <c r="G1014">
        <v>22</v>
      </c>
      <c r="H1014">
        <v>0</v>
      </c>
      <c r="I1014" t="s">
        <v>17</v>
      </c>
      <c r="J1014">
        <v>88</v>
      </c>
      <c r="K1014" t="s">
        <v>20</v>
      </c>
      <c r="L1014">
        <v>87</v>
      </c>
      <c r="M1014">
        <f>IF(D1014=I1014,VLOOKUP(D1014,a_win_totals_lookup,MATCH(K1014,a_wins_total_lookup_header,0)+1,0),VLOOKUP(D1014,a_win_totals_lookup,MATCH(I1014,a_wins_total_lookup_header,0)+1,0))</f>
        <v>0.51669770605406096</v>
      </c>
      <c r="N1014">
        <f t="shared" ca="1" si="15"/>
        <v>1</v>
      </c>
    </row>
    <row r="1015" spans="1:14" x14ac:dyDescent="0.25">
      <c r="A1015">
        <v>400578800</v>
      </c>
      <c r="B1015">
        <v>2015</v>
      </c>
      <c r="C1015" s="1">
        <v>42008</v>
      </c>
      <c r="D1015" t="s">
        <v>17</v>
      </c>
      <c r="E1015">
        <v>1</v>
      </c>
      <c r="F1015">
        <v>11</v>
      </c>
      <c r="G1015">
        <v>23</v>
      </c>
      <c r="H1015">
        <v>1</v>
      </c>
      <c r="I1015" t="s">
        <v>17</v>
      </c>
      <c r="J1015">
        <v>88</v>
      </c>
      <c r="K1015" t="s">
        <v>20</v>
      </c>
      <c r="L1015">
        <v>87</v>
      </c>
      <c r="M1015">
        <f>IF(D1015=I1015,VLOOKUP(D1015,a_win_totals_lookup,MATCH(K1015,a_wins_total_lookup_header,0)+1,0),VLOOKUP(D1015,a_win_totals_lookup,MATCH(I1015,a_wins_total_lookup_header,0)+1,0))</f>
        <v>0.48330229394593899</v>
      </c>
      <c r="N1015">
        <f t="shared" ca="1" si="15"/>
        <v>1</v>
      </c>
    </row>
    <row r="1016" spans="1:14" x14ac:dyDescent="0.25">
      <c r="A1016">
        <v>400578801</v>
      </c>
      <c r="B1016">
        <v>2015</v>
      </c>
      <c r="C1016" s="1">
        <v>42009</v>
      </c>
      <c r="D1016" t="s">
        <v>40</v>
      </c>
      <c r="E1016">
        <v>0</v>
      </c>
      <c r="F1016">
        <v>19</v>
      </c>
      <c r="G1016">
        <v>16</v>
      </c>
      <c r="H1016">
        <v>0</v>
      </c>
      <c r="I1016" t="s">
        <v>21</v>
      </c>
      <c r="J1016">
        <v>95</v>
      </c>
      <c r="K1016" t="s">
        <v>40</v>
      </c>
      <c r="L1016">
        <v>92</v>
      </c>
      <c r="M1016">
        <f>IF(D1016=I1016,VLOOKUP(D1016,a_win_totals_lookup,MATCH(K1016,a_wins_total_lookup_header,0)+1,0),VLOOKUP(D1016,a_win_totals_lookup,MATCH(I1016,a_wins_total_lookup_header,0)+1,0))</f>
        <v>0.80999843398468707</v>
      </c>
      <c r="N1016">
        <f t="shared" ca="1" si="15"/>
        <v>0</v>
      </c>
    </row>
    <row r="1017" spans="1:14" x14ac:dyDescent="0.25">
      <c r="A1017">
        <v>400578801</v>
      </c>
      <c r="B1017">
        <v>2015</v>
      </c>
      <c r="C1017" s="1">
        <v>42009</v>
      </c>
      <c r="D1017" t="s">
        <v>21</v>
      </c>
      <c r="E1017">
        <v>1</v>
      </c>
      <c r="F1017">
        <v>5</v>
      </c>
      <c r="G1017">
        <v>28</v>
      </c>
      <c r="H1017">
        <v>1</v>
      </c>
      <c r="I1017" t="s">
        <v>21</v>
      </c>
      <c r="J1017">
        <v>95</v>
      </c>
      <c r="K1017" t="s">
        <v>40</v>
      </c>
      <c r="L1017">
        <v>92</v>
      </c>
      <c r="M1017">
        <f>IF(D1017=I1017,VLOOKUP(D1017,a_win_totals_lookup,MATCH(K1017,a_wins_total_lookup_header,0)+1,0),VLOOKUP(D1017,a_win_totals_lookup,MATCH(I1017,a_wins_total_lookup_header,0)+1,0))</f>
        <v>0.19000156601531293</v>
      </c>
      <c r="N1017">
        <f t="shared" ca="1" si="15"/>
        <v>1</v>
      </c>
    </row>
    <row r="1018" spans="1:14" x14ac:dyDescent="0.25">
      <c r="A1018">
        <v>400578802</v>
      </c>
      <c r="B1018">
        <v>2015</v>
      </c>
      <c r="C1018" s="1">
        <v>42009</v>
      </c>
      <c r="D1018" t="s">
        <v>22</v>
      </c>
      <c r="E1018">
        <v>0</v>
      </c>
      <c r="F1018">
        <v>11</v>
      </c>
      <c r="G1018">
        <v>21</v>
      </c>
      <c r="H1018">
        <v>1</v>
      </c>
      <c r="I1018" t="s">
        <v>22</v>
      </c>
      <c r="J1018">
        <v>95</v>
      </c>
      <c r="K1018" t="s">
        <v>18</v>
      </c>
      <c r="L1018">
        <v>104</v>
      </c>
      <c r="M1018">
        <f>IF(D1018=I1018,VLOOKUP(D1018,a_win_totals_lookup,MATCH(K1018,a_wins_total_lookup_header,0)+1,0),VLOOKUP(D1018,a_win_totals_lookup,MATCH(I1018,a_wins_total_lookup_header,0)+1,0))</f>
        <v>0.28373903306292714</v>
      </c>
      <c r="N1018">
        <f t="shared" ca="1" si="15"/>
        <v>1</v>
      </c>
    </row>
    <row r="1019" spans="1:14" x14ac:dyDescent="0.25">
      <c r="A1019">
        <v>400578802</v>
      </c>
      <c r="B1019">
        <v>2015</v>
      </c>
      <c r="C1019" s="1">
        <v>42009</v>
      </c>
      <c r="D1019" t="s">
        <v>18</v>
      </c>
      <c r="E1019">
        <v>1</v>
      </c>
      <c r="F1019">
        <v>12</v>
      </c>
      <c r="G1019">
        <v>24</v>
      </c>
      <c r="H1019">
        <v>0</v>
      </c>
      <c r="I1019" t="s">
        <v>22</v>
      </c>
      <c r="J1019">
        <v>95</v>
      </c>
      <c r="K1019" t="s">
        <v>18</v>
      </c>
      <c r="L1019">
        <v>104</v>
      </c>
      <c r="M1019">
        <f>IF(D1019=I1019,VLOOKUP(D1019,a_win_totals_lookup,MATCH(K1019,a_wins_total_lookup_header,0)+1,0),VLOOKUP(D1019,a_win_totals_lookup,MATCH(I1019,a_wins_total_lookup_header,0)+1,0))</f>
        <v>0.71626096693707286</v>
      </c>
      <c r="N1019">
        <f t="shared" ca="1" si="15"/>
        <v>0</v>
      </c>
    </row>
    <row r="1020" spans="1:14" x14ac:dyDescent="0.25">
      <c r="A1020">
        <v>400578803</v>
      </c>
      <c r="B1020">
        <v>2015</v>
      </c>
      <c r="C1020" s="1">
        <v>42009</v>
      </c>
      <c r="D1020" t="s">
        <v>23</v>
      </c>
      <c r="E1020">
        <v>0</v>
      </c>
      <c r="F1020">
        <v>16</v>
      </c>
      <c r="G1020">
        <v>18</v>
      </c>
      <c r="H1020">
        <v>1</v>
      </c>
      <c r="I1020" t="s">
        <v>23</v>
      </c>
      <c r="J1020">
        <v>88</v>
      </c>
      <c r="K1020" t="s">
        <v>14</v>
      </c>
      <c r="L1020">
        <v>96</v>
      </c>
      <c r="M1020">
        <f>IF(D1020=I1020,VLOOKUP(D1020,a_win_totals_lookup,MATCH(K1020,a_wins_total_lookup_header,0)+1,0),VLOOKUP(D1020,a_win_totals_lookup,MATCH(I1020,a_wins_total_lookup_header,0)+1,0))</f>
        <v>0.38459864577188729</v>
      </c>
      <c r="N1020">
        <f t="shared" ca="1" si="15"/>
        <v>0</v>
      </c>
    </row>
    <row r="1021" spans="1:14" x14ac:dyDescent="0.25">
      <c r="A1021">
        <v>400578803</v>
      </c>
      <c r="B1021">
        <v>2015</v>
      </c>
      <c r="C1021" s="1">
        <v>42009</v>
      </c>
      <c r="D1021" t="s">
        <v>14</v>
      </c>
      <c r="E1021">
        <v>1</v>
      </c>
      <c r="F1021">
        <v>26</v>
      </c>
      <c r="G1021">
        <v>10</v>
      </c>
      <c r="H1021">
        <v>0</v>
      </c>
      <c r="I1021" t="s">
        <v>23</v>
      </c>
      <c r="J1021">
        <v>88</v>
      </c>
      <c r="K1021" t="s">
        <v>14</v>
      </c>
      <c r="L1021">
        <v>96</v>
      </c>
      <c r="M1021">
        <f>IF(D1021=I1021,VLOOKUP(D1021,a_win_totals_lookup,MATCH(K1021,a_wins_total_lookup_header,0)+1,0),VLOOKUP(D1021,a_win_totals_lookup,MATCH(I1021,a_wins_total_lookup_header,0)+1,0))</f>
        <v>0.61540135422811282</v>
      </c>
      <c r="N1021">
        <f t="shared" ca="1" si="15"/>
        <v>0</v>
      </c>
    </row>
    <row r="1022" spans="1:14" x14ac:dyDescent="0.25">
      <c r="A1022">
        <v>400578804</v>
      </c>
      <c r="B1022">
        <v>2015</v>
      </c>
      <c r="C1022" s="1">
        <v>42009</v>
      </c>
      <c r="D1022" t="s">
        <v>30</v>
      </c>
      <c r="E1022">
        <v>1</v>
      </c>
      <c r="F1022">
        <v>25</v>
      </c>
      <c r="G1022">
        <v>10</v>
      </c>
      <c r="H1022">
        <v>1</v>
      </c>
      <c r="I1022" t="s">
        <v>30</v>
      </c>
      <c r="J1022">
        <v>114</v>
      </c>
      <c r="K1022" t="s">
        <v>16</v>
      </c>
      <c r="L1022">
        <v>105</v>
      </c>
      <c r="M1022">
        <f>IF(D1022=I1022,VLOOKUP(D1022,a_win_totals_lookup,MATCH(K1022,a_wins_total_lookup_header,0)+1,0),VLOOKUP(D1022,a_win_totals_lookup,MATCH(I1022,a_wins_total_lookup_header,0)+1,0))</f>
        <v>0.5600388834823441</v>
      </c>
      <c r="N1022">
        <f t="shared" ca="1" si="15"/>
        <v>0</v>
      </c>
    </row>
    <row r="1023" spans="1:14" x14ac:dyDescent="0.25">
      <c r="A1023">
        <v>400578804</v>
      </c>
      <c r="B1023">
        <v>2015</v>
      </c>
      <c r="C1023" s="1">
        <v>42009</v>
      </c>
      <c r="D1023" t="s">
        <v>16</v>
      </c>
      <c r="E1023">
        <v>0</v>
      </c>
      <c r="F1023">
        <v>23</v>
      </c>
      <c r="G1023">
        <v>11</v>
      </c>
      <c r="H1023">
        <v>0</v>
      </c>
      <c r="I1023" t="s">
        <v>30</v>
      </c>
      <c r="J1023">
        <v>114</v>
      </c>
      <c r="K1023" t="s">
        <v>16</v>
      </c>
      <c r="L1023">
        <v>105</v>
      </c>
      <c r="M1023">
        <f>IF(D1023=I1023,VLOOKUP(D1023,a_win_totals_lookup,MATCH(K1023,a_wins_total_lookup_header,0)+1,0),VLOOKUP(D1023,a_win_totals_lookup,MATCH(I1023,a_wins_total_lookup_header,0)+1,0))</f>
        <v>0.43996111651765601</v>
      </c>
      <c r="N1023">
        <f t="shared" ca="1" si="15"/>
        <v>0</v>
      </c>
    </row>
    <row r="1024" spans="1:14" x14ac:dyDescent="0.25">
      <c r="A1024">
        <v>400578805</v>
      </c>
      <c r="B1024">
        <v>2015</v>
      </c>
      <c r="C1024" s="1">
        <v>42009</v>
      </c>
      <c r="D1024" t="s">
        <v>28</v>
      </c>
      <c r="E1024">
        <v>1</v>
      </c>
      <c r="F1024">
        <v>25</v>
      </c>
      <c r="G1024">
        <v>9</v>
      </c>
      <c r="H1024">
        <v>1</v>
      </c>
      <c r="I1024" t="s">
        <v>28</v>
      </c>
      <c r="J1024">
        <v>105</v>
      </c>
      <c r="K1024" t="s">
        <v>31</v>
      </c>
      <c r="L1024">
        <v>83</v>
      </c>
      <c r="M1024">
        <f>IF(D1024=I1024,VLOOKUP(D1024,a_win_totals_lookup,MATCH(K1024,a_wins_total_lookup_header,0)+1,0),VLOOKUP(D1024,a_win_totals_lookup,MATCH(I1024,a_wins_total_lookup_header,0)+1,0))</f>
        <v>0.60010055004203433</v>
      </c>
      <c r="N1024">
        <f t="shared" ca="1" si="15"/>
        <v>1</v>
      </c>
    </row>
    <row r="1025" spans="1:14" x14ac:dyDescent="0.25">
      <c r="A1025">
        <v>400578805</v>
      </c>
      <c r="B1025">
        <v>2015</v>
      </c>
      <c r="C1025" s="1">
        <v>42009</v>
      </c>
      <c r="D1025" t="s">
        <v>31</v>
      </c>
      <c r="E1025">
        <v>0</v>
      </c>
      <c r="F1025">
        <v>5</v>
      </c>
      <c r="G1025">
        <v>32</v>
      </c>
      <c r="H1025">
        <v>0</v>
      </c>
      <c r="I1025" t="s">
        <v>28</v>
      </c>
      <c r="J1025">
        <v>105</v>
      </c>
      <c r="K1025" t="s">
        <v>31</v>
      </c>
      <c r="L1025">
        <v>83</v>
      </c>
      <c r="M1025">
        <f>IF(D1025=I1025,VLOOKUP(D1025,a_win_totals_lookup,MATCH(K1025,a_wins_total_lookup_header,0)+1,0),VLOOKUP(D1025,a_win_totals_lookup,MATCH(I1025,a_wins_total_lookup_header,0)+1,0))</f>
        <v>0.39989944995796567</v>
      </c>
      <c r="N1025">
        <f t="shared" ca="1" si="15"/>
        <v>1</v>
      </c>
    </row>
    <row r="1026" spans="1:14" x14ac:dyDescent="0.25">
      <c r="A1026">
        <v>400578806</v>
      </c>
      <c r="B1026">
        <v>2015</v>
      </c>
      <c r="C1026" s="1">
        <v>42009</v>
      </c>
      <c r="D1026" t="s">
        <v>32</v>
      </c>
      <c r="E1026">
        <v>1</v>
      </c>
      <c r="F1026">
        <v>15</v>
      </c>
      <c r="G1026">
        <v>20</v>
      </c>
      <c r="H1026">
        <v>0</v>
      </c>
      <c r="I1026" t="s">
        <v>29</v>
      </c>
      <c r="J1026">
        <v>101</v>
      </c>
      <c r="K1026" t="s">
        <v>32</v>
      </c>
      <c r="L1026">
        <v>110</v>
      </c>
      <c r="M1026">
        <f>IF(D1026=I1026,VLOOKUP(D1026,a_win_totals_lookup,MATCH(K1026,a_wins_total_lookup_header,0)+1,0),VLOOKUP(D1026,a_win_totals_lookup,MATCH(I1026,a_wins_total_lookup_header,0)+1,0))</f>
        <v>0.66284304446693665</v>
      </c>
      <c r="N1026">
        <f t="shared" ca="1" si="15"/>
        <v>1</v>
      </c>
    </row>
    <row r="1027" spans="1:14" x14ac:dyDescent="0.25">
      <c r="A1027">
        <v>400578806</v>
      </c>
      <c r="B1027">
        <v>2015</v>
      </c>
      <c r="C1027" s="1">
        <v>42009</v>
      </c>
      <c r="D1027" t="s">
        <v>29</v>
      </c>
      <c r="E1027">
        <v>0</v>
      </c>
      <c r="F1027">
        <v>5</v>
      </c>
      <c r="G1027">
        <v>28</v>
      </c>
      <c r="H1027">
        <v>1</v>
      </c>
      <c r="I1027" t="s">
        <v>29</v>
      </c>
      <c r="J1027">
        <v>101</v>
      </c>
      <c r="K1027" t="s">
        <v>32</v>
      </c>
      <c r="L1027">
        <v>110</v>
      </c>
      <c r="M1027">
        <f>IF(D1027=I1027,VLOOKUP(D1027,a_win_totals_lookup,MATCH(K1027,a_wins_total_lookup_header,0)+1,0),VLOOKUP(D1027,a_win_totals_lookup,MATCH(I1027,a_wins_total_lookup_header,0)+1,0))</f>
        <v>0.33715695553306341</v>
      </c>
      <c r="N1027">
        <f t="shared" ref="N1027:N1090" ca="1" si="16">ROUND(0.5*RANDBETWEEN(-1,1)+M1027,0)</f>
        <v>0</v>
      </c>
    </row>
    <row r="1028" spans="1:14" x14ac:dyDescent="0.25">
      <c r="A1028">
        <v>400578807</v>
      </c>
      <c r="B1028">
        <v>2015</v>
      </c>
      <c r="C1028" s="1">
        <v>42009</v>
      </c>
      <c r="D1028" t="s">
        <v>12</v>
      </c>
      <c r="E1028">
        <v>0</v>
      </c>
      <c r="F1028">
        <v>17</v>
      </c>
      <c r="G1028">
        <v>17</v>
      </c>
      <c r="H1028">
        <v>1</v>
      </c>
      <c r="I1028" t="s">
        <v>12</v>
      </c>
      <c r="J1028">
        <v>85</v>
      </c>
      <c r="K1028" t="s">
        <v>25</v>
      </c>
      <c r="L1028">
        <v>92</v>
      </c>
      <c r="M1028">
        <f>IF(D1028=I1028,VLOOKUP(D1028,a_win_totals_lookup,MATCH(K1028,a_wins_total_lookup_header,0)+1,0),VLOOKUP(D1028,a_win_totals_lookup,MATCH(I1028,a_wins_total_lookup_header,0)+1,0))</f>
        <v>0.43101575477019799</v>
      </c>
      <c r="N1028">
        <f t="shared" ca="1" si="16"/>
        <v>0</v>
      </c>
    </row>
    <row r="1029" spans="1:14" x14ac:dyDescent="0.25">
      <c r="A1029">
        <v>400578807</v>
      </c>
      <c r="B1029">
        <v>2015</v>
      </c>
      <c r="C1029" s="1">
        <v>42009</v>
      </c>
      <c r="D1029" t="s">
        <v>25</v>
      </c>
      <c r="E1029">
        <v>1</v>
      </c>
      <c r="F1029">
        <v>23</v>
      </c>
      <c r="G1029">
        <v>11</v>
      </c>
      <c r="H1029">
        <v>0</v>
      </c>
      <c r="I1029" t="s">
        <v>12</v>
      </c>
      <c r="J1029">
        <v>85</v>
      </c>
      <c r="K1029" t="s">
        <v>25</v>
      </c>
      <c r="L1029">
        <v>92</v>
      </c>
      <c r="M1029">
        <f>IF(D1029=I1029,VLOOKUP(D1029,a_win_totals_lookup,MATCH(K1029,a_wins_total_lookup_header,0)+1,0),VLOOKUP(D1029,a_win_totals_lookup,MATCH(I1029,a_wins_total_lookup_header,0)+1,0))</f>
        <v>0.56898424522980195</v>
      </c>
      <c r="N1029">
        <f t="shared" ca="1" si="16"/>
        <v>1</v>
      </c>
    </row>
    <row r="1030" spans="1:14" x14ac:dyDescent="0.25">
      <c r="A1030">
        <v>400578808</v>
      </c>
      <c r="B1030">
        <v>2015</v>
      </c>
      <c r="C1030" s="1">
        <v>42009</v>
      </c>
      <c r="D1030" t="s">
        <v>20</v>
      </c>
      <c r="E1030">
        <v>1</v>
      </c>
      <c r="F1030">
        <v>14</v>
      </c>
      <c r="G1030">
        <v>22</v>
      </c>
      <c r="H1030">
        <v>0</v>
      </c>
      <c r="I1030" t="s">
        <v>34</v>
      </c>
      <c r="J1030">
        <v>101</v>
      </c>
      <c r="K1030" t="s">
        <v>20</v>
      </c>
      <c r="L1030">
        <v>105</v>
      </c>
      <c r="M1030">
        <f>IF(D1030=I1030,VLOOKUP(D1030,a_win_totals_lookup,MATCH(K1030,a_wins_total_lookup_header,0)+1,0),VLOOKUP(D1030,a_win_totals_lookup,MATCH(I1030,a_wins_total_lookup_header,0)+1,0))</f>
        <v>0.55154153277934415</v>
      </c>
      <c r="N1030">
        <f t="shared" ca="1" si="16"/>
        <v>1</v>
      </c>
    </row>
    <row r="1031" spans="1:14" x14ac:dyDescent="0.25">
      <c r="A1031">
        <v>400578808</v>
      </c>
      <c r="B1031">
        <v>2015</v>
      </c>
      <c r="C1031" s="1">
        <v>42009</v>
      </c>
      <c r="D1031" t="s">
        <v>34</v>
      </c>
      <c r="E1031">
        <v>0</v>
      </c>
      <c r="F1031">
        <v>12</v>
      </c>
      <c r="G1031">
        <v>23</v>
      </c>
      <c r="H1031">
        <v>1</v>
      </c>
      <c r="I1031" t="s">
        <v>34</v>
      </c>
      <c r="J1031">
        <v>101</v>
      </c>
      <c r="K1031" t="s">
        <v>20</v>
      </c>
      <c r="L1031">
        <v>105</v>
      </c>
      <c r="M1031">
        <f>IF(D1031=I1031,VLOOKUP(D1031,a_win_totals_lookup,MATCH(K1031,a_wins_total_lookup_header,0)+1,0),VLOOKUP(D1031,a_win_totals_lookup,MATCH(I1031,a_wins_total_lookup_header,0)+1,0))</f>
        <v>0.44845846722065585</v>
      </c>
      <c r="N1031">
        <f t="shared" ca="1" si="16"/>
        <v>0</v>
      </c>
    </row>
    <row r="1032" spans="1:14" x14ac:dyDescent="0.25">
      <c r="A1032">
        <v>400578809</v>
      </c>
      <c r="B1032">
        <v>2015</v>
      </c>
      <c r="C1032" s="1">
        <v>42009</v>
      </c>
      <c r="D1032" t="s">
        <v>17</v>
      </c>
      <c r="E1032">
        <v>0</v>
      </c>
      <c r="F1032">
        <v>11</v>
      </c>
      <c r="G1032">
        <v>24</v>
      </c>
      <c r="H1032">
        <v>0</v>
      </c>
      <c r="I1032" t="s">
        <v>39</v>
      </c>
      <c r="J1032">
        <v>98</v>
      </c>
      <c r="K1032" t="s">
        <v>17</v>
      </c>
      <c r="L1032">
        <v>94</v>
      </c>
      <c r="M1032">
        <f>IF(D1032=I1032,VLOOKUP(D1032,a_win_totals_lookup,MATCH(K1032,a_wins_total_lookup_header,0)+1,0),VLOOKUP(D1032,a_win_totals_lookup,MATCH(I1032,a_wins_total_lookup_header,0)+1,0))</f>
        <v>0.3359536996565311</v>
      </c>
      <c r="N1032">
        <f t="shared" ca="1" si="16"/>
        <v>0</v>
      </c>
    </row>
    <row r="1033" spans="1:14" x14ac:dyDescent="0.25">
      <c r="A1033">
        <v>400578809</v>
      </c>
      <c r="B1033">
        <v>2015</v>
      </c>
      <c r="C1033" s="1">
        <v>42009</v>
      </c>
      <c r="D1033" t="s">
        <v>39</v>
      </c>
      <c r="E1033">
        <v>1</v>
      </c>
      <c r="F1033">
        <v>27</v>
      </c>
      <c r="G1033">
        <v>8</v>
      </c>
      <c r="H1033">
        <v>1</v>
      </c>
      <c r="I1033" t="s">
        <v>39</v>
      </c>
      <c r="J1033">
        <v>98</v>
      </c>
      <c r="K1033" t="s">
        <v>17</v>
      </c>
      <c r="L1033">
        <v>94</v>
      </c>
      <c r="M1033">
        <f>IF(D1033=I1033,VLOOKUP(D1033,a_win_totals_lookup,MATCH(K1033,a_wins_total_lookup_header,0)+1,0),VLOOKUP(D1033,a_win_totals_lookup,MATCH(I1033,a_wins_total_lookup_header,0)+1,0))</f>
        <v>0.6640463003434689</v>
      </c>
      <c r="N1033">
        <f t="shared" ca="1" si="16"/>
        <v>1</v>
      </c>
    </row>
    <row r="1034" spans="1:14" x14ac:dyDescent="0.25">
      <c r="A1034">
        <v>400578810</v>
      </c>
      <c r="B1034">
        <v>2015</v>
      </c>
      <c r="C1034" s="1">
        <v>42009</v>
      </c>
      <c r="D1034" t="s">
        <v>36</v>
      </c>
      <c r="E1034">
        <v>1</v>
      </c>
      <c r="F1034">
        <v>27</v>
      </c>
      <c r="G1034">
        <v>5</v>
      </c>
      <c r="H1034">
        <v>1</v>
      </c>
      <c r="I1034" t="s">
        <v>36</v>
      </c>
      <c r="J1034">
        <v>117</v>
      </c>
      <c r="K1034" t="s">
        <v>38</v>
      </c>
      <c r="L1034">
        <v>91</v>
      </c>
      <c r="M1034">
        <f>IF(D1034=I1034,VLOOKUP(D1034,a_win_totals_lookup,MATCH(K1034,a_wins_total_lookup_header,0)+1,0),VLOOKUP(D1034,a_win_totals_lookup,MATCH(I1034,a_wins_total_lookup_header,0)+1,0))</f>
        <v>0.49327592359171141</v>
      </c>
      <c r="N1034">
        <f t="shared" ca="1" si="16"/>
        <v>0</v>
      </c>
    </row>
    <row r="1035" spans="1:14" x14ac:dyDescent="0.25">
      <c r="A1035">
        <v>400578810</v>
      </c>
      <c r="B1035">
        <v>2015</v>
      </c>
      <c r="C1035" s="1">
        <v>42009</v>
      </c>
      <c r="D1035" t="s">
        <v>38</v>
      </c>
      <c r="E1035">
        <v>0</v>
      </c>
      <c r="F1035">
        <v>17</v>
      </c>
      <c r="G1035">
        <v>18</v>
      </c>
      <c r="H1035">
        <v>0</v>
      </c>
      <c r="I1035" t="s">
        <v>36</v>
      </c>
      <c r="J1035">
        <v>117</v>
      </c>
      <c r="K1035" t="s">
        <v>38</v>
      </c>
      <c r="L1035">
        <v>91</v>
      </c>
      <c r="M1035">
        <f>IF(D1035=I1035,VLOOKUP(D1035,a_win_totals_lookup,MATCH(K1035,a_wins_total_lookup_header,0)+1,0),VLOOKUP(D1035,a_win_totals_lookup,MATCH(I1035,a_wins_total_lookup_header,0)+1,0))</f>
        <v>0.50672407640828865</v>
      </c>
      <c r="N1035">
        <f t="shared" ca="1" si="16"/>
        <v>0</v>
      </c>
    </row>
    <row r="1036" spans="1:14" x14ac:dyDescent="0.25">
      <c r="A1036">
        <v>400578811</v>
      </c>
      <c r="B1036">
        <v>2015</v>
      </c>
      <c r="C1036" s="1">
        <v>42009</v>
      </c>
      <c r="D1036" t="s">
        <v>26</v>
      </c>
      <c r="E1036">
        <v>1</v>
      </c>
      <c r="F1036">
        <v>26</v>
      </c>
      <c r="G1036">
        <v>8</v>
      </c>
      <c r="H1036">
        <v>0</v>
      </c>
      <c r="I1036" t="s">
        <v>41</v>
      </c>
      <c r="J1036">
        <v>98</v>
      </c>
      <c r="K1036" t="s">
        <v>26</v>
      </c>
      <c r="L1036">
        <v>107</v>
      </c>
      <c r="M1036">
        <f>IF(D1036=I1036,VLOOKUP(D1036,a_win_totals_lookup,MATCH(K1036,a_wins_total_lookup_header,0)+1,0),VLOOKUP(D1036,a_win_totals_lookup,MATCH(I1036,a_wins_total_lookup_header,0)+1,0))</f>
        <v>0.3875228826260283</v>
      </c>
      <c r="N1036">
        <f t="shared" ca="1" si="16"/>
        <v>0</v>
      </c>
    </row>
    <row r="1037" spans="1:14" x14ac:dyDescent="0.25">
      <c r="A1037">
        <v>400578811</v>
      </c>
      <c r="B1037">
        <v>2015</v>
      </c>
      <c r="C1037" s="1">
        <v>42009</v>
      </c>
      <c r="D1037" t="s">
        <v>41</v>
      </c>
      <c r="E1037">
        <v>0</v>
      </c>
      <c r="F1037">
        <v>23</v>
      </c>
      <c r="G1037">
        <v>12</v>
      </c>
      <c r="H1037">
        <v>1</v>
      </c>
      <c r="I1037" t="s">
        <v>41</v>
      </c>
      <c r="J1037">
        <v>98</v>
      </c>
      <c r="K1037" t="s">
        <v>26</v>
      </c>
      <c r="L1037">
        <v>107</v>
      </c>
      <c r="M1037">
        <f>IF(D1037=I1037,VLOOKUP(D1037,a_win_totals_lookup,MATCH(K1037,a_wins_total_lookup_header,0)+1,0),VLOOKUP(D1037,a_win_totals_lookup,MATCH(I1037,a_wins_total_lookup_header,0)+1,0))</f>
        <v>0.6124771173739717</v>
      </c>
      <c r="N1037">
        <f t="shared" ca="1" si="16"/>
        <v>1</v>
      </c>
    </row>
    <row r="1038" spans="1:14" x14ac:dyDescent="0.25">
      <c r="A1038">
        <v>400578812</v>
      </c>
      <c r="B1038">
        <v>2015</v>
      </c>
      <c r="C1038" s="1">
        <v>42010</v>
      </c>
      <c r="D1038" t="s">
        <v>19</v>
      </c>
      <c r="E1038">
        <v>0</v>
      </c>
      <c r="F1038">
        <v>18</v>
      </c>
      <c r="G1038">
        <v>18</v>
      </c>
      <c r="H1038">
        <v>1</v>
      </c>
      <c r="I1038" t="s">
        <v>19</v>
      </c>
      <c r="J1038">
        <v>96</v>
      </c>
      <c r="K1038" t="s">
        <v>35</v>
      </c>
      <c r="L1038">
        <v>102</v>
      </c>
      <c r="M1038">
        <f>IF(D1038=I1038,VLOOKUP(D1038,a_win_totals_lookup,MATCH(K1038,a_wins_total_lookup_header,0)+1,0),VLOOKUP(D1038,a_win_totals_lookup,MATCH(I1038,a_wins_total_lookup_header,0)+1,0))</f>
        <v>0.31938034690791411</v>
      </c>
      <c r="N1038">
        <f t="shared" ca="1" si="16"/>
        <v>0</v>
      </c>
    </row>
    <row r="1039" spans="1:14" x14ac:dyDescent="0.25">
      <c r="A1039">
        <v>400578812</v>
      </c>
      <c r="B1039">
        <v>2015</v>
      </c>
      <c r="C1039" s="1">
        <v>42010</v>
      </c>
      <c r="D1039" t="s">
        <v>35</v>
      </c>
      <c r="E1039">
        <v>1</v>
      </c>
      <c r="F1039">
        <v>21</v>
      </c>
      <c r="G1039">
        <v>16</v>
      </c>
      <c r="H1039">
        <v>0</v>
      </c>
      <c r="I1039" t="s">
        <v>19</v>
      </c>
      <c r="J1039">
        <v>96</v>
      </c>
      <c r="K1039" t="s">
        <v>35</v>
      </c>
      <c r="L1039">
        <v>102</v>
      </c>
      <c r="M1039">
        <f>IF(D1039=I1039,VLOOKUP(D1039,a_win_totals_lookup,MATCH(K1039,a_wins_total_lookup_header,0)+1,0),VLOOKUP(D1039,a_win_totals_lookup,MATCH(I1039,a_wins_total_lookup_header,0)+1,0))</f>
        <v>0.68061965309208583</v>
      </c>
      <c r="N1039">
        <f t="shared" ca="1" si="16"/>
        <v>0</v>
      </c>
    </row>
    <row r="1040" spans="1:14" x14ac:dyDescent="0.25">
      <c r="A1040">
        <v>400578813</v>
      </c>
      <c r="B1040">
        <v>2015</v>
      </c>
      <c r="C1040" s="1">
        <v>42010</v>
      </c>
      <c r="D1040" t="s">
        <v>33</v>
      </c>
      <c r="E1040">
        <v>1</v>
      </c>
      <c r="F1040">
        <v>11</v>
      </c>
      <c r="G1040">
        <v>23</v>
      </c>
      <c r="H1040">
        <v>0</v>
      </c>
      <c r="I1040" t="s">
        <v>15</v>
      </c>
      <c r="J1040">
        <v>104</v>
      </c>
      <c r="K1040" t="s">
        <v>33</v>
      </c>
      <c r="L1040">
        <v>105</v>
      </c>
      <c r="M1040">
        <f>IF(D1040=I1040,VLOOKUP(D1040,a_win_totals_lookup,MATCH(K1040,a_wins_total_lookup_header,0)+1,0),VLOOKUP(D1040,a_win_totals_lookup,MATCH(I1040,a_wins_total_lookup_header,0)+1,0))</f>
        <v>0.32004535003245588</v>
      </c>
      <c r="N1040">
        <f t="shared" ca="1" si="16"/>
        <v>0</v>
      </c>
    </row>
    <row r="1041" spans="1:14" x14ac:dyDescent="0.25">
      <c r="A1041">
        <v>400578813</v>
      </c>
      <c r="B1041">
        <v>2015</v>
      </c>
      <c r="C1041" s="1">
        <v>42010</v>
      </c>
      <c r="D1041" t="s">
        <v>15</v>
      </c>
      <c r="E1041">
        <v>0</v>
      </c>
      <c r="F1041">
        <v>21</v>
      </c>
      <c r="G1041">
        <v>15</v>
      </c>
      <c r="H1041">
        <v>1</v>
      </c>
      <c r="I1041" t="s">
        <v>15</v>
      </c>
      <c r="J1041">
        <v>104</v>
      </c>
      <c r="K1041" t="s">
        <v>33</v>
      </c>
      <c r="L1041">
        <v>105</v>
      </c>
      <c r="M1041">
        <f>IF(D1041=I1041,VLOOKUP(D1041,a_win_totals_lookup,MATCH(K1041,a_wins_total_lookup_header,0)+1,0),VLOOKUP(D1041,a_win_totals_lookup,MATCH(I1041,a_wins_total_lookup_header,0)+1,0))</f>
        <v>0.67995464996754418</v>
      </c>
      <c r="N1041">
        <f t="shared" ca="1" si="16"/>
        <v>1</v>
      </c>
    </row>
    <row r="1042" spans="1:14" x14ac:dyDescent="0.25">
      <c r="A1042">
        <v>400578814</v>
      </c>
      <c r="B1042">
        <v>2015</v>
      </c>
      <c r="C1042" s="1">
        <v>42011</v>
      </c>
      <c r="D1042" t="s">
        <v>18</v>
      </c>
      <c r="E1042">
        <v>1</v>
      </c>
      <c r="F1042">
        <v>13</v>
      </c>
      <c r="G1042">
        <v>24</v>
      </c>
      <c r="H1042">
        <v>1</v>
      </c>
      <c r="I1042" t="s">
        <v>18</v>
      </c>
      <c r="J1042">
        <v>98</v>
      </c>
      <c r="K1042" t="s">
        <v>12</v>
      </c>
      <c r="L1042">
        <v>94</v>
      </c>
      <c r="M1042">
        <f>IF(D1042=I1042,VLOOKUP(D1042,a_win_totals_lookup,MATCH(K1042,a_wins_total_lookup_header,0)+1,0),VLOOKUP(D1042,a_win_totals_lookup,MATCH(I1042,a_wins_total_lookup_header,0)+1,0))</f>
        <v>0.54860047392731426</v>
      </c>
      <c r="N1042">
        <f t="shared" ca="1" si="16"/>
        <v>1</v>
      </c>
    </row>
    <row r="1043" spans="1:14" x14ac:dyDescent="0.25">
      <c r="A1043">
        <v>400578814</v>
      </c>
      <c r="B1043">
        <v>2015</v>
      </c>
      <c r="C1043" s="1">
        <v>42011</v>
      </c>
      <c r="D1043" t="s">
        <v>12</v>
      </c>
      <c r="E1043">
        <v>0</v>
      </c>
      <c r="F1043">
        <v>17</v>
      </c>
      <c r="G1043">
        <v>18</v>
      </c>
      <c r="H1043">
        <v>0</v>
      </c>
      <c r="I1043" t="s">
        <v>18</v>
      </c>
      <c r="J1043">
        <v>98</v>
      </c>
      <c r="K1043" t="s">
        <v>12</v>
      </c>
      <c r="L1043">
        <v>94</v>
      </c>
      <c r="M1043">
        <f>IF(D1043=I1043,VLOOKUP(D1043,a_win_totals_lookup,MATCH(K1043,a_wins_total_lookup_header,0)+1,0),VLOOKUP(D1043,a_win_totals_lookup,MATCH(I1043,a_wins_total_lookup_header,0)+1,0))</f>
        <v>0.45139952607268569</v>
      </c>
      <c r="N1043">
        <f t="shared" ca="1" si="16"/>
        <v>0</v>
      </c>
    </row>
    <row r="1044" spans="1:14" x14ac:dyDescent="0.25">
      <c r="A1044">
        <v>400578815</v>
      </c>
      <c r="B1044">
        <v>2015</v>
      </c>
      <c r="C1044" s="1">
        <v>42011</v>
      </c>
      <c r="D1044" t="s">
        <v>40</v>
      </c>
      <c r="E1044">
        <v>0</v>
      </c>
      <c r="F1044">
        <v>19</v>
      </c>
      <c r="G1044">
        <v>17</v>
      </c>
      <c r="H1044">
        <v>1</v>
      </c>
      <c r="I1044" t="s">
        <v>40</v>
      </c>
      <c r="J1044">
        <v>93</v>
      </c>
      <c r="K1044" t="s">
        <v>16</v>
      </c>
      <c r="L1044">
        <v>105</v>
      </c>
      <c r="M1044">
        <f>IF(D1044=I1044,VLOOKUP(D1044,a_win_totals_lookup,MATCH(K1044,a_wins_total_lookup_header,0)+1,0),VLOOKUP(D1044,a_win_totals_lookup,MATCH(I1044,a_wins_total_lookup_header,0)+1,0))</f>
        <v>0.57016539281455259</v>
      </c>
      <c r="N1044">
        <f t="shared" ca="1" si="16"/>
        <v>1</v>
      </c>
    </row>
    <row r="1045" spans="1:14" x14ac:dyDescent="0.25">
      <c r="A1045">
        <v>400578815</v>
      </c>
      <c r="B1045">
        <v>2015</v>
      </c>
      <c r="C1045" s="1">
        <v>42011</v>
      </c>
      <c r="D1045" t="s">
        <v>16</v>
      </c>
      <c r="E1045">
        <v>1</v>
      </c>
      <c r="F1045">
        <v>24</v>
      </c>
      <c r="G1045">
        <v>11</v>
      </c>
      <c r="H1045">
        <v>0</v>
      </c>
      <c r="I1045" t="s">
        <v>40</v>
      </c>
      <c r="J1045">
        <v>93</v>
      </c>
      <c r="K1045" t="s">
        <v>16</v>
      </c>
      <c r="L1045">
        <v>105</v>
      </c>
      <c r="M1045">
        <f>IF(D1045=I1045,VLOOKUP(D1045,a_win_totals_lookup,MATCH(K1045,a_wins_total_lookup_header,0)+1,0),VLOOKUP(D1045,a_win_totals_lookup,MATCH(I1045,a_wins_total_lookup_header,0)+1,0))</f>
        <v>0.42983460718544747</v>
      </c>
      <c r="N1045">
        <f t="shared" ca="1" si="16"/>
        <v>1</v>
      </c>
    </row>
    <row r="1046" spans="1:14" x14ac:dyDescent="0.25">
      <c r="A1046">
        <v>400578816</v>
      </c>
      <c r="B1046">
        <v>2015</v>
      </c>
      <c r="C1046" s="1">
        <v>42011</v>
      </c>
      <c r="D1046" t="s">
        <v>19</v>
      </c>
      <c r="E1046">
        <v>1</v>
      </c>
      <c r="F1046">
        <v>19</v>
      </c>
      <c r="G1046">
        <v>18</v>
      </c>
      <c r="H1046">
        <v>0</v>
      </c>
      <c r="I1046" t="s">
        <v>21</v>
      </c>
      <c r="J1046">
        <v>77</v>
      </c>
      <c r="K1046" t="s">
        <v>19</v>
      </c>
      <c r="L1046">
        <v>97</v>
      </c>
      <c r="M1046">
        <f>IF(D1046=I1046,VLOOKUP(D1046,a_win_totals_lookup,MATCH(K1046,a_wins_total_lookup_header,0)+1,0),VLOOKUP(D1046,a_win_totals_lookup,MATCH(I1046,a_wins_total_lookup_header,0)+1,0))</f>
        <v>0.5586395048824998</v>
      </c>
      <c r="N1046">
        <f t="shared" ca="1" si="16"/>
        <v>1</v>
      </c>
    </row>
    <row r="1047" spans="1:14" x14ac:dyDescent="0.25">
      <c r="A1047">
        <v>400578816</v>
      </c>
      <c r="B1047">
        <v>2015</v>
      </c>
      <c r="C1047" s="1">
        <v>42011</v>
      </c>
      <c r="D1047" t="s">
        <v>21</v>
      </c>
      <c r="E1047">
        <v>0</v>
      </c>
      <c r="F1047">
        <v>5</v>
      </c>
      <c r="G1047">
        <v>29</v>
      </c>
      <c r="H1047">
        <v>1</v>
      </c>
      <c r="I1047" t="s">
        <v>21</v>
      </c>
      <c r="J1047">
        <v>77</v>
      </c>
      <c r="K1047" t="s">
        <v>19</v>
      </c>
      <c r="L1047">
        <v>97</v>
      </c>
      <c r="M1047">
        <f>IF(D1047=I1047,VLOOKUP(D1047,a_win_totals_lookup,MATCH(K1047,a_wins_total_lookup_header,0)+1,0),VLOOKUP(D1047,a_win_totals_lookup,MATCH(I1047,a_wins_total_lookup_header,0)+1,0))</f>
        <v>0.44136049511750025</v>
      </c>
      <c r="N1047">
        <f t="shared" ca="1" si="16"/>
        <v>0</v>
      </c>
    </row>
    <row r="1048" spans="1:14" x14ac:dyDescent="0.25">
      <c r="A1048">
        <v>400578817</v>
      </c>
      <c r="B1048">
        <v>2015</v>
      </c>
      <c r="C1048" s="1">
        <v>42011</v>
      </c>
      <c r="D1048" t="s">
        <v>31</v>
      </c>
      <c r="E1048">
        <v>0</v>
      </c>
      <c r="F1048">
        <v>5</v>
      </c>
      <c r="G1048">
        <v>33</v>
      </c>
      <c r="H1048">
        <v>0</v>
      </c>
      <c r="I1048" t="s">
        <v>25</v>
      </c>
      <c r="J1048">
        <v>101</v>
      </c>
      <c r="K1048" t="s">
        <v>31</v>
      </c>
      <c r="L1048">
        <v>91</v>
      </c>
      <c r="M1048">
        <f>IF(D1048=I1048,VLOOKUP(D1048,a_win_totals_lookup,MATCH(K1048,a_wins_total_lookup_header,0)+1,0),VLOOKUP(D1048,a_win_totals_lookup,MATCH(I1048,a_wins_total_lookup_header,0)+1,0))</f>
        <v>0.41758613378174975</v>
      </c>
      <c r="N1048">
        <f t="shared" ca="1" si="16"/>
        <v>0</v>
      </c>
    </row>
    <row r="1049" spans="1:14" x14ac:dyDescent="0.25">
      <c r="A1049">
        <v>400578817</v>
      </c>
      <c r="B1049">
        <v>2015</v>
      </c>
      <c r="C1049" s="1">
        <v>42011</v>
      </c>
      <c r="D1049" t="s">
        <v>25</v>
      </c>
      <c r="E1049">
        <v>1</v>
      </c>
      <c r="F1049">
        <v>24</v>
      </c>
      <c r="G1049">
        <v>11</v>
      </c>
      <c r="H1049">
        <v>1</v>
      </c>
      <c r="I1049" t="s">
        <v>25</v>
      </c>
      <c r="J1049">
        <v>101</v>
      </c>
      <c r="K1049" t="s">
        <v>31</v>
      </c>
      <c r="L1049">
        <v>91</v>
      </c>
      <c r="M1049">
        <f>IF(D1049=I1049,VLOOKUP(D1049,a_win_totals_lookup,MATCH(K1049,a_wins_total_lookup_header,0)+1,0),VLOOKUP(D1049,a_win_totals_lookup,MATCH(I1049,a_wins_total_lookup_header,0)+1,0))</f>
        <v>0.5824138662182502</v>
      </c>
      <c r="N1049">
        <f t="shared" ca="1" si="16"/>
        <v>1</v>
      </c>
    </row>
    <row r="1050" spans="1:14" x14ac:dyDescent="0.25">
      <c r="A1050">
        <v>400578818</v>
      </c>
      <c r="B1050">
        <v>2015</v>
      </c>
      <c r="C1050" s="1">
        <v>42011</v>
      </c>
      <c r="D1050" t="s">
        <v>26</v>
      </c>
      <c r="E1050">
        <v>1</v>
      </c>
      <c r="F1050">
        <v>27</v>
      </c>
      <c r="G1050">
        <v>8</v>
      </c>
      <c r="H1050">
        <v>1</v>
      </c>
      <c r="I1050" t="s">
        <v>26</v>
      </c>
      <c r="J1050">
        <v>96</v>
      </c>
      <c r="K1050" t="s">
        <v>28</v>
      </c>
      <c r="L1050">
        <v>86</v>
      </c>
      <c r="M1050">
        <f>IF(D1050=I1050,VLOOKUP(D1050,a_win_totals_lookup,MATCH(K1050,a_wins_total_lookup_header,0)+1,0),VLOOKUP(D1050,a_win_totals_lookup,MATCH(I1050,a_wins_total_lookup_header,0)+1,0))</f>
        <v>0.43821629112720617</v>
      </c>
      <c r="N1050">
        <f t="shared" ca="1" si="16"/>
        <v>0</v>
      </c>
    </row>
    <row r="1051" spans="1:14" x14ac:dyDescent="0.25">
      <c r="A1051">
        <v>400578818</v>
      </c>
      <c r="B1051">
        <v>2015</v>
      </c>
      <c r="C1051" s="1">
        <v>42011</v>
      </c>
      <c r="D1051" t="s">
        <v>28</v>
      </c>
      <c r="E1051">
        <v>0</v>
      </c>
      <c r="F1051">
        <v>25</v>
      </c>
      <c r="G1051">
        <v>10</v>
      </c>
      <c r="H1051">
        <v>0</v>
      </c>
      <c r="I1051" t="s">
        <v>26</v>
      </c>
      <c r="J1051">
        <v>96</v>
      </c>
      <c r="K1051" t="s">
        <v>28</v>
      </c>
      <c r="L1051">
        <v>86</v>
      </c>
      <c r="M1051">
        <f>IF(D1051=I1051,VLOOKUP(D1051,a_win_totals_lookup,MATCH(K1051,a_wins_total_lookup_header,0)+1,0),VLOOKUP(D1051,a_win_totals_lookup,MATCH(I1051,a_wins_total_lookup_header,0)+1,0))</f>
        <v>0.56178370887279372</v>
      </c>
      <c r="N1051">
        <f t="shared" ca="1" si="16"/>
        <v>1</v>
      </c>
    </row>
    <row r="1052" spans="1:14" x14ac:dyDescent="0.25">
      <c r="A1052">
        <v>400578819</v>
      </c>
      <c r="B1052">
        <v>2015</v>
      </c>
      <c r="C1052" s="1">
        <v>42011</v>
      </c>
      <c r="D1052" t="s">
        <v>22</v>
      </c>
      <c r="E1052">
        <v>1</v>
      </c>
      <c r="F1052">
        <v>12</v>
      </c>
      <c r="G1052">
        <v>21</v>
      </c>
      <c r="H1052">
        <v>0</v>
      </c>
      <c r="I1052" t="s">
        <v>23</v>
      </c>
      <c r="J1052">
        <v>81</v>
      </c>
      <c r="K1052" t="s">
        <v>22</v>
      </c>
      <c r="L1052">
        <v>89</v>
      </c>
      <c r="M1052">
        <f>IF(D1052=I1052,VLOOKUP(D1052,a_win_totals_lookup,MATCH(K1052,a_wins_total_lookup_header,0)+1,0),VLOOKUP(D1052,a_win_totals_lookup,MATCH(I1052,a_wins_total_lookup_header,0)+1,0))</f>
        <v>0.33715695553306341</v>
      </c>
      <c r="N1052">
        <f t="shared" ca="1" si="16"/>
        <v>1</v>
      </c>
    </row>
    <row r="1053" spans="1:14" x14ac:dyDescent="0.25">
      <c r="A1053">
        <v>400578819</v>
      </c>
      <c r="B1053">
        <v>2015</v>
      </c>
      <c r="C1053" s="1">
        <v>42011</v>
      </c>
      <c r="D1053" t="s">
        <v>23</v>
      </c>
      <c r="E1053">
        <v>0</v>
      </c>
      <c r="F1053">
        <v>16</v>
      </c>
      <c r="G1053">
        <v>19</v>
      </c>
      <c r="H1053">
        <v>1</v>
      </c>
      <c r="I1053" t="s">
        <v>23</v>
      </c>
      <c r="J1053">
        <v>81</v>
      </c>
      <c r="K1053" t="s">
        <v>22</v>
      </c>
      <c r="L1053">
        <v>89</v>
      </c>
      <c r="M1053">
        <f>IF(D1053=I1053,VLOOKUP(D1053,a_win_totals_lookup,MATCH(K1053,a_wins_total_lookup_header,0)+1,0),VLOOKUP(D1053,a_win_totals_lookup,MATCH(I1053,a_wins_total_lookup_header,0)+1,0))</f>
        <v>0.66284304446693665</v>
      </c>
      <c r="N1053">
        <f t="shared" ca="1" si="16"/>
        <v>0</v>
      </c>
    </row>
    <row r="1054" spans="1:14" x14ac:dyDescent="0.25">
      <c r="A1054">
        <v>400578820</v>
      </c>
      <c r="B1054">
        <v>2015</v>
      </c>
      <c r="C1054" s="1">
        <v>42011</v>
      </c>
      <c r="D1054" t="s">
        <v>30</v>
      </c>
      <c r="E1054">
        <v>0</v>
      </c>
      <c r="F1054">
        <v>25</v>
      </c>
      <c r="G1054">
        <v>11</v>
      </c>
      <c r="H1054">
        <v>1</v>
      </c>
      <c r="I1054" t="s">
        <v>30</v>
      </c>
      <c r="J1054">
        <v>77</v>
      </c>
      <c r="K1054" t="s">
        <v>34</v>
      </c>
      <c r="L1054">
        <v>97</v>
      </c>
      <c r="M1054">
        <f>IF(D1054=I1054,VLOOKUP(D1054,a_win_totals_lookup,MATCH(K1054,a_wins_total_lookup_header,0)+1,0),VLOOKUP(D1054,a_win_totals_lookup,MATCH(I1054,a_wins_total_lookup_header,0)+1,0))</f>
        <v>0.73595070405215601</v>
      </c>
      <c r="N1054">
        <f t="shared" ca="1" si="16"/>
        <v>0</v>
      </c>
    </row>
    <row r="1055" spans="1:14" x14ac:dyDescent="0.25">
      <c r="A1055">
        <v>400578820</v>
      </c>
      <c r="B1055">
        <v>2015</v>
      </c>
      <c r="C1055" s="1">
        <v>42011</v>
      </c>
      <c r="D1055" t="s">
        <v>34</v>
      </c>
      <c r="E1055">
        <v>1</v>
      </c>
      <c r="F1055">
        <v>13</v>
      </c>
      <c r="G1055">
        <v>23</v>
      </c>
      <c r="H1055">
        <v>0</v>
      </c>
      <c r="I1055" t="s">
        <v>30</v>
      </c>
      <c r="J1055">
        <v>77</v>
      </c>
      <c r="K1055" t="s">
        <v>34</v>
      </c>
      <c r="L1055">
        <v>97</v>
      </c>
      <c r="M1055">
        <f>IF(D1055=I1055,VLOOKUP(D1055,a_win_totals_lookup,MATCH(K1055,a_wins_total_lookup_header,0)+1,0),VLOOKUP(D1055,a_win_totals_lookup,MATCH(I1055,a_wins_total_lookup_header,0)+1,0))</f>
        <v>0.26404929594784404</v>
      </c>
      <c r="N1055">
        <f t="shared" ca="1" si="16"/>
        <v>1</v>
      </c>
    </row>
    <row r="1056" spans="1:14" x14ac:dyDescent="0.25">
      <c r="A1056">
        <v>400578821</v>
      </c>
      <c r="B1056">
        <v>2015</v>
      </c>
      <c r="C1056" s="1">
        <v>42011</v>
      </c>
      <c r="D1056" t="s">
        <v>14</v>
      </c>
      <c r="E1056">
        <v>0</v>
      </c>
      <c r="F1056">
        <v>26</v>
      </c>
      <c r="G1056">
        <v>11</v>
      </c>
      <c r="H1056">
        <v>1</v>
      </c>
      <c r="I1056" t="s">
        <v>14</v>
      </c>
      <c r="J1056">
        <v>95</v>
      </c>
      <c r="K1056" t="s">
        <v>33</v>
      </c>
      <c r="L1056">
        <v>108</v>
      </c>
      <c r="M1056">
        <f>IF(D1056=I1056,VLOOKUP(D1056,a_win_totals_lookup,MATCH(K1056,a_wins_total_lookup_header,0)+1,0),VLOOKUP(D1056,a_win_totals_lookup,MATCH(I1056,a_wins_total_lookup_header,0)+1,0))</f>
        <v>0.65692649613824394</v>
      </c>
      <c r="N1056">
        <f t="shared" ca="1" si="16"/>
        <v>1</v>
      </c>
    </row>
    <row r="1057" spans="1:14" x14ac:dyDescent="0.25">
      <c r="A1057">
        <v>400578821</v>
      </c>
      <c r="B1057">
        <v>2015</v>
      </c>
      <c r="C1057" s="1">
        <v>42011</v>
      </c>
      <c r="D1057" t="s">
        <v>33</v>
      </c>
      <c r="E1057">
        <v>1</v>
      </c>
      <c r="F1057">
        <v>12</v>
      </c>
      <c r="G1057">
        <v>23</v>
      </c>
      <c r="H1057">
        <v>0</v>
      </c>
      <c r="I1057" t="s">
        <v>14</v>
      </c>
      <c r="J1057">
        <v>95</v>
      </c>
      <c r="K1057" t="s">
        <v>33</v>
      </c>
      <c r="L1057">
        <v>108</v>
      </c>
      <c r="M1057">
        <f>IF(D1057=I1057,VLOOKUP(D1057,a_win_totals_lookup,MATCH(K1057,a_wins_total_lookup_header,0)+1,0),VLOOKUP(D1057,a_win_totals_lookup,MATCH(I1057,a_wins_total_lookup_header,0)+1,0))</f>
        <v>0.34307350386175622</v>
      </c>
      <c r="N1057">
        <f t="shared" ca="1" si="16"/>
        <v>0</v>
      </c>
    </row>
    <row r="1058" spans="1:14" x14ac:dyDescent="0.25">
      <c r="A1058">
        <v>400578822</v>
      </c>
      <c r="B1058">
        <v>2015</v>
      </c>
      <c r="C1058" s="1">
        <v>42011</v>
      </c>
      <c r="D1058" t="s">
        <v>32</v>
      </c>
      <c r="E1058">
        <v>1</v>
      </c>
      <c r="F1058">
        <v>16</v>
      </c>
      <c r="G1058">
        <v>20</v>
      </c>
      <c r="H1058">
        <v>1</v>
      </c>
      <c r="I1058" t="s">
        <v>32</v>
      </c>
      <c r="J1058">
        <v>93</v>
      </c>
      <c r="K1058" t="s">
        <v>13</v>
      </c>
      <c r="L1058">
        <v>90</v>
      </c>
      <c r="M1058">
        <f>IF(D1058=I1058,VLOOKUP(D1058,a_win_totals_lookup,MATCH(K1058,a_wins_total_lookup_header,0)+1,0),VLOOKUP(D1058,a_win_totals_lookup,MATCH(I1058,a_wins_total_lookup_header,0)+1,0))</f>
        <v>0.61088100448941873</v>
      </c>
      <c r="N1058">
        <f t="shared" ca="1" si="16"/>
        <v>0</v>
      </c>
    </row>
    <row r="1059" spans="1:14" x14ac:dyDescent="0.25">
      <c r="A1059">
        <v>400578822</v>
      </c>
      <c r="B1059">
        <v>2015</v>
      </c>
      <c r="C1059" s="1">
        <v>42011</v>
      </c>
      <c r="D1059" t="s">
        <v>13</v>
      </c>
      <c r="E1059">
        <v>0</v>
      </c>
      <c r="F1059">
        <v>13</v>
      </c>
      <c r="G1059">
        <v>25</v>
      </c>
      <c r="H1059">
        <v>0</v>
      </c>
      <c r="I1059" t="s">
        <v>32</v>
      </c>
      <c r="J1059">
        <v>93</v>
      </c>
      <c r="K1059" t="s">
        <v>13</v>
      </c>
      <c r="L1059">
        <v>90</v>
      </c>
      <c r="M1059">
        <f>IF(D1059=I1059,VLOOKUP(D1059,a_win_totals_lookup,MATCH(K1059,a_wins_total_lookup_header,0)+1,0),VLOOKUP(D1059,a_win_totals_lookup,MATCH(I1059,a_wins_total_lookup_header,0)+1,0))</f>
        <v>0.38911899551058127</v>
      </c>
      <c r="N1059">
        <f t="shared" ca="1" si="16"/>
        <v>1</v>
      </c>
    </row>
    <row r="1060" spans="1:14" x14ac:dyDescent="0.25">
      <c r="A1060">
        <v>400578823</v>
      </c>
      <c r="B1060">
        <v>2015</v>
      </c>
      <c r="C1060" s="1">
        <v>42011</v>
      </c>
      <c r="D1060" t="s">
        <v>29</v>
      </c>
      <c r="E1060">
        <v>0</v>
      </c>
      <c r="F1060">
        <v>5</v>
      </c>
      <c r="G1060">
        <v>29</v>
      </c>
      <c r="H1060">
        <v>1</v>
      </c>
      <c r="I1060" t="s">
        <v>29</v>
      </c>
      <c r="J1060">
        <v>111</v>
      </c>
      <c r="K1060" t="s">
        <v>35</v>
      </c>
      <c r="L1060">
        <v>113</v>
      </c>
      <c r="M1060">
        <f>IF(D1060=I1060,VLOOKUP(D1060,a_win_totals_lookup,MATCH(K1060,a_wins_total_lookup_header,0)+1,0),VLOOKUP(D1060,a_win_totals_lookup,MATCH(I1060,a_wins_total_lookup_header,0)+1,0))</f>
        <v>0.30291197689006377</v>
      </c>
      <c r="N1060">
        <f t="shared" ca="1" si="16"/>
        <v>0</v>
      </c>
    </row>
    <row r="1061" spans="1:14" x14ac:dyDescent="0.25">
      <c r="A1061">
        <v>400578823</v>
      </c>
      <c r="B1061">
        <v>2015</v>
      </c>
      <c r="C1061" s="1">
        <v>42011</v>
      </c>
      <c r="D1061" t="s">
        <v>35</v>
      </c>
      <c r="E1061">
        <v>1</v>
      </c>
      <c r="F1061">
        <v>22</v>
      </c>
      <c r="G1061">
        <v>16</v>
      </c>
      <c r="H1061">
        <v>0</v>
      </c>
      <c r="I1061" t="s">
        <v>29</v>
      </c>
      <c r="J1061">
        <v>111</v>
      </c>
      <c r="K1061" t="s">
        <v>35</v>
      </c>
      <c r="L1061">
        <v>113</v>
      </c>
      <c r="M1061">
        <f>IF(D1061=I1061,VLOOKUP(D1061,a_win_totals_lookup,MATCH(K1061,a_wins_total_lookup_header,0)+1,0),VLOOKUP(D1061,a_win_totals_lookup,MATCH(I1061,a_wins_total_lookup_header,0)+1,0))</f>
        <v>0.69708802310993623</v>
      </c>
      <c r="N1061">
        <f t="shared" ca="1" si="16"/>
        <v>0</v>
      </c>
    </row>
    <row r="1062" spans="1:14" x14ac:dyDescent="0.25">
      <c r="A1062">
        <v>400578824</v>
      </c>
      <c r="B1062">
        <v>2015</v>
      </c>
      <c r="C1062" s="1">
        <v>42011</v>
      </c>
      <c r="D1062" t="s">
        <v>38</v>
      </c>
      <c r="E1062">
        <v>0</v>
      </c>
      <c r="F1062">
        <v>17</v>
      </c>
      <c r="G1062">
        <v>19</v>
      </c>
      <c r="H1062">
        <v>0</v>
      </c>
      <c r="I1062" t="s">
        <v>37</v>
      </c>
      <c r="J1062">
        <v>104</v>
      </c>
      <c r="K1062" t="s">
        <v>38</v>
      </c>
      <c r="L1062">
        <v>83</v>
      </c>
      <c r="M1062">
        <f>IF(D1062=I1062,VLOOKUP(D1062,a_win_totals_lookup,MATCH(K1062,a_wins_total_lookup_header,0)+1,0),VLOOKUP(D1062,a_win_totals_lookup,MATCH(I1062,a_wins_total_lookup_header,0)+1,0))</f>
        <v>0.69779347286419835</v>
      </c>
      <c r="N1062">
        <f t="shared" ca="1" si="16"/>
        <v>0</v>
      </c>
    </row>
    <row r="1063" spans="1:14" x14ac:dyDescent="0.25">
      <c r="A1063">
        <v>400578824</v>
      </c>
      <c r="B1063">
        <v>2015</v>
      </c>
      <c r="C1063" s="1">
        <v>42011</v>
      </c>
      <c r="D1063" t="s">
        <v>37</v>
      </c>
      <c r="E1063">
        <v>1</v>
      </c>
      <c r="F1063">
        <v>15</v>
      </c>
      <c r="G1063">
        <v>20</v>
      </c>
      <c r="H1063">
        <v>1</v>
      </c>
      <c r="I1063" t="s">
        <v>37</v>
      </c>
      <c r="J1063">
        <v>104</v>
      </c>
      <c r="K1063" t="s">
        <v>38</v>
      </c>
      <c r="L1063">
        <v>83</v>
      </c>
      <c r="M1063">
        <f>IF(D1063=I1063,VLOOKUP(D1063,a_win_totals_lookup,MATCH(K1063,a_wins_total_lookup_header,0)+1,0),VLOOKUP(D1063,a_win_totals_lookup,MATCH(I1063,a_wins_total_lookup_header,0)+1,0))</f>
        <v>0.30220652713580148</v>
      </c>
      <c r="N1063">
        <f t="shared" ca="1" si="16"/>
        <v>0</v>
      </c>
    </row>
    <row r="1064" spans="1:14" x14ac:dyDescent="0.25">
      <c r="A1064">
        <v>400578825</v>
      </c>
      <c r="B1064">
        <v>2015</v>
      </c>
      <c r="C1064" s="1">
        <v>42011</v>
      </c>
      <c r="D1064" t="s">
        <v>36</v>
      </c>
      <c r="E1064">
        <v>1</v>
      </c>
      <c r="F1064">
        <v>28</v>
      </c>
      <c r="G1064">
        <v>5</v>
      </c>
      <c r="H1064">
        <v>1</v>
      </c>
      <c r="I1064" t="s">
        <v>36</v>
      </c>
      <c r="J1064">
        <v>117</v>
      </c>
      <c r="K1064" t="s">
        <v>20</v>
      </c>
      <c r="L1064">
        <v>102</v>
      </c>
      <c r="M1064">
        <f>IF(D1064=I1064,VLOOKUP(D1064,a_win_totals_lookup,MATCH(K1064,a_wins_total_lookup_header,0)+1,0),VLOOKUP(D1064,a_win_totals_lookup,MATCH(I1064,a_wins_total_lookup_header,0)+1,0))</f>
        <v>0.67767313462764645</v>
      </c>
      <c r="N1064">
        <f t="shared" ca="1" si="16"/>
        <v>1</v>
      </c>
    </row>
    <row r="1065" spans="1:14" x14ac:dyDescent="0.25">
      <c r="A1065">
        <v>400578825</v>
      </c>
      <c r="B1065">
        <v>2015</v>
      </c>
      <c r="C1065" s="1">
        <v>42011</v>
      </c>
      <c r="D1065" t="s">
        <v>20</v>
      </c>
      <c r="E1065">
        <v>0</v>
      </c>
      <c r="F1065">
        <v>14</v>
      </c>
      <c r="G1065">
        <v>23</v>
      </c>
      <c r="H1065">
        <v>0</v>
      </c>
      <c r="I1065" t="s">
        <v>36</v>
      </c>
      <c r="J1065">
        <v>117</v>
      </c>
      <c r="K1065" t="s">
        <v>20</v>
      </c>
      <c r="L1065">
        <v>102</v>
      </c>
      <c r="M1065">
        <f>IF(D1065=I1065,VLOOKUP(D1065,a_win_totals_lookup,MATCH(K1065,a_wins_total_lookup_header,0)+1,0),VLOOKUP(D1065,a_win_totals_lookup,MATCH(I1065,a_wins_total_lookup_header,0)+1,0))</f>
        <v>0.32232686537235361</v>
      </c>
      <c r="N1065">
        <f t="shared" ca="1" si="16"/>
        <v>0</v>
      </c>
    </row>
    <row r="1066" spans="1:14" x14ac:dyDescent="0.25">
      <c r="A1066">
        <v>400578826</v>
      </c>
      <c r="B1066">
        <v>2015</v>
      </c>
      <c r="C1066" s="1">
        <v>42011</v>
      </c>
      <c r="D1066" t="s">
        <v>41</v>
      </c>
      <c r="E1066">
        <v>1</v>
      </c>
      <c r="F1066">
        <v>24</v>
      </c>
      <c r="G1066">
        <v>12</v>
      </c>
      <c r="H1066">
        <v>1</v>
      </c>
      <c r="I1066" t="s">
        <v>41</v>
      </c>
      <c r="J1066">
        <v>114</v>
      </c>
      <c r="K1066" t="s">
        <v>17</v>
      </c>
      <c r="L1066">
        <v>89</v>
      </c>
      <c r="M1066">
        <f>IF(D1066=I1066,VLOOKUP(D1066,a_win_totals_lookup,MATCH(K1066,a_wins_total_lookup_header,0)+1,0),VLOOKUP(D1066,a_win_totals_lookup,MATCH(I1066,a_wins_total_lookup_header,0)+1,0))</f>
        <v>0.71629315358675483</v>
      </c>
      <c r="N1066">
        <f t="shared" ca="1" si="16"/>
        <v>1</v>
      </c>
    </row>
    <row r="1067" spans="1:14" x14ac:dyDescent="0.25">
      <c r="A1067">
        <v>400578826</v>
      </c>
      <c r="B1067">
        <v>2015</v>
      </c>
      <c r="C1067" s="1">
        <v>42011</v>
      </c>
      <c r="D1067" t="s">
        <v>17</v>
      </c>
      <c r="E1067">
        <v>0</v>
      </c>
      <c r="F1067">
        <v>11</v>
      </c>
      <c r="G1067">
        <v>25</v>
      </c>
      <c r="H1067">
        <v>0</v>
      </c>
      <c r="I1067" t="s">
        <v>41</v>
      </c>
      <c r="J1067">
        <v>114</v>
      </c>
      <c r="K1067" t="s">
        <v>17</v>
      </c>
      <c r="L1067">
        <v>89</v>
      </c>
      <c r="M1067">
        <f>IF(D1067=I1067,VLOOKUP(D1067,a_win_totals_lookup,MATCH(K1067,a_wins_total_lookup_header,0)+1,0),VLOOKUP(D1067,a_win_totals_lookup,MATCH(I1067,a_wins_total_lookup_header,0)+1,0))</f>
        <v>0.28370684641324517</v>
      </c>
      <c r="N1067">
        <f t="shared" ca="1" si="16"/>
        <v>1</v>
      </c>
    </row>
    <row r="1068" spans="1:14" x14ac:dyDescent="0.25">
      <c r="A1068">
        <v>400578827</v>
      </c>
      <c r="B1068">
        <v>2015</v>
      </c>
      <c r="C1068" s="1">
        <v>42012</v>
      </c>
      <c r="D1068" t="s">
        <v>18</v>
      </c>
      <c r="E1068">
        <v>1</v>
      </c>
      <c r="F1068">
        <v>14</v>
      </c>
      <c r="G1068">
        <v>24</v>
      </c>
      <c r="H1068">
        <v>0</v>
      </c>
      <c r="I1068" t="s">
        <v>27</v>
      </c>
      <c r="J1068">
        <v>95</v>
      </c>
      <c r="K1068" t="s">
        <v>18</v>
      </c>
      <c r="L1068">
        <v>103</v>
      </c>
      <c r="M1068">
        <f>IF(D1068=I1068,VLOOKUP(D1068,a_win_totals_lookup,MATCH(K1068,a_wins_total_lookup_header,0)+1,0),VLOOKUP(D1068,a_win_totals_lookup,MATCH(I1068,a_wins_total_lookup_header,0)+1,0))</f>
        <v>0.4452024002195884</v>
      </c>
      <c r="N1068">
        <f t="shared" ca="1" si="16"/>
        <v>0</v>
      </c>
    </row>
    <row r="1069" spans="1:14" x14ac:dyDescent="0.25">
      <c r="A1069">
        <v>400578827</v>
      </c>
      <c r="B1069">
        <v>2015</v>
      </c>
      <c r="C1069" s="1">
        <v>42012</v>
      </c>
      <c r="D1069" t="s">
        <v>27</v>
      </c>
      <c r="E1069">
        <v>0</v>
      </c>
      <c r="F1069">
        <v>24</v>
      </c>
      <c r="G1069">
        <v>11</v>
      </c>
      <c r="H1069">
        <v>1</v>
      </c>
      <c r="I1069" t="s">
        <v>27</v>
      </c>
      <c r="J1069">
        <v>95</v>
      </c>
      <c r="K1069" t="s">
        <v>18</v>
      </c>
      <c r="L1069">
        <v>103</v>
      </c>
      <c r="M1069">
        <f>IF(D1069=I1069,VLOOKUP(D1069,a_win_totals_lookup,MATCH(K1069,a_wins_total_lookup_header,0)+1,0),VLOOKUP(D1069,a_win_totals_lookup,MATCH(I1069,a_wins_total_lookup_header,0)+1,0))</f>
        <v>0.55479759978041154</v>
      </c>
      <c r="N1069">
        <f t="shared" ca="1" si="16"/>
        <v>1</v>
      </c>
    </row>
    <row r="1070" spans="1:14" x14ac:dyDescent="0.25">
      <c r="A1070">
        <v>400578828</v>
      </c>
      <c r="B1070">
        <v>2015</v>
      </c>
      <c r="C1070" s="1">
        <v>42012</v>
      </c>
      <c r="D1070" t="s">
        <v>16</v>
      </c>
      <c r="E1070">
        <v>1</v>
      </c>
      <c r="F1070">
        <v>25</v>
      </c>
      <c r="G1070">
        <v>11</v>
      </c>
      <c r="H1070">
        <v>0</v>
      </c>
      <c r="I1070" t="s">
        <v>31</v>
      </c>
      <c r="J1070">
        <v>96</v>
      </c>
      <c r="K1070" t="s">
        <v>16</v>
      </c>
      <c r="L1070">
        <v>120</v>
      </c>
      <c r="M1070">
        <f>IF(D1070=I1070,VLOOKUP(D1070,a_win_totals_lookup,MATCH(K1070,a_wins_total_lookup_header,0)+1,0),VLOOKUP(D1070,a_win_totals_lookup,MATCH(I1070,a_wins_total_lookup_header,0)+1,0))</f>
        <v>0.5824138662182502</v>
      </c>
      <c r="N1070">
        <f t="shared" ca="1" si="16"/>
        <v>0</v>
      </c>
    </row>
    <row r="1071" spans="1:14" x14ac:dyDescent="0.25">
      <c r="A1071">
        <v>400578828</v>
      </c>
      <c r="B1071">
        <v>2015</v>
      </c>
      <c r="C1071" s="1">
        <v>42012</v>
      </c>
      <c r="D1071" t="s">
        <v>31</v>
      </c>
      <c r="E1071">
        <v>0</v>
      </c>
      <c r="F1071">
        <v>5</v>
      </c>
      <c r="G1071">
        <v>34</v>
      </c>
      <c r="H1071">
        <v>1</v>
      </c>
      <c r="I1071" t="s">
        <v>31</v>
      </c>
      <c r="J1071">
        <v>96</v>
      </c>
      <c r="K1071" t="s">
        <v>16</v>
      </c>
      <c r="L1071">
        <v>120</v>
      </c>
      <c r="M1071">
        <f>IF(D1071=I1071,VLOOKUP(D1071,a_win_totals_lookup,MATCH(K1071,a_wins_total_lookup_header,0)+1,0),VLOOKUP(D1071,a_win_totals_lookup,MATCH(I1071,a_wins_total_lookup_header,0)+1,0))</f>
        <v>0.41758613378174975</v>
      </c>
      <c r="N1071">
        <f t="shared" ca="1" si="16"/>
        <v>0</v>
      </c>
    </row>
    <row r="1072" spans="1:14" x14ac:dyDescent="0.25">
      <c r="A1072">
        <v>400578829</v>
      </c>
      <c r="B1072">
        <v>2015</v>
      </c>
      <c r="C1072" s="1">
        <v>42012</v>
      </c>
      <c r="D1072" t="s">
        <v>24</v>
      </c>
      <c r="E1072">
        <v>0</v>
      </c>
      <c r="F1072">
        <v>15</v>
      </c>
      <c r="G1072">
        <v>21</v>
      </c>
      <c r="H1072">
        <v>0</v>
      </c>
      <c r="I1072" t="s">
        <v>39</v>
      </c>
      <c r="J1072">
        <v>99</v>
      </c>
      <c r="K1072" t="s">
        <v>24</v>
      </c>
      <c r="L1072">
        <v>83</v>
      </c>
      <c r="M1072">
        <f>IF(D1072=I1072,VLOOKUP(D1072,a_win_totals_lookup,MATCH(K1072,a_wins_total_lookup_header,0)+1,0),VLOOKUP(D1072,a_win_totals_lookup,MATCH(I1072,a_wins_total_lookup_header,0)+1,0))</f>
        <v>0.45872797939141957</v>
      </c>
      <c r="N1072">
        <f t="shared" ca="1" si="16"/>
        <v>1</v>
      </c>
    </row>
    <row r="1073" spans="1:14" x14ac:dyDescent="0.25">
      <c r="A1073">
        <v>400578829</v>
      </c>
      <c r="B1073">
        <v>2015</v>
      </c>
      <c r="C1073" s="1">
        <v>42012</v>
      </c>
      <c r="D1073" t="s">
        <v>39</v>
      </c>
      <c r="E1073">
        <v>1</v>
      </c>
      <c r="F1073">
        <v>28</v>
      </c>
      <c r="G1073">
        <v>8</v>
      </c>
      <c r="H1073">
        <v>1</v>
      </c>
      <c r="I1073" t="s">
        <v>39</v>
      </c>
      <c r="J1073">
        <v>99</v>
      </c>
      <c r="K1073" t="s">
        <v>24</v>
      </c>
      <c r="L1073">
        <v>83</v>
      </c>
      <c r="M1073">
        <f>IF(D1073=I1073,VLOOKUP(D1073,a_win_totals_lookup,MATCH(K1073,a_wins_total_lookup_header,0)+1,0),VLOOKUP(D1073,a_win_totals_lookup,MATCH(I1073,a_wins_total_lookup_header,0)+1,0))</f>
        <v>0.54127202060858037</v>
      </c>
      <c r="N1073">
        <f t="shared" ca="1" si="16"/>
        <v>1</v>
      </c>
    </row>
    <row r="1074" spans="1:14" x14ac:dyDescent="0.25">
      <c r="A1074">
        <v>400578830</v>
      </c>
      <c r="B1074">
        <v>2015</v>
      </c>
      <c r="C1074" s="1">
        <v>42013</v>
      </c>
      <c r="D1074" t="s">
        <v>22</v>
      </c>
      <c r="E1074">
        <v>0</v>
      </c>
      <c r="F1074">
        <v>12</v>
      </c>
      <c r="G1074">
        <v>22</v>
      </c>
      <c r="H1074">
        <v>0</v>
      </c>
      <c r="I1074" t="s">
        <v>20</v>
      </c>
      <c r="J1074">
        <v>107</v>
      </c>
      <c r="K1074" t="s">
        <v>22</v>
      </c>
      <c r="L1074">
        <v>103</v>
      </c>
      <c r="M1074">
        <f>IF(D1074=I1074,VLOOKUP(D1074,a_win_totals_lookup,MATCH(K1074,a_wins_total_lookup_header,0)+1,0),VLOOKUP(D1074,a_win_totals_lookup,MATCH(I1074,a_wins_total_lookup_header,0)+1,0))</f>
        <v>0.39367898728550332</v>
      </c>
      <c r="N1074">
        <f t="shared" ca="1" si="16"/>
        <v>1</v>
      </c>
    </row>
    <row r="1075" spans="1:14" x14ac:dyDescent="0.25">
      <c r="A1075">
        <v>400578830</v>
      </c>
      <c r="B1075">
        <v>2015</v>
      </c>
      <c r="C1075" s="1">
        <v>42013</v>
      </c>
      <c r="D1075" t="s">
        <v>20</v>
      </c>
      <c r="E1075">
        <v>1</v>
      </c>
      <c r="F1075">
        <v>15</v>
      </c>
      <c r="G1075">
        <v>23</v>
      </c>
      <c r="H1075">
        <v>1</v>
      </c>
      <c r="I1075" t="s">
        <v>20</v>
      </c>
      <c r="J1075">
        <v>107</v>
      </c>
      <c r="K1075" t="s">
        <v>22</v>
      </c>
      <c r="L1075">
        <v>103</v>
      </c>
      <c r="M1075">
        <f>IF(D1075=I1075,VLOOKUP(D1075,a_win_totals_lookup,MATCH(K1075,a_wins_total_lookup_header,0)+1,0),VLOOKUP(D1075,a_win_totals_lookup,MATCH(I1075,a_wins_total_lookup_header,0)+1,0))</f>
        <v>0.60632101271449668</v>
      </c>
      <c r="N1075">
        <f t="shared" ca="1" si="16"/>
        <v>1</v>
      </c>
    </row>
    <row r="1076" spans="1:14" x14ac:dyDescent="0.25">
      <c r="A1076">
        <v>400578831</v>
      </c>
      <c r="B1076">
        <v>2015</v>
      </c>
      <c r="C1076" s="1">
        <v>42013</v>
      </c>
      <c r="D1076" t="s">
        <v>23</v>
      </c>
      <c r="E1076">
        <v>0</v>
      </c>
      <c r="F1076">
        <v>16</v>
      </c>
      <c r="G1076">
        <v>20</v>
      </c>
      <c r="H1076">
        <v>1</v>
      </c>
      <c r="I1076" t="s">
        <v>23</v>
      </c>
      <c r="J1076">
        <v>88</v>
      </c>
      <c r="K1076" t="s">
        <v>21</v>
      </c>
      <c r="L1076">
        <v>90</v>
      </c>
      <c r="M1076">
        <f>IF(D1076=I1076,VLOOKUP(D1076,a_win_totals_lookup,MATCH(K1076,a_wins_total_lookup_header,0)+1,0),VLOOKUP(D1076,a_win_totals_lookup,MATCH(I1076,a_wins_total_lookup_header,0)+1,0))</f>
        <v>0.69736543414984997</v>
      </c>
      <c r="N1076">
        <f t="shared" ca="1" si="16"/>
        <v>0</v>
      </c>
    </row>
    <row r="1077" spans="1:14" x14ac:dyDescent="0.25">
      <c r="A1077">
        <v>400578831</v>
      </c>
      <c r="B1077">
        <v>2015</v>
      </c>
      <c r="C1077" s="1">
        <v>42013</v>
      </c>
      <c r="D1077" t="s">
        <v>21</v>
      </c>
      <c r="E1077">
        <v>1</v>
      </c>
      <c r="F1077">
        <v>6</v>
      </c>
      <c r="G1077">
        <v>29</v>
      </c>
      <c r="H1077">
        <v>0</v>
      </c>
      <c r="I1077" t="s">
        <v>23</v>
      </c>
      <c r="J1077">
        <v>88</v>
      </c>
      <c r="K1077" t="s">
        <v>21</v>
      </c>
      <c r="L1077">
        <v>90</v>
      </c>
      <c r="M1077">
        <f>IF(D1077=I1077,VLOOKUP(D1077,a_win_totals_lookup,MATCH(K1077,a_wins_total_lookup_header,0)+1,0),VLOOKUP(D1077,a_win_totals_lookup,MATCH(I1077,a_wins_total_lookup_header,0)+1,0))</f>
        <v>0.30263456585015008</v>
      </c>
      <c r="N1077">
        <f t="shared" ca="1" si="16"/>
        <v>1</v>
      </c>
    </row>
    <row r="1078" spans="1:14" x14ac:dyDescent="0.25">
      <c r="A1078">
        <v>400578832</v>
      </c>
      <c r="B1078">
        <v>2015</v>
      </c>
      <c r="C1078" s="1">
        <v>42013</v>
      </c>
      <c r="D1078" t="s">
        <v>26</v>
      </c>
      <c r="E1078">
        <v>1</v>
      </c>
      <c r="F1078">
        <v>28</v>
      </c>
      <c r="G1078">
        <v>8</v>
      </c>
      <c r="H1078">
        <v>0</v>
      </c>
      <c r="I1078" t="s">
        <v>33</v>
      </c>
      <c r="J1078">
        <v>103</v>
      </c>
      <c r="K1078" t="s">
        <v>26</v>
      </c>
      <c r="L1078">
        <v>106</v>
      </c>
      <c r="M1078">
        <f>IF(D1078=I1078,VLOOKUP(D1078,a_win_totals_lookup,MATCH(K1078,a_wins_total_lookup_header,0)+1,0),VLOOKUP(D1078,a_win_totals_lookup,MATCH(I1078,a_wins_total_lookup_header,0)+1,0))</f>
        <v>0.58346958313834041</v>
      </c>
      <c r="N1078">
        <f t="shared" ca="1" si="16"/>
        <v>1</v>
      </c>
    </row>
    <row r="1079" spans="1:14" x14ac:dyDescent="0.25">
      <c r="A1079">
        <v>400578832</v>
      </c>
      <c r="B1079">
        <v>2015</v>
      </c>
      <c r="C1079" s="1">
        <v>42013</v>
      </c>
      <c r="D1079" t="s">
        <v>33</v>
      </c>
      <c r="E1079">
        <v>0</v>
      </c>
      <c r="F1079">
        <v>12</v>
      </c>
      <c r="G1079">
        <v>24</v>
      </c>
      <c r="H1079">
        <v>1</v>
      </c>
      <c r="I1079" t="s">
        <v>33</v>
      </c>
      <c r="J1079">
        <v>103</v>
      </c>
      <c r="K1079" t="s">
        <v>26</v>
      </c>
      <c r="L1079">
        <v>106</v>
      </c>
      <c r="M1079">
        <f>IF(D1079=I1079,VLOOKUP(D1079,a_win_totals_lookup,MATCH(K1079,a_wins_total_lookup_header,0)+1,0),VLOOKUP(D1079,a_win_totals_lookup,MATCH(I1079,a_wins_total_lookup_header,0)+1,0))</f>
        <v>0.41653041686165959</v>
      </c>
      <c r="N1079">
        <f t="shared" ca="1" si="16"/>
        <v>0</v>
      </c>
    </row>
    <row r="1080" spans="1:14" x14ac:dyDescent="0.25">
      <c r="A1080">
        <v>400578833</v>
      </c>
      <c r="B1080">
        <v>2015</v>
      </c>
      <c r="C1080" s="1">
        <v>42013</v>
      </c>
      <c r="D1080" t="s">
        <v>28</v>
      </c>
      <c r="E1080">
        <v>0</v>
      </c>
      <c r="F1080">
        <v>25</v>
      </c>
      <c r="G1080">
        <v>11</v>
      </c>
      <c r="H1080">
        <v>0</v>
      </c>
      <c r="I1080" t="s">
        <v>12</v>
      </c>
      <c r="J1080">
        <v>106</v>
      </c>
      <c r="K1080" t="s">
        <v>28</v>
      </c>
      <c r="L1080">
        <v>95</v>
      </c>
      <c r="M1080">
        <f>IF(D1080=I1080,VLOOKUP(D1080,a_win_totals_lookup,MATCH(K1080,a_wins_total_lookup_header,0)+1,0),VLOOKUP(D1080,a_win_totals_lookup,MATCH(I1080,a_wins_total_lookup_header,0)+1,0))</f>
        <v>0.58683622465749607</v>
      </c>
      <c r="N1080">
        <f t="shared" ca="1" si="16"/>
        <v>1</v>
      </c>
    </row>
    <row r="1081" spans="1:14" x14ac:dyDescent="0.25">
      <c r="A1081">
        <v>400578833</v>
      </c>
      <c r="B1081">
        <v>2015</v>
      </c>
      <c r="C1081" s="1">
        <v>42013</v>
      </c>
      <c r="D1081" t="s">
        <v>12</v>
      </c>
      <c r="E1081">
        <v>1</v>
      </c>
      <c r="F1081">
        <v>18</v>
      </c>
      <c r="G1081">
        <v>18</v>
      </c>
      <c r="H1081">
        <v>1</v>
      </c>
      <c r="I1081" t="s">
        <v>12</v>
      </c>
      <c r="J1081">
        <v>106</v>
      </c>
      <c r="K1081" t="s">
        <v>28</v>
      </c>
      <c r="L1081">
        <v>95</v>
      </c>
      <c r="M1081">
        <f>IF(D1081=I1081,VLOOKUP(D1081,a_win_totals_lookup,MATCH(K1081,a_wins_total_lookup_header,0)+1,0),VLOOKUP(D1081,a_win_totals_lookup,MATCH(I1081,a_wins_total_lookup_header,0)+1,0))</f>
        <v>0.41316377534250398</v>
      </c>
      <c r="N1081">
        <f t="shared" ca="1" si="16"/>
        <v>0</v>
      </c>
    </row>
    <row r="1082" spans="1:14" x14ac:dyDescent="0.25">
      <c r="A1082">
        <v>400578834</v>
      </c>
      <c r="B1082">
        <v>2015</v>
      </c>
      <c r="C1082" s="1">
        <v>42013</v>
      </c>
      <c r="D1082" t="s">
        <v>38</v>
      </c>
      <c r="E1082">
        <v>1</v>
      </c>
      <c r="F1082">
        <v>18</v>
      </c>
      <c r="G1082">
        <v>19</v>
      </c>
      <c r="H1082">
        <v>1</v>
      </c>
      <c r="I1082" t="s">
        <v>38</v>
      </c>
      <c r="J1082">
        <v>99</v>
      </c>
      <c r="K1082" t="s">
        <v>34</v>
      </c>
      <c r="L1082">
        <v>94</v>
      </c>
      <c r="M1082">
        <f>IF(D1082=I1082,VLOOKUP(D1082,a_win_totals_lookup,MATCH(K1082,a_wins_total_lookup_header,0)+1,0),VLOOKUP(D1082,a_win_totals_lookup,MATCH(I1082,a_wins_total_lookup_header,0)+1,0))</f>
        <v>0.72649226385047183</v>
      </c>
      <c r="N1082">
        <f t="shared" ca="1" si="16"/>
        <v>1</v>
      </c>
    </row>
    <row r="1083" spans="1:14" x14ac:dyDescent="0.25">
      <c r="A1083">
        <v>400578834</v>
      </c>
      <c r="B1083">
        <v>2015</v>
      </c>
      <c r="C1083" s="1">
        <v>42013</v>
      </c>
      <c r="D1083" t="s">
        <v>34</v>
      </c>
      <c r="E1083">
        <v>0</v>
      </c>
      <c r="F1083">
        <v>13</v>
      </c>
      <c r="G1083">
        <v>24</v>
      </c>
      <c r="H1083">
        <v>0</v>
      </c>
      <c r="I1083" t="s">
        <v>38</v>
      </c>
      <c r="J1083">
        <v>99</v>
      </c>
      <c r="K1083" t="s">
        <v>34</v>
      </c>
      <c r="L1083">
        <v>94</v>
      </c>
      <c r="M1083">
        <f>IF(D1083=I1083,VLOOKUP(D1083,a_win_totals_lookup,MATCH(K1083,a_wins_total_lookup_header,0)+1,0),VLOOKUP(D1083,a_win_totals_lookup,MATCH(I1083,a_wins_total_lookup_header,0)+1,0))</f>
        <v>0.27350773614952834</v>
      </c>
      <c r="N1083">
        <f t="shared" ca="1" si="16"/>
        <v>0</v>
      </c>
    </row>
    <row r="1084" spans="1:14" x14ac:dyDescent="0.25">
      <c r="A1084">
        <v>400578835</v>
      </c>
      <c r="B1084">
        <v>2015</v>
      </c>
      <c r="C1084" s="1">
        <v>42013</v>
      </c>
      <c r="D1084" t="s">
        <v>30</v>
      </c>
      <c r="E1084">
        <v>0</v>
      </c>
      <c r="F1084">
        <v>25</v>
      </c>
      <c r="G1084">
        <v>12</v>
      </c>
      <c r="H1084">
        <v>0</v>
      </c>
      <c r="I1084" t="s">
        <v>25</v>
      </c>
      <c r="J1084">
        <v>102</v>
      </c>
      <c r="K1084" t="s">
        <v>30</v>
      </c>
      <c r="L1084">
        <v>86</v>
      </c>
      <c r="M1084">
        <f>IF(D1084=I1084,VLOOKUP(D1084,a_win_totals_lookup,MATCH(K1084,a_wins_total_lookup_header,0)+1,0),VLOOKUP(D1084,a_win_totals_lookup,MATCH(I1084,a_wins_total_lookup_header,0)+1,0))</f>
        <v>0.5600388834823441</v>
      </c>
      <c r="N1084">
        <f t="shared" ca="1" si="16"/>
        <v>1</v>
      </c>
    </row>
    <row r="1085" spans="1:14" x14ac:dyDescent="0.25">
      <c r="A1085">
        <v>400578835</v>
      </c>
      <c r="B1085">
        <v>2015</v>
      </c>
      <c r="C1085" s="1">
        <v>42013</v>
      </c>
      <c r="D1085" t="s">
        <v>25</v>
      </c>
      <c r="E1085">
        <v>1</v>
      </c>
      <c r="F1085">
        <v>25</v>
      </c>
      <c r="G1085">
        <v>11</v>
      </c>
      <c r="H1085">
        <v>1</v>
      </c>
      <c r="I1085" t="s">
        <v>25</v>
      </c>
      <c r="J1085">
        <v>102</v>
      </c>
      <c r="K1085" t="s">
        <v>30</v>
      </c>
      <c r="L1085">
        <v>86</v>
      </c>
      <c r="M1085">
        <f>IF(D1085=I1085,VLOOKUP(D1085,a_win_totals_lookup,MATCH(K1085,a_wins_total_lookup_header,0)+1,0),VLOOKUP(D1085,a_win_totals_lookup,MATCH(I1085,a_wins_total_lookup_header,0)+1,0))</f>
        <v>0.43996111651765601</v>
      </c>
      <c r="N1085">
        <f t="shared" ca="1" si="16"/>
        <v>1</v>
      </c>
    </row>
    <row r="1086" spans="1:14" x14ac:dyDescent="0.25">
      <c r="A1086">
        <v>400578836</v>
      </c>
      <c r="B1086">
        <v>2015</v>
      </c>
      <c r="C1086" s="1">
        <v>42013</v>
      </c>
      <c r="D1086" t="s">
        <v>19</v>
      </c>
      <c r="E1086">
        <v>1</v>
      </c>
      <c r="F1086">
        <v>20</v>
      </c>
      <c r="G1086">
        <v>18</v>
      </c>
      <c r="H1086">
        <v>1</v>
      </c>
      <c r="I1086" t="s">
        <v>19</v>
      </c>
      <c r="J1086">
        <v>98</v>
      </c>
      <c r="K1086" t="s">
        <v>29</v>
      </c>
      <c r="L1086">
        <v>84</v>
      </c>
      <c r="M1086">
        <f>IF(D1086=I1086,VLOOKUP(D1086,a_win_totals_lookup,MATCH(K1086,a_wins_total_lookup_header,0)+1,0),VLOOKUP(D1086,a_win_totals_lookup,MATCH(I1086,a_wins_total_lookup_header,0)+1,0))</f>
        <v>0.51920267504662998</v>
      </c>
      <c r="N1086">
        <f t="shared" ca="1" si="16"/>
        <v>0</v>
      </c>
    </row>
    <row r="1087" spans="1:14" x14ac:dyDescent="0.25">
      <c r="A1087">
        <v>400578836</v>
      </c>
      <c r="B1087">
        <v>2015</v>
      </c>
      <c r="C1087" s="1">
        <v>42013</v>
      </c>
      <c r="D1087" t="s">
        <v>29</v>
      </c>
      <c r="E1087">
        <v>0</v>
      </c>
      <c r="F1087">
        <v>5</v>
      </c>
      <c r="G1087">
        <v>30</v>
      </c>
      <c r="H1087">
        <v>0</v>
      </c>
      <c r="I1087" t="s">
        <v>19</v>
      </c>
      <c r="J1087">
        <v>98</v>
      </c>
      <c r="K1087" t="s">
        <v>29</v>
      </c>
      <c r="L1087">
        <v>84</v>
      </c>
      <c r="M1087">
        <f>IF(D1087=I1087,VLOOKUP(D1087,a_win_totals_lookup,MATCH(K1087,a_wins_total_lookup_header,0)+1,0),VLOOKUP(D1087,a_win_totals_lookup,MATCH(I1087,a_wins_total_lookup_header,0)+1,0))</f>
        <v>0.48079732495336996</v>
      </c>
      <c r="N1087">
        <f t="shared" ca="1" si="16"/>
        <v>0</v>
      </c>
    </row>
    <row r="1088" spans="1:14" x14ac:dyDescent="0.25">
      <c r="A1088">
        <v>400578837</v>
      </c>
      <c r="B1088">
        <v>2015</v>
      </c>
      <c r="C1088" s="1">
        <v>42013</v>
      </c>
      <c r="D1088" t="s">
        <v>35</v>
      </c>
      <c r="E1088">
        <v>0</v>
      </c>
      <c r="F1088">
        <v>22</v>
      </c>
      <c r="G1088">
        <v>17</v>
      </c>
      <c r="H1088">
        <v>0</v>
      </c>
      <c r="I1088" t="s">
        <v>15</v>
      </c>
      <c r="J1088">
        <v>100</v>
      </c>
      <c r="K1088" t="s">
        <v>35</v>
      </c>
      <c r="L1088">
        <v>95</v>
      </c>
      <c r="M1088">
        <f>IF(D1088=I1088,VLOOKUP(D1088,a_win_totals_lookup,MATCH(K1088,a_wins_total_lookup_header,0)+1,0),VLOOKUP(D1088,a_win_totals_lookup,MATCH(I1088,a_wins_total_lookup_header,0)+1,0))</f>
        <v>0.39734725240030316</v>
      </c>
      <c r="N1088">
        <f t="shared" ca="1" si="16"/>
        <v>0</v>
      </c>
    </row>
    <row r="1089" spans="1:14" x14ac:dyDescent="0.25">
      <c r="A1089">
        <v>400578837</v>
      </c>
      <c r="B1089">
        <v>2015</v>
      </c>
      <c r="C1089" s="1">
        <v>42013</v>
      </c>
      <c r="D1089" t="s">
        <v>15</v>
      </c>
      <c r="E1089">
        <v>1</v>
      </c>
      <c r="F1089">
        <v>22</v>
      </c>
      <c r="G1089">
        <v>15</v>
      </c>
      <c r="H1089">
        <v>1</v>
      </c>
      <c r="I1089" t="s">
        <v>15</v>
      </c>
      <c r="J1089">
        <v>100</v>
      </c>
      <c r="K1089" t="s">
        <v>35</v>
      </c>
      <c r="L1089">
        <v>95</v>
      </c>
      <c r="M1089">
        <f>IF(D1089=I1089,VLOOKUP(D1089,a_win_totals_lookup,MATCH(K1089,a_wins_total_lookup_header,0)+1,0),VLOOKUP(D1089,a_win_totals_lookup,MATCH(I1089,a_wins_total_lookup_header,0)+1,0))</f>
        <v>0.60265274759969689</v>
      </c>
      <c r="N1089">
        <f t="shared" ca="1" si="16"/>
        <v>1</v>
      </c>
    </row>
    <row r="1090" spans="1:14" x14ac:dyDescent="0.25">
      <c r="A1090">
        <v>400578838</v>
      </c>
      <c r="B1090">
        <v>2015</v>
      </c>
      <c r="C1090" s="1">
        <v>42013</v>
      </c>
      <c r="D1090" t="s">
        <v>32</v>
      </c>
      <c r="E1090">
        <v>1</v>
      </c>
      <c r="F1090">
        <v>17</v>
      </c>
      <c r="G1090">
        <v>20</v>
      </c>
      <c r="H1090">
        <v>0</v>
      </c>
      <c r="I1090" t="s">
        <v>37</v>
      </c>
      <c r="J1090">
        <v>108</v>
      </c>
      <c r="K1090" t="s">
        <v>32</v>
      </c>
      <c r="L1090">
        <v>118</v>
      </c>
      <c r="M1090">
        <f>IF(D1090=I1090,VLOOKUP(D1090,a_win_totals_lookup,MATCH(K1090,a_wins_total_lookup_header,0)+1,0),VLOOKUP(D1090,a_win_totals_lookup,MATCH(I1090,a_wins_total_lookup_header,0)+1,0))</f>
        <v>0.57711263446281591</v>
      </c>
      <c r="N1090">
        <f t="shared" ca="1" si="16"/>
        <v>0</v>
      </c>
    </row>
    <row r="1091" spans="1:14" x14ac:dyDescent="0.25">
      <c r="A1091">
        <v>400578838</v>
      </c>
      <c r="B1091">
        <v>2015</v>
      </c>
      <c r="C1091" s="1">
        <v>42013</v>
      </c>
      <c r="D1091" t="s">
        <v>37</v>
      </c>
      <c r="E1091">
        <v>0</v>
      </c>
      <c r="F1091">
        <v>15</v>
      </c>
      <c r="G1091">
        <v>21</v>
      </c>
      <c r="H1091">
        <v>1</v>
      </c>
      <c r="I1091" t="s">
        <v>37</v>
      </c>
      <c r="J1091">
        <v>108</v>
      </c>
      <c r="K1091" t="s">
        <v>32</v>
      </c>
      <c r="L1091">
        <v>118</v>
      </c>
      <c r="M1091">
        <f>IF(D1091=I1091,VLOOKUP(D1091,a_win_totals_lookup,MATCH(K1091,a_wins_total_lookup_header,0)+1,0),VLOOKUP(D1091,a_win_totals_lookup,MATCH(I1091,a_wins_total_lookup_header,0)+1,0))</f>
        <v>0.42288736553718415</v>
      </c>
      <c r="N1091">
        <f t="shared" ref="N1091:N1154" ca="1" si="17">ROUND(0.5*RANDBETWEEN(-1,1)+M1091,0)</f>
        <v>1</v>
      </c>
    </row>
    <row r="1092" spans="1:14" x14ac:dyDescent="0.25">
      <c r="A1092">
        <v>400578839</v>
      </c>
      <c r="B1092">
        <v>2015</v>
      </c>
      <c r="C1092" s="1">
        <v>42013</v>
      </c>
      <c r="D1092" t="s">
        <v>40</v>
      </c>
      <c r="E1092">
        <v>0</v>
      </c>
      <c r="F1092">
        <v>19</v>
      </c>
      <c r="G1092">
        <v>18</v>
      </c>
      <c r="H1092">
        <v>0</v>
      </c>
      <c r="I1092" t="s">
        <v>36</v>
      </c>
      <c r="J1092">
        <v>112</v>
      </c>
      <c r="K1092" t="s">
        <v>40</v>
      </c>
      <c r="L1092">
        <v>94</v>
      </c>
      <c r="M1092">
        <f>IF(D1092=I1092,VLOOKUP(D1092,a_win_totals_lookup,MATCH(K1092,a_wins_total_lookup_header,0)+1,0),VLOOKUP(D1092,a_win_totals_lookup,MATCH(I1092,a_wins_total_lookup_header,0)+1,0))</f>
        <v>0.52902568929724392</v>
      </c>
      <c r="N1092">
        <f t="shared" ca="1" si="17"/>
        <v>0</v>
      </c>
    </row>
    <row r="1093" spans="1:14" x14ac:dyDescent="0.25">
      <c r="A1093">
        <v>400578839</v>
      </c>
      <c r="B1093">
        <v>2015</v>
      </c>
      <c r="C1093" s="1">
        <v>42013</v>
      </c>
      <c r="D1093" t="s">
        <v>36</v>
      </c>
      <c r="E1093">
        <v>1</v>
      </c>
      <c r="F1093">
        <v>29</v>
      </c>
      <c r="G1093">
        <v>5</v>
      </c>
      <c r="H1093">
        <v>1</v>
      </c>
      <c r="I1093" t="s">
        <v>36</v>
      </c>
      <c r="J1093">
        <v>112</v>
      </c>
      <c r="K1093" t="s">
        <v>40</v>
      </c>
      <c r="L1093">
        <v>94</v>
      </c>
      <c r="M1093">
        <f>IF(D1093=I1093,VLOOKUP(D1093,a_win_totals_lookup,MATCH(K1093,a_wins_total_lookup_header,0)+1,0),VLOOKUP(D1093,a_win_totals_lookup,MATCH(I1093,a_wins_total_lookup_header,0)+1,0))</f>
        <v>0.47097431070275608</v>
      </c>
      <c r="N1093">
        <f t="shared" ca="1" si="17"/>
        <v>0</v>
      </c>
    </row>
    <row r="1094" spans="1:14" x14ac:dyDescent="0.25">
      <c r="A1094">
        <v>400578840</v>
      </c>
      <c r="B1094">
        <v>2015</v>
      </c>
      <c r="C1094" s="1">
        <v>42013</v>
      </c>
      <c r="D1094" t="s">
        <v>17</v>
      </c>
      <c r="E1094">
        <v>1</v>
      </c>
      <c r="F1094">
        <v>12</v>
      </c>
      <c r="G1094">
        <v>25</v>
      </c>
      <c r="H1094">
        <v>1</v>
      </c>
      <c r="I1094" t="s">
        <v>17</v>
      </c>
      <c r="J1094">
        <v>101</v>
      </c>
      <c r="K1094" t="s">
        <v>13</v>
      </c>
      <c r="L1094">
        <v>84</v>
      </c>
      <c r="M1094">
        <f>IF(D1094=I1094,VLOOKUP(D1094,a_win_totals_lookup,MATCH(K1094,a_wins_total_lookup_header,0)+1,0),VLOOKUP(D1094,a_win_totals_lookup,MATCH(I1094,a_wins_total_lookup_header,0)+1,0))</f>
        <v>0.53496419100371084</v>
      </c>
      <c r="N1094">
        <f t="shared" ca="1" si="17"/>
        <v>0</v>
      </c>
    </row>
    <row r="1095" spans="1:14" x14ac:dyDescent="0.25">
      <c r="A1095">
        <v>400578840</v>
      </c>
      <c r="B1095">
        <v>2015</v>
      </c>
      <c r="C1095" s="1">
        <v>42013</v>
      </c>
      <c r="D1095" t="s">
        <v>13</v>
      </c>
      <c r="E1095">
        <v>0</v>
      </c>
      <c r="F1095">
        <v>13</v>
      </c>
      <c r="G1095">
        <v>26</v>
      </c>
      <c r="H1095">
        <v>0</v>
      </c>
      <c r="I1095" t="s">
        <v>17</v>
      </c>
      <c r="J1095">
        <v>101</v>
      </c>
      <c r="K1095" t="s">
        <v>13</v>
      </c>
      <c r="L1095">
        <v>84</v>
      </c>
      <c r="M1095">
        <f>IF(D1095=I1095,VLOOKUP(D1095,a_win_totals_lookup,MATCH(K1095,a_wins_total_lookup_header,0)+1,0),VLOOKUP(D1095,a_win_totals_lookup,MATCH(I1095,a_wins_total_lookup_header,0)+1,0))</f>
        <v>0.46503580899628916</v>
      </c>
      <c r="N1095">
        <f t="shared" ca="1" si="17"/>
        <v>1</v>
      </c>
    </row>
    <row r="1096" spans="1:14" x14ac:dyDescent="0.25">
      <c r="A1096">
        <v>400578841</v>
      </c>
      <c r="B1096">
        <v>2015</v>
      </c>
      <c r="C1096" s="1">
        <v>42014</v>
      </c>
      <c r="D1096" t="s">
        <v>18</v>
      </c>
      <c r="E1096">
        <v>1</v>
      </c>
      <c r="F1096">
        <v>15</v>
      </c>
      <c r="G1096">
        <v>24</v>
      </c>
      <c r="H1096">
        <v>0</v>
      </c>
      <c r="I1096" t="s">
        <v>31</v>
      </c>
      <c r="J1096">
        <v>82</v>
      </c>
      <c r="K1096" t="s">
        <v>18</v>
      </c>
      <c r="L1096">
        <v>110</v>
      </c>
      <c r="M1096">
        <f>IF(D1096=I1096,VLOOKUP(D1096,a_win_totals_lookup,MATCH(K1096,a_wins_total_lookup_header,0)+1,0),VLOOKUP(D1096,a_win_totals_lookup,MATCH(I1096,a_wins_total_lookup_header,0)+1,0))</f>
        <v>0.56217650088579807</v>
      </c>
      <c r="N1096">
        <f t="shared" ca="1" si="17"/>
        <v>1</v>
      </c>
    </row>
    <row r="1097" spans="1:14" x14ac:dyDescent="0.25">
      <c r="A1097">
        <v>400578841</v>
      </c>
      <c r="B1097">
        <v>2015</v>
      </c>
      <c r="C1097" s="1">
        <v>42014</v>
      </c>
      <c r="D1097" t="s">
        <v>31</v>
      </c>
      <c r="E1097">
        <v>0</v>
      </c>
      <c r="F1097">
        <v>5</v>
      </c>
      <c r="G1097">
        <v>35</v>
      </c>
      <c r="H1097">
        <v>1</v>
      </c>
      <c r="I1097" t="s">
        <v>31</v>
      </c>
      <c r="J1097">
        <v>82</v>
      </c>
      <c r="K1097" t="s">
        <v>18</v>
      </c>
      <c r="L1097">
        <v>110</v>
      </c>
      <c r="M1097">
        <f>IF(D1097=I1097,VLOOKUP(D1097,a_win_totals_lookup,MATCH(K1097,a_wins_total_lookup_header,0)+1,0),VLOOKUP(D1097,a_win_totals_lookup,MATCH(I1097,a_wins_total_lookup_header,0)+1,0))</f>
        <v>0.43782349911420193</v>
      </c>
      <c r="N1097">
        <f t="shared" ca="1" si="17"/>
        <v>1</v>
      </c>
    </row>
    <row r="1098" spans="1:14" x14ac:dyDescent="0.25">
      <c r="A1098">
        <v>400578842</v>
      </c>
      <c r="B1098">
        <v>2015</v>
      </c>
      <c r="C1098" s="1">
        <v>42014</v>
      </c>
      <c r="D1098" t="s">
        <v>14</v>
      </c>
      <c r="E1098">
        <v>0</v>
      </c>
      <c r="F1098">
        <v>26</v>
      </c>
      <c r="G1098">
        <v>12</v>
      </c>
      <c r="H1098">
        <v>0</v>
      </c>
      <c r="I1098" t="s">
        <v>41</v>
      </c>
      <c r="J1098">
        <v>120</v>
      </c>
      <c r="K1098" t="s">
        <v>14</v>
      </c>
      <c r="L1098">
        <v>100</v>
      </c>
      <c r="M1098">
        <f>IF(D1098=I1098,VLOOKUP(D1098,a_win_totals_lookup,MATCH(K1098,a_wins_total_lookup_header,0)+1,0),VLOOKUP(D1098,a_win_totals_lookup,MATCH(I1098,a_wins_total_lookup_header,0)+1,0))</f>
        <v>0.46377804008771911</v>
      </c>
      <c r="N1098">
        <f t="shared" ca="1" si="17"/>
        <v>1</v>
      </c>
    </row>
    <row r="1099" spans="1:14" x14ac:dyDescent="0.25">
      <c r="A1099">
        <v>400578842</v>
      </c>
      <c r="B1099">
        <v>2015</v>
      </c>
      <c r="C1099" s="1">
        <v>42014</v>
      </c>
      <c r="D1099" t="s">
        <v>41</v>
      </c>
      <c r="E1099">
        <v>1</v>
      </c>
      <c r="F1099">
        <v>25</v>
      </c>
      <c r="G1099">
        <v>12</v>
      </c>
      <c r="H1099">
        <v>1</v>
      </c>
      <c r="I1099" t="s">
        <v>41</v>
      </c>
      <c r="J1099">
        <v>120</v>
      </c>
      <c r="K1099" t="s">
        <v>14</v>
      </c>
      <c r="L1099">
        <v>100</v>
      </c>
      <c r="M1099">
        <f>IF(D1099=I1099,VLOOKUP(D1099,a_win_totals_lookup,MATCH(K1099,a_wins_total_lookup_header,0)+1,0),VLOOKUP(D1099,a_win_totals_lookup,MATCH(I1099,a_wins_total_lookup_header,0)+1,0))</f>
        <v>0.53622195991228083</v>
      </c>
      <c r="N1099">
        <f t="shared" ca="1" si="17"/>
        <v>1</v>
      </c>
    </row>
    <row r="1100" spans="1:14" x14ac:dyDescent="0.25">
      <c r="A1100">
        <v>400578843</v>
      </c>
      <c r="B1100">
        <v>2015</v>
      </c>
      <c r="C1100" s="1">
        <v>42014</v>
      </c>
      <c r="D1100" t="s">
        <v>23</v>
      </c>
      <c r="E1100">
        <v>0</v>
      </c>
      <c r="F1100">
        <v>16</v>
      </c>
      <c r="G1100">
        <v>21</v>
      </c>
      <c r="H1100">
        <v>0</v>
      </c>
      <c r="I1100" t="s">
        <v>33</v>
      </c>
      <c r="J1100">
        <v>98</v>
      </c>
      <c r="K1100" t="s">
        <v>23</v>
      </c>
      <c r="L1100">
        <v>93</v>
      </c>
      <c r="M1100">
        <f>IF(D1100=I1100,VLOOKUP(D1100,a_win_totals_lookup,MATCH(K1100,a_wins_total_lookup_header,0)+1,0),VLOOKUP(D1100,a_win_totals_lookup,MATCH(I1100,a_wins_total_lookup_header,0)+1,0))</f>
        <v>0.54476805573373421</v>
      </c>
      <c r="N1100">
        <f t="shared" ca="1" si="17"/>
        <v>1</v>
      </c>
    </row>
    <row r="1101" spans="1:14" x14ac:dyDescent="0.25">
      <c r="A1101">
        <v>400578843</v>
      </c>
      <c r="B1101">
        <v>2015</v>
      </c>
      <c r="C1101" s="1">
        <v>42014</v>
      </c>
      <c r="D1101" t="s">
        <v>33</v>
      </c>
      <c r="E1101">
        <v>1</v>
      </c>
      <c r="F1101">
        <v>13</v>
      </c>
      <c r="G1101">
        <v>24</v>
      </c>
      <c r="H1101">
        <v>1</v>
      </c>
      <c r="I1101" t="s">
        <v>33</v>
      </c>
      <c r="J1101">
        <v>98</v>
      </c>
      <c r="K1101" t="s">
        <v>23</v>
      </c>
      <c r="L1101">
        <v>93</v>
      </c>
      <c r="M1101">
        <f>IF(D1101=I1101,VLOOKUP(D1101,a_win_totals_lookup,MATCH(K1101,a_wins_total_lookup_header,0)+1,0),VLOOKUP(D1101,a_win_totals_lookup,MATCH(I1101,a_wins_total_lookup_header,0)+1,0))</f>
        <v>0.45523194426626579</v>
      </c>
      <c r="N1101">
        <f t="shared" ca="1" si="17"/>
        <v>0</v>
      </c>
    </row>
    <row r="1102" spans="1:14" x14ac:dyDescent="0.25">
      <c r="A1102">
        <v>400578844</v>
      </c>
      <c r="B1102">
        <v>2015</v>
      </c>
      <c r="C1102" s="1">
        <v>42014</v>
      </c>
      <c r="D1102" t="s">
        <v>20</v>
      </c>
      <c r="E1102">
        <v>0</v>
      </c>
      <c r="F1102">
        <v>15</v>
      </c>
      <c r="G1102">
        <v>24</v>
      </c>
      <c r="H1102">
        <v>0</v>
      </c>
      <c r="I1102" t="s">
        <v>21</v>
      </c>
      <c r="J1102">
        <v>93</v>
      </c>
      <c r="K1102" t="s">
        <v>20</v>
      </c>
      <c r="L1102">
        <v>92</v>
      </c>
      <c r="M1102">
        <f>IF(D1102=I1102,VLOOKUP(D1102,a_win_totals_lookup,MATCH(K1102,a_wins_total_lookup_header,0)+1,0),VLOOKUP(D1102,a_win_totals_lookup,MATCH(I1102,a_wins_total_lookup_header,0)+1,0))</f>
        <v>0.64351831611443899</v>
      </c>
      <c r="N1102">
        <f t="shared" ca="1" si="17"/>
        <v>1</v>
      </c>
    </row>
    <row r="1103" spans="1:14" x14ac:dyDescent="0.25">
      <c r="A1103">
        <v>400578844</v>
      </c>
      <c r="B1103">
        <v>2015</v>
      </c>
      <c r="C1103" s="1">
        <v>42014</v>
      </c>
      <c r="D1103" t="s">
        <v>21</v>
      </c>
      <c r="E1103">
        <v>1</v>
      </c>
      <c r="F1103">
        <v>7</v>
      </c>
      <c r="G1103">
        <v>29</v>
      </c>
      <c r="H1103">
        <v>1</v>
      </c>
      <c r="I1103" t="s">
        <v>21</v>
      </c>
      <c r="J1103">
        <v>93</v>
      </c>
      <c r="K1103" t="s">
        <v>20</v>
      </c>
      <c r="L1103">
        <v>92</v>
      </c>
      <c r="M1103">
        <f>IF(D1103=I1103,VLOOKUP(D1103,a_win_totals_lookup,MATCH(K1103,a_wins_total_lookup_header,0)+1,0),VLOOKUP(D1103,a_win_totals_lookup,MATCH(I1103,a_wins_total_lookup_header,0)+1,0))</f>
        <v>0.35648168388556095</v>
      </c>
      <c r="N1103">
        <f t="shared" ca="1" si="17"/>
        <v>1</v>
      </c>
    </row>
    <row r="1104" spans="1:14" x14ac:dyDescent="0.25">
      <c r="A1104">
        <v>400578845</v>
      </c>
      <c r="B1104">
        <v>2015</v>
      </c>
      <c r="C1104" s="1">
        <v>42014</v>
      </c>
      <c r="D1104" t="s">
        <v>22</v>
      </c>
      <c r="E1104">
        <v>0</v>
      </c>
      <c r="F1104">
        <v>12</v>
      </c>
      <c r="G1104">
        <v>23</v>
      </c>
      <c r="H1104">
        <v>0</v>
      </c>
      <c r="I1104" t="s">
        <v>27</v>
      </c>
      <c r="J1104">
        <v>109</v>
      </c>
      <c r="K1104" t="s">
        <v>22</v>
      </c>
      <c r="L1104">
        <v>96</v>
      </c>
      <c r="M1104">
        <f>IF(D1104=I1104,VLOOKUP(D1104,a_win_totals_lookup,MATCH(K1104,a_wins_total_lookup_header,0)+1,0),VLOOKUP(D1104,a_win_totals_lookup,MATCH(I1104,a_wins_total_lookup_header,0)+1,0))</f>
        <v>0.24120874132126804</v>
      </c>
      <c r="N1104">
        <f t="shared" ca="1" si="17"/>
        <v>0</v>
      </c>
    </row>
    <row r="1105" spans="1:14" x14ac:dyDescent="0.25">
      <c r="A1105">
        <v>400578845</v>
      </c>
      <c r="B1105">
        <v>2015</v>
      </c>
      <c r="C1105" s="1">
        <v>42014</v>
      </c>
      <c r="D1105" t="s">
        <v>27</v>
      </c>
      <c r="E1105">
        <v>1</v>
      </c>
      <c r="F1105">
        <v>25</v>
      </c>
      <c r="G1105">
        <v>11</v>
      </c>
      <c r="H1105">
        <v>1</v>
      </c>
      <c r="I1105" t="s">
        <v>27</v>
      </c>
      <c r="J1105">
        <v>109</v>
      </c>
      <c r="K1105" t="s">
        <v>22</v>
      </c>
      <c r="L1105">
        <v>96</v>
      </c>
      <c r="M1105">
        <f>IF(D1105=I1105,VLOOKUP(D1105,a_win_totals_lookup,MATCH(K1105,a_wins_total_lookup_header,0)+1,0),VLOOKUP(D1105,a_win_totals_lookup,MATCH(I1105,a_wins_total_lookup_header,0)+1,0))</f>
        <v>0.75879125867873198</v>
      </c>
      <c r="N1105">
        <f t="shared" ca="1" si="17"/>
        <v>0</v>
      </c>
    </row>
    <row r="1106" spans="1:14" x14ac:dyDescent="0.25">
      <c r="A1106">
        <v>400578846</v>
      </c>
      <c r="B1106">
        <v>2015</v>
      </c>
      <c r="C1106" s="1">
        <v>42014</v>
      </c>
      <c r="D1106" t="s">
        <v>30</v>
      </c>
      <c r="E1106">
        <v>1</v>
      </c>
      <c r="F1106">
        <v>26</v>
      </c>
      <c r="G1106">
        <v>12</v>
      </c>
      <c r="H1106">
        <v>1</v>
      </c>
      <c r="I1106" t="s">
        <v>30</v>
      </c>
      <c r="J1106">
        <v>95</v>
      </c>
      <c r="K1106" t="s">
        <v>19</v>
      </c>
      <c r="L1106">
        <v>87</v>
      </c>
      <c r="M1106">
        <f>IF(D1106=I1106,VLOOKUP(D1106,a_win_totals_lookup,MATCH(K1106,a_wins_total_lookup_header,0)+1,0),VLOOKUP(D1106,a_win_totals_lookup,MATCH(I1106,a_wins_total_lookup_header,0)+1,0))</f>
        <v>0.76371419200876312</v>
      </c>
      <c r="N1106">
        <f t="shared" ca="1" si="17"/>
        <v>0</v>
      </c>
    </row>
    <row r="1107" spans="1:14" x14ac:dyDescent="0.25">
      <c r="A1107">
        <v>400578846</v>
      </c>
      <c r="B1107">
        <v>2015</v>
      </c>
      <c r="C1107" s="1">
        <v>42014</v>
      </c>
      <c r="D1107" t="s">
        <v>19</v>
      </c>
      <c r="E1107">
        <v>0</v>
      </c>
      <c r="F1107">
        <v>20</v>
      </c>
      <c r="G1107">
        <v>19</v>
      </c>
      <c r="H1107">
        <v>0</v>
      </c>
      <c r="I1107" t="s">
        <v>30</v>
      </c>
      <c r="J1107">
        <v>95</v>
      </c>
      <c r="K1107" t="s">
        <v>19</v>
      </c>
      <c r="L1107">
        <v>87</v>
      </c>
      <c r="M1107">
        <f>IF(D1107=I1107,VLOOKUP(D1107,a_win_totals_lookup,MATCH(K1107,a_wins_total_lookup_header,0)+1,0),VLOOKUP(D1107,a_win_totals_lookup,MATCH(I1107,a_wins_total_lookup_header,0)+1,0))</f>
        <v>0.23628580799123672</v>
      </c>
      <c r="N1107">
        <f t="shared" ca="1" si="17"/>
        <v>0</v>
      </c>
    </row>
    <row r="1108" spans="1:14" x14ac:dyDescent="0.25">
      <c r="A1108">
        <v>400578847</v>
      </c>
      <c r="B1108">
        <v>2015</v>
      </c>
      <c r="C1108" s="1">
        <v>42014</v>
      </c>
      <c r="D1108" t="s">
        <v>16</v>
      </c>
      <c r="E1108">
        <v>1</v>
      </c>
      <c r="F1108">
        <v>26</v>
      </c>
      <c r="G1108">
        <v>11</v>
      </c>
      <c r="H1108">
        <v>1</v>
      </c>
      <c r="I1108" t="s">
        <v>16</v>
      </c>
      <c r="J1108">
        <v>97</v>
      </c>
      <c r="K1108" t="s">
        <v>34</v>
      </c>
      <c r="L1108">
        <v>82</v>
      </c>
      <c r="M1108">
        <f>IF(D1108=I1108,VLOOKUP(D1108,a_win_totals_lookup,MATCH(K1108,a_wins_total_lookup_header,0)+1,0),VLOOKUP(D1108,a_win_totals_lookup,MATCH(I1108,a_wins_total_lookup_header,0)+1,0))</f>
        <v>0.68647860603758082</v>
      </c>
      <c r="N1108">
        <f t="shared" ca="1" si="17"/>
        <v>0</v>
      </c>
    </row>
    <row r="1109" spans="1:14" x14ac:dyDescent="0.25">
      <c r="A1109">
        <v>400578847</v>
      </c>
      <c r="B1109">
        <v>2015</v>
      </c>
      <c r="C1109" s="1">
        <v>42014</v>
      </c>
      <c r="D1109" t="s">
        <v>34</v>
      </c>
      <c r="E1109">
        <v>0</v>
      </c>
      <c r="F1109">
        <v>13</v>
      </c>
      <c r="G1109">
        <v>25</v>
      </c>
      <c r="H1109">
        <v>0</v>
      </c>
      <c r="I1109" t="s">
        <v>16</v>
      </c>
      <c r="J1109">
        <v>97</v>
      </c>
      <c r="K1109" t="s">
        <v>34</v>
      </c>
      <c r="L1109">
        <v>82</v>
      </c>
      <c r="M1109">
        <f>IF(D1109=I1109,VLOOKUP(D1109,a_win_totals_lookup,MATCH(K1109,a_wins_total_lookup_header,0)+1,0),VLOOKUP(D1109,a_win_totals_lookup,MATCH(I1109,a_wins_total_lookup_header,0)+1,0))</f>
        <v>0.31352139396241918</v>
      </c>
      <c r="N1109">
        <f t="shared" ca="1" si="17"/>
        <v>1</v>
      </c>
    </row>
    <row r="1110" spans="1:14" x14ac:dyDescent="0.25">
      <c r="A1110">
        <v>400578848</v>
      </c>
      <c r="B1110">
        <v>2015</v>
      </c>
      <c r="C1110" s="1">
        <v>42014</v>
      </c>
      <c r="D1110" t="s">
        <v>29</v>
      </c>
      <c r="E1110">
        <v>0</v>
      </c>
      <c r="F1110">
        <v>5</v>
      </c>
      <c r="G1110">
        <v>31</v>
      </c>
      <c r="H1110">
        <v>1</v>
      </c>
      <c r="I1110" t="s">
        <v>29</v>
      </c>
      <c r="J1110">
        <v>93</v>
      </c>
      <c r="K1110" t="s">
        <v>15</v>
      </c>
      <c r="L1110">
        <v>108</v>
      </c>
      <c r="M1110">
        <f>IF(D1110=I1110,VLOOKUP(D1110,a_win_totals_lookup,MATCH(K1110,a_wins_total_lookup_header,0)+1,0),VLOOKUP(D1110,a_win_totals_lookup,MATCH(I1110,a_wins_total_lookup_header,0)+1,0))</f>
        <v>0.22270013882530892</v>
      </c>
      <c r="N1110">
        <f t="shared" ca="1" si="17"/>
        <v>1</v>
      </c>
    </row>
    <row r="1111" spans="1:14" x14ac:dyDescent="0.25">
      <c r="A1111">
        <v>400578848</v>
      </c>
      <c r="B1111">
        <v>2015</v>
      </c>
      <c r="C1111" s="1">
        <v>42014</v>
      </c>
      <c r="D1111" t="s">
        <v>15</v>
      </c>
      <c r="E1111">
        <v>1</v>
      </c>
      <c r="F1111">
        <v>23</v>
      </c>
      <c r="G1111">
        <v>15</v>
      </c>
      <c r="H1111">
        <v>0</v>
      </c>
      <c r="I1111" t="s">
        <v>29</v>
      </c>
      <c r="J1111">
        <v>93</v>
      </c>
      <c r="K1111" t="s">
        <v>15</v>
      </c>
      <c r="L1111">
        <v>108</v>
      </c>
      <c r="M1111">
        <f>IF(D1111=I1111,VLOOKUP(D1111,a_win_totals_lookup,MATCH(K1111,a_wins_total_lookup_header,0)+1,0),VLOOKUP(D1111,a_win_totals_lookup,MATCH(I1111,a_wins_total_lookup_header,0)+1,0))</f>
        <v>0.77729986117469119</v>
      </c>
      <c r="N1111">
        <f t="shared" ca="1" si="17"/>
        <v>1</v>
      </c>
    </row>
    <row r="1112" spans="1:14" x14ac:dyDescent="0.25">
      <c r="A1112">
        <v>400578849</v>
      </c>
      <c r="B1112">
        <v>2015</v>
      </c>
      <c r="C1112" s="1">
        <v>42014</v>
      </c>
      <c r="D1112" t="s">
        <v>13</v>
      </c>
      <c r="E1112">
        <v>0</v>
      </c>
      <c r="F1112">
        <v>13</v>
      </c>
      <c r="G1112">
        <v>27</v>
      </c>
      <c r="H1112">
        <v>0</v>
      </c>
      <c r="I1112" t="s">
        <v>39</v>
      </c>
      <c r="J1112">
        <v>103</v>
      </c>
      <c r="K1112" t="s">
        <v>13</v>
      </c>
      <c r="L1112">
        <v>92</v>
      </c>
      <c r="M1112">
        <f>IF(D1112=I1112,VLOOKUP(D1112,a_win_totals_lookup,MATCH(K1112,a_wins_total_lookup_header,0)+1,0),VLOOKUP(D1112,a_win_totals_lookup,MATCH(I1112,a_wins_total_lookup_header,0)+1,0))</f>
        <v>0.305452997556169</v>
      </c>
      <c r="N1112">
        <f t="shared" ca="1" si="17"/>
        <v>1</v>
      </c>
    </row>
    <row r="1113" spans="1:14" x14ac:dyDescent="0.25">
      <c r="A1113">
        <v>400578849</v>
      </c>
      <c r="B1113">
        <v>2015</v>
      </c>
      <c r="C1113" s="1">
        <v>42014</v>
      </c>
      <c r="D1113" t="s">
        <v>39</v>
      </c>
      <c r="E1113">
        <v>1</v>
      </c>
      <c r="F1113">
        <v>29</v>
      </c>
      <c r="G1113">
        <v>8</v>
      </c>
      <c r="H1113">
        <v>1</v>
      </c>
      <c r="I1113" t="s">
        <v>39</v>
      </c>
      <c r="J1113">
        <v>103</v>
      </c>
      <c r="K1113" t="s">
        <v>13</v>
      </c>
      <c r="L1113">
        <v>92</v>
      </c>
      <c r="M1113">
        <f>IF(D1113=I1113,VLOOKUP(D1113,a_win_totals_lookup,MATCH(K1113,a_wins_total_lookup_header,0)+1,0),VLOOKUP(D1113,a_win_totals_lookup,MATCH(I1113,a_wins_total_lookup_header,0)+1,0))</f>
        <v>0.69454700244383094</v>
      </c>
      <c r="N1113">
        <f t="shared" ca="1" si="17"/>
        <v>0</v>
      </c>
    </row>
    <row r="1114" spans="1:14" x14ac:dyDescent="0.25">
      <c r="A1114">
        <v>400578850</v>
      </c>
      <c r="B1114">
        <v>2015</v>
      </c>
      <c r="C1114" s="1">
        <v>42015</v>
      </c>
      <c r="D1114" t="s">
        <v>26</v>
      </c>
      <c r="E1114">
        <v>1</v>
      </c>
      <c r="F1114">
        <v>29</v>
      </c>
      <c r="G1114">
        <v>8</v>
      </c>
      <c r="H1114">
        <v>1</v>
      </c>
      <c r="I1114" t="s">
        <v>26</v>
      </c>
      <c r="J1114">
        <v>120</v>
      </c>
      <c r="K1114" t="s">
        <v>25</v>
      </c>
      <c r="L1114">
        <v>89</v>
      </c>
      <c r="M1114">
        <f>IF(D1114=I1114,VLOOKUP(D1114,a_win_totals_lookup,MATCH(K1114,a_wins_total_lookup_header,0)+1,0),VLOOKUP(D1114,a_win_totals_lookup,MATCH(I1114,a_wins_total_lookup_header,0)+1,0))</f>
        <v>0.45630903898702979</v>
      </c>
      <c r="N1114">
        <f t="shared" ca="1" si="17"/>
        <v>0</v>
      </c>
    </row>
    <row r="1115" spans="1:14" x14ac:dyDescent="0.25">
      <c r="A1115">
        <v>400578850</v>
      </c>
      <c r="B1115">
        <v>2015</v>
      </c>
      <c r="C1115" s="1">
        <v>42015</v>
      </c>
      <c r="D1115" t="s">
        <v>25</v>
      </c>
      <c r="E1115">
        <v>0</v>
      </c>
      <c r="F1115">
        <v>25</v>
      </c>
      <c r="G1115">
        <v>12</v>
      </c>
      <c r="H1115">
        <v>0</v>
      </c>
      <c r="I1115" t="s">
        <v>26</v>
      </c>
      <c r="J1115">
        <v>120</v>
      </c>
      <c r="K1115" t="s">
        <v>25</v>
      </c>
      <c r="L1115">
        <v>89</v>
      </c>
      <c r="M1115">
        <f>IF(D1115=I1115,VLOOKUP(D1115,a_win_totals_lookup,MATCH(K1115,a_wins_total_lookup_header,0)+1,0),VLOOKUP(D1115,a_win_totals_lookup,MATCH(I1115,a_wins_total_lookup_header,0)+1,0))</f>
        <v>0.54369096101297021</v>
      </c>
      <c r="N1115">
        <f t="shared" ca="1" si="17"/>
        <v>1</v>
      </c>
    </row>
    <row r="1116" spans="1:14" x14ac:dyDescent="0.25">
      <c r="A1116">
        <v>400578851</v>
      </c>
      <c r="B1116">
        <v>2015</v>
      </c>
      <c r="C1116" s="1">
        <v>42015</v>
      </c>
      <c r="D1116" t="s">
        <v>41</v>
      </c>
      <c r="E1116">
        <v>0</v>
      </c>
      <c r="F1116">
        <v>25</v>
      </c>
      <c r="G1116">
        <v>13</v>
      </c>
      <c r="H1116">
        <v>1</v>
      </c>
      <c r="I1116" t="s">
        <v>41</v>
      </c>
      <c r="J1116">
        <v>90</v>
      </c>
      <c r="K1116" t="s">
        <v>24</v>
      </c>
      <c r="L1116">
        <v>104</v>
      </c>
      <c r="M1116">
        <f>IF(D1116=I1116,VLOOKUP(D1116,a_win_totals_lookup,MATCH(K1116,a_wins_total_lookup_header,0)+1,0),VLOOKUP(D1116,a_win_totals_lookup,MATCH(I1116,a_wins_total_lookup_header,0)+1,0))</f>
        <v>0.60114400626087006</v>
      </c>
      <c r="N1116">
        <f t="shared" ca="1" si="17"/>
        <v>1</v>
      </c>
    </row>
    <row r="1117" spans="1:14" x14ac:dyDescent="0.25">
      <c r="A1117">
        <v>400578851</v>
      </c>
      <c r="B1117">
        <v>2015</v>
      </c>
      <c r="C1117" s="1">
        <v>42015</v>
      </c>
      <c r="D1117" t="s">
        <v>24</v>
      </c>
      <c r="E1117">
        <v>1</v>
      </c>
      <c r="F1117">
        <v>16</v>
      </c>
      <c r="G1117">
        <v>21</v>
      </c>
      <c r="H1117">
        <v>0</v>
      </c>
      <c r="I1117" t="s">
        <v>41</v>
      </c>
      <c r="J1117">
        <v>90</v>
      </c>
      <c r="K1117" t="s">
        <v>24</v>
      </c>
      <c r="L1117">
        <v>104</v>
      </c>
      <c r="M1117">
        <f>IF(D1117=I1117,VLOOKUP(D1117,a_win_totals_lookup,MATCH(K1117,a_wins_total_lookup_header,0)+1,0),VLOOKUP(D1117,a_win_totals_lookup,MATCH(I1117,a_wins_total_lookup_header,0)+1,0))</f>
        <v>0.39885599373912994</v>
      </c>
      <c r="N1117">
        <f t="shared" ca="1" si="17"/>
        <v>0</v>
      </c>
    </row>
    <row r="1118" spans="1:14" x14ac:dyDescent="0.25">
      <c r="A1118">
        <v>400578852</v>
      </c>
      <c r="B1118">
        <v>2015</v>
      </c>
      <c r="C1118" s="1">
        <v>42015</v>
      </c>
      <c r="D1118" t="s">
        <v>28</v>
      </c>
      <c r="E1118">
        <v>1</v>
      </c>
      <c r="F1118">
        <v>26</v>
      </c>
      <c r="G1118">
        <v>11</v>
      </c>
      <c r="H1118">
        <v>1</v>
      </c>
      <c r="I1118" t="s">
        <v>28</v>
      </c>
      <c r="J1118">
        <v>122</v>
      </c>
      <c r="K1118" t="s">
        <v>35</v>
      </c>
      <c r="L1118">
        <v>110</v>
      </c>
      <c r="M1118">
        <f>IF(D1118=I1118,VLOOKUP(D1118,a_win_totals_lookup,MATCH(K1118,a_wins_total_lookup_header,0)+1,0),VLOOKUP(D1118,a_win_totals_lookup,MATCH(I1118,a_wins_total_lookup_header,0)+1,0))</f>
        <v>0.56178370887279372</v>
      </c>
      <c r="N1118">
        <f t="shared" ca="1" si="17"/>
        <v>0</v>
      </c>
    </row>
    <row r="1119" spans="1:14" x14ac:dyDescent="0.25">
      <c r="A1119">
        <v>400578852</v>
      </c>
      <c r="B1119">
        <v>2015</v>
      </c>
      <c r="C1119" s="1">
        <v>42015</v>
      </c>
      <c r="D1119" t="s">
        <v>35</v>
      </c>
      <c r="E1119">
        <v>0</v>
      </c>
      <c r="F1119">
        <v>22</v>
      </c>
      <c r="G1119">
        <v>18</v>
      </c>
      <c r="H1119">
        <v>0</v>
      </c>
      <c r="I1119" t="s">
        <v>28</v>
      </c>
      <c r="J1119">
        <v>122</v>
      </c>
      <c r="K1119" t="s">
        <v>35</v>
      </c>
      <c r="L1119">
        <v>110</v>
      </c>
      <c r="M1119">
        <f>IF(D1119=I1119,VLOOKUP(D1119,a_win_totals_lookup,MATCH(K1119,a_wins_total_lookup_header,0)+1,0),VLOOKUP(D1119,a_win_totals_lookup,MATCH(I1119,a_wins_total_lookup_header,0)+1,0))</f>
        <v>0.43821629112720617</v>
      </c>
      <c r="N1119">
        <f t="shared" ca="1" si="17"/>
        <v>1</v>
      </c>
    </row>
    <row r="1120" spans="1:14" x14ac:dyDescent="0.25">
      <c r="A1120">
        <v>400578853</v>
      </c>
      <c r="B1120">
        <v>2015</v>
      </c>
      <c r="C1120" s="1">
        <v>42015</v>
      </c>
      <c r="D1120" t="s">
        <v>40</v>
      </c>
      <c r="E1120">
        <v>0</v>
      </c>
      <c r="F1120">
        <v>19</v>
      </c>
      <c r="G1120">
        <v>19</v>
      </c>
      <c r="H1120">
        <v>0</v>
      </c>
      <c r="I1120" t="s">
        <v>37</v>
      </c>
      <c r="J1120">
        <v>103</v>
      </c>
      <c r="K1120" t="s">
        <v>40</v>
      </c>
      <c r="L1120">
        <v>84</v>
      </c>
      <c r="M1120">
        <f>IF(D1120=I1120,VLOOKUP(D1120,a_win_totals_lookup,MATCH(K1120,a_wins_total_lookup_header,0)+1,0),VLOOKUP(D1120,a_win_totals_lookup,MATCH(I1120,a_wins_total_lookup_header,0)+1,0))</f>
        <v>0.71629315358675483</v>
      </c>
      <c r="N1120">
        <f t="shared" ca="1" si="17"/>
        <v>0</v>
      </c>
    </row>
    <row r="1121" spans="1:14" x14ac:dyDescent="0.25">
      <c r="A1121">
        <v>400578853</v>
      </c>
      <c r="B1121">
        <v>2015</v>
      </c>
      <c r="C1121" s="1">
        <v>42015</v>
      </c>
      <c r="D1121" t="s">
        <v>37</v>
      </c>
      <c r="E1121">
        <v>1</v>
      </c>
      <c r="F1121">
        <v>16</v>
      </c>
      <c r="G1121">
        <v>21</v>
      </c>
      <c r="H1121">
        <v>1</v>
      </c>
      <c r="I1121" t="s">
        <v>37</v>
      </c>
      <c r="J1121">
        <v>103</v>
      </c>
      <c r="K1121" t="s">
        <v>40</v>
      </c>
      <c r="L1121">
        <v>84</v>
      </c>
      <c r="M1121">
        <f>IF(D1121=I1121,VLOOKUP(D1121,a_win_totals_lookup,MATCH(K1121,a_wins_total_lookup_header,0)+1,0),VLOOKUP(D1121,a_win_totals_lookup,MATCH(I1121,a_wins_total_lookup_header,0)+1,0))</f>
        <v>0.28370684641324517</v>
      </c>
      <c r="N1121">
        <f t="shared" ca="1" si="17"/>
        <v>0</v>
      </c>
    </row>
    <row r="1122" spans="1:14" x14ac:dyDescent="0.25">
      <c r="A1122">
        <v>400578854</v>
      </c>
      <c r="B1122">
        <v>2015</v>
      </c>
      <c r="C1122" s="1">
        <v>42015</v>
      </c>
      <c r="D1122" t="s">
        <v>17</v>
      </c>
      <c r="E1122">
        <v>0</v>
      </c>
      <c r="F1122">
        <v>12</v>
      </c>
      <c r="G1122">
        <v>26</v>
      </c>
      <c r="H1122">
        <v>1</v>
      </c>
      <c r="I1122" t="s">
        <v>17</v>
      </c>
      <c r="J1122">
        <v>94</v>
      </c>
      <c r="K1122" t="s">
        <v>39</v>
      </c>
      <c r="L1122">
        <v>106</v>
      </c>
      <c r="M1122">
        <f>IF(D1122=I1122,VLOOKUP(D1122,a_win_totals_lookup,MATCH(K1122,a_wins_total_lookup_header,0)+1,0),VLOOKUP(D1122,a_win_totals_lookup,MATCH(I1122,a_wins_total_lookup_header,0)+1,0))</f>
        <v>0.3359536996565311</v>
      </c>
      <c r="N1122">
        <f t="shared" ca="1" si="17"/>
        <v>1</v>
      </c>
    </row>
    <row r="1123" spans="1:14" x14ac:dyDescent="0.25">
      <c r="A1123">
        <v>400578854</v>
      </c>
      <c r="B1123">
        <v>2015</v>
      </c>
      <c r="C1123" s="1">
        <v>42015</v>
      </c>
      <c r="D1123" t="s">
        <v>39</v>
      </c>
      <c r="E1123">
        <v>1</v>
      </c>
      <c r="F1123">
        <v>30</v>
      </c>
      <c r="G1123">
        <v>8</v>
      </c>
      <c r="H1123">
        <v>0</v>
      </c>
      <c r="I1123" t="s">
        <v>17</v>
      </c>
      <c r="J1123">
        <v>94</v>
      </c>
      <c r="K1123" t="s">
        <v>39</v>
      </c>
      <c r="L1123">
        <v>106</v>
      </c>
      <c r="M1123">
        <f>IF(D1123=I1123,VLOOKUP(D1123,a_win_totals_lookup,MATCH(K1123,a_wins_total_lookup_header,0)+1,0),VLOOKUP(D1123,a_win_totals_lookup,MATCH(I1123,a_wins_total_lookup_header,0)+1,0))</f>
        <v>0.6640463003434689</v>
      </c>
      <c r="N1123">
        <f t="shared" ca="1" si="17"/>
        <v>1</v>
      </c>
    </row>
    <row r="1124" spans="1:14" x14ac:dyDescent="0.25">
      <c r="A1124">
        <v>400578855</v>
      </c>
      <c r="B1124">
        <v>2015</v>
      </c>
      <c r="C1124" s="1">
        <v>42016</v>
      </c>
      <c r="D1124" t="s">
        <v>22</v>
      </c>
      <c r="E1124">
        <v>1</v>
      </c>
      <c r="F1124">
        <v>13</v>
      </c>
      <c r="G1124">
        <v>23</v>
      </c>
      <c r="H1124">
        <v>1</v>
      </c>
      <c r="I1124" t="s">
        <v>22</v>
      </c>
      <c r="J1124">
        <v>108</v>
      </c>
      <c r="K1124" t="s">
        <v>12</v>
      </c>
      <c r="L1124">
        <v>100</v>
      </c>
      <c r="M1124">
        <f>IF(D1124=I1124,VLOOKUP(D1124,a_win_totals_lookup,MATCH(K1124,a_wins_total_lookup_header,0)+1,0),VLOOKUP(D1124,a_win_totals_lookup,MATCH(I1124,a_wins_total_lookup_header,0)+1,0))</f>
        <v>0.32498145759955055</v>
      </c>
      <c r="N1124">
        <f t="shared" ca="1" si="17"/>
        <v>1</v>
      </c>
    </row>
    <row r="1125" spans="1:14" x14ac:dyDescent="0.25">
      <c r="A1125">
        <v>400578855</v>
      </c>
      <c r="B1125">
        <v>2015</v>
      </c>
      <c r="C1125" s="1">
        <v>42016</v>
      </c>
      <c r="D1125" t="s">
        <v>12</v>
      </c>
      <c r="E1125">
        <v>0</v>
      </c>
      <c r="F1125">
        <v>18</v>
      </c>
      <c r="G1125">
        <v>19</v>
      </c>
      <c r="H1125">
        <v>0</v>
      </c>
      <c r="I1125" t="s">
        <v>22</v>
      </c>
      <c r="J1125">
        <v>108</v>
      </c>
      <c r="K1125" t="s">
        <v>12</v>
      </c>
      <c r="L1125">
        <v>100</v>
      </c>
      <c r="M1125">
        <f>IF(D1125=I1125,VLOOKUP(D1125,a_win_totals_lookup,MATCH(K1125,a_wins_total_lookup_header,0)+1,0),VLOOKUP(D1125,a_win_totals_lookup,MATCH(I1125,a_wins_total_lookup_header,0)+1,0))</f>
        <v>0.67501854240044945</v>
      </c>
      <c r="N1125">
        <f t="shared" ca="1" si="17"/>
        <v>1</v>
      </c>
    </row>
    <row r="1126" spans="1:14" x14ac:dyDescent="0.25">
      <c r="A1126">
        <v>400578856</v>
      </c>
      <c r="B1126">
        <v>2015</v>
      </c>
      <c r="C1126" s="1">
        <v>42016</v>
      </c>
      <c r="D1126" t="s">
        <v>23</v>
      </c>
      <c r="E1126">
        <v>0</v>
      </c>
      <c r="F1126">
        <v>16</v>
      </c>
      <c r="G1126">
        <v>22</v>
      </c>
      <c r="H1126">
        <v>1</v>
      </c>
      <c r="I1126" t="s">
        <v>23</v>
      </c>
      <c r="J1126">
        <v>99</v>
      </c>
      <c r="K1126" t="s">
        <v>16</v>
      </c>
      <c r="L1126">
        <v>113</v>
      </c>
      <c r="M1126">
        <f>IF(D1126=I1126,VLOOKUP(D1126,a_win_totals_lookup,MATCH(K1126,a_wins_total_lookup_header,0)+1,0),VLOOKUP(D1126,a_win_totals_lookup,MATCH(I1126,a_wins_total_lookup_header,0)+1,0))</f>
        <v>0.41758613378174975</v>
      </c>
      <c r="N1126">
        <f t="shared" ca="1" si="17"/>
        <v>1</v>
      </c>
    </row>
    <row r="1127" spans="1:14" x14ac:dyDescent="0.25">
      <c r="A1127">
        <v>400578856</v>
      </c>
      <c r="B1127">
        <v>2015</v>
      </c>
      <c r="C1127" s="1">
        <v>42016</v>
      </c>
      <c r="D1127" t="s">
        <v>16</v>
      </c>
      <c r="E1127">
        <v>1</v>
      </c>
      <c r="F1127">
        <v>27</v>
      </c>
      <c r="G1127">
        <v>11</v>
      </c>
      <c r="H1127">
        <v>0</v>
      </c>
      <c r="I1127" t="s">
        <v>23</v>
      </c>
      <c r="J1127">
        <v>99</v>
      </c>
      <c r="K1127" t="s">
        <v>16</v>
      </c>
      <c r="L1127">
        <v>113</v>
      </c>
      <c r="M1127">
        <f>IF(D1127=I1127,VLOOKUP(D1127,a_win_totals_lookup,MATCH(K1127,a_wins_total_lookup_header,0)+1,0),VLOOKUP(D1127,a_win_totals_lookup,MATCH(I1127,a_wins_total_lookup_header,0)+1,0))</f>
        <v>0.5824138662182502</v>
      </c>
      <c r="N1127">
        <f t="shared" ca="1" si="17"/>
        <v>1</v>
      </c>
    </row>
    <row r="1128" spans="1:14" x14ac:dyDescent="0.25">
      <c r="A1128">
        <v>400578857</v>
      </c>
      <c r="B1128">
        <v>2015</v>
      </c>
      <c r="C1128" s="1">
        <v>42016</v>
      </c>
      <c r="D1128" t="s">
        <v>33</v>
      </c>
      <c r="E1128">
        <v>1</v>
      </c>
      <c r="F1128">
        <v>14</v>
      </c>
      <c r="G1128">
        <v>24</v>
      </c>
      <c r="H1128">
        <v>0</v>
      </c>
      <c r="I1128" t="s">
        <v>27</v>
      </c>
      <c r="J1128">
        <v>111</v>
      </c>
      <c r="K1128" t="s">
        <v>33</v>
      </c>
      <c r="L1128">
        <v>114</v>
      </c>
      <c r="M1128">
        <f>IF(D1128=I1128,VLOOKUP(D1128,a_win_totals_lookup,MATCH(K1128,a_wins_total_lookup_header,0)+1,0),VLOOKUP(D1128,a_win_totals_lookup,MATCH(I1128,a_wins_total_lookup_header,0)+1,0))</f>
        <v>0.34307350386175622</v>
      </c>
      <c r="N1128">
        <f t="shared" ca="1" si="17"/>
        <v>0</v>
      </c>
    </row>
    <row r="1129" spans="1:14" x14ac:dyDescent="0.25">
      <c r="A1129">
        <v>400578857</v>
      </c>
      <c r="B1129">
        <v>2015</v>
      </c>
      <c r="C1129" s="1">
        <v>42016</v>
      </c>
      <c r="D1129" t="s">
        <v>27</v>
      </c>
      <c r="E1129">
        <v>0</v>
      </c>
      <c r="F1129">
        <v>25</v>
      </c>
      <c r="G1129">
        <v>12</v>
      </c>
      <c r="H1129">
        <v>1</v>
      </c>
      <c r="I1129" t="s">
        <v>27</v>
      </c>
      <c r="J1129">
        <v>111</v>
      </c>
      <c r="K1129" t="s">
        <v>33</v>
      </c>
      <c r="L1129">
        <v>114</v>
      </c>
      <c r="M1129">
        <f>IF(D1129=I1129,VLOOKUP(D1129,a_win_totals_lookup,MATCH(K1129,a_wins_total_lookup_header,0)+1,0),VLOOKUP(D1129,a_win_totals_lookup,MATCH(I1129,a_wins_total_lookup_header,0)+1,0))</f>
        <v>0.65692649613824394</v>
      </c>
      <c r="N1129">
        <f t="shared" ca="1" si="17"/>
        <v>0</v>
      </c>
    </row>
    <row r="1130" spans="1:14" x14ac:dyDescent="0.25">
      <c r="A1130">
        <v>400578858</v>
      </c>
      <c r="B1130">
        <v>2015</v>
      </c>
      <c r="C1130" s="1">
        <v>42016</v>
      </c>
      <c r="D1130" t="s">
        <v>30</v>
      </c>
      <c r="E1130">
        <v>0</v>
      </c>
      <c r="F1130">
        <v>26</v>
      </c>
      <c r="G1130">
        <v>13</v>
      </c>
      <c r="H1130">
        <v>1</v>
      </c>
      <c r="I1130" t="s">
        <v>30</v>
      </c>
      <c r="J1130">
        <v>114</v>
      </c>
      <c r="K1130" t="s">
        <v>13</v>
      </c>
      <c r="L1130">
        <v>121</v>
      </c>
      <c r="M1130">
        <f>IF(D1130=I1130,VLOOKUP(D1130,a_win_totals_lookup,MATCH(K1130,a_wins_total_lookup_header,0)+1,0),VLOOKUP(D1130,a_win_totals_lookup,MATCH(I1130,a_wins_total_lookup_header,0)+1,0))</f>
        <v>0.73595070405215601</v>
      </c>
      <c r="N1130">
        <f t="shared" ca="1" si="17"/>
        <v>1</v>
      </c>
    </row>
    <row r="1131" spans="1:14" x14ac:dyDescent="0.25">
      <c r="A1131">
        <v>400578858</v>
      </c>
      <c r="B1131">
        <v>2015</v>
      </c>
      <c r="C1131" s="1">
        <v>42016</v>
      </c>
      <c r="D1131" t="s">
        <v>13</v>
      </c>
      <c r="E1131">
        <v>1</v>
      </c>
      <c r="F1131">
        <v>14</v>
      </c>
      <c r="G1131">
        <v>27</v>
      </c>
      <c r="H1131">
        <v>0</v>
      </c>
      <c r="I1131" t="s">
        <v>30</v>
      </c>
      <c r="J1131">
        <v>114</v>
      </c>
      <c r="K1131" t="s">
        <v>13</v>
      </c>
      <c r="L1131">
        <v>121</v>
      </c>
      <c r="M1131">
        <f>IF(D1131=I1131,VLOOKUP(D1131,a_win_totals_lookup,MATCH(K1131,a_wins_total_lookup_header,0)+1,0),VLOOKUP(D1131,a_win_totals_lookup,MATCH(I1131,a_wins_total_lookup_header,0)+1,0))</f>
        <v>0.26404929594784404</v>
      </c>
      <c r="N1131">
        <f t="shared" ca="1" si="17"/>
        <v>0</v>
      </c>
    </row>
    <row r="1132" spans="1:14" x14ac:dyDescent="0.25">
      <c r="A1132">
        <v>400578859</v>
      </c>
      <c r="B1132">
        <v>2015</v>
      </c>
      <c r="C1132" s="1">
        <v>42017</v>
      </c>
      <c r="D1132" t="s">
        <v>20</v>
      </c>
      <c r="E1132">
        <v>0</v>
      </c>
      <c r="F1132">
        <v>15</v>
      </c>
      <c r="G1132">
        <v>25</v>
      </c>
      <c r="H1132">
        <v>1</v>
      </c>
      <c r="I1132" t="s">
        <v>20</v>
      </c>
      <c r="J1132">
        <v>101</v>
      </c>
      <c r="K1132" t="s">
        <v>29</v>
      </c>
      <c r="L1132">
        <v>110</v>
      </c>
      <c r="M1132">
        <f>IF(D1132=I1132,VLOOKUP(D1132,a_win_totals_lookup,MATCH(K1132,a_wins_total_lookup_header,0)+1,0),VLOOKUP(D1132,a_win_totals_lookup,MATCH(I1132,a_wins_total_lookup_header,0)+1,0))</f>
        <v>0.60632101271449668</v>
      </c>
      <c r="N1132">
        <f t="shared" ca="1" si="17"/>
        <v>0</v>
      </c>
    </row>
    <row r="1133" spans="1:14" x14ac:dyDescent="0.25">
      <c r="A1133">
        <v>400578859</v>
      </c>
      <c r="B1133">
        <v>2015</v>
      </c>
      <c r="C1133" s="1">
        <v>42017</v>
      </c>
      <c r="D1133" t="s">
        <v>29</v>
      </c>
      <c r="E1133">
        <v>1</v>
      </c>
      <c r="F1133">
        <v>6</v>
      </c>
      <c r="G1133">
        <v>31</v>
      </c>
      <c r="H1133">
        <v>0</v>
      </c>
      <c r="I1133" t="s">
        <v>20</v>
      </c>
      <c r="J1133">
        <v>101</v>
      </c>
      <c r="K1133" t="s">
        <v>29</v>
      </c>
      <c r="L1133">
        <v>110</v>
      </c>
      <c r="M1133">
        <f>IF(D1133=I1133,VLOOKUP(D1133,a_win_totals_lookup,MATCH(K1133,a_wins_total_lookup_header,0)+1,0),VLOOKUP(D1133,a_win_totals_lookup,MATCH(I1133,a_wins_total_lookup_header,0)+1,0))</f>
        <v>0.39367898728550332</v>
      </c>
      <c r="N1133">
        <f t="shared" ca="1" si="17"/>
        <v>0</v>
      </c>
    </row>
    <row r="1134" spans="1:14" x14ac:dyDescent="0.25">
      <c r="A1134">
        <v>400578860</v>
      </c>
      <c r="B1134">
        <v>2015</v>
      </c>
      <c r="C1134" s="1">
        <v>42017</v>
      </c>
      <c r="D1134" t="s">
        <v>26</v>
      </c>
      <c r="E1134">
        <v>1</v>
      </c>
      <c r="F1134">
        <v>30</v>
      </c>
      <c r="G1134">
        <v>8</v>
      </c>
      <c r="H1134">
        <v>0</v>
      </c>
      <c r="I1134" t="s">
        <v>21</v>
      </c>
      <c r="J1134">
        <v>87</v>
      </c>
      <c r="K1134" t="s">
        <v>26</v>
      </c>
      <c r="L1134">
        <v>105</v>
      </c>
      <c r="M1134">
        <f>IF(D1134=I1134,VLOOKUP(D1134,a_win_totals_lookup,MATCH(K1134,a_wins_total_lookup_header,0)+1,0),VLOOKUP(D1134,a_win_totals_lookup,MATCH(I1134,a_wins_total_lookup_header,0)+1,0))</f>
        <v>0.72953473790298751</v>
      </c>
      <c r="N1134">
        <f t="shared" ca="1" si="17"/>
        <v>1</v>
      </c>
    </row>
    <row r="1135" spans="1:14" x14ac:dyDescent="0.25">
      <c r="A1135">
        <v>400578860</v>
      </c>
      <c r="B1135">
        <v>2015</v>
      </c>
      <c r="C1135" s="1">
        <v>42017</v>
      </c>
      <c r="D1135" t="s">
        <v>21</v>
      </c>
      <c r="E1135">
        <v>0</v>
      </c>
      <c r="F1135">
        <v>7</v>
      </c>
      <c r="G1135">
        <v>30</v>
      </c>
      <c r="H1135">
        <v>1</v>
      </c>
      <c r="I1135" t="s">
        <v>21</v>
      </c>
      <c r="J1135">
        <v>87</v>
      </c>
      <c r="K1135" t="s">
        <v>26</v>
      </c>
      <c r="L1135">
        <v>105</v>
      </c>
      <c r="M1135">
        <f>IF(D1135=I1135,VLOOKUP(D1135,a_win_totals_lookup,MATCH(K1135,a_wins_total_lookup_header,0)+1,0),VLOOKUP(D1135,a_win_totals_lookup,MATCH(I1135,a_wins_total_lookup_header,0)+1,0))</f>
        <v>0.27046526209701249</v>
      </c>
      <c r="N1135">
        <f t="shared" ca="1" si="17"/>
        <v>1</v>
      </c>
    </row>
    <row r="1136" spans="1:14" x14ac:dyDescent="0.25">
      <c r="A1136">
        <v>400578861</v>
      </c>
      <c r="B1136">
        <v>2015</v>
      </c>
      <c r="C1136" s="1">
        <v>42017</v>
      </c>
      <c r="D1136" t="s">
        <v>15</v>
      </c>
      <c r="E1136">
        <v>0</v>
      </c>
      <c r="F1136">
        <v>23</v>
      </c>
      <c r="G1136">
        <v>16</v>
      </c>
      <c r="H1136">
        <v>0</v>
      </c>
      <c r="I1136" t="s">
        <v>25</v>
      </c>
      <c r="J1136">
        <v>101</v>
      </c>
      <c r="K1136" t="s">
        <v>15</v>
      </c>
      <c r="L1136">
        <v>93</v>
      </c>
      <c r="M1136">
        <f>IF(D1136=I1136,VLOOKUP(D1136,a_win_totals_lookup,MATCH(K1136,a_wins_total_lookup_header,0)+1,0),VLOOKUP(D1136,a_win_totals_lookup,MATCH(I1136,a_wins_total_lookup_header,0)+1,0))</f>
        <v>0.5600388834823441</v>
      </c>
      <c r="N1136">
        <f t="shared" ca="1" si="17"/>
        <v>1</v>
      </c>
    </row>
    <row r="1137" spans="1:14" x14ac:dyDescent="0.25">
      <c r="A1137">
        <v>400578861</v>
      </c>
      <c r="B1137">
        <v>2015</v>
      </c>
      <c r="C1137" s="1">
        <v>42017</v>
      </c>
      <c r="D1137" t="s">
        <v>25</v>
      </c>
      <c r="E1137">
        <v>1</v>
      </c>
      <c r="F1137">
        <v>26</v>
      </c>
      <c r="G1137">
        <v>12</v>
      </c>
      <c r="H1137">
        <v>1</v>
      </c>
      <c r="I1137" t="s">
        <v>25</v>
      </c>
      <c r="J1137">
        <v>101</v>
      </c>
      <c r="K1137" t="s">
        <v>15</v>
      </c>
      <c r="L1137">
        <v>93</v>
      </c>
      <c r="M1137">
        <f>IF(D1137=I1137,VLOOKUP(D1137,a_win_totals_lookup,MATCH(K1137,a_wins_total_lookup_header,0)+1,0),VLOOKUP(D1137,a_win_totals_lookup,MATCH(I1137,a_wins_total_lookup_header,0)+1,0))</f>
        <v>0.43996111651765601</v>
      </c>
      <c r="N1137">
        <f t="shared" ca="1" si="17"/>
        <v>0</v>
      </c>
    </row>
    <row r="1138" spans="1:14" x14ac:dyDescent="0.25">
      <c r="A1138">
        <v>400578862</v>
      </c>
      <c r="B1138">
        <v>2015</v>
      </c>
      <c r="C1138" s="1">
        <v>42017</v>
      </c>
      <c r="D1138" t="s">
        <v>40</v>
      </c>
      <c r="E1138">
        <v>0</v>
      </c>
      <c r="F1138">
        <v>19</v>
      </c>
      <c r="G1138">
        <v>20</v>
      </c>
      <c r="H1138">
        <v>0</v>
      </c>
      <c r="I1138" t="s">
        <v>35</v>
      </c>
      <c r="J1138">
        <v>107</v>
      </c>
      <c r="K1138" t="s">
        <v>40</v>
      </c>
      <c r="L1138">
        <v>100</v>
      </c>
      <c r="M1138">
        <f>IF(D1138=I1138,VLOOKUP(D1138,a_win_totals_lookup,MATCH(K1138,a_wins_total_lookup_header,0)+1,0),VLOOKUP(D1138,a_win_totals_lookup,MATCH(I1138,a_wins_total_lookup_header,0)+1,0))</f>
        <v>0.6124771173739717</v>
      </c>
      <c r="N1138">
        <f t="shared" ca="1" si="17"/>
        <v>1</v>
      </c>
    </row>
    <row r="1139" spans="1:14" x14ac:dyDescent="0.25">
      <c r="A1139">
        <v>400578862</v>
      </c>
      <c r="B1139">
        <v>2015</v>
      </c>
      <c r="C1139" s="1">
        <v>42017</v>
      </c>
      <c r="D1139" t="s">
        <v>35</v>
      </c>
      <c r="E1139">
        <v>1</v>
      </c>
      <c r="F1139">
        <v>23</v>
      </c>
      <c r="G1139">
        <v>18</v>
      </c>
      <c r="H1139">
        <v>1</v>
      </c>
      <c r="I1139" t="s">
        <v>35</v>
      </c>
      <c r="J1139">
        <v>107</v>
      </c>
      <c r="K1139" t="s">
        <v>40</v>
      </c>
      <c r="L1139">
        <v>100</v>
      </c>
      <c r="M1139">
        <f>IF(D1139=I1139,VLOOKUP(D1139,a_win_totals_lookup,MATCH(K1139,a_wins_total_lookup_header,0)+1,0),VLOOKUP(D1139,a_win_totals_lookup,MATCH(I1139,a_wins_total_lookup_header,0)+1,0))</f>
        <v>0.3875228826260283</v>
      </c>
      <c r="N1139">
        <f t="shared" ca="1" si="17"/>
        <v>1</v>
      </c>
    </row>
    <row r="1140" spans="1:14" x14ac:dyDescent="0.25">
      <c r="A1140">
        <v>400578863</v>
      </c>
      <c r="B1140">
        <v>2015</v>
      </c>
      <c r="C1140" s="1">
        <v>42017</v>
      </c>
      <c r="D1140" t="s">
        <v>36</v>
      </c>
      <c r="E1140">
        <v>1</v>
      </c>
      <c r="F1140">
        <v>30</v>
      </c>
      <c r="G1140">
        <v>5</v>
      </c>
      <c r="H1140">
        <v>0</v>
      </c>
      <c r="I1140" t="s">
        <v>34</v>
      </c>
      <c r="J1140">
        <v>105</v>
      </c>
      <c r="K1140" t="s">
        <v>36</v>
      </c>
      <c r="L1140">
        <v>116</v>
      </c>
      <c r="M1140">
        <f>IF(D1140=I1140,VLOOKUP(D1140,a_win_totals_lookup,MATCH(K1140,a_wins_total_lookup_header,0)+1,0),VLOOKUP(D1140,a_win_totals_lookup,MATCH(I1140,a_wins_total_lookup_header,0)+1,0))</f>
        <v>0.72111517802286307</v>
      </c>
      <c r="N1140">
        <f t="shared" ca="1" si="17"/>
        <v>1</v>
      </c>
    </row>
    <row r="1141" spans="1:14" x14ac:dyDescent="0.25">
      <c r="A1141">
        <v>400578863</v>
      </c>
      <c r="B1141">
        <v>2015</v>
      </c>
      <c r="C1141" s="1">
        <v>42017</v>
      </c>
      <c r="D1141" t="s">
        <v>34</v>
      </c>
      <c r="E1141">
        <v>0</v>
      </c>
      <c r="F1141">
        <v>13</v>
      </c>
      <c r="G1141">
        <v>26</v>
      </c>
      <c r="H1141">
        <v>1</v>
      </c>
      <c r="I1141" t="s">
        <v>34</v>
      </c>
      <c r="J1141">
        <v>105</v>
      </c>
      <c r="K1141" t="s">
        <v>36</v>
      </c>
      <c r="L1141">
        <v>116</v>
      </c>
      <c r="M1141">
        <f>IF(D1141=I1141,VLOOKUP(D1141,a_win_totals_lookup,MATCH(K1141,a_wins_total_lookup_header,0)+1,0),VLOOKUP(D1141,a_win_totals_lookup,MATCH(I1141,a_wins_total_lookup_header,0)+1,0))</f>
        <v>0.27888482197713693</v>
      </c>
      <c r="N1141">
        <f t="shared" ca="1" si="17"/>
        <v>1</v>
      </c>
    </row>
    <row r="1142" spans="1:14" x14ac:dyDescent="0.25">
      <c r="A1142">
        <v>400578864</v>
      </c>
      <c r="B1142">
        <v>2015</v>
      </c>
      <c r="C1142" s="1">
        <v>42017</v>
      </c>
      <c r="D1142" t="s">
        <v>14</v>
      </c>
      <c r="E1142">
        <v>1</v>
      </c>
      <c r="F1142">
        <v>27</v>
      </c>
      <c r="G1142">
        <v>12</v>
      </c>
      <c r="H1142">
        <v>0</v>
      </c>
      <c r="I1142" t="s">
        <v>37</v>
      </c>
      <c r="J1142">
        <v>104</v>
      </c>
      <c r="K1142" t="s">
        <v>14</v>
      </c>
      <c r="L1142">
        <v>108</v>
      </c>
      <c r="M1142">
        <f>IF(D1142=I1142,VLOOKUP(D1142,a_win_totals_lookup,MATCH(K1142,a_wins_total_lookup_header,0)+1,0),VLOOKUP(D1142,a_win_totals_lookup,MATCH(I1142,a_wins_total_lookup_header,0)+1,0))</f>
        <v>0.68589687603228333</v>
      </c>
      <c r="N1142">
        <f t="shared" ca="1" si="17"/>
        <v>0</v>
      </c>
    </row>
    <row r="1143" spans="1:14" x14ac:dyDescent="0.25">
      <c r="A1143">
        <v>400578864</v>
      </c>
      <c r="B1143">
        <v>2015</v>
      </c>
      <c r="C1143" s="1">
        <v>42017</v>
      </c>
      <c r="D1143" t="s">
        <v>37</v>
      </c>
      <c r="E1143">
        <v>0</v>
      </c>
      <c r="F1143">
        <v>16</v>
      </c>
      <c r="G1143">
        <v>22</v>
      </c>
      <c r="H1143">
        <v>1</v>
      </c>
      <c r="I1143" t="s">
        <v>37</v>
      </c>
      <c r="J1143">
        <v>104</v>
      </c>
      <c r="K1143" t="s">
        <v>14</v>
      </c>
      <c r="L1143">
        <v>108</v>
      </c>
      <c r="M1143">
        <f>IF(D1143=I1143,VLOOKUP(D1143,a_win_totals_lookup,MATCH(K1143,a_wins_total_lookup_header,0)+1,0),VLOOKUP(D1143,a_win_totals_lookup,MATCH(I1143,a_wins_total_lookup_header,0)+1,0))</f>
        <v>0.31410312396771667</v>
      </c>
      <c r="N1143">
        <f t="shared" ca="1" si="17"/>
        <v>1</v>
      </c>
    </row>
    <row r="1144" spans="1:14" x14ac:dyDescent="0.25">
      <c r="A1144">
        <v>400578865</v>
      </c>
      <c r="B1144">
        <v>2015</v>
      </c>
      <c r="C1144" s="1">
        <v>42017</v>
      </c>
      <c r="D1144" t="s">
        <v>17</v>
      </c>
      <c r="E1144">
        <v>0</v>
      </c>
      <c r="F1144">
        <v>12</v>
      </c>
      <c r="G1144">
        <v>27</v>
      </c>
      <c r="H1144">
        <v>1</v>
      </c>
      <c r="I1144" t="s">
        <v>17</v>
      </c>
      <c r="J1144">
        <v>75</v>
      </c>
      <c r="K1144" t="s">
        <v>24</v>
      </c>
      <c r="L1144">
        <v>78</v>
      </c>
      <c r="M1144">
        <f>IF(D1144=I1144,VLOOKUP(D1144,a_win_totals_lookup,MATCH(K1144,a_wins_total_lookup_header,0)+1,0),VLOOKUP(D1144,a_win_totals_lookup,MATCH(I1144,a_wins_total_lookup_header,0)+1,0))</f>
        <v>0.37380818220506512</v>
      </c>
      <c r="N1144">
        <f t="shared" ca="1" si="17"/>
        <v>1</v>
      </c>
    </row>
    <row r="1145" spans="1:14" x14ac:dyDescent="0.25">
      <c r="A1145">
        <v>400578865</v>
      </c>
      <c r="B1145">
        <v>2015</v>
      </c>
      <c r="C1145" s="1">
        <v>42017</v>
      </c>
      <c r="D1145" t="s">
        <v>24</v>
      </c>
      <c r="E1145">
        <v>1</v>
      </c>
      <c r="F1145">
        <v>17</v>
      </c>
      <c r="G1145">
        <v>21</v>
      </c>
      <c r="H1145">
        <v>0</v>
      </c>
      <c r="I1145" t="s">
        <v>17</v>
      </c>
      <c r="J1145">
        <v>75</v>
      </c>
      <c r="K1145" t="s">
        <v>24</v>
      </c>
      <c r="L1145">
        <v>78</v>
      </c>
      <c r="M1145">
        <f>IF(D1145=I1145,VLOOKUP(D1145,a_win_totals_lookup,MATCH(K1145,a_wins_total_lookup_header,0)+1,0),VLOOKUP(D1145,a_win_totals_lookup,MATCH(I1145,a_wins_total_lookup_header,0)+1,0))</f>
        <v>0.62619181779493494</v>
      </c>
      <c r="N1145">
        <f t="shared" ca="1" si="17"/>
        <v>1</v>
      </c>
    </row>
    <row r="1146" spans="1:14" x14ac:dyDescent="0.25">
      <c r="A1146">
        <v>400578866</v>
      </c>
      <c r="B1146">
        <v>2015</v>
      </c>
      <c r="C1146" s="1">
        <v>42018</v>
      </c>
      <c r="D1146" t="s">
        <v>18</v>
      </c>
      <c r="E1146">
        <v>0</v>
      </c>
      <c r="F1146">
        <v>15</v>
      </c>
      <c r="G1146">
        <v>25</v>
      </c>
      <c r="H1146">
        <v>1</v>
      </c>
      <c r="I1146" t="s">
        <v>18</v>
      </c>
      <c r="J1146">
        <v>93</v>
      </c>
      <c r="K1146" t="s">
        <v>15</v>
      </c>
      <c r="L1146">
        <v>98</v>
      </c>
      <c r="M1146">
        <f>IF(D1146=I1146,VLOOKUP(D1146,a_win_totals_lookup,MATCH(K1146,a_wins_total_lookup_header,0)+1,0),VLOOKUP(D1146,a_win_totals_lookup,MATCH(I1146,a_wins_total_lookup_header,0)+1,0))</f>
        <v>0.41969870974133011</v>
      </c>
      <c r="N1146">
        <f t="shared" ca="1" si="17"/>
        <v>0</v>
      </c>
    </row>
    <row r="1147" spans="1:14" x14ac:dyDescent="0.25">
      <c r="A1147">
        <v>400578866</v>
      </c>
      <c r="B1147">
        <v>2015</v>
      </c>
      <c r="C1147" s="1">
        <v>42018</v>
      </c>
      <c r="D1147" t="s">
        <v>15</v>
      </c>
      <c r="E1147">
        <v>1</v>
      </c>
      <c r="F1147">
        <v>24</v>
      </c>
      <c r="G1147">
        <v>16</v>
      </c>
      <c r="H1147">
        <v>0</v>
      </c>
      <c r="I1147" t="s">
        <v>18</v>
      </c>
      <c r="J1147">
        <v>93</v>
      </c>
      <c r="K1147" t="s">
        <v>15</v>
      </c>
      <c r="L1147">
        <v>98</v>
      </c>
      <c r="M1147">
        <f>IF(D1147=I1147,VLOOKUP(D1147,a_win_totals_lookup,MATCH(K1147,a_wins_total_lookup_header,0)+1,0),VLOOKUP(D1147,a_win_totals_lookup,MATCH(I1147,a_wins_total_lookup_header,0)+1,0))</f>
        <v>0.58030129025866994</v>
      </c>
      <c r="N1147">
        <f t="shared" ca="1" si="17"/>
        <v>1</v>
      </c>
    </row>
    <row r="1148" spans="1:14" x14ac:dyDescent="0.25">
      <c r="A1148">
        <v>400578867</v>
      </c>
      <c r="B1148">
        <v>2015</v>
      </c>
      <c r="C1148" s="1">
        <v>42018</v>
      </c>
      <c r="D1148" t="s">
        <v>16</v>
      </c>
      <c r="E1148">
        <v>0</v>
      </c>
      <c r="F1148">
        <v>27</v>
      </c>
      <c r="G1148">
        <v>12</v>
      </c>
      <c r="H1148">
        <v>0</v>
      </c>
      <c r="I1148" t="s">
        <v>13</v>
      </c>
      <c r="J1148">
        <v>120</v>
      </c>
      <c r="K1148" t="s">
        <v>16</v>
      </c>
      <c r="L1148">
        <v>113</v>
      </c>
      <c r="M1148">
        <f>IF(D1148=I1148,VLOOKUP(D1148,a_win_totals_lookup,MATCH(K1148,a_wins_total_lookup_header,0)+1,0),VLOOKUP(D1148,a_win_totals_lookup,MATCH(I1148,a_wins_total_lookup_header,0)+1,0))</f>
        <v>0.68647860603758082</v>
      </c>
      <c r="N1148">
        <f t="shared" ca="1" si="17"/>
        <v>1</v>
      </c>
    </row>
    <row r="1149" spans="1:14" x14ac:dyDescent="0.25">
      <c r="A1149">
        <v>400578867</v>
      </c>
      <c r="B1149">
        <v>2015</v>
      </c>
      <c r="C1149" s="1">
        <v>42018</v>
      </c>
      <c r="D1149" t="s">
        <v>13</v>
      </c>
      <c r="E1149">
        <v>1</v>
      </c>
      <c r="F1149">
        <v>15</v>
      </c>
      <c r="G1149">
        <v>27</v>
      </c>
      <c r="H1149">
        <v>1</v>
      </c>
      <c r="I1149" t="s">
        <v>13</v>
      </c>
      <c r="J1149">
        <v>120</v>
      </c>
      <c r="K1149" t="s">
        <v>16</v>
      </c>
      <c r="L1149">
        <v>113</v>
      </c>
      <c r="M1149">
        <f>IF(D1149=I1149,VLOOKUP(D1149,a_win_totals_lookup,MATCH(K1149,a_wins_total_lookup_header,0)+1,0),VLOOKUP(D1149,a_win_totals_lookup,MATCH(I1149,a_wins_total_lookup_header,0)+1,0))</f>
        <v>0.31352139396241918</v>
      </c>
      <c r="N1149">
        <f t="shared" ca="1" si="17"/>
        <v>1</v>
      </c>
    </row>
    <row r="1150" spans="1:14" x14ac:dyDescent="0.25">
      <c r="A1150">
        <v>400578868</v>
      </c>
      <c r="B1150">
        <v>2015</v>
      </c>
      <c r="C1150" s="1">
        <v>42018</v>
      </c>
      <c r="D1150" t="s">
        <v>23</v>
      </c>
      <c r="E1150">
        <v>0</v>
      </c>
      <c r="F1150">
        <v>16</v>
      </c>
      <c r="G1150">
        <v>23</v>
      </c>
      <c r="H1150">
        <v>1</v>
      </c>
      <c r="I1150" t="s">
        <v>23</v>
      </c>
      <c r="J1150">
        <v>92</v>
      </c>
      <c r="K1150" t="s">
        <v>28</v>
      </c>
      <c r="L1150">
        <v>103</v>
      </c>
      <c r="M1150">
        <f>IF(D1150=I1150,VLOOKUP(D1150,a_win_totals_lookup,MATCH(K1150,a_wins_total_lookup_header,0)+1,0),VLOOKUP(D1150,a_win_totals_lookup,MATCH(I1150,a_wins_total_lookup_header,0)+1,0))</f>
        <v>0.39989944995796567</v>
      </c>
      <c r="N1150">
        <f t="shared" ca="1" si="17"/>
        <v>1</v>
      </c>
    </row>
    <row r="1151" spans="1:14" x14ac:dyDescent="0.25">
      <c r="A1151">
        <v>400578868</v>
      </c>
      <c r="B1151">
        <v>2015</v>
      </c>
      <c r="C1151" s="1">
        <v>42018</v>
      </c>
      <c r="D1151" t="s">
        <v>28</v>
      </c>
      <c r="E1151">
        <v>1</v>
      </c>
      <c r="F1151">
        <v>27</v>
      </c>
      <c r="G1151">
        <v>11</v>
      </c>
      <c r="H1151">
        <v>0</v>
      </c>
      <c r="I1151" t="s">
        <v>23</v>
      </c>
      <c r="J1151">
        <v>92</v>
      </c>
      <c r="K1151" t="s">
        <v>28</v>
      </c>
      <c r="L1151">
        <v>103</v>
      </c>
      <c r="M1151">
        <f>IF(D1151=I1151,VLOOKUP(D1151,a_win_totals_lookup,MATCH(K1151,a_wins_total_lookup_header,0)+1,0),VLOOKUP(D1151,a_win_totals_lookup,MATCH(I1151,a_wins_total_lookup_header,0)+1,0))</f>
        <v>0.60010055004203433</v>
      </c>
      <c r="N1151">
        <f t="shared" ca="1" si="17"/>
        <v>1</v>
      </c>
    </row>
    <row r="1152" spans="1:14" x14ac:dyDescent="0.25">
      <c r="A1152">
        <v>400578869</v>
      </c>
      <c r="B1152">
        <v>2015</v>
      </c>
      <c r="C1152" s="1">
        <v>42018</v>
      </c>
      <c r="D1152" t="s">
        <v>33</v>
      </c>
      <c r="E1152">
        <v>0</v>
      </c>
      <c r="F1152">
        <v>14</v>
      </c>
      <c r="G1152">
        <v>25</v>
      </c>
      <c r="H1152">
        <v>1</v>
      </c>
      <c r="I1152" t="s">
        <v>33</v>
      </c>
      <c r="J1152">
        <v>94</v>
      </c>
      <c r="K1152" t="s">
        <v>12</v>
      </c>
      <c r="L1152">
        <v>105</v>
      </c>
      <c r="M1152">
        <f>IF(D1152=I1152,VLOOKUP(D1152,a_win_totals_lookup,MATCH(K1152,a_wins_total_lookup_header,0)+1,0),VLOOKUP(D1152,a_win_totals_lookup,MATCH(I1152,a_wins_total_lookup_header,0)+1,0))</f>
        <v>0.44163344341796507</v>
      </c>
      <c r="N1152">
        <f t="shared" ca="1" si="17"/>
        <v>0</v>
      </c>
    </row>
    <row r="1153" spans="1:14" x14ac:dyDescent="0.25">
      <c r="A1153">
        <v>400578869</v>
      </c>
      <c r="B1153">
        <v>2015</v>
      </c>
      <c r="C1153" s="1">
        <v>42018</v>
      </c>
      <c r="D1153" t="s">
        <v>12</v>
      </c>
      <c r="E1153">
        <v>1</v>
      </c>
      <c r="F1153">
        <v>19</v>
      </c>
      <c r="G1153">
        <v>19</v>
      </c>
      <c r="H1153">
        <v>0</v>
      </c>
      <c r="I1153" t="s">
        <v>33</v>
      </c>
      <c r="J1153">
        <v>94</v>
      </c>
      <c r="K1153" t="s">
        <v>12</v>
      </c>
      <c r="L1153">
        <v>105</v>
      </c>
      <c r="M1153">
        <f>IF(D1153=I1153,VLOOKUP(D1153,a_win_totals_lookup,MATCH(K1153,a_wins_total_lookup_header,0)+1,0),VLOOKUP(D1153,a_win_totals_lookup,MATCH(I1153,a_wins_total_lookup_header,0)+1,0))</f>
        <v>0.55836655658203493</v>
      </c>
      <c r="N1153">
        <f t="shared" ca="1" si="17"/>
        <v>1</v>
      </c>
    </row>
    <row r="1154" spans="1:14" x14ac:dyDescent="0.25">
      <c r="A1154">
        <v>400578870</v>
      </c>
      <c r="B1154">
        <v>2015</v>
      </c>
      <c r="C1154" s="1">
        <v>42018</v>
      </c>
      <c r="D1154" t="s">
        <v>21</v>
      </c>
      <c r="E1154">
        <v>0</v>
      </c>
      <c r="F1154">
        <v>7</v>
      </c>
      <c r="G1154">
        <v>31</v>
      </c>
      <c r="H1154">
        <v>0</v>
      </c>
      <c r="I1154" t="s">
        <v>27</v>
      </c>
      <c r="J1154">
        <v>100</v>
      </c>
      <c r="K1154" t="s">
        <v>21</v>
      </c>
      <c r="L1154">
        <v>84</v>
      </c>
      <c r="M1154">
        <f>IF(D1154=I1154,VLOOKUP(D1154,a_win_totals_lookup,MATCH(K1154,a_wins_total_lookup_header,0)+1,0),VLOOKUP(D1154,a_win_totals_lookup,MATCH(I1154,a_wins_total_lookup_header,0)+1,0))</f>
        <v>0.21334857625709938</v>
      </c>
      <c r="N1154">
        <f t="shared" ca="1" si="17"/>
        <v>1</v>
      </c>
    </row>
    <row r="1155" spans="1:14" x14ac:dyDescent="0.25">
      <c r="A1155">
        <v>400578870</v>
      </c>
      <c r="B1155">
        <v>2015</v>
      </c>
      <c r="C1155" s="1">
        <v>42018</v>
      </c>
      <c r="D1155" t="s">
        <v>27</v>
      </c>
      <c r="E1155">
        <v>1</v>
      </c>
      <c r="F1155">
        <v>26</v>
      </c>
      <c r="G1155">
        <v>12</v>
      </c>
      <c r="H1155">
        <v>1</v>
      </c>
      <c r="I1155" t="s">
        <v>27</v>
      </c>
      <c r="J1155">
        <v>100</v>
      </c>
      <c r="K1155" t="s">
        <v>21</v>
      </c>
      <c r="L1155">
        <v>84</v>
      </c>
      <c r="M1155">
        <f>IF(D1155=I1155,VLOOKUP(D1155,a_win_totals_lookup,MATCH(K1155,a_wins_total_lookup_header,0)+1,0),VLOOKUP(D1155,a_win_totals_lookup,MATCH(I1155,a_wins_total_lookup_header,0)+1,0))</f>
        <v>0.78665142374290065</v>
      </c>
      <c r="N1155">
        <f t="shared" ref="N1155:N1218" ca="1" si="18">ROUND(0.5*RANDBETWEEN(-1,1)+M1155,0)</f>
        <v>1</v>
      </c>
    </row>
    <row r="1156" spans="1:14" x14ac:dyDescent="0.25">
      <c r="A1156">
        <v>400578871</v>
      </c>
      <c r="B1156">
        <v>2015</v>
      </c>
      <c r="C1156" s="1">
        <v>42018</v>
      </c>
      <c r="D1156" t="s">
        <v>30</v>
      </c>
      <c r="E1156">
        <v>0</v>
      </c>
      <c r="F1156">
        <v>26</v>
      </c>
      <c r="G1156">
        <v>14</v>
      </c>
      <c r="H1156">
        <v>1</v>
      </c>
      <c r="I1156" t="s">
        <v>30</v>
      </c>
      <c r="J1156">
        <v>99</v>
      </c>
      <c r="K1156" t="s">
        <v>25</v>
      </c>
      <c r="L1156">
        <v>105</v>
      </c>
      <c r="M1156">
        <f>IF(D1156=I1156,VLOOKUP(D1156,a_win_totals_lookup,MATCH(K1156,a_wins_total_lookup_header,0)+1,0),VLOOKUP(D1156,a_win_totals_lookup,MATCH(I1156,a_wins_total_lookup_header,0)+1,0))</f>
        <v>0.5600388834823441</v>
      </c>
      <c r="N1156">
        <f t="shared" ca="1" si="18"/>
        <v>1</v>
      </c>
    </row>
    <row r="1157" spans="1:14" x14ac:dyDescent="0.25">
      <c r="A1157">
        <v>400578871</v>
      </c>
      <c r="B1157">
        <v>2015</v>
      </c>
      <c r="C1157" s="1">
        <v>42018</v>
      </c>
      <c r="D1157" t="s">
        <v>25</v>
      </c>
      <c r="E1157">
        <v>1</v>
      </c>
      <c r="F1157">
        <v>27</v>
      </c>
      <c r="G1157">
        <v>12</v>
      </c>
      <c r="H1157">
        <v>0</v>
      </c>
      <c r="I1157" t="s">
        <v>30</v>
      </c>
      <c r="J1157">
        <v>99</v>
      </c>
      <c r="K1157" t="s">
        <v>25</v>
      </c>
      <c r="L1157">
        <v>105</v>
      </c>
      <c r="M1157">
        <f>IF(D1157=I1157,VLOOKUP(D1157,a_win_totals_lookup,MATCH(K1157,a_wins_total_lookup_header,0)+1,0),VLOOKUP(D1157,a_win_totals_lookup,MATCH(I1157,a_wins_total_lookup_header,0)+1,0))</f>
        <v>0.43996111651765601</v>
      </c>
      <c r="N1157">
        <f t="shared" ca="1" si="18"/>
        <v>0</v>
      </c>
    </row>
    <row r="1158" spans="1:14" x14ac:dyDescent="0.25">
      <c r="A1158">
        <v>400578872</v>
      </c>
      <c r="B1158">
        <v>2015</v>
      </c>
      <c r="C1158" s="1">
        <v>42018</v>
      </c>
      <c r="D1158" t="s">
        <v>26</v>
      </c>
      <c r="E1158">
        <v>1</v>
      </c>
      <c r="F1158">
        <v>31</v>
      </c>
      <c r="G1158">
        <v>8</v>
      </c>
      <c r="H1158">
        <v>0</v>
      </c>
      <c r="I1158" t="s">
        <v>22</v>
      </c>
      <c r="J1158">
        <v>91</v>
      </c>
      <c r="K1158" t="s">
        <v>26</v>
      </c>
      <c r="L1158">
        <v>105</v>
      </c>
      <c r="M1158">
        <f>IF(D1158=I1158,VLOOKUP(D1158,a_win_totals_lookup,MATCH(K1158,a_wins_total_lookup_header,0)+1,0),VLOOKUP(D1158,a_win_totals_lookup,MATCH(I1158,a_wins_total_lookup_header,0)+1,0))</f>
        <v>0.69708802310993623</v>
      </c>
      <c r="N1158">
        <f t="shared" ca="1" si="18"/>
        <v>1</v>
      </c>
    </row>
    <row r="1159" spans="1:14" x14ac:dyDescent="0.25">
      <c r="A1159">
        <v>400578872</v>
      </c>
      <c r="B1159">
        <v>2015</v>
      </c>
      <c r="C1159" s="1">
        <v>42018</v>
      </c>
      <c r="D1159" t="s">
        <v>22</v>
      </c>
      <c r="E1159">
        <v>0</v>
      </c>
      <c r="F1159">
        <v>13</v>
      </c>
      <c r="G1159">
        <v>24</v>
      </c>
      <c r="H1159">
        <v>1</v>
      </c>
      <c r="I1159" t="s">
        <v>22</v>
      </c>
      <c r="J1159">
        <v>91</v>
      </c>
      <c r="K1159" t="s">
        <v>26</v>
      </c>
      <c r="L1159">
        <v>105</v>
      </c>
      <c r="M1159">
        <f>IF(D1159=I1159,VLOOKUP(D1159,a_win_totals_lookup,MATCH(K1159,a_wins_total_lookup_header,0)+1,0),VLOOKUP(D1159,a_win_totals_lookup,MATCH(I1159,a_wins_total_lookup_header,0)+1,0))</f>
        <v>0.30291197689006377</v>
      </c>
      <c r="N1159">
        <f t="shared" ca="1" si="18"/>
        <v>1</v>
      </c>
    </row>
    <row r="1160" spans="1:14" x14ac:dyDescent="0.25">
      <c r="A1160">
        <v>400578873</v>
      </c>
      <c r="B1160">
        <v>2015</v>
      </c>
      <c r="C1160" s="1">
        <v>42018</v>
      </c>
      <c r="D1160" t="s">
        <v>14</v>
      </c>
      <c r="E1160">
        <v>0</v>
      </c>
      <c r="F1160">
        <v>27</v>
      </c>
      <c r="G1160">
        <v>13</v>
      </c>
      <c r="H1160">
        <v>0</v>
      </c>
      <c r="I1160" t="s">
        <v>32</v>
      </c>
      <c r="J1160">
        <v>114</v>
      </c>
      <c r="K1160" t="s">
        <v>14</v>
      </c>
      <c r="L1160">
        <v>107</v>
      </c>
      <c r="M1160">
        <f>IF(D1160=I1160,VLOOKUP(D1160,a_win_totals_lookup,MATCH(K1160,a_wins_total_lookup_header,0)+1,0),VLOOKUP(D1160,a_win_totals_lookup,MATCH(I1160,a_wins_total_lookup_header,0)+1,0))</f>
        <v>0.61540135422811282</v>
      </c>
      <c r="N1160">
        <f t="shared" ca="1" si="18"/>
        <v>0</v>
      </c>
    </row>
    <row r="1161" spans="1:14" x14ac:dyDescent="0.25">
      <c r="A1161">
        <v>400578873</v>
      </c>
      <c r="B1161">
        <v>2015</v>
      </c>
      <c r="C1161" s="1">
        <v>42018</v>
      </c>
      <c r="D1161" t="s">
        <v>32</v>
      </c>
      <c r="E1161">
        <v>1</v>
      </c>
      <c r="F1161">
        <v>18</v>
      </c>
      <c r="G1161">
        <v>20</v>
      </c>
      <c r="H1161">
        <v>1</v>
      </c>
      <c r="I1161" t="s">
        <v>32</v>
      </c>
      <c r="J1161">
        <v>114</v>
      </c>
      <c r="K1161" t="s">
        <v>14</v>
      </c>
      <c r="L1161">
        <v>107</v>
      </c>
      <c r="M1161">
        <f>IF(D1161=I1161,VLOOKUP(D1161,a_win_totals_lookup,MATCH(K1161,a_wins_total_lookup_header,0)+1,0),VLOOKUP(D1161,a_win_totals_lookup,MATCH(I1161,a_wins_total_lookup_header,0)+1,0))</f>
        <v>0.38459864577188729</v>
      </c>
      <c r="N1161">
        <f t="shared" ca="1" si="18"/>
        <v>0</v>
      </c>
    </row>
    <row r="1162" spans="1:14" x14ac:dyDescent="0.25">
      <c r="A1162">
        <v>400578874</v>
      </c>
      <c r="B1162">
        <v>2015</v>
      </c>
      <c r="C1162" s="1">
        <v>42018</v>
      </c>
      <c r="D1162" t="s">
        <v>36</v>
      </c>
      <c r="E1162">
        <v>1</v>
      </c>
      <c r="F1162">
        <v>31</v>
      </c>
      <c r="G1162">
        <v>5</v>
      </c>
      <c r="H1162">
        <v>1</v>
      </c>
      <c r="I1162" t="s">
        <v>36</v>
      </c>
      <c r="J1162">
        <v>104</v>
      </c>
      <c r="K1162" t="s">
        <v>24</v>
      </c>
      <c r="L1162">
        <v>89</v>
      </c>
      <c r="M1162">
        <f>IF(D1162=I1162,VLOOKUP(D1162,a_win_totals_lookup,MATCH(K1162,a_wins_total_lookup_header,0)+1,0),VLOOKUP(D1162,a_win_totals_lookup,MATCH(I1162,a_wins_total_lookup_header,0)+1,0))</f>
        <v>0.57297527274302607</v>
      </c>
      <c r="N1162">
        <f t="shared" ca="1" si="18"/>
        <v>1</v>
      </c>
    </row>
    <row r="1163" spans="1:14" x14ac:dyDescent="0.25">
      <c r="A1163">
        <v>400578874</v>
      </c>
      <c r="B1163">
        <v>2015</v>
      </c>
      <c r="C1163" s="1">
        <v>42018</v>
      </c>
      <c r="D1163" t="s">
        <v>24</v>
      </c>
      <c r="E1163">
        <v>0</v>
      </c>
      <c r="F1163">
        <v>17</v>
      </c>
      <c r="G1163">
        <v>22</v>
      </c>
      <c r="H1163">
        <v>0</v>
      </c>
      <c r="I1163" t="s">
        <v>36</v>
      </c>
      <c r="J1163">
        <v>104</v>
      </c>
      <c r="K1163" t="s">
        <v>24</v>
      </c>
      <c r="L1163">
        <v>89</v>
      </c>
      <c r="M1163">
        <f>IF(D1163=I1163,VLOOKUP(D1163,a_win_totals_lookup,MATCH(K1163,a_wins_total_lookup_header,0)+1,0),VLOOKUP(D1163,a_win_totals_lookup,MATCH(I1163,a_wins_total_lookup_header,0)+1,0))</f>
        <v>0.42702472725697388</v>
      </c>
      <c r="N1163">
        <f t="shared" ca="1" si="18"/>
        <v>0</v>
      </c>
    </row>
    <row r="1164" spans="1:14" x14ac:dyDescent="0.25">
      <c r="A1164">
        <v>400578875</v>
      </c>
      <c r="B1164">
        <v>2015</v>
      </c>
      <c r="C1164" s="1">
        <v>42018</v>
      </c>
      <c r="D1164" t="s">
        <v>41</v>
      </c>
      <c r="E1164">
        <v>1</v>
      </c>
      <c r="F1164">
        <v>26</v>
      </c>
      <c r="G1164">
        <v>13</v>
      </c>
      <c r="H1164">
        <v>0</v>
      </c>
      <c r="I1164" t="s">
        <v>39</v>
      </c>
      <c r="J1164">
        <v>94</v>
      </c>
      <c r="K1164" t="s">
        <v>41</v>
      </c>
      <c r="L1164">
        <v>100</v>
      </c>
      <c r="M1164">
        <f>IF(D1164=I1164,VLOOKUP(D1164,a_win_totals_lookup,MATCH(K1164,a_wins_total_lookup_header,0)+1,0),VLOOKUP(D1164,a_win_totals_lookup,MATCH(I1164,a_wins_total_lookup_header,0)+1,0))</f>
        <v>0.56088868482079979</v>
      </c>
      <c r="N1164">
        <f t="shared" ca="1" si="18"/>
        <v>1</v>
      </c>
    </row>
    <row r="1165" spans="1:14" x14ac:dyDescent="0.25">
      <c r="A1165">
        <v>400578875</v>
      </c>
      <c r="B1165">
        <v>2015</v>
      </c>
      <c r="C1165" s="1">
        <v>42018</v>
      </c>
      <c r="D1165" t="s">
        <v>39</v>
      </c>
      <c r="E1165">
        <v>0</v>
      </c>
      <c r="F1165">
        <v>30</v>
      </c>
      <c r="G1165">
        <v>9</v>
      </c>
      <c r="H1165">
        <v>1</v>
      </c>
      <c r="I1165" t="s">
        <v>39</v>
      </c>
      <c r="J1165">
        <v>94</v>
      </c>
      <c r="K1165" t="s">
        <v>41</v>
      </c>
      <c r="L1165">
        <v>100</v>
      </c>
      <c r="M1165">
        <f>IF(D1165=I1165,VLOOKUP(D1165,a_win_totals_lookup,MATCH(K1165,a_wins_total_lookup_header,0)+1,0),VLOOKUP(D1165,a_win_totals_lookup,MATCH(I1165,a_wins_total_lookup_header,0)+1,0))</f>
        <v>0.43911131517920021</v>
      </c>
      <c r="N1165">
        <f t="shared" ca="1" si="18"/>
        <v>0</v>
      </c>
    </row>
    <row r="1166" spans="1:14" x14ac:dyDescent="0.25">
      <c r="A1166">
        <v>400578876</v>
      </c>
      <c r="B1166">
        <v>2015</v>
      </c>
      <c r="C1166" s="1">
        <v>42019</v>
      </c>
      <c r="D1166" t="s">
        <v>16</v>
      </c>
      <c r="E1166">
        <v>1</v>
      </c>
      <c r="F1166">
        <v>28</v>
      </c>
      <c r="G1166">
        <v>12</v>
      </c>
      <c r="H1166">
        <v>1</v>
      </c>
      <c r="I1166" t="s">
        <v>16</v>
      </c>
      <c r="J1166">
        <v>112</v>
      </c>
      <c r="K1166" t="s">
        <v>38</v>
      </c>
      <c r="L1166">
        <v>101</v>
      </c>
      <c r="M1166">
        <f>IF(D1166=I1166,VLOOKUP(D1166,a_win_totals_lookup,MATCH(K1166,a_wins_total_lookup_header,0)+1,0),VLOOKUP(D1166,a_win_totals_lookup,MATCH(I1166,a_wins_total_lookup_header,0)+1,0))</f>
        <v>0.45185204074660917</v>
      </c>
      <c r="N1166">
        <f t="shared" ca="1" si="18"/>
        <v>0</v>
      </c>
    </row>
    <row r="1167" spans="1:14" x14ac:dyDescent="0.25">
      <c r="A1167">
        <v>400578876</v>
      </c>
      <c r="B1167">
        <v>2015</v>
      </c>
      <c r="C1167" s="1">
        <v>42019</v>
      </c>
      <c r="D1167" t="s">
        <v>38</v>
      </c>
      <c r="E1167">
        <v>0</v>
      </c>
      <c r="F1167">
        <v>18</v>
      </c>
      <c r="G1167">
        <v>20</v>
      </c>
      <c r="H1167">
        <v>0</v>
      </c>
      <c r="I1167" t="s">
        <v>16</v>
      </c>
      <c r="J1167">
        <v>112</v>
      </c>
      <c r="K1167" t="s">
        <v>38</v>
      </c>
      <c r="L1167">
        <v>101</v>
      </c>
      <c r="M1167">
        <f>IF(D1167=I1167,VLOOKUP(D1167,a_win_totals_lookup,MATCH(K1167,a_wins_total_lookup_header,0)+1,0),VLOOKUP(D1167,a_win_totals_lookup,MATCH(I1167,a_wins_total_lookup_header,0)+1,0))</f>
        <v>0.54814795925339088</v>
      </c>
      <c r="N1167">
        <f t="shared" ca="1" si="18"/>
        <v>0</v>
      </c>
    </row>
    <row r="1168" spans="1:14" x14ac:dyDescent="0.25">
      <c r="A1168">
        <v>400578877</v>
      </c>
      <c r="B1168">
        <v>2015</v>
      </c>
      <c r="C1168" s="1">
        <v>42019</v>
      </c>
      <c r="D1168" t="s">
        <v>19</v>
      </c>
      <c r="E1168">
        <v>1</v>
      </c>
      <c r="F1168">
        <v>21</v>
      </c>
      <c r="G1168">
        <v>19</v>
      </c>
      <c r="H1168">
        <v>1</v>
      </c>
      <c r="I1168" t="s">
        <v>19</v>
      </c>
      <c r="J1168">
        <v>95</v>
      </c>
      <c r="K1168" t="s">
        <v>31</v>
      </c>
      <c r="L1168">
        <v>79</v>
      </c>
      <c r="M1168">
        <f>IF(D1168=I1168,VLOOKUP(D1168,a_win_totals_lookup,MATCH(K1168,a_wins_total_lookup_header,0)+1,0),VLOOKUP(D1168,a_win_totals_lookup,MATCH(I1168,a_wins_total_lookup_header,0)+1,0))</f>
        <v>0.35454020664525671</v>
      </c>
      <c r="N1168">
        <f t="shared" ca="1" si="18"/>
        <v>0</v>
      </c>
    </row>
    <row r="1169" spans="1:14" x14ac:dyDescent="0.25">
      <c r="A1169">
        <v>400578877</v>
      </c>
      <c r="B1169">
        <v>2015</v>
      </c>
      <c r="C1169" s="1">
        <v>42019</v>
      </c>
      <c r="D1169" t="s">
        <v>31</v>
      </c>
      <c r="E1169">
        <v>0</v>
      </c>
      <c r="F1169">
        <v>5</v>
      </c>
      <c r="G1169">
        <v>36</v>
      </c>
      <c r="H1169">
        <v>0</v>
      </c>
      <c r="I1169" t="s">
        <v>19</v>
      </c>
      <c r="J1169">
        <v>95</v>
      </c>
      <c r="K1169" t="s">
        <v>31</v>
      </c>
      <c r="L1169">
        <v>79</v>
      </c>
      <c r="M1169">
        <f>IF(D1169=I1169,VLOOKUP(D1169,a_win_totals_lookup,MATCH(K1169,a_wins_total_lookup_header,0)+1,0),VLOOKUP(D1169,a_win_totals_lookup,MATCH(I1169,a_wins_total_lookup_header,0)+1,0))</f>
        <v>0.64545979335474335</v>
      </c>
      <c r="N1169">
        <f t="shared" ca="1" si="18"/>
        <v>1</v>
      </c>
    </row>
    <row r="1170" spans="1:14" x14ac:dyDescent="0.25">
      <c r="A1170">
        <v>400578878</v>
      </c>
      <c r="B1170">
        <v>2015</v>
      </c>
      <c r="C1170" s="1">
        <v>42019</v>
      </c>
      <c r="D1170" t="s">
        <v>40</v>
      </c>
      <c r="E1170">
        <v>1</v>
      </c>
      <c r="F1170">
        <v>20</v>
      </c>
      <c r="G1170">
        <v>20</v>
      </c>
      <c r="H1170">
        <v>0</v>
      </c>
      <c r="I1170" t="s">
        <v>17</v>
      </c>
      <c r="J1170">
        <v>102</v>
      </c>
      <c r="K1170" t="s">
        <v>40</v>
      </c>
      <c r="L1170">
        <v>109</v>
      </c>
      <c r="M1170">
        <f>IF(D1170=I1170,VLOOKUP(D1170,a_win_totals_lookup,MATCH(K1170,a_wins_total_lookup_header,0)+1,0),VLOOKUP(D1170,a_win_totals_lookup,MATCH(I1170,a_wins_total_lookup_header,0)+1,0))</f>
        <v>0.71629315358675483</v>
      </c>
      <c r="N1170">
        <f t="shared" ca="1" si="18"/>
        <v>1</v>
      </c>
    </row>
    <row r="1171" spans="1:14" x14ac:dyDescent="0.25">
      <c r="A1171">
        <v>400578878</v>
      </c>
      <c r="B1171">
        <v>2015</v>
      </c>
      <c r="C1171" s="1">
        <v>42019</v>
      </c>
      <c r="D1171" t="s">
        <v>17</v>
      </c>
      <c r="E1171">
        <v>0</v>
      </c>
      <c r="F1171">
        <v>12</v>
      </c>
      <c r="G1171">
        <v>28</v>
      </c>
      <c r="H1171">
        <v>1</v>
      </c>
      <c r="I1171" t="s">
        <v>17</v>
      </c>
      <c r="J1171">
        <v>102</v>
      </c>
      <c r="K1171" t="s">
        <v>40</v>
      </c>
      <c r="L1171">
        <v>109</v>
      </c>
      <c r="M1171">
        <f>IF(D1171=I1171,VLOOKUP(D1171,a_win_totals_lookup,MATCH(K1171,a_wins_total_lookup_header,0)+1,0),VLOOKUP(D1171,a_win_totals_lookup,MATCH(I1171,a_wins_total_lookup_header,0)+1,0))</f>
        <v>0.28370684641324517</v>
      </c>
      <c r="N1171">
        <f t="shared" ca="1" si="18"/>
        <v>0</v>
      </c>
    </row>
    <row r="1172" spans="1:14" x14ac:dyDescent="0.25">
      <c r="A1172">
        <v>400578879</v>
      </c>
      <c r="B1172">
        <v>2015</v>
      </c>
      <c r="C1172" s="1">
        <v>42020</v>
      </c>
      <c r="D1172" t="s">
        <v>33</v>
      </c>
      <c r="E1172">
        <v>1</v>
      </c>
      <c r="F1172">
        <v>15</v>
      </c>
      <c r="G1172">
        <v>25</v>
      </c>
      <c r="H1172">
        <v>0</v>
      </c>
      <c r="I1172" t="s">
        <v>20</v>
      </c>
      <c r="J1172">
        <v>96</v>
      </c>
      <c r="K1172" t="s">
        <v>33</v>
      </c>
      <c r="L1172">
        <v>98</v>
      </c>
      <c r="M1172">
        <f>IF(D1172=I1172,VLOOKUP(D1172,a_win_totals_lookup,MATCH(K1172,a_wins_total_lookup_header,0)+1,0),VLOOKUP(D1172,a_win_totals_lookup,MATCH(I1172,a_wins_total_lookup_header,0)+1,0))</f>
        <v>0.51613510920097938</v>
      </c>
      <c r="N1172">
        <f t="shared" ca="1" si="18"/>
        <v>0</v>
      </c>
    </row>
    <row r="1173" spans="1:14" x14ac:dyDescent="0.25">
      <c r="A1173">
        <v>400578879</v>
      </c>
      <c r="B1173">
        <v>2015</v>
      </c>
      <c r="C1173" s="1">
        <v>42020</v>
      </c>
      <c r="D1173" t="s">
        <v>20</v>
      </c>
      <c r="E1173">
        <v>0</v>
      </c>
      <c r="F1173">
        <v>15</v>
      </c>
      <c r="G1173">
        <v>26</v>
      </c>
      <c r="H1173">
        <v>1</v>
      </c>
      <c r="I1173" t="s">
        <v>20</v>
      </c>
      <c r="J1173">
        <v>96</v>
      </c>
      <c r="K1173" t="s">
        <v>33</v>
      </c>
      <c r="L1173">
        <v>98</v>
      </c>
      <c r="M1173">
        <f>IF(D1173=I1173,VLOOKUP(D1173,a_win_totals_lookup,MATCH(K1173,a_wins_total_lookup_header,0)+1,0),VLOOKUP(D1173,a_win_totals_lookup,MATCH(I1173,a_wins_total_lookup_header,0)+1,0))</f>
        <v>0.48386489079902056</v>
      </c>
      <c r="N1173">
        <f t="shared" ca="1" si="18"/>
        <v>0</v>
      </c>
    </row>
    <row r="1174" spans="1:14" x14ac:dyDescent="0.25">
      <c r="A1174">
        <v>400578880</v>
      </c>
      <c r="B1174">
        <v>2015</v>
      </c>
      <c r="C1174" s="1">
        <v>42020</v>
      </c>
      <c r="D1174" t="s">
        <v>28</v>
      </c>
      <c r="E1174">
        <v>1</v>
      </c>
      <c r="F1174">
        <v>28</v>
      </c>
      <c r="G1174">
        <v>11</v>
      </c>
      <c r="H1174">
        <v>0</v>
      </c>
      <c r="I1174" t="s">
        <v>13</v>
      </c>
      <c r="J1174">
        <v>96</v>
      </c>
      <c r="K1174" t="s">
        <v>28</v>
      </c>
      <c r="L1174">
        <v>106</v>
      </c>
      <c r="M1174">
        <f>IF(D1174=I1174,VLOOKUP(D1174,a_win_totals_lookup,MATCH(K1174,a_wins_total_lookup_header,0)+1,0),VLOOKUP(D1174,a_win_totals_lookup,MATCH(I1174,a_wins_total_lookup_header,0)+1,0))</f>
        <v>0.70201279293629204</v>
      </c>
      <c r="N1174">
        <f t="shared" ca="1" si="18"/>
        <v>0</v>
      </c>
    </row>
    <row r="1175" spans="1:14" x14ac:dyDescent="0.25">
      <c r="A1175">
        <v>400578880</v>
      </c>
      <c r="B1175">
        <v>2015</v>
      </c>
      <c r="C1175" s="1">
        <v>42020</v>
      </c>
      <c r="D1175" t="s">
        <v>13</v>
      </c>
      <c r="E1175">
        <v>0</v>
      </c>
      <c r="F1175">
        <v>15</v>
      </c>
      <c r="G1175">
        <v>28</v>
      </c>
      <c r="H1175">
        <v>1</v>
      </c>
      <c r="I1175" t="s">
        <v>13</v>
      </c>
      <c r="J1175">
        <v>96</v>
      </c>
      <c r="K1175" t="s">
        <v>28</v>
      </c>
      <c r="L1175">
        <v>106</v>
      </c>
      <c r="M1175">
        <f>IF(D1175=I1175,VLOOKUP(D1175,a_win_totals_lookup,MATCH(K1175,a_wins_total_lookup_header,0)+1,0),VLOOKUP(D1175,a_win_totals_lookup,MATCH(I1175,a_wins_total_lookup_header,0)+1,0))</f>
        <v>0.29798720706370802</v>
      </c>
      <c r="N1175">
        <f t="shared" ca="1" si="18"/>
        <v>0</v>
      </c>
    </row>
    <row r="1176" spans="1:14" x14ac:dyDescent="0.25">
      <c r="A1176">
        <v>400578881</v>
      </c>
      <c r="B1176">
        <v>2015</v>
      </c>
      <c r="C1176" s="1">
        <v>42020</v>
      </c>
      <c r="D1176" t="s">
        <v>12</v>
      </c>
      <c r="E1176">
        <v>0</v>
      </c>
      <c r="F1176">
        <v>19</v>
      </c>
      <c r="G1176">
        <v>20</v>
      </c>
      <c r="H1176">
        <v>0</v>
      </c>
      <c r="I1176" t="s">
        <v>21</v>
      </c>
      <c r="J1176">
        <v>96</v>
      </c>
      <c r="K1176" t="s">
        <v>12</v>
      </c>
      <c r="L1176">
        <v>81</v>
      </c>
      <c r="M1176">
        <f>IF(D1176=I1176,VLOOKUP(D1176,a_win_totals_lookup,MATCH(K1176,a_wins_total_lookup_header,0)+1,0),VLOOKUP(D1176,a_win_totals_lookup,MATCH(I1176,a_wins_total_lookup_header,0)+1,0))</f>
        <v>0.70884186366552659</v>
      </c>
      <c r="N1176">
        <f t="shared" ca="1" si="18"/>
        <v>1</v>
      </c>
    </row>
    <row r="1177" spans="1:14" x14ac:dyDescent="0.25">
      <c r="A1177">
        <v>400578881</v>
      </c>
      <c r="B1177">
        <v>2015</v>
      </c>
      <c r="C1177" s="1">
        <v>42020</v>
      </c>
      <c r="D1177" t="s">
        <v>21</v>
      </c>
      <c r="E1177">
        <v>1</v>
      </c>
      <c r="F1177">
        <v>8</v>
      </c>
      <c r="G1177">
        <v>31</v>
      </c>
      <c r="H1177">
        <v>1</v>
      </c>
      <c r="I1177" t="s">
        <v>21</v>
      </c>
      <c r="J1177">
        <v>96</v>
      </c>
      <c r="K1177" t="s">
        <v>12</v>
      </c>
      <c r="L1177">
        <v>81</v>
      </c>
      <c r="M1177">
        <f>IF(D1177=I1177,VLOOKUP(D1177,a_win_totals_lookup,MATCH(K1177,a_wins_total_lookup_header,0)+1,0),VLOOKUP(D1177,a_win_totals_lookup,MATCH(I1177,a_wins_total_lookup_header,0)+1,0))</f>
        <v>0.29115813633447341</v>
      </c>
      <c r="N1177">
        <f t="shared" ca="1" si="18"/>
        <v>0</v>
      </c>
    </row>
    <row r="1178" spans="1:14" x14ac:dyDescent="0.25">
      <c r="A1178">
        <v>400578882</v>
      </c>
      <c r="B1178">
        <v>2015</v>
      </c>
      <c r="C1178" s="1">
        <v>42020</v>
      </c>
      <c r="D1178" t="s">
        <v>23</v>
      </c>
      <c r="E1178">
        <v>1</v>
      </c>
      <c r="F1178">
        <v>17</v>
      </c>
      <c r="G1178">
        <v>23</v>
      </c>
      <c r="H1178">
        <v>0</v>
      </c>
      <c r="I1178" t="s">
        <v>25</v>
      </c>
      <c r="J1178">
        <v>80</v>
      </c>
      <c r="K1178" t="s">
        <v>23</v>
      </c>
      <c r="L1178">
        <v>102</v>
      </c>
      <c r="M1178">
        <f>IF(D1178=I1178,VLOOKUP(D1178,a_win_totals_lookup,MATCH(K1178,a_wins_total_lookup_header,0)+1,0),VLOOKUP(D1178,a_win_totals_lookup,MATCH(I1178,a_wins_total_lookup_header,0)+1,0))</f>
        <v>0.41758613378174975</v>
      </c>
      <c r="N1178">
        <f t="shared" ca="1" si="18"/>
        <v>0</v>
      </c>
    </row>
    <row r="1179" spans="1:14" x14ac:dyDescent="0.25">
      <c r="A1179">
        <v>400578882</v>
      </c>
      <c r="B1179">
        <v>2015</v>
      </c>
      <c r="C1179" s="1">
        <v>42020</v>
      </c>
      <c r="D1179" t="s">
        <v>25</v>
      </c>
      <c r="E1179">
        <v>0</v>
      </c>
      <c r="F1179">
        <v>27</v>
      </c>
      <c r="G1179">
        <v>13</v>
      </c>
      <c r="H1179">
        <v>1</v>
      </c>
      <c r="I1179" t="s">
        <v>25</v>
      </c>
      <c r="J1179">
        <v>80</v>
      </c>
      <c r="K1179" t="s">
        <v>23</v>
      </c>
      <c r="L1179">
        <v>102</v>
      </c>
      <c r="M1179">
        <f>IF(D1179=I1179,VLOOKUP(D1179,a_win_totals_lookup,MATCH(K1179,a_wins_total_lookup_header,0)+1,0),VLOOKUP(D1179,a_win_totals_lookup,MATCH(I1179,a_wins_total_lookup_header,0)+1,0))</f>
        <v>0.5824138662182502</v>
      </c>
      <c r="N1179">
        <f t="shared" ca="1" si="18"/>
        <v>1</v>
      </c>
    </row>
    <row r="1180" spans="1:14" x14ac:dyDescent="0.25">
      <c r="A1180">
        <v>400578883</v>
      </c>
      <c r="B1180">
        <v>2015</v>
      </c>
      <c r="C1180" s="1">
        <v>42020</v>
      </c>
      <c r="D1180" t="s">
        <v>22</v>
      </c>
      <c r="E1180">
        <v>0</v>
      </c>
      <c r="F1180">
        <v>13</v>
      </c>
      <c r="G1180">
        <v>25</v>
      </c>
      <c r="H1180">
        <v>1</v>
      </c>
      <c r="I1180" t="s">
        <v>22</v>
      </c>
      <c r="J1180">
        <v>103</v>
      </c>
      <c r="K1180" t="s">
        <v>30</v>
      </c>
      <c r="L1180">
        <v>119</v>
      </c>
      <c r="M1180">
        <f>IF(D1180=I1180,VLOOKUP(D1180,a_win_totals_lookup,MATCH(K1180,a_wins_total_lookup_header,0)+1,0),VLOOKUP(D1180,a_win_totals_lookup,MATCH(I1180,a_wins_total_lookup_header,0)+1,0))</f>
        <v>0.22270013882530892</v>
      </c>
      <c r="N1180">
        <f t="shared" ca="1" si="18"/>
        <v>1</v>
      </c>
    </row>
    <row r="1181" spans="1:14" x14ac:dyDescent="0.25">
      <c r="A1181">
        <v>400578883</v>
      </c>
      <c r="B1181">
        <v>2015</v>
      </c>
      <c r="C1181" s="1">
        <v>42020</v>
      </c>
      <c r="D1181" t="s">
        <v>30</v>
      </c>
      <c r="E1181">
        <v>1</v>
      </c>
      <c r="F1181">
        <v>27</v>
      </c>
      <c r="G1181">
        <v>14</v>
      </c>
      <c r="H1181">
        <v>0</v>
      </c>
      <c r="I1181" t="s">
        <v>22</v>
      </c>
      <c r="J1181">
        <v>103</v>
      </c>
      <c r="K1181" t="s">
        <v>30</v>
      </c>
      <c r="L1181">
        <v>119</v>
      </c>
      <c r="M1181">
        <f>IF(D1181=I1181,VLOOKUP(D1181,a_win_totals_lookup,MATCH(K1181,a_wins_total_lookup_header,0)+1,0),VLOOKUP(D1181,a_win_totals_lookup,MATCH(I1181,a_wins_total_lookup_header,0)+1,0))</f>
        <v>0.77729986117469119</v>
      </c>
      <c r="N1181">
        <f t="shared" ca="1" si="18"/>
        <v>0</v>
      </c>
    </row>
    <row r="1182" spans="1:14" x14ac:dyDescent="0.25">
      <c r="A1182">
        <v>400578884</v>
      </c>
      <c r="B1182">
        <v>2015</v>
      </c>
      <c r="C1182" s="1">
        <v>42020</v>
      </c>
      <c r="D1182" t="s">
        <v>26</v>
      </c>
      <c r="E1182">
        <v>1</v>
      </c>
      <c r="F1182">
        <v>32</v>
      </c>
      <c r="G1182">
        <v>8</v>
      </c>
      <c r="H1182">
        <v>0</v>
      </c>
      <c r="I1182" t="s">
        <v>27</v>
      </c>
      <c r="J1182">
        <v>89</v>
      </c>
      <c r="K1182" t="s">
        <v>26</v>
      </c>
      <c r="L1182">
        <v>110</v>
      </c>
      <c r="M1182">
        <f>IF(D1182=I1182,VLOOKUP(D1182,a_win_totals_lookup,MATCH(K1182,a_wins_total_lookup_header,0)+1,0),VLOOKUP(D1182,a_win_totals_lookup,MATCH(I1182,a_wins_total_lookup_header,0)+1,0))</f>
        <v>0.42248155809117843</v>
      </c>
      <c r="N1182">
        <f t="shared" ca="1" si="18"/>
        <v>0</v>
      </c>
    </row>
    <row r="1183" spans="1:14" x14ac:dyDescent="0.25">
      <c r="A1183">
        <v>400578884</v>
      </c>
      <c r="B1183">
        <v>2015</v>
      </c>
      <c r="C1183" s="1">
        <v>42020</v>
      </c>
      <c r="D1183" t="s">
        <v>27</v>
      </c>
      <c r="E1183">
        <v>0</v>
      </c>
      <c r="F1183">
        <v>26</v>
      </c>
      <c r="G1183">
        <v>13</v>
      </c>
      <c r="H1183">
        <v>1</v>
      </c>
      <c r="I1183" t="s">
        <v>27</v>
      </c>
      <c r="J1183">
        <v>89</v>
      </c>
      <c r="K1183" t="s">
        <v>26</v>
      </c>
      <c r="L1183">
        <v>110</v>
      </c>
      <c r="M1183">
        <f>IF(D1183=I1183,VLOOKUP(D1183,a_win_totals_lookup,MATCH(K1183,a_wins_total_lookup_header,0)+1,0),VLOOKUP(D1183,a_win_totals_lookup,MATCH(I1183,a_wins_total_lookup_header,0)+1,0))</f>
        <v>0.57751844190882151</v>
      </c>
      <c r="N1183">
        <f t="shared" ca="1" si="18"/>
        <v>0</v>
      </c>
    </row>
    <row r="1184" spans="1:14" x14ac:dyDescent="0.25">
      <c r="A1184">
        <v>400578885</v>
      </c>
      <c r="B1184">
        <v>2015</v>
      </c>
      <c r="C1184" s="1">
        <v>42020</v>
      </c>
      <c r="D1184" t="s">
        <v>36</v>
      </c>
      <c r="E1184">
        <v>0</v>
      </c>
      <c r="F1184">
        <v>31</v>
      </c>
      <c r="G1184">
        <v>6</v>
      </c>
      <c r="H1184">
        <v>0</v>
      </c>
      <c r="I1184" t="s">
        <v>38</v>
      </c>
      <c r="J1184">
        <v>127</v>
      </c>
      <c r="K1184" t="s">
        <v>36</v>
      </c>
      <c r="L1184">
        <v>115</v>
      </c>
      <c r="M1184">
        <f>IF(D1184=I1184,VLOOKUP(D1184,a_win_totals_lookup,MATCH(K1184,a_wins_total_lookup_header,0)+1,0),VLOOKUP(D1184,a_win_totals_lookup,MATCH(I1184,a_wins_total_lookup_header,0)+1,0))</f>
        <v>0.49327592359171141</v>
      </c>
      <c r="N1184">
        <f t="shared" ca="1" si="18"/>
        <v>0</v>
      </c>
    </row>
    <row r="1185" spans="1:14" x14ac:dyDescent="0.25">
      <c r="A1185">
        <v>400578885</v>
      </c>
      <c r="B1185">
        <v>2015</v>
      </c>
      <c r="C1185" s="1">
        <v>42020</v>
      </c>
      <c r="D1185" t="s">
        <v>38</v>
      </c>
      <c r="E1185">
        <v>1</v>
      </c>
      <c r="F1185">
        <v>19</v>
      </c>
      <c r="G1185">
        <v>20</v>
      </c>
      <c r="H1185">
        <v>1</v>
      </c>
      <c r="I1185" t="s">
        <v>38</v>
      </c>
      <c r="J1185">
        <v>127</v>
      </c>
      <c r="K1185" t="s">
        <v>36</v>
      </c>
      <c r="L1185">
        <v>115</v>
      </c>
      <c r="M1185">
        <f>IF(D1185=I1185,VLOOKUP(D1185,a_win_totals_lookup,MATCH(K1185,a_wins_total_lookup_header,0)+1,0),VLOOKUP(D1185,a_win_totals_lookup,MATCH(I1185,a_wins_total_lookup_header,0)+1,0))</f>
        <v>0.50672407640828865</v>
      </c>
      <c r="N1185">
        <f t="shared" ca="1" si="18"/>
        <v>1</v>
      </c>
    </row>
    <row r="1186" spans="1:14" x14ac:dyDescent="0.25">
      <c r="A1186">
        <v>400578886</v>
      </c>
      <c r="B1186">
        <v>2015</v>
      </c>
      <c r="C1186" s="1">
        <v>42020</v>
      </c>
      <c r="D1186" t="s">
        <v>14</v>
      </c>
      <c r="E1186">
        <v>1</v>
      </c>
      <c r="F1186">
        <v>28</v>
      </c>
      <c r="G1186">
        <v>13</v>
      </c>
      <c r="H1186">
        <v>1</v>
      </c>
      <c r="I1186" t="s">
        <v>14</v>
      </c>
      <c r="J1186">
        <v>97</v>
      </c>
      <c r="K1186" t="s">
        <v>32</v>
      </c>
      <c r="L1186">
        <v>89</v>
      </c>
      <c r="M1186">
        <f>IF(D1186=I1186,VLOOKUP(D1186,a_win_totals_lookup,MATCH(K1186,a_wins_total_lookup_header,0)+1,0),VLOOKUP(D1186,a_win_totals_lookup,MATCH(I1186,a_wins_total_lookup_header,0)+1,0))</f>
        <v>0.61540135422811282</v>
      </c>
      <c r="N1186">
        <f t="shared" ca="1" si="18"/>
        <v>1</v>
      </c>
    </row>
    <row r="1187" spans="1:14" x14ac:dyDescent="0.25">
      <c r="A1187">
        <v>400578886</v>
      </c>
      <c r="B1187">
        <v>2015</v>
      </c>
      <c r="C1187" s="1">
        <v>42020</v>
      </c>
      <c r="D1187" t="s">
        <v>32</v>
      </c>
      <c r="E1187">
        <v>0</v>
      </c>
      <c r="F1187">
        <v>18</v>
      </c>
      <c r="G1187">
        <v>21</v>
      </c>
      <c r="H1187">
        <v>0</v>
      </c>
      <c r="I1187" t="s">
        <v>14</v>
      </c>
      <c r="J1187">
        <v>97</v>
      </c>
      <c r="K1187" t="s">
        <v>32</v>
      </c>
      <c r="L1187">
        <v>89</v>
      </c>
      <c r="M1187">
        <f>IF(D1187=I1187,VLOOKUP(D1187,a_win_totals_lookup,MATCH(K1187,a_wins_total_lookup_header,0)+1,0),VLOOKUP(D1187,a_win_totals_lookup,MATCH(I1187,a_wins_total_lookup_header,0)+1,0))</f>
        <v>0.38459864577188729</v>
      </c>
      <c r="N1187">
        <f t="shared" ca="1" si="18"/>
        <v>1</v>
      </c>
    </row>
    <row r="1188" spans="1:14" x14ac:dyDescent="0.25">
      <c r="A1188">
        <v>400578887</v>
      </c>
      <c r="B1188">
        <v>2015</v>
      </c>
      <c r="C1188" s="1">
        <v>42020</v>
      </c>
      <c r="D1188" t="s">
        <v>39</v>
      </c>
      <c r="E1188">
        <v>0</v>
      </c>
      <c r="F1188">
        <v>30</v>
      </c>
      <c r="G1188">
        <v>10</v>
      </c>
      <c r="H1188">
        <v>0</v>
      </c>
      <c r="I1188" t="s">
        <v>15</v>
      </c>
      <c r="J1188">
        <v>110</v>
      </c>
      <c r="K1188" t="s">
        <v>39</v>
      </c>
      <c r="L1188">
        <v>96</v>
      </c>
      <c r="M1188">
        <f>IF(D1188=I1188,VLOOKUP(D1188,a_win_totals_lookup,MATCH(K1188,a_wins_total_lookup_header,0)+1,0),VLOOKUP(D1188,a_win_totals_lookup,MATCH(I1188,a_wins_total_lookup_header,0)+1,0))</f>
        <v>0.44928415963258811</v>
      </c>
      <c r="N1188">
        <f t="shared" ca="1" si="18"/>
        <v>1</v>
      </c>
    </row>
    <row r="1189" spans="1:14" x14ac:dyDescent="0.25">
      <c r="A1189">
        <v>400578887</v>
      </c>
      <c r="B1189">
        <v>2015</v>
      </c>
      <c r="C1189" s="1">
        <v>42020</v>
      </c>
      <c r="D1189" t="s">
        <v>15</v>
      </c>
      <c r="E1189">
        <v>1</v>
      </c>
      <c r="F1189">
        <v>25</v>
      </c>
      <c r="G1189">
        <v>16</v>
      </c>
      <c r="H1189">
        <v>1</v>
      </c>
      <c r="I1189" t="s">
        <v>15</v>
      </c>
      <c r="J1189">
        <v>110</v>
      </c>
      <c r="K1189" t="s">
        <v>39</v>
      </c>
      <c r="L1189">
        <v>96</v>
      </c>
      <c r="M1189">
        <f>IF(D1189=I1189,VLOOKUP(D1189,a_win_totals_lookup,MATCH(K1189,a_wins_total_lookup_header,0)+1,0),VLOOKUP(D1189,a_win_totals_lookup,MATCH(I1189,a_wins_total_lookup_header,0)+1,0))</f>
        <v>0.55071584036741195</v>
      </c>
      <c r="N1189">
        <f t="shared" ca="1" si="18"/>
        <v>0</v>
      </c>
    </row>
    <row r="1190" spans="1:14" x14ac:dyDescent="0.25">
      <c r="A1190">
        <v>400578888</v>
      </c>
      <c r="B1190">
        <v>2015</v>
      </c>
      <c r="C1190" s="1">
        <v>42020</v>
      </c>
      <c r="D1190" t="s">
        <v>29</v>
      </c>
      <c r="E1190">
        <v>0</v>
      </c>
      <c r="F1190">
        <v>6</v>
      </c>
      <c r="G1190">
        <v>32</v>
      </c>
      <c r="H1190">
        <v>0</v>
      </c>
      <c r="I1190" t="s">
        <v>35</v>
      </c>
      <c r="J1190">
        <v>110</v>
      </c>
      <c r="K1190" t="s">
        <v>29</v>
      </c>
      <c r="L1190">
        <v>99</v>
      </c>
      <c r="M1190">
        <f>IF(D1190=I1190,VLOOKUP(D1190,a_win_totals_lookup,MATCH(K1190,a_wins_total_lookup_header,0)+1,0),VLOOKUP(D1190,a_win_totals_lookup,MATCH(I1190,a_wins_total_lookup_header,0)+1,0))</f>
        <v>0.30291197689006377</v>
      </c>
      <c r="N1190">
        <f t="shared" ca="1" si="18"/>
        <v>1</v>
      </c>
    </row>
    <row r="1191" spans="1:14" x14ac:dyDescent="0.25">
      <c r="A1191">
        <v>400578888</v>
      </c>
      <c r="B1191">
        <v>2015</v>
      </c>
      <c r="C1191" s="1">
        <v>42020</v>
      </c>
      <c r="D1191" t="s">
        <v>35</v>
      </c>
      <c r="E1191">
        <v>1</v>
      </c>
      <c r="F1191">
        <v>24</v>
      </c>
      <c r="G1191">
        <v>18</v>
      </c>
      <c r="H1191">
        <v>1</v>
      </c>
      <c r="I1191" t="s">
        <v>35</v>
      </c>
      <c r="J1191">
        <v>110</v>
      </c>
      <c r="K1191" t="s">
        <v>29</v>
      </c>
      <c r="L1191">
        <v>99</v>
      </c>
      <c r="M1191">
        <f>IF(D1191=I1191,VLOOKUP(D1191,a_win_totals_lookup,MATCH(K1191,a_wins_total_lookup_header,0)+1,0),VLOOKUP(D1191,a_win_totals_lookup,MATCH(I1191,a_wins_total_lookup_header,0)+1,0))</f>
        <v>0.69708802310993623</v>
      </c>
      <c r="N1191">
        <f t="shared" ca="1" si="18"/>
        <v>1</v>
      </c>
    </row>
    <row r="1192" spans="1:14" x14ac:dyDescent="0.25">
      <c r="A1192">
        <v>400578889</v>
      </c>
      <c r="B1192">
        <v>2015</v>
      </c>
      <c r="C1192" s="1">
        <v>42020</v>
      </c>
      <c r="D1192" t="s">
        <v>17</v>
      </c>
      <c r="E1192">
        <v>0</v>
      </c>
      <c r="F1192">
        <v>12</v>
      </c>
      <c r="G1192">
        <v>29</v>
      </c>
      <c r="H1192">
        <v>0</v>
      </c>
      <c r="I1192" t="s">
        <v>34</v>
      </c>
      <c r="J1192">
        <v>94</v>
      </c>
      <c r="K1192" t="s">
        <v>17</v>
      </c>
      <c r="L1192">
        <v>85</v>
      </c>
      <c r="M1192">
        <f>IF(D1192=I1192,VLOOKUP(D1192,a_win_totals_lookup,MATCH(K1192,a_wins_total_lookup_header,0)+1,0),VLOOKUP(D1192,a_win_totals_lookup,MATCH(I1192,a_wins_total_lookup_header,0)+1,0))</f>
        <v>0.53496419100371084</v>
      </c>
      <c r="N1192">
        <f t="shared" ca="1" si="18"/>
        <v>1</v>
      </c>
    </row>
    <row r="1193" spans="1:14" x14ac:dyDescent="0.25">
      <c r="A1193">
        <v>400578889</v>
      </c>
      <c r="B1193">
        <v>2015</v>
      </c>
      <c r="C1193" s="1">
        <v>42020</v>
      </c>
      <c r="D1193" t="s">
        <v>34</v>
      </c>
      <c r="E1193">
        <v>1</v>
      </c>
      <c r="F1193">
        <v>14</v>
      </c>
      <c r="G1193">
        <v>26</v>
      </c>
      <c r="H1193">
        <v>1</v>
      </c>
      <c r="I1193" t="s">
        <v>34</v>
      </c>
      <c r="J1193">
        <v>94</v>
      </c>
      <c r="K1193" t="s">
        <v>17</v>
      </c>
      <c r="L1193">
        <v>85</v>
      </c>
      <c r="M1193">
        <f>IF(D1193=I1193,VLOOKUP(D1193,a_win_totals_lookup,MATCH(K1193,a_wins_total_lookup_header,0)+1,0),VLOOKUP(D1193,a_win_totals_lookup,MATCH(I1193,a_wins_total_lookup_header,0)+1,0))</f>
        <v>0.46503580899628916</v>
      </c>
      <c r="N1193">
        <f t="shared" ca="1" si="18"/>
        <v>0</v>
      </c>
    </row>
    <row r="1194" spans="1:14" x14ac:dyDescent="0.25">
      <c r="A1194">
        <v>400578890</v>
      </c>
      <c r="B1194">
        <v>2015</v>
      </c>
      <c r="C1194" s="1">
        <v>42020</v>
      </c>
      <c r="D1194" t="s">
        <v>24</v>
      </c>
      <c r="E1194">
        <v>1</v>
      </c>
      <c r="F1194">
        <v>18</v>
      </c>
      <c r="G1194">
        <v>22</v>
      </c>
      <c r="H1194">
        <v>0</v>
      </c>
      <c r="I1194" t="s">
        <v>37</v>
      </c>
      <c r="J1194">
        <v>83</v>
      </c>
      <c r="K1194" t="s">
        <v>24</v>
      </c>
      <c r="L1194">
        <v>95</v>
      </c>
      <c r="M1194">
        <f>IF(D1194=I1194,VLOOKUP(D1194,a_win_totals_lookup,MATCH(K1194,a_wins_total_lookup_header,0)+1,0),VLOOKUP(D1194,a_win_totals_lookup,MATCH(I1194,a_wins_total_lookup_header,0)+1,0))</f>
        <v>0.62619181779493494</v>
      </c>
      <c r="N1194">
        <f t="shared" ca="1" si="18"/>
        <v>0</v>
      </c>
    </row>
    <row r="1195" spans="1:14" x14ac:dyDescent="0.25">
      <c r="A1195">
        <v>400578890</v>
      </c>
      <c r="B1195">
        <v>2015</v>
      </c>
      <c r="C1195" s="1">
        <v>42020</v>
      </c>
      <c r="D1195" t="s">
        <v>37</v>
      </c>
      <c r="E1195">
        <v>0</v>
      </c>
      <c r="F1195">
        <v>16</v>
      </c>
      <c r="G1195">
        <v>23</v>
      </c>
      <c r="H1195">
        <v>1</v>
      </c>
      <c r="I1195" t="s">
        <v>37</v>
      </c>
      <c r="J1195">
        <v>83</v>
      </c>
      <c r="K1195" t="s">
        <v>24</v>
      </c>
      <c r="L1195">
        <v>95</v>
      </c>
      <c r="M1195">
        <f>IF(D1195=I1195,VLOOKUP(D1195,a_win_totals_lookup,MATCH(K1195,a_wins_total_lookup_header,0)+1,0),VLOOKUP(D1195,a_win_totals_lookup,MATCH(I1195,a_wins_total_lookup_header,0)+1,0))</f>
        <v>0.37380818220506512</v>
      </c>
      <c r="N1195">
        <f t="shared" ca="1" si="18"/>
        <v>1</v>
      </c>
    </row>
    <row r="1196" spans="1:14" x14ac:dyDescent="0.25">
      <c r="A1196">
        <v>400578891</v>
      </c>
      <c r="B1196">
        <v>2015</v>
      </c>
      <c r="C1196" s="1">
        <v>42020</v>
      </c>
      <c r="D1196" t="s">
        <v>40</v>
      </c>
      <c r="E1196">
        <v>1</v>
      </c>
      <c r="F1196">
        <v>21</v>
      </c>
      <c r="G1196">
        <v>20</v>
      </c>
      <c r="H1196">
        <v>0</v>
      </c>
      <c r="I1196" t="s">
        <v>41</v>
      </c>
      <c r="J1196">
        <v>121</v>
      </c>
      <c r="K1196" t="s">
        <v>40</v>
      </c>
      <c r="L1196">
        <v>126</v>
      </c>
      <c r="M1196">
        <f>IF(D1196=I1196,VLOOKUP(D1196,a_win_totals_lookup,MATCH(K1196,a_wins_total_lookup_header,0)+1,0),VLOOKUP(D1196,a_win_totals_lookup,MATCH(I1196,a_wins_total_lookup_header,0)+1,0))</f>
        <v>0.5</v>
      </c>
      <c r="N1196">
        <f t="shared" ca="1" si="18"/>
        <v>0</v>
      </c>
    </row>
    <row r="1197" spans="1:14" x14ac:dyDescent="0.25">
      <c r="A1197">
        <v>400578891</v>
      </c>
      <c r="B1197">
        <v>2015</v>
      </c>
      <c r="C1197" s="1">
        <v>42020</v>
      </c>
      <c r="D1197" t="s">
        <v>41</v>
      </c>
      <c r="E1197">
        <v>0</v>
      </c>
      <c r="F1197">
        <v>26</v>
      </c>
      <c r="G1197">
        <v>14</v>
      </c>
      <c r="H1197">
        <v>1</v>
      </c>
      <c r="I1197" t="s">
        <v>41</v>
      </c>
      <c r="J1197">
        <v>121</v>
      </c>
      <c r="K1197" t="s">
        <v>40</v>
      </c>
      <c r="L1197">
        <v>126</v>
      </c>
      <c r="M1197">
        <f>IF(D1197=I1197,VLOOKUP(D1197,a_win_totals_lookup,MATCH(K1197,a_wins_total_lookup_header,0)+1,0),VLOOKUP(D1197,a_win_totals_lookup,MATCH(I1197,a_wins_total_lookup_header,0)+1,0))</f>
        <v>0.5</v>
      </c>
      <c r="N1197">
        <f t="shared" ca="1" si="18"/>
        <v>1</v>
      </c>
    </row>
    <row r="1198" spans="1:14" x14ac:dyDescent="0.25">
      <c r="A1198">
        <v>400578892</v>
      </c>
      <c r="B1198">
        <v>2015</v>
      </c>
      <c r="C1198" s="1">
        <v>42021</v>
      </c>
      <c r="D1198" t="s">
        <v>18</v>
      </c>
      <c r="E1198">
        <v>1</v>
      </c>
      <c r="F1198">
        <v>16</v>
      </c>
      <c r="G1198">
        <v>25</v>
      </c>
      <c r="H1198">
        <v>1</v>
      </c>
      <c r="I1198" t="s">
        <v>18</v>
      </c>
      <c r="J1198">
        <v>80</v>
      </c>
      <c r="K1198" t="s">
        <v>20</v>
      </c>
      <c r="L1198">
        <v>71</v>
      </c>
      <c r="M1198">
        <f>IF(D1198=I1198,VLOOKUP(D1198,a_win_totals_lookup,MATCH(K1198,a_wins_total_lookup_header,0)+1,0),VLOOKUP(D1198,a_win_totals_lookup,MATCH(I1198,a_wins_total_lookup_header,0)+1,0))</f>
        <v>0.62107555647590951</v>
      </c>
      <c r="N1198">
        <f t="shared" ca="1" si="18"/>
        <v>0</v>
      </c>
    </row>
    <row r="1199" spans="1:14" x14ac:dyDescent="0.25">
      <c r="A1199">
        <v>400578892</v>
      </c>
      <c r="B1199">
        <v>2015</v>
      </c>
      <c r="C1199" s="1">
        <v>42021</v>
      </c>
      <c r="D1199" t="s">
        <v>20</v>
      </c>
      <c r="E1199">
        <v>0</v>
      </c>
      <c r="F1199">
        <v>15</v>
      </c>
      <c r="G1199">
        <v>27</v>
      </c>
      <c r="H1199">
        <v>0</v>
      </c>
      <c r="I1199" t="s">
        <v>18</v>
      </c>
      <c r="J1199">
        <v>80</v>
      </c>
      <c r="K1199" t="s">
        <v>20</v>
      </c>
      <c r="L1199">
        <v>71</v>
      </c>
      <c r="M1199">
        <f>IF(D1199=I1199,VLOOKUP(D1199,a_win_totals_lookup,MATCH(K1199,a_wins_total_lookup_header,0)+1,0),VLOOKUP(D1199,a_win_totals_lookup,MATCH(I1199,a_wins_total_lookup_header,0)+1,0))</f>
        <v>0.37892444352409055</v>
      </c>
      <c r="N1199">
        <f t="shared" ca="1" si="18"/>
        <v>1</v>
      </c>
    </row>
    <row r="1200" spans="1:14" x14ac:dyDescent="0.25">
      <c r="A1200">
        <v>400578893</v>
      </c>
      <c r="B1200">
        <v>2015</v>
      </c>
      <c r="C1200" s="1">
        <v>42021</v>
      </c>
      <c r="D1200" t="s">
        <v>33</v>
      </c>
      <c r="E1200">
        <v>1</v>
      </c>
      <c r="F1200">
        <v>16</v>
      </c>
      <c r="G1200">
        <v>25</v>
      </c>
      <c r="H1200">
        <v>1</v>
      </c>
      <c r="I1200" t="s">
        <v>33</v>
      </c>
      <c r="J1200">
        <v>107</v>
      </c>
      <c r="K1200" t="s">
        <v>21</v>
      </c>
      <c r="L1200">
        <v>89</v>
      </c>
      <c r="M1200">
        <f>IF(D1200=I1200,VLOOKUP(D1200,a_win_totals_lookup,MATCH(K1200,a_wins_total_lookup_header,0)+1,0),VLOOKUP(D1200,a_win_totals_lookup,MATCH(I1200,a_wins_total_lookup_header,0)+1,0))</f>
        <v>0.65818817024414811</v>
      </c>
      <c r="N1200">
        <f t="shared" ca="1" si="18"/>
        <v>1</v>
      </c>
    </row>
    <row r="1201" spans="1:14" x14ac:dyDescent="0.25">
      <c r="A1201">
        <v>400578893</v>
      </c>
      <c r="B1201">
        <v>2015</v>
      </c>
      <c r="C1201" s="1">
        <v>42021</v>
      </c>
      <c r="D1201" t="s">
        <v>21</v>
      </c>
      <c r="E1201">
        <v>0</v>
      </c>
      <c r="F1201">
        <v>8</v>
      </c>
      <c r="G1201">
        <v>32</v>
      </c>
      <c r="H1201">
        <v>0</v>
      </c>
      <c r="I1201" t="s">
        <v>33</v>
      </c>
      <c r="J1201">
        <v>107</v>
      </c>
      <c r="K1201" t="s">
        <v>21</v>
      </c>
      <c r="L1201">
        <v>89</v>
      </c>
      <c r="M1201">
        <f>IF(D1201=I1201,VLOOKUP(D1201,a_win_totals_lookup,MATCH(K1201,a_wins_total_lookup_header,0)+1,0),VLOOKUP(D1201,a_win_totals_lookup,MATCH(I1201,a_wins_total_lookup_header,0)+1,0))</f>
        <v>0.34181182975585189</v>
      </c>
      <c r="N1201">
        <f t="shared" ca="1" si="18"/>
        <v>1</v>
      </c>
    </row>
    <row r="1202" spans="1:14" x14ac:dyDescent="0.25">
      <c r="A1202">
        <v>400578894</v>
      </c>
      <c r="B1202">
        <v>2015</v>
      </c>
      <c r="C1202" s="1">
        <v>42021</v>
      </c>
      <c r="D1202" t="s">
        <v>26</v>
      </c>
      <c r="E1202">
        <v>1</v>
      </c>
      <c r="F1202">
        <v>33</v>
      </c>
      <c r="G1202">
        <v>8</v>
      </c>
      <c r="H1202">
        <v>0</v>
      </c>
      <c r="I1202" t="s">
        <v>30</v>
      </c>
      <c r="J1202">
        <v>99</v>
      </c>
      <c r="K1202" t="s">
        <v>26</v>
      </c>
      <c r="L1202">
        <v>107</v>
      </c>
      <c r="M1202">
        <f>IF(D1202=I1202,VLOOKUP(D1202,a_win_totals_lookup,MATCH(K1202,a_wins_total_lookup_header,0)+1,0),VLOOKUP(D1202,a_win_totals_lookup,MATCH(I1202,a_wins_total_lookup_header,0)+1,0))</f>
        <v>0.39734725240030316</v>
      </c>
      <c r="N1202">
        <f t="shared" ca="1" si="18"/>
        <v>0</v>
      </c>
    </row>
    <row r="1203" spans="1:14" x14ac:dyDescent="0.25">
      <c r="A1203">
        <v>400578894</v>
      </c>
      <c r="B1203">
        <v>2015</v>
      </c>
      <c r="C1203" s="1">
        <v>42021</v>
      </c>
      <c r="D1203" t="s">
        <v>30</v>
      </c>
      <c r="E1203">
        <v>0</v>
      </c>
      <c r="F1203">
        <v>27</v>
      </c>
      <c r="G1203">
        <v>15</v>
      </c>
      <c r="H1203">
        <v>1</v>
      </c>
      <c r="I1203" t="s">
        <v>30</v>
      </c>
      <c r="J1203">
        <v>99</v>
      </c>
      <c r="K1203" t="s">
        <v>26</v>
      </c>
      <c r="L1203">
        <v>107</v>
      </c>
      <c r="M1203">
        <f>IF(D1203=I1203,VLOOKUP(D1203,a_win_totals_lookup,MATCH(K1203,a_wins_total_lookup_header,0)+1,0),VLOOKUP(D1203,a_win_totals_lookup,MATCH(I1203,a_wins_total_lookup_header,0)+1,0))</f>
        <v>0.60265274759969689</v>
      </c>
      <c r="N1203">
        <f t="shared" ca="1" si="18"/>
        <v>1</v>
      </c>
    </row>
    <row r="1204" spans="1:14" x14ac:dyDescent="0.25">
      <c r="A1204">
        <v>400578895</v>
      </c>
      <c r="B1204">
        <v>2015</v>
      </c>
      <c r="C1204" s="1">
        <v>42021</v>
      </c>
      <c r="D1204" t="s">
        <v>36</v>
      </c>
      <c r="E1204">
        <v>1</v>
      </c>
      <c r="F1204">
        <v>32</v>
      </c>
      <c r="G1204">
        <v>6</v>
      </c>
      <c r="H1204">
        <v>0</v>
      </c>
      <c r="I1204" t="s">
        <v>16</v>
      </c>
      <c r="J1204">
        <v>106</v>
      </c>
      <c r="K1204" t="s">
        <v>36</v>
      </c>
      <c r="L1204">
        <v>131</v>
      </c>
      <c r="M1204">
        <f>IF(D1204=I1204,VLOOKUP(D1204,a_win_totals_lookup,MATCH(K1204,a_wins_total_lookup_header,0)+1,0),VLOOKUP(D1204,a_win_totals_lookup,MATCH(I1204,a_wins_total_lookup_header,0)+1,0))</f>
        <v>0.54147759642487181</v>
      </c>
      <c r="N1204">
        <f t="shared" ca="1" si="18"/>
        <v>1</v>
      </c>
    </row>
    <row r="1205" spans="1:14" x14ac:dyDescent="0.25">
      <c r="A1205">
        <v>400578895</v>
      </c>
      <c r="B1205">
        <v>2015</v>
      </c>
      <c r="C1205" s="1">
        <v>42021</v>
      </c>
      <c r="D1205" t="s">
        <v>16</v>
      </c>
      <c r="E1205">
        <v>0</v>
      </c>
      <c r="F1205">
        <v>28</v>
      </c>
      <c r="G1205">
        <v>13</v>
      </c>
      <c r="H1205">
        <v>1</v>
      </c>
      <c r="I1205" t="s">
        <v>16</v>
      </c>
      <c r="J1205">
        <v>106</v>
      </c>
      <c r="K1205" t="s">
        <v>36</v>
      </c>
      <c r="L1205">
        <v>131</v>
      </c>
      <c r="M1205">
        <f>IF(D1205=I1205,VLOOKUP(D1205,a_win_totals_lookup,MATCH(K1205,a_wins_total_lookup_header,0)+1,0),VLOOKUP(D1205,a_win_totals_lookup,MATCH(I1205,a_wins_total_lookup_header,0)+1,0))</f>
        <v>0.45852240357512825</v>
      </c>
      <c r="N1205">
        <f t="shared" ca="1" si="18"/>
        <v>1</v>
      </c>
    </row>
    <row r="1206" spans="1:14" x14ac:dyDescent="0.25">
      <c r="A1206">
        <v>400578896</v>
      </c>
      <c r="B1206">
        <v>2015</v>
      </c>
      <c r="C1206" s="1">
        <v>42021</v>
      </c>
      <c r="D1206" t="s">
        <v>28</v>
      </c>
      <c r="E1206">
        <v>1</v>
      </c>
      <c r="F1206">
        <v>29</v>
      </c>
      <c r="G1206">
        <v>11</v>
      </c>
      <c r="H1206">
        <v>1</v>
      </c>
      <c r="I1206" t="s">
        <v>28</v>
      </c>
      <c r="J1206">
        <v>102</v>
      </c>
      <c r="K1206" t="s">
        <v>39</v>
      </c>
      <c r="L1206">
        <v>98</v>
      </c>
      <c r="M1206">
        <f>IF(D1206=I1206,VLOOKUP(D1206,a_win_totals_lookup,MATCH(K1206,a_wins_total_lookup_header,0)+1,0),VLOOKUP(D1206,a_win_totals_lookup,MATCH(I1206,a_wins_total_lookup_header,0)+1,0))</f>
        <v>0.50885835943866475</v>
      </c>
      <c r="N1206">
        <f t="shared" ca="1" si="18"/>
        <v>0</v>
      </c>
    </row>
    <row r="1207" spans="1:14" x14ac:dyDescent="0.25">
      <c r="A1207">
        <v>400578896</v>
      </c>
      <c r="B1207">
        <v>2015</v>
      </c>
      <c r="C1207" s="1">
        <v>42021</v>
      </c>
      <c r="D1207" t="s">
        <v>39</v>
      </c>
      <c r="E1207">
        <v>0</v>
      </c>
      <c r="F1207">
        <v>30</v>
      </c>
      <c r="G1207">
        <v>11</v>
      </c>
      <c r="H1207">
        <v>0</v>
      </c>
      <c r="I1207" t="s">
        <v>28</v>
      </c>
      <c r="J1207">
        <v>102</v>
      </c>
      <c r="K1207" t="s">
        <v>39</v>
      </c>
      <c r="L1207">
        <v>98</v>
      </c>
      <c r="M1207">
        <f>IF(D1207=I1207,VLOOKUP(D1207,a_win_totals_lookup,MATCH(K1207,a_wins_total_lookup_header,0)+1,0),VLOOKUP(D1207,a_win_totals_lookup,MATCH(I1207,a_wins_total_lookup_header,0)+1,0))</f>
        <v>0.49114164056133519</v>
      </c>
      <c r="N1207">
        <f t="shared" ca="1" si="18"/>
        <v>0</v>
      </c>
    </row>
    <row r="1208" spans="1:14" x14ac:dyDescent="0.25">
      <c r="A1208">
        <v>400578897</v>
      </c>
      <c r="B1208">
        <v>2015</v>
      </c>
      <c r="C1208" s="1">
        <v>42021</v>
      </c>
      <c r="D1208" t="s">
        <v>23</v>
      </c>
      <c r="E1208">
        <v>0</v>
      </c>
      <c r="F1208">
        <v>17</v>
      </c>
      <c r="G1208">
        <v>24</v>
      </c>
      <c r="H1208">
        <v>1</v>
      </c>
      <c r="I1208" t="s">
        <v>23</v>
      </c>
      <c r="J1208">
        <v>90</v>
      </c>
      <c r="K1208" t="s">
        <v>25</v>
      </c>
      <c r="L1208">
        <v>99</v>
      </c>
      <c r="M1208">
        <f>IF(D1208=I1208,VLOOKUP(D1208,a_win_totals_lookup,MATCH(K1208,a_wins_total_lookup_header,0)+1,0),VLOOKUP(D1208,a_win_totals_lookup,MATCH(I1208,a_wins_total_lookup_header,0)+1,0))</f>
        <v>0.41758613378174975</v>
      </c>
      <c r="N1208">
        <f t="shared" ca="1" si="18"/>
        <v>1</v>
      </c>
    </row>
    <row r="1209" spans="1:14" x14ac:dyDescent="0.25">
      <c r="A1209">
        <v>400578897</v>
      </c>
      <c r="B1209">
        <v>2015</v>
      </c>
      <c r="C1209" s="1">
        <v>42021</v>
      </c>
      <c r="D1209" t="s">
        <v>25</v>
      </c>
      <c r="E1209">
        <v>1</v>
      </c>
      <c r="F1209">
        <v>28</v>
      </c>
      <c r="G1209">
        <v>13</v>
      </c>
      <c r="H1209">
        <v>0</v>
      </c>
      <c r="I1209" t="s">
        <v>23</v>
      </c>
      <c r="J1209">
        <v>90</v>
      </c>
      <c r="K1209" t="s">
        <v>25</v>
      </c>
      <c r="L1209">
        <v>99</v>
      </c>
      <c r="M1209">
        <f>IF(D1209=I1209,VLOOKUP(D1209,a_win_totals_lookup,MATCH(K1209,a_wins_total_lookup_header,0)+1,0),VLOOKUP(D1209,a_win_totals_lookup,MATCH(I1209,a_wins_total_lookup_header,0)+1,0))</f>
        <v>0.5824138662182502</v>
      </c>
      <c r="N1209">
        <f t="shared" ca="1" si="18"/>
        <v>1</v>
      </c>
    </row>
    <row r="1210" spans="1:14" x14ac:dyDescent="0.25">
      <c r="A1210">
        <v>400578898</v>
      </c>
      <c r="B1210">
        <v>2015</v>
      </c>
      <c r="C1210" s="1">
        <v>42021</v>
      </c>
      <c r="D1210" t="s">
        <v>32</v>
      </c>
      <c r="E1210">
        <v>0</v>
      </c>
      <c r="F1210">
        <v>18</v>
      </c>
      <c r="G1210">
        <v>22</v>
      </c>
      <c r="H1210">
        <v>1</v>
      </c>
      <c r="I1210" t="s">
        <v>32</v>
      </c>
      <c r="J1210">
        <v>105</v>
      </c>
      <c r="K1210" t="s">
        <v>29</v>
      </c>
      <c r="L1210">
        <v>113</v>
      </c>
      <c r="M1210">
        <f>IF(D1210=I1210,VLOOKUP(D1210,a_win_totals_lookup,MATCH(K1210,a_wins_total_lookup_header,0)+1,0),VLOOKUP(D1210,a_win_totals_lookup,MATCH(I1210,a_wins_total_lookup_header,0)+1,0))</f>
        <v>0.66284304446693665</v>
      </c>
      <c r="N1210">
        <f t="shared" ca="1" si="18"/>
        <v>1</v>
      </c>
    </row>
    <row r="1211" spans="1:14" x14ac:dyDescent="0.25">
      <c r="A1211">
        <v>400578898</v>
      </c>
      <c r="B1211">
        <v>2015</v>
      </c>
      <c r="C1211" s="1">
        <v>42021</v>
      </c>
      <c r="D1211" t="s">
        <v>29</v>
      </c>
      <c r="E1211">
        <v>1</v>
      </c>
      <c r="F1211">
        <v>7</v>
      </c>
      <c r="G1211">
        <v>32</v>
      </c>
      <c r="H1211">
        <v>0</v>
      </c>
      <c r="I1211" t="s">
        <v>32</v>
      </c>
      <c r="J1211">
        <v>105</v>
      </c>
      <c r="K1211" t="s">
        <v>29</v>
      </c>
      <c r="L1211">
        <v>113</v>
      </c>
      <c r="M1211">
        <f>IF(D1211=I1211,VLOOKUP(D1211,a_win_totals_lookup,MATCH(K1211,a_wins_total_lookup_header,0)+1,0),VLOOKUP(D1211,a_win_totals_lookup,MATCH(I1211,a_wins_total_lookup_header,0)+1,0))</f>
        <v>0.33715695553306341</v>
      </c>
      <c r="N1211">
        <f t="shared" ca="1" si="18"/>
        <v>1</v>
      </c>
    </row>
    <row r="1212" spans="1:14" x14ac:dyDescent="0.25">
      <c r="A1212">
        <v>400578899</v>
      </c>
      <c r="B1212">
        <v>2015</v>
      </c>
      <c r="C1212" s="1">
        <v>42021</v>
      </c>
      <c r="D1212" t="s">
        <v>41</v>
      </c>
      <c r="E1212">
        <v>1</v>
      </c>
      <c r="F1212">
        <v>27</v>
      </c>
      <c r="G1212">
        <v>14</v>
      </c>
      <c r="H1212">
        <v>0</v>
      </c>
      <c r="I1212" t="s">
        <v>37</v>
      </c>
      <c r="J1212">
        <v>108</v>
      </c>
      <c r="K1212" t="s">
        <v>41</v>
      </c>
      <c r="L1212">
        <v>117</v>
      </c>
      <c r="M1212">
        <f>IF(D1212=I1212,VLOOKUP(D1212,a_win_totals_lookup,MATCH(K1212,a_wins_total_lookup_header,0)+1,0),VLOOKUP(D1212,a_win_totals_lookup,MATCH(I1212,a_wins_total_lookup_header,0)+1,0))</f>
        <v>0.71629315358675483</v>
      </c>
      <c r="N1212">
        <f t="shared" ca="1" si="18"/>
        <v>1</v>
      </c>
    </row>
    <row r="1213" spans="1:14" x14ac:dyDescent="0.25">
      <c r="A1213">
        <v>400578899</v>
      </c>
      <c r="B1213">
        <v>2015</v>
      </c>
      <c r="C1213" s="1">
        <v>42021</v>
      </c>
      <c r="D1213" t="s">
        <v>37</v>
      </c>
      <c r="E1213">
        <v>0</v>
      </c>
      <c r="F1213">
        <v>16</v>
      </c>
      <c r="G1213">
        <v>24</v>
      </c>
      <c r="H1213">
        <v>1</v>
      </c>
      <c r="I1213" t="s">
        <v>37</v>
      </c>
      <c r="J1213">
        <v>108</v>
      </c>
      <c r="K1213" t="s">
        <v>41</v>
      </c>
      <c r="L1213">
        <v>117</v>
      </c>
      <c r="M1213">
        <f>IF(D1213=I1213,VLOOKUP(D1213,a_win_totals_lookup,MATCH(K1213,a_wins_total_lookup_header,0)+1,0),VLOOKUP(D1213,a_win_totals_lookup,MATCH(I1213,a_wins_total_lookup_header,0)+1,0))</f>
        <v>0.28370684641324517</v>
      </c>
      <c r="N1213">
        <f t="shared" ca="1" si="18"/>
        <v>0</v>
      </c>
    </row>
    <row r="1214" spans="1:14" x14ac:dyDescent="0.25">
      <c r="A1214">
        <v>400578900</v>
      </c>
      <c r="B1214">
        <v>2015</v>
      </c>
      <c r="C1214" s="1">
        <v>42022</v>
      </c>
      <c r="D1214" t="s">
        <v>12</v>
      </c>
      <c r="E1214">
        <v>1</v>
      </c>
      <c r="F1214">
        <v>20</v>
      </c>
      <c r="G1214">
        <v>20</v>
      </c>
      <c r="H1214">
        <v>0</v>
      </c>
      <c r="I1214" t="s">
        <v>27</v>
      </c>
      <c r="J1214">
        <v>93</v>
      </c>
      <c r="K1214" t="s">
        <v>12</v>
      </c>
      <c r="L1214">
        <v>95</v>
      </c>
      <c r="M1214">
        <f>IF(D1214=I1214,VLOOKUP(D1214,a_win_totals_lookup,MATCH(K1214,a_wins_total_lookup_header,0)+1,0),VLOOKUP(D1214,a_win_totals_lookup,MATCH(I1214,a_wins_total_lookup_header,0)+1,0))</f>
        <v>0.39769179081226008</v>
      </c>
      <c r="N1214">
        <f t="shared" ca="1" si="18"/>
        <v>0</v>
      </c>
    </row>
    <row r="1215" spans="1:14" x14ac:dyDescent="0.25">
      <c r="A1215">
        <v>400578900</v>
      </c>
      <c r="B1215">
        <v>2015</v>
      </c>
      <c r="C1215" s="1">
        <v>42022</v>
      </c>
      <c r="D1215" t="s">
        <v>27</v>
      </c>
      <c r="E1215">
        <v>0</v>
      </c>
      <c r="F1215">
        <v>26</v>
      </c>
      <c r="G1215">
        <v>14</v>
      </c>
      <c r="H1215">
        <v>1</v>
      </c>
      <c r="I1215" t="s">
        <v>27</v>
      </c>
      <c r="J1215">
        <v>93</v>
      </c>
      <c r="K1215" t="s">
        <v>12</v>
      </c>
      <c r="L1215">
        <v>95</v>
      </c>
      <c r="M1215">
        <f>IF(D1215=I1215,VLOOKUP(D1215,a_win_totals_lookup,MATCH(K1215,a_wins_total_lookup_header,0)+1,0),VLOOKUP(D1215,a_win_totals_lookup,MATCH(I1215,a_wins_total_lookup_header,0)+1,0))</f>
        <v>0.60230820918773997</v>
      </c>
      <c r="N1215">
        <f t="shared" ca="1" si="18"/>
        <v>1</v>
      </c>
    </row>
    <row r="1216" spans="1:14" x14ac:dyDescent="0.25">
      <c r="A1216">
        <v>400578901</v>
      </c>
      <c r="B1216">
        <v>2015</v>
      </c>
      <c r="C1216" s="1">
        <v>42022</v>
      </c>
      <c r="D1216" t="s">
        <v>38</v>
      </c>
      <c r="E1216">
        <v>1</v>
      </c>
      <c r="F1216">
        <v>20</v>
      </c>
      <c r="G1216">
        <v>20</v>
      </c>
      <c r="H1216">
        <v>0</v>
      </c>
      <c r="I1216" t="s">
        <v>13</v>
      </c>
      <c r="J1216">
        <v>99</v>
      </c>
      <c r="K1216" t="s">
        <v>38</v>
      </c>
      <c r="L1216">
        <v>127</v>
      </c>
      <c r="M1216">
        <f>IF(D1216=I1216,VLOOKUP(D1216,a_win_totals_lookup,MATCH(K1216,a_wins_total_lookup_header,0)+1,0),VLOOKUP(D1216,a_win_totals_lookup,MATCH(I1216,a_wins_total_lookup_header,0)+1,0))</f>
        <v>0.72649226385047183</v>
      </c>
      <c r="N1216">
        <f t="shared" ca="1" si="18"/>
        <v>1</v>
      </c>
    </row>
    <row r="1217" spans="1:14" x14ac:dyDescent="0.25">
      <c r="A1217">
        <v>400578901</v>
      </c>
      <c r="B1217">
        <v>2015</v>
      </c>
      <c r="C1217" s="1">
        <v>42022</v>
      </c>
      <c r="D1217" t="s">
        <v>13</v>
      </c>
      <c r="E1217">
        <v>0</v>
      </c>
      <c r="F1217">
        <v>15</v>
      </c>
      <c r="G1217">
        <v>29</v>
      </c>
      <c r="H1217">
        <v>1</v>
      </c>
      <c r="I1217" t="s">
        <v>13</v>
      </c>
      <c r="J1217">
        <v>99</v>
      </c>
      <c r="K1217" t="s">
        <v>38</v>
      </c>
      <c r="L1217">
        <v>127</v>
      </c>
      <c r="M1217">
        <f>IF(D1217=I1217,VLOOKUP(D1217,a_win_totals_lookup,MATCH(K1217,a_wins_total_lookup_header,0)+1,0),VLOOKUP(D1217,a_win_totals_lookup,MATCH(I1217,a_wins_total_lookup_header,0)+1,0))</f>
        <v>0.27350773614952834</v>
      </c>
      <c r="N1217">
        <f t="shared" ca="1" si="18"/>
        <v>0</v>
      </c>
    </row>
    <row r="1218" spans="1:14" x14ac:dyDescent="0.25">
      <c r="A1218">
        <v>400578902</v>
      </c>
      <c r="B1218">
        <v>2015</v>
      </c>
      <c r="C1218" s="1">
        <v>42022</v>
      </c>
      <c r="D1218" t="s">
        <v>15</v>
      </c>
      <c r="E1218">
        <v>1</v>
      </c>
      <c r="F1218">
        <v>26</v>
      </c>
      <c r="G1218">
        <v>16</v>
      </c>
      <c r="H1218">
        <v>1</v>
      </c>
      <c r="I1218" t="s">
        <v>15</v>
      </c>
      <c r="J1218">
        <v>89</v>
      </c>
      <c r="K1218" t="s">
        <v>34</v>
      </c>
      <c r="L1218">
        <v>69</v>
      </c>
      <c r="M1218">
        <f>IF(D1218=I1218,VLOOKUP(D1218,a_win_totals_lookup,MATCH(K1218,a_wins_total_lookup_header,0)+1,0),VLOOKUP(D1218,a_win_totals_lookup,MATCH(I1218,a_wins_total_lookup_header,0)+1,0))</f>
        <v>0.73595070405215601</v>
      </c>
      <c r="N1218">
        <f t="shared" ca="1" si="18"/>
        <v>1</v>
      </c>
    </row>
    <row r="1219" spans="1:14" x14ac:dyDescent="0.25">
      <c r="A1219">
        <v>400578902</v>
      </c>
      <c r="B1219">
        <v>2015</v>
      </c>
      <c r="C1219" s="1">
        <v>42022</v>
      </c>
      <c r="D1219" t="s">
        <v>34</v>
      </c>
      <c r="E1219">
        <v>0</v>
      </c>
      <c r="F1219">
        <v>14</v>
      </c>
      <c r="G1219">
        <v>27</v>
      </c>
      <c r="H1219">
        <v>0</v>
      </c>
      <c r="I1219" t="s">
        <v>15</v>
      </c>
      <c r="J1219">
        <v>89</v>
      </c>
      <c r="K1219" t="s">
        <v>34</v>
      </c>
      <c r="L1219">
        <v>69</v>
      </c>
      <c r="M1219">
        <f>IF(D1219=I1219,VLOOKUP(D1219,a_win_totals_lookup,MATCH(K1219,a_wins_total_lookup_header,0)+1,0),VLOOKUP(D1219,a_win_totals_lookup,MATCH(I1219,a_wins_total_lookup_header,0)+1,0))</f>
        <v>0.26404929594784404</v>
      </c>
      <c r="N1219">
        <f t="shared" ref="N1219:N1282" ca="1" si="19">ROUND(0.5*RANDBETWEEN(-1,1)+M1219,0)</f>
        <v>0</v>
      </c>
    </row>
    <row r="1220" spans="1:14" x14ac:dyDescent="0.25">
      <c r="A1220">
        <v>400578903</v>
      </c>
      <c r="B1220">
        <v>2015</v>
      </c>
      <c r="C1220" s="1">
        <v>42023</v>
      </c>
      <c r="D1220" t="s">
        <v>18</v>
      </c>
      <c r="E1220">
        <v>1</v>
      </c>
      <c r="F1220">
        <v>17</v>
      </c>
      <c r="G1220">
        <v>25</v>
      </c>
      <c r="H1220">
        <v>1</v>
      </c>
      <c r="I1220" t="s">
        <v>18</v>
      </c>
      <c r="J1220">
        <v>105</v>
      </c>
      <c r="K1220" t="s">
        <v>29</v>
      </c>
      <c r="L1220">
        <v>80</v>
      </c>
      <c r="M1220">
        <f>IF(D1220=I1220,VLOOKUP(D1220,a_win_totals_lookup,MATCH(K1220,a_wins_total_lookup_header,0)+1,0),VLOOKUP(D1220,a_win_totals_lookup,MATCH(I1220,a_wins_total_lookup_header,0)+1,0))</f>
        <v>0.71626096693707286</v>
      </c>
      <c r="N1220">
        <f t="shared" ca="1" si="19"/>
        <v>1</v>
      </c>
    </row>
    <row r="1221" spans="1:14" x14ac:dyDescent="0.25">
      <c r="A1221">
        <v>400578903</v>
      </c>
      <c r="B1221">
        <v>2015</v>
      </c>
      <c r="C1221" s="1">
        <v>42023</v>
      </c>
      <c r="D1221" t="s">
        <v>29</v>
      </c>
      <c r="E1221">
        <v>0</v>
      </c>
      <c r="F1221">
        <v>7</v>
      </c>
      <c r="G1221">
        <v>33</v>
      </c>
      <c r="H1221">
        <v>0</v>
      </c>
      <c r="I1221" t="s">
        <v>18</v>
      </c>
      <c r="J1221">
        <v>105</v>
      </c>
      <c r="K1221" t="s">
        <v>29</v>
      </c>
      <c r="L1221">
        <v>80</v>
      </c>
      <c r="M1221">
        <f>IF(D1221=I1221,VLOOKUP(D1221,a_win_totals_lookup,MATCH(K1221,a_wins_total_lookup_header,0)+1,0),VLOOKUP(D1221,a_win_totals_lookup,MATCH(I1221,a_wins_total_lookup_header,0)+1,0))</f>
        <v>0.28373903306292714</v>
      </c>
      <c r="N1221">
        <f t="shared" ca="1" si="19"/>
        <v>0</v>
      </c>
    </row>
    <row r="1222" spans="1:14" x14ac:dyDescent="0.25">
      <c r="A1222">
        <v>400578904</v>
      </c>
      <c r="B1222">
        <v>2015</v>
      </c>
      <c r="C1222" s="1">
        <v>42023</v>
      </c>
      <c r="D1222" t="s">
        <v>21</v>
      </c>
      <c r="E1222">
        <v>0</v>
      </c>
      <c r="F1222">
        <v>8</v>
      </c>
      <c r="G1222">
        <v>33</v>
      </c>
      <c r="H1222">
        <v>0</v>
      </c>
      <c r="I1222" t="s">
        <v>25</v>
      </c>
      <c r="J1222">
        <v>111</v>
      </c>
      <c r="K1222" t="s">
        <v>21</v>
      </c>
      <c r="L1222">
        <v>76</v>
      </c>
      <c r="M1222">
        <f>IF(D1222=I1222,VLOOKUP(D1222,a_win_totals_lookup,MATCH(K1222,a_wins_total_lookup_header,0)+1,0),VLOOKUP(D1222,a_win_totals_lookup,MATCH(I1222,a_wins_total_lookup_header,0)+1,0))</f>
        <v>0.23731187072121385</v>
      </c>
      <c r="N1222">
        <f t="shared" ca="1" si="19"/>
        <v>0</v>
      </c>
    </row>
    <row r="1223" spans="1:14" x14ac:dyDescent="0.25">
      <c r="A1223">
        <v>400578904</v>
      </c>
      <c r="B1223">
        <v>2015</v>
      </c>
      <c r="C1223" s="1">
        <v>42023</v>
      </c>
      <c r="D1223" t="s">
        <v>25</v>
      </c>
      <c r="E1223">
        <v>1</v>
      </c>
      <c r="F1223">
        <v>29</v>
      </c>
      <c r="G1223">
        <v>13</v>
      </c>
      <c r="H1223">
        <v>1</v>
      </c>
      <c r="I1223" t="s">
        <v>25</v>
      </c>
      <c r="J1223">
        <v>111</v>
      </c>
      <c r="K1223" t="s">
        <v>21</v>
      </c>
      <c r="L1223">
        <v>76</v>
      </c>
      <c r="M1223">
        <f>IF(D1223=I1223,VLOOKUP(D1223,a_win_totals_lookup,MATCH(K1223,a_wins_total_lookup_header,0)+1,0),VLOOKUP(D1223,a_win_totals_lookup,MATCH(I1223,a_wins_total_lookup_header,0)+1,0))</f>
        <v>0.76268812927878615</v>
      </c>
      <c r="N1223">
        <f t="shared" ca="1" si="19"/>
        <v>0</v>
      </c>
    </row>
    <row r="1224" spans="1:14" x14ac:dyDescent="0.25">
      <c r="A1224">
        <v>400578905</v>
      </c>
      <c r="B1224">
        <v>2015</v>
      </c>
      <c r="C1224" s="1">
        <v>42023</v>
      </c>
      <c r="D1224" t="s">
        <v>26</v>
      </c>
      <c r="E1224">
        <v>1</v>
      </c>
      <c r="F1224">
        <v>34</v>
      </c>
      <c r="G1224">
        <v>8</v>
      </c>
      <c r="H1224">
        <v>1</v>
      </c>
      <c r="I1224" t="s">
        <v>26</v>
      </c>
      <c r="J1224">
        <v>93</v>
      </c>
      <c r="K1224" t="s">
        <v>33</v>
      </c>
      <c r="L1224">
        <v>82</v>
      </c>
      <c r="M1224">
        <f>IF(D1224=I1224,VLOOKUP(D1224,a_win_totals_lookup,MATCH(K1224,a_wins_total_lookup_header,0)+1,0),VLOOKUP(D1224,a_win_totals_lookup,MATCH(I1224,a_wins_total_lookup_header,0)+1,0))</f>
        <v>0.58346958313834041</v>
      </c>
      <c r="N1224">
        <f t="shared" ca="1" si="19"/>
        <v>0</v>
      </c>
    </row>
    <row r="1225" spans="1:14" x14ac:dyDescent="0.25">
      <c r="A1225">
        <v>400578905</v>
      </c>
      <c r="B1225">
        <v>2015</v>
      </c>
      <c r="C1225" s="1">
        <v>42023</v>
      </c>
      <c r="D1225" t="s">
        <v>33</v>
      </c>
      <c r="E1225">
        <v>0</v>
      </c>
      <c r="F1225">
        <v>16</v>
      </c>
      <c r="G1225">
        <v>26</v>
      </c>
      <c r="H1225">
        <v>0</v>
      </c>
      <c r="I1225" t="s">
        <v>26</v>
      </c>
      <c r="J1225">
        <v>93</v>
      </c>
      <c r="K1225" t="s">
        <v>33</v>
      </c>
      <c r="L1225">
        <v>82</v>
      </c>
      <c r="M1225">
        <f>IF(D1225=I1225,VLOOKUP(D1225,a_win_totals_lookup,MATCH(K1225,a_wins_total_lookup_header,0)+1,0),VLOOKUP(D1225,a_win_totals_lookup,MATCH(I1225,a_wins_total_lookup_header,0)+1,0))</f>
        <v>0.41653041686165959</v>
      </c>
      <c r="N1225">
        <f t="shared" ca="1" si="19"/>
        <v>1</v>
      </c>
    </row>
    <row r="1226" spans="1:14" x14ac:dyDescent="0.25">
      <c r="A1226">
        <v>400578906</v>
      </c>
      <c r="B1226">
        <v>2015</v>
      </c>
      <c r="C1226" s="1">
        <v>42023</v>
      </c>
      <c r="D1226" t="s">
        <v>22</v>
      </c>
      <c r="E1226">
        <v>0</v>
      </c>
      <c r="F1226">
        <v>13</v>
      </c>
      <c r="G1226">
        <v>26</v>
      </c>
      <c r="H1226">
        <v>0</v>
      </c>
      <c r="I1226" t="s">
        <v>41</v>
      </c>
      <c r="J1226">
        <v>102</v>
      </c>
      <c r="K1226" t="s">
        <v>22</v>
      </c>
      <c r="L1226">
        <v>93</v>
      </c>
      <c r="M1226">
        <f>IF(D1226=I1226,VLOOKUP(D1226,a_win_totals_lookup,MATCH(K1226,a_wins_total_lookup_header,0)+1,0),VLOOKUP(D1226,a_win_totals_lookup,MATCH(I1226,a_wins_total_lookup_header,0)+1,0))</f>
        <v>0.21564873302704085</v>
      </c>
      <c r="N1226">
        <f t="shared" ca="1" si="19"/>
        <v>0</v>
      </c>
    </row>
    <row r="1227" spans="1:14" x14ac:dyDescent="0.25">
      <c r="A1227">
        <v>400578906</v>
      </c>
      <c r="B1227">
        <v>2015</v>
      </c>
      <c r="C1227" s="1">
        <v>42023</v>
      </c>
      <c r="D1227" t="s">
        <v>41</v>
      </c>
      <c r="E1227">
        <v>1</v>
      </c>
      <c r="F1227">
        <v>28</v>
      </c>
      <c r="G1227">
        <v>14</v>
      </c>
      <c r="H1227">
        <v>1</v>
      </c>
      <c r="I1227" t="s">
        <v>41</v>
      </c>
      <c r="J1227">
        <v>102</v>
      </c>
      <c r="K1227" t="s">
        <v>22</v>
      </c>
      <c r="L1227">
        <v>93</v>
      </c>
      <c r="M1227">
        <f>IF(D1227=I1227,VLOOKUP(D1227,a_win_totals_lookup,MATCH(K1227,a_wins_total_lookup_header,0)+1,0),VLOOKUP(D1227,a_win_totals_lookup,MATCH(I1227,a_wins_total_lookup_header,0)+1,0))</f>
        <v>0.7843512669729592</v>
      </c>
      <c r="N1227">
        <f t="shared" ca="1" si="19"/>
        <v>1</v>
      </c>
    </row>
    <row r="1228" spans="1:14" x14ac:dyDescent="0.25">
      <c r="A1228">
        <v>400578907</v>
      </c>
      <c r="B1228">
        <v>2015</v>
      </c>
      <c r="C1228" s="1">
        <v>42023</v>
      </c>
      <c r="D1228" t="s">
        <v>32</v>
      </c>
      <c r="E1228">
        <v>0</v>
      </c>
      <c r="F1228">
        <v>18</v>
      </c>
      <c r="G1228">
        <v>23</v>
      </c>
      <c r="H1228">
        <v>0</v>
      </c>
      <c r="I1228" t="s">
        <v>36</v>
      </c>
      <c r="J1228">
        <v>122</v>
      </c>
      <c r="K1228" t="s">
        <v>32</v>
      </c>
      <c r="L1228">
        <v>79</v>
      </c>
      <c r="M1228">
        <f>IF(D1228=I1228,VLOOKUP(D1228,a_win_totals_lookup,MATCH(K1228,a_wins_total_lookup_header,0)+1,0),VLOOKUP(D1228,a_win_totals_lookup,MATCH(I1228,a_wins_total_lookup_header,0)+1,0))</f>
        <v>0.37777969425937236</v>
      </c>
      <c r="N1228">
        <f t="shared" ca="1" si="19"/>
        <v>1</v>
      </c>
    </row>
    <row r="1229" spans="1:14" x14ac:dyDescent="0.25">
      <c r="A1229">
        <v>400578907</v>
      </c>
      <c r="B1229">
        <v>2015</v>
      </c>
      <c r="C1229" s="1">
        <v>42023</v>
      </c>
      <c r="D1229" t="s">
        <v>36</v>
      </c>
      <c r="E1229">
        <v>1</v>
      </c>
      <c r="F1229">
        <v>33</v>
      </c>
      <c r="G1229">
        <v>6</v>
      </c>
      <c r="H1229">
        <v>1</v>
      </c>
      <c r="I1229" t="s">
        <v>36</v>
      </c>
      <c r="J1229">
        <v>122</v>
      </c>
      <c r="K1229" t="s">
        <v>32</v>
      </c>
      <c r="L1229">
        <v>79</v>
      </c>
      <c r="M1229">
        <f>IF(D1229=I1229,VLOOKUP(D1229,a_win_totals_lookup,MATCH(K1229,a_wins_total_lookup_header,0)+1,0),VLOOKUP(D1229,a_win_totals_lookup,MATCH(I1229,a_wins_total_lookup_header,0)+1,0))</f>
        <v>0.62222030574062748</v>
      </c>
      <c r="N1229">
        <f t="shared" ca="1" si="19"/>
        <v>1</v>
      </c>
    </row>
    <row r="1230" spans="1:14" x14ac:dyDescent="0.25">
      <c r="A1230">
        <v>400578908</v>
      </c>
      <c r="B1230">
        <v>2015</v>
      </c>
      <c r="C1230" s="1">
        <v>42023</v>
      </c>
      <c r="D1230" t="s">
        <v>14</v>
      </c>
      <c r="E1230">
        <v>1</v>
      </c>
      <c r="F1230">
        <v>29</v>
      </c>
      <c r="G1230">
        <v>13</v>
      </c>
      <c r="H1230">
        <v>0</v>
      </c>
      <c r="I1230" t="s">
        <v>28</v>
      </c>
      <c r="J1230">
        <v>95</v>
      </c>
      <c r="K1230" t="s">
        <v>14</v>
      </c>
      <c r="L1230">
        <v>103</v>
      </c>
      <c r="M1230">
        <f>IF(D1230=I1230,VLOOKUP(D1230,a_win_totals_lookup,MATCH(K1230,a_wins_total_lookup_header,0)+1,0),VLOOKUP(D1230,a_win_totals_lookup,MATCH(I1230,a_wins_total_lookup_header,0)+1,0))</f>
        <v>0.51604205889789367</v>
      </c>
      <c r="N1230">
        <f t="shared" ca="1" si="19"/>
        <v>1</v>
      </c>
    </row>
    <row r="1231" spans="1:14" x14ac:dyDescent="0.25">
      <c r="A1231">
        <v>400578908</v>
      </c>
      <c r="B1231">
        <v>2015</v>
      </c>
      <c r="C1231" s="1">
        <v>42023</v>
      </c>
      <c r="D1231" t="s">
        <v>28</v>
      </c>
      <c r="E1231">
        <v>0</v>
      </c>
      <c r="F1231">
        <v>29</v>
      </c>
      <c r="G1231">
        <v>12</v>
      </c>
      <c r="H1231">
        <v>1</v>
      </c>
      <c r="I1231" t="s">
        <v>28</v>
      </c>
      <c r="J1231">
        <v>95</v>
      </c>
      <c r="K1231" t="s">
        <v>14</v>
      </c>
      <c r="L1231">
        <v>103</v>
      </c>
      <c r="M1231">
        <f>IF(D1231=I1231,VLOOKUP(D1231,a_win_totals_lookup,MATCH(K1231,a_wins_total_lookup_header,0)+1,0),VLOOKUP(D1231,a_win_totals_lookup,MATCH(I1231,a_wins_total_lookup_header,0)+1,0))</f>
        <v>0.48395794110210644</v>
      </c>
      <c r="N1231">
        <f t="shared" ca="1" si="19"/>
        <v>0</v>
      </c>
    </row>
    <row r="1232" spans="1:14" x14ac:dyDescent="0.25">
      <c r="A1232">
        <v>400578909</v>
      </c>
      <c r="B1232">
        <v>2015</v>
      </c>
      <c r="C1232" s="1">
        <v>42023</v>
      </c>
      <c r="D1232" t="s">
        <v>16</v>
      </c>
      <c r="E1232">
        <v>1</v>
      </c>
      <c r="F1232">
        <v>29</v>
      </c>
      <c r="G1232">
        <v>13</v>
      </c>
      <c r="H1232">
        <v>1</v>
      </c>
      <c r="I1232" t="s">
        <v>16</v>
      </c>
      <c r="J1232">
        <v>110</v>
      </c>
      <c r="K1232" t="s">
        <v>20</v>
      </c>
      <c r="L1232">
        <v>98</v>
      </c>
      <c r="M1232">
        <f>IF(D1232=I1232,VLOOKUP(D1232,a_win_totals_lookup,MATCH(K1232,a_wins_total_lookup_header,0)+1,0),VLOOKUP(D1232,a_win_totals_lookup,MATCH(I1232,a_wins_total_lookup_header,0)+1,0))</f>
        <v>0.64033222606353968</v>
      </c>
      <c r="N1232">
        <f t="shared" ca="1" si="19"/>
        <v>1</v>
      </c>
    </row>
    <row r="1233" spans="1:14" x14ac:dyDescent="0.25">
      <c r="A1233">
        <v>400578909</v>
      </c>
      <c r="B1233">
        <v>2015</v>
      </c>
      <c r="C1233" s="1">
        <v>42023</v>
      </c>
      <c r="D1233" t="s">
        <v>20</v>
      </c>
      <c r="E1233">
        <v>0</v>
      </c>
      <c r="F1233">
        <v>15</v>
      </c>
      <c r="G1233">
        <v>28</v>
      </c>
      <c r="H1233">
        <v>0</v>
      </c>
      <c r="I1233" t="s">
        <v>16</v>
      </c>
      <c r="J1233">
        <v>110</v>
      </c>
      <c r="K1233" t="s">
        <v>20</v>
      </c>
      <c r="L1233">
        <v>98</v>
      </c>
      <c r="M1233">
        <f>IF(D1233=I1233,VLOOKUP(D1233,a_win_totals_lookup,MATCH(K1233,a_wins_total_lookup_header,0)+1,0),VLOOKUP(D1233,a_win_totals_lookup,MATCH(I1233,a_wins_total_lookup_header,0)+1,0))</f>
        <v>0.35966777393646027</v>
      </c>
      <c r="N1233">
        <f t="shared" ca="1" si="19"/>
        <v>0</v>
      </c>
    </row>
    <row r="1234" spans="1:14" x14ac:dyDescent="0.25">
      <c r="A1234">
        <v>400578910</v>
      </c>
      <c r="B1234">
        <v>2015</v>
      </c>
      <c r="C1234" s="1">
        <v>42023</v>
      </c>
      <c r="D1234" t="s">
        <v>12</v>
      </c>
      <c r="E1234">
        <v>0</v>
      </c>
      <c r="F1234">
        <v>20</v>
      </c>
      <c r="G1234">
        <v>21</v>
      </c>
      <c r="H1234">
        <v>0</v>
      </c>
      <c r="I1234" t="s">
        <v>31</v>
      </c>
      <c r="J1234">
        <v>99</v>
      </c>
      <c r="K1234" t="s">
        <v>12</v>
      </c>
      <c r="L1234">
        <v>92</v>
      </c>
      <c r="M1234">
        <f>IF(D1234=I1234,VLOOKUP(D1234,a_win_totals_lookup,MATCH(K1234,a_wins_total_lookup_header,0)+1,0),VLOOKUP(D1234,a_win_totals_lookup,MATCH(I1234,a_wins_total_lookup_header,0)+1,0))</f>
        <v>0.51374213125471302</v>
      </c>
      <c r="N1234">
        <f t="shared" ca="1" si="19"/>
        <v>0</v>
      </c>
    </row>
    <row r="1235" spans="1:14" x14ac:dyDescent="0.25">
      <c r="A1235">
        <v>400578910</v>
      </c>
      <c r="B1235">
        <v>2015</v>
      </c>
      <c r="C1235" s="1">
        <v>42023</v>
      </c>
      <c r="D1235" t="s">
        <v>31</v>
      </c>
      <c r="E1235">
        <v>1</v>
      </c>
      <c r="F1235">
        <v>6</v>
      </c>
      <c r="G1235">
        <v>36</v>
      </c>
      <c r="H1235">
        <v>1</v>
      </c>
      <c r="I1235" t="s">
        <v>31</v>
      </c>
      <c r="J1235">
        <v>99</v>
      </c>
      <c r="K1235" t="s">
        <v>12</v>
      </c>
      <c r="L1235">
        <v>92</v>
      </c>
      <c r="M1235">
        <f>IF(D1235=I1235,VLOOKUP(D1235,a_win_totals_lookup,MATCH(K1235,a_wins_total_lookup_header,0)+1,0),VLOOKUP(D1235,a_win_totals_lookup,MATCH(I1235,a_wins_total_lookup_header,0)+1,0))</f>
        <v>0.48625786874528693</v>
      </c>
      <c r="N1235">
        <f t="shared" ca="1" si="19"/>
        <v>1</v>
      </c>
    </row>
    <row r="1236" spans="1:14" x14ac:dyDescent="0.25">
      <c r="A1236">
        <v>400578911</v>
      </c>
      <c r="B1236">
        <v>2015</v>
      </c>
      <c r="C1236" s="1">
        <v>42023</v>
      </c>
      <c r="D1236" t="s">
        <v>19</v>
      </c>
      <c r="E1236">
        <v>0</v>
      </c>
      <c r="F1236">
        <v>21</v>
      </c>
      <c r="G1236">
        <v>20</v>
      </c>
      <c r="H1236">
        <v>1</v>
      </c>
      <c r="I1236" t="s">
        <v>19</v>
      </c>
      <c r="J1236">
        <v>89</v>
      </c>
      <c r="K1236" t="s">
        <v>27</v>
      </c>
      <c r="L1236">
        <v>92</v>
      </c>
      <c r="M1236">
        <f>IF(D1236=I1236,VLOOKUP(D1236,a_win_totals_lookup,MATCH(K1236,a_wins_total_lookup_header,0)+1,0),VLOOKUP(D1236,a_win_totals_lookup,MATCH(I1236,a_wins_total_lookup_header,0)+1,0))</f>
        <v>0.25555230020051067</v>
      </c>
      <c r="N1236">
        <f t="shared" ca="1" si="19"/>
        <v>1</v>
      </c>
    </row>
    <row r="1237" spans="1:14" x14ac:dyDescent="0.25">
      <c r="A1237">
        <v>400578911</v>
      </c>
      <c r="B1237">
        <v>2015</v>
      </c>
      <c r="C1237" s="1">
        <v>42023</v>
      </c>
      <c r="D1237" t="s">
        <v>27</v>
      </c>
      <c r="E1237">
        <v>1</v>
      </c>
      <c r="F1237">
        <v>27</v>
      </c>
      <c r="G1237">
        <v>14</v>
      </c>
      <c r="H1237">
        <v>0</v>
      </c>
      <c r="I1237" t="s">
        <v>19</v>
      </c>
      <c r="J1237">
        <v>89</v>
      </c>
      <c r="K1237" t="s">
        <v>27</v>
      </c>
      <c r="L1237">
        <v>92</v>
      </c>
      <c r="M1237">
        <f>IF(D1237=I1237,VLOOKUP(D1237,a_win_totals_lookup,MATCH(K1237,a_wins_total_lookup_header,0)+1,0),VLOOKUP(D1237,a_win_totals_lookup,MATCH(I1237,a_wins_total_lookup_header,0)+1,0))</f>
        <v>0.74444769979948933</v>
      </c>
      <c r="N1237">
        <f t="shared" ca="1" si="19"/>
        <v>0</v>
      </c>
    </row>
    <row r="1238" spans="1:14" x14ac:dyDescent="0.25">
      <c r="A1238">
        <v>400578912</v>
      </c>
      <c r="B1238">
        <v>2015</v>
      </c>
      <c r="C1238" s="1">
        <v>42023</v>
      </c>
      <c r="D1238" t="s">
        <v>30</v>
      </c>
      <c r="E1238">
        <v>0</v>
      </c>
      <c r="F1238">
        <v>27</v>
      </c>
      <c r="G1238">
        <v>16</v>
      </c>
      <c r="H1238">
        <v>0</v>
      </c>
      <c r="I1238" t="s">
        <v>40</v>
      </c>
      <c r="J1238">
        <v>108</v>
      </c>
      <c r="K1238" t="s">
        <v>30</v>
      </c>
      <c r="L1238">
        <v>94</v>
      </c>
      <c r="M1238">
        <f>IF(D1238=I1238,VLOOKUP(D1238,a_win_totals_lookup,MATCH(K1238,a_wins_total_lookup_header,0)+1,0),VLOOKUP(D1238,a_win_totals_lookup,MATCH(I1238,a_wins_total_lookup_header,0)+1,0))</f>
        <v>0.48969992820199154</v>
      </c>
      <c r="N1238">
        <f t="shared" ca="1" si="19"/>
        <v>0</v>
      </c>
    </row>
    <row r="1239" spans="1:14" x14ac:dyDescent="0.25">
      <c r="A1239">
        <v>400578912</v>
      </c>
      <c r="B1239">
        <v>2015</v>
      </c>
      <c r="C1239" s="1">
        <v>42023</v>
      </c>
      <c r="D1239" t="s">
        <v>40</v>
      </c>
      <c r="E1239">
        <v>1</v>
      </c>
      <c r="F1239">
        <v>22</v>
      </c>
      <c r="G1239">
        <v>20</v>
      </c>
      <c r="H1239">
        <v>1</v>
      </c>
      <c r="I1239" t="s">
        <v>40</v>
      </c>
      <c r="J1239">
        <v>108</v>
      </c>
      <c r="K1239" t="s">
        <v>30</v>
      </c>
      <c r="L1239">
        <v>94</v>
      </c>
      <c r="M1239">
        <f>IF(D1239=I1239,VLOOKUP(D1239,a_win_totals_lookup,MATCH(K1239,a_wins_total_lookup_header,0)+1,0),VLOOKUP(D1239,a_win_totals_lookup,MATCH(I1239,a_wins_total_lookup_header,0)+1,0))</f>
        <v>0.5103000717980084</v>
      </c>
      <c r="N1239">
        <f t="shared" ca="1" si="19"/>
        <v>1</v>
      </c>
    </row>
    <row r="1240" spans="1:14" x14ac:dyDescent="0.25">
      <c r="A1240">
        <v>400578913</v>
      </c>
      <c r="B1240">
        <v>2015</v>
      </c>
      <c r="C1240" s="1">
        <v>42023</v>
      </c>
      <c r="D1240" t="s">
        <v>39</v>
      </c>
      <c r="E1240">
        <v>1</v>
      </c>
      <c r="F1240">
        <v>31</v>
      </c>
      <c r="G1240">
        <v>11</v>
      </c>
      <c r="H1240">
        <v>1</v>
      </c>
      <c r="I1240" t="s">
        <v>39</v>
      </c>
      <c r="J1240">
        <v>98</v>
      </c>
      <c r="K1240" t="s">
        <v>37</v>
      </c>
      <c r="L1240">
        <v>94</v>
      </c>
      <c r="M1240">
        <f>IF(D1240=I1240,VLOOKUP(D1240,a_win_totals_lookup,MATCH(K1240,a_wins_total_lookup_header,0)+1,0),VLOOKUP(D1240,a_win_totals_lookup,MATCH(I1240,a_wins_total_lookup_header,0)+1,0))</f>
        <v>0.6640463003434689</v>
      </c>
      <c r="N1240">
        <f t="shared" ca="1" si="19"/>
        <v>1</v>
      </c>
    </row>
    <row r="1241" spans="1:14" x14ac:dyDescent="0.25">
      <c r="A1241">
        <v>400578913</v>
      </c>
      <c r="B1241">
        <v>2015</v>
      </c>
      <c r="C1241" s="1">
        <v>42023</v>
      </c>
      <c r="D1241" t="s">
        <v>37</v>
      </c>
      <c r="E1241">
        <v>0</v>
      </c>
      <c r="F1241">
        <v>16</v>
      </c>
      <c r="G1241">
        <v>25</v>
      </c>
      <c r="H1241">
        <v>0</v>
      </c>
      <c r="I1241" t="s">
        <v>39</v>
      </c>
      <c r="J1241">
        <v>98</v>
      </c>
      <c r="K1241" t="s">
        <v>37</v>
      </c>
      <c r="L1241">
        <v>94</v>
      </c>
      <c r="M1241">
        <f>IF(D1241=I1241,VLOOKUP(D1241,a_win_totals_lookup,MATCH(K1241,a_wins_total_lookup_header,0)+1,0),VLOOKUP(D1241,a_win_totals_lookup,MATCH(I1241,a_wins_total_lookup_header,0)+1,0))</f>
        <v>0.3359536996565311</v>
      </c>
      <c r="N1241">
        <f t="shared" ca="1" si="19"/>
        <v>0</v>
      </c>
    </row>
    <row r="1242" spans="1:14" x14ac:dyDescent="0.25">
      <c r="A1242">
        <v>400578914</v>
      </c>
      <c r="B1242">
        <v>2015</v>
      </c>
      <c r="C1242" s="1">
        <v>42023</v>
      </c>
      <c r="D1242" t="s">
        <v>17</v>
      </c>
      <c r="E1242">
        <v>0</v>
      </c>
      <c r="F1242">
        <v>12</v>
      </c>
      <c r="G1242">
        <v>30</v>
      </c>
      <c r="H1242">
        <v>0</v>
      </c>
      <c r="I1242" t="s">
        <v>35</v>
      </c>
      <c r="J1242">
        <v>115</v>
      </c>
      <c r="K1242" t="s">
        <v>17</v>
      </c>
      <c r="L1242">
        <v>100</v>
      </c>
      <c r="M1242">
        <f>IF(D1242=I1242,VLOOKUP(D1242,a_win_totals_lookup,MATCH(K1242,a_wins_total_lookup_header,0)+1,0),VLOOKUP(D1242,a_win_totals_lookup,MATCH(I1242,a_wins_total_lookup_header,0)+1,0))</f>
        <v>0.38499232269801659</v>
      </c>
      <c r="N1242">
        <f t="shared" ca="1" si="19"/>
        <v>0</v>
      </c>
    </row>
    <row r="1243" spans="1:14" x14ac:dyDescent="0.25">
      <c r="A1243">
        <v>400578914</v>
      </c>
      <c r="B1243">
        <v>2015</v>
      </c>
      <c r="C1243" s="1">
        <v>42023</v>
      </c>
      <c r="D1243" t="s">
        <v>35</v>
      </c>
      <c r="E1243">
        <v>1</v>
      </c>
      <c r="F1243">
        <v>25</v>
      </c>
      <c r="G1243">
        <v>18</v>
      </c>
      <c r="H1243">
        <v>1</v>
      </c>
      <c r="I1243" t="s">
        <v>35</v>
      </c>
      <c r="J1243">
        <v>115</v>
      </c>
      <c r="K1243" t="s">
        <v>17</v>
      </c>
      <c r="L1243">
        <v>100</v>
      </c>
      <c r="M1243">
        <f>IF(D1243=I1243,VLOOKUP(D1243,a_win_totals_lookup,MATCH(K1243,a_wins_total_lookup_header,0)+1,0),VLOOKUP(D1243,a_win_totals_lookup,MATCH(I1243,a_wins_total_lookup_header,0)+1,0))</f>
        <v>0.61500767730198336</v>
      </c>
      <c r="N1243">
        <f t="shared" ca="1" si="19"/>
        <v>0</v>
      </c>
    </row>
    <row r="1244" spans="1:14" x14ac:dyDescent="0.25">
      <c r="A1244">
        <v>400578915</v>
      </c>
      <c r="B1244">
        <v>2015</v>
      </c>
      <c r="C1244" s="1">
        <v>42024</v>
      </c>
      <c r="D1244" t="s">
        <v>24</v>
      </c>
      <c r="E1244">
        <v>0</v>
      </c>
      <c r="F1244">
        <v>18</v>
      </c>
      <c r="G1244">
        <v>23</v>
      </c>
      <c r="H1244">
        <v>1</v>
      </c>
      <c r="I1244" t="s">
        <v>24</v>
      </c>
      <c r="J1244">
        <v>86</v>
      </c>
      <c r="K1244" t="s">
        <v>38</v>
      </c>
      <c r="L1244">
        <v>94</v>
      </c>
      <c r="M1244">
        <f>IF(D1244=I1244,VLOOKUP(D1244,a_win_totals_lookup,MATCH(K1244,a_wins_total_lookup_header,0)+1,0),VLOOKUP(D1244,a_win_totals_lookup,MATCH(I1244,a_wins_total_lookup_header,0)+1,0))</f>
        <v>0.42045677552471189</v>
      </c>
      <c r="N1244">
        <f t="shared" ca="1" si="19"/>
        <v>0</v>
      </c>
    </row>
    <row r="1245" spans="1:14" x14ac:dyDescent="0.25">
      <c r="A1245">
        <v>400578915</v>
      </c>
      <c r="B1245">
        <v>2015</v>
      </c>
      <c r="C1245" s="1">
        <v>42024</v>
      </c>
      <c r="D1245" t="s">
        <v>38</v>
      </c>
      <c r="E1245">
        <v>1</v>
      </c>
      <c r="F1245">
        <v>21</v>
      </c>
      <c r="G1245">
        <v>20</v>
      </c>
      <c r="H1245">
        <v>0</v>
      </c>
      <c r="I1245" t="s">
        <v>24</v>
      </c>
      <c r="J1245">
        <v>86</v>
      </c>
      <c r="K1245" t="s">
        <v>38</v>
      </c>
      <c r="L1245">
        <v>94</v>
      </c>
      <c r="M1245">
        <f>IF(D1245=I1245,VLOOKUP(D1245,a_win_totals_lookup,MATCH(K1245,a_wins_total_lookup_header,0)+1,0),VLOOKUP(D1245,a_win_totals_lookup,MATCH(I1245,a_wins_total_lookup_header,0)+1,0))</f>
        <v>0.57954322447528805</v>
      </c>
      <c r="N1245">
        <f t="shared" ca="1" si="19"/>
        <v>1</v>
      </c>
    </row>
    <row r="1246" spans="1:14" x14ac:dyDescent="0.25">
      <c r="A1246">
        <v>400578916</v>
      </c>
      <c r="B1246">
        <v>2015</v>
      </c>
      <c r="C1246" s="1">
        <v>42024</v>
      </c>
      <c r="D1246" t="s">
        <v>32</v>
      </c>
      <c r="E1246">
        <v>0</v>
      </c>
      <c r="F1246">
        <v>18</v>
      </c>
      <c r="G1246">
        <v>24</v>
      </c>
      <c r="H1246">
        <v>1</v>
      </c>
      <c r="I1246" t="s">
        <v>32</v>
      </c>
      <c r="J1246">
        <v>99</v>
      </c>
      <c r="K1246" t="s">
        <v>15</v>
      </c>
      <c r="L1246">
        <v>109</v>
      </c>
      <c r="M1246">
        <f>IF(D1246=I1246,VLOOKUP(D1246,a_win_totals_lookup,MATCH(K1246,a_wins_total_lookup_header,0)+1,0),VLOOKUP(D1246,a_win_totals_lookup,MATCH(I1246,a_wins_total_lookup_header,0)+1,0))</f>
        <v>0.36031197606974674</v>
      </c>
      <c r="N1246">
        <f t="shared" ca="1" si="19"/>
        <v>0</v>
      </c>
    </row>
    <row r="1247" spans="1:14" x14ac:dyDescent="0.25">
      <c r="A1247">
        <v>400578916</v>
      </c>
      <c r="B1247">
        <v>2015</v>
      </c>
      <c r="C1247" s="1">
        <v>42024</v>
      </c>
      <c r="D1247" t="s">
        <v>15</v>
      </c>
      <c r="E1247">
        <v>1</v>
      </c>
      <c r="F1247">
        <v>27</v>
      </c>
      <c r="G1247">
        <v>16</v>
      </c>
      <c r="H1247">
        <v>0</v>
      </c>
      <c r="I1247" t="s">
        <v>32</v>
      </c>
      <c r="J1247">
        <v>99</v>
      </c>
      <c r="K1247" t="s">
        <v>15</v>
      </c>
      <c r="L1247">
        <v>109</v>
      </c>
      <c r="M1247">
        <f>IF(D1247=I1247,VLOOKUP(D1247,a_win_totals_lookup,MATCH(K1247,a_wins_total_lookup_header,0)+1,0),VLOOKUP(D1247,a_win_totals_lookup,MATCH(I1247,a_wins_total_lookup_header,0)+1,0))</f>
        <v>0.63968802393025326</v>
      </c>
      <c r="N1247">
        <f t="shared" ca="1" si="19"/>
        <v>0</v>
      </c>
    </row>
    <row r="1248" spans="1:14" x14ac:dyDescent="0.25">
      <c r="A1248">
        <v>400578917</v>
      </c>
      <c r="B1248">
        <v>2015</v>
      </c>
      <c r="C1248" s="1">
        <v>42025</v>
      </c>
      <c r="D1248" t="s">
        <v>18</v>
      </c>
      <c r="E1248">
        <v>1</v>
      </c>
      <c r="F1248">
        <v>18</v>
      </c>
      <c r="G1248">
        <v>25</v>
      </c>
      <c r="H1248">
        <v>1</v>
      </c>
      <c r="I1248" t="s">
        <v>18</v>
      </c>
      <c r="J1248">
        <v>78</v>
      </c>
      <c r="K1248" t="s">
        <v>24</v>
      </c>
      <c r="L1248">
        <v>76</v>
      </c>
      <c r="M1248">
        <f>IF(D1248=I1248,VLOOKUP(D1248,a_win_totals_lookup,MATCH(K1248,a_wins_total_lookup_header,0)+1,0),VLOOKUP(D1248,a_win_totals_lookup,MATCH(I1248,a_wins_total_lookup_header,0)+1,0))</f>
        <v>0.51125250669337374</v>
      </c>
      <c r="N1248">
        <f t="shared" ca="1" si="19"/>
        <v>1</v>
      </c>
    </row>
    <row r="1249" spans="1:14" x14ac:dyDescent="0.25">
      <c r="A1249">
        <v>400578917</v>
      </c>
      <c r="B1249">
        <v>2015</v>
      </c>
      <c r="C1249" s="1">
        <v>42025</v>
      </c>
      <c r="D1249" t="s">
        <v>24</v>
      </c>
      <c r="E1249">
        <v>0</v>
      </c>
      <c r="F1249">
        <v>18</v>
      </c>
      <c r="G1249">
        <v>24</v>
      </c>
      <c r="H1249">
        <v>0</v>
      </c>
      <c r="I1249" t="s">
        <v>18</v>
      </c>
      <c r="J1249">
        <v>78</v>
      </c>
      <c r="K1249" t="s">
        <v>24</v>
      </c>
      <c r="L1249">
        <v>76</v>
      </c>
      <c r="M1249">
        <f>IF(D1249=I1249,VLOOKUP(D1249,a_win_totals_lookup,MATCH(K1249,a_wins_total_lookup_header,0)+1,0),VLOOKUP(D1249,a_win_totals_lookup,MATCH(I1249,a_wins_total_lookup_header,0)+1,0))</f>
        <v>0.4887474933066262</v>
      </c>
      <c r="N1249">
        <f t="shared" ca="1" si="19"/>
        <v>1</v>
      </c>
    </row>
    <row r="1250" spans="1:14" x14ac:dyDescent="0.25">
      <c r="A1250">
        <v>400578918</v>
      </c>
      <c r="B1250">
        <v>2015</v>
      </c>
      <c r="C1250" s="1">
        <v>42025</v>
      </c>
      <c r="D1250" t="s">
        <v>40</v>
      </c>
      <c r="E1250">
        <v>1</v>
      </c>
      <c r="F1250">
        <v>23</v>
      </c>
      <c r="G1250">
        <v>20</v>
      </c>
      <c r="H1250">
        <v>1</v>
      </c>
      <c r="I1250" t="s">
        <v>40</v>
      </c>
      <c r="J1250">
        <v>106</v>
      </c>
      <c r="K1250" t="s">
        <v>34</v>
      </c>
      <c r="L1250">
        <v>92</v>
      </c>
      <c r="M1250">
        <f>IF(D1250=I1250,VLOOKUP(D1250,a_win_totals_lookup,MATCH(K1250,a_wins_total_lookup_header,0)+1,0),VLOOKUP(D1250,a_win_totals_lookup,MATCH(I1250,a_wins_total_lookup_header,0)+1,0))</f>
        <v>0.74387996100574205</v>
      </c>
      <c r="N1250">
        <f t="shared" ca="1" si="19"/>
        <v>1</v>
      </c>
    </row>
    <row r="1251" spans="1:14" x14ac:dyDescent="0.25">
      <c r="A1251">
        <v>400578918</v>
      </c>
      <c r="B1251">
        <v>2015</v>
      </c>
      <c r="C1251" s="1">
        <v>42025</v>
      </c>
      <c r="D1251" t="s">
        <v>34</v>
      </c>
      <c r="E1251">
        <v>0</v>
      </c>
      <c r="F1251">
        <v>14</v>
      </c>
      <c r="G1251">
        <v>28</v>
      </c>
      <c r="H1251">
        <v>0</v>
      </c>
      <c r="I1251" t="s">
        <v>40</v>
      </c>
      <c r="J1251">
        <v>106</v>
      </c>
      <c r="K1251" t="s">
        <v>34</v>
      </c>
      <c r="L1251">
        <v>92</v>
      </c>
      <c r="M1251">
        <f>IF(D1251=I1251,VLOOKUP(D1251,a_win_totals_lookup,MATCH(K1251,a_wins_total_lookup_header,0)+1,0),VLOOKUP(D1251,a_win_totals_lookup,MATCH(I1251,a_wins_total_lookup_header,0)+1,0))</f>
        <v>0.25612003899425795</v>
      </c>
      <c r="N1251">
        <f t="shared" ca="1" si="19"/>
        <v>0</v>
      </c>
    </row>
    <row r="1252" spans="1:14" x14ac:dyDescent="0.25">
      <c r="A1252">
        <v>400578919</v>
      </c>
      <c r="B1252">
        <v>2015</v>
      </c>
      <c r="C1252" s="1">
        <v>42025</v>
      </c>
      <c r="D1252" t="s">
        <v>31</v>
      </c>
      <c r="E1252">
        <v>1</v>
      </c>
      <c r="F1252">
        <v>7</v>
      </c>
      <c r="G1252">
        <v>36</v>
      </c>
      <c r="H1252">
        <v>0</v>
      </c>
      <c r="I1252" t="s">
        <v>21</v>
      </c>
      <c r="J1252">
        <v>91</v>
      </c>
      <c r="K1252" t="s">
        <v>31</v>
      </c>
      <c r="L1252">
        <v>98</v>
      </c>
      <c r="M1252">
        <f>IF(D1252=I1252,VLOOKUP(D1252,a_win_totals_lookup,MATCH(K1252,a_wins_total_lookup_header,0)+1,0),VLOOKUP(D1252,a_win_totals_lookup,MATCH(I1252,a_wins_total_lookup_header,0)+1,0))</f>
        <v>0.69736543414984997</v>
      </c>
      <c r="N1252">
        <f t="shared" ca="1" si="19"/>
        <v>1</v>
      </c>
    </row>
    <row r="1253" spans="1:14" x14ac:dyDescent="0.25">
      <c r="A1253">
        <v>400578919</v>
      </c>
      <c r="B1253">
        <v>2015</v>
      </c>
      <c r="C1253" s="1">
        <v>42025</v>
      </c>
      <c r="D1253" t="s">
        <v>21</v>
      </c>
      <c r="E1253">
        <v>0</v>
      </c>
      <c r="F1253">
        <v>8</v>
      </c>
      <c r="G1253">
        <v>34</v>
      </c>
      <c r="H1253">
        <v>1</v>
      </c>
      <c r="I1253" t="s">
        <v>21</v>
      </c>
      <c r="J1253">
        <v>91</v>
      </c>
      <c r="K1253" t="s">
        <v>31</v>
      </c>
      <c r="L1253">
        <v>98</v>
      </c>
      <c r="M1253">
        <f>IF(D1253=I1253,VLOOKUP(D1253,a_win_totals_lookup,MATCH(K1253,a_wins_total_lookup_header,0)+1,0),VLOOKUP(D1253,a_win_totals_lookup,MATCH(I1253,a_wins_total_lookup_header,0)+1,0))</f>
        <v>0.30263456585015008</v>
      </c>
      <c r="N1253">
        <f t="shared" ca="1" si="19"/>
        <v>0</v>
      </c>
    </row>
    <row r="1254" spans="1:14" x14ac:dyDescent="0.25">
      <c r="A1254">
        <v>400578920</v>
      </c>
      <c r="B1254">
        <v>2015</v>
      </c>
      <c r="C1254" s="1">
        <v>42025</v>
      </c>
      <c r="D1254" t="s">
        <v>26</v>
      </c>
      <c r="E1254">
        <v>1</v>
      </c>
      <c r="F1254">
        <v>35</v>
      </c>
      <c r="G1254">
        <v>8</v>
      </c>
      <c r="H1254">
        <v>1</v>
      </c>
      <c r="I1254" t="s">
        <v>26</v>
      </c>
      <c r="J1254">
        <v>110</v>
      </c>
      <c r="K1254" t="s">
        <v>20</v>
      </c>
      <c r="L1254">
        <v>91</v>
      </c>
      <c r="M1254">
        <f>IF(D1254=I1254,VLOOKUP(D1254,a_win_totals_lookup,MATCH(K1254,a_wins_total_lookup_header,0)+1,0),VLOOKUP(D1254,a_win_totals_lookup,MATCH(I1254,a_wins_total_lookup_header,0)+1,0))</f>
        <v>0.59907098078204846</v>
      </c>
      <c r="N1254">
        <f t="shared" ca="1" si="19"/>
        <v>1</v>
      </c>
    </row>
    <row r="1255" spans="1:14" x14ac:dyDescent="0.25">
      <c r="A1255">
        <v>400578920</v>
      </c>
      <c r="B1255">
        <v>2015</v>
      </c>
      <c r="C1255" s="1">
        <v>42025</v>
      </c>
      <c r="D1255" t="s">
        <v>20</v>
      </c>
      <c r="E1255">
        <v>0</v>
      </c>
      <c r="F1255">
        <v>15</v>
      </c>
      <c r="G1255">
        <v>29</v>
      </c>
      <c r="H1255">
        <v>0</v>
      </c>
      <c r="I1255" t="s">
        <v>26</v>
      </c>
      <c r="J1255">
        <v>110</v>
      </c>
      <c r="K1255" t="s">
        <v>20</v>
      </c>
      <c r="L1255">
        <v>91</v>
      </c>
      <c r="M1255">
        <f>IF(D1255=I1255,VLOOKUP(D1255,a_win_totals_lookup,MATCH(K1255,a_wins_total_lookup_header,0)+1,0),VLOOKUP(D1255,a_win_totals_lookup,MATCH(I1255,a_wins_total_lookup_header,0)+1,0))</f>
        <v>0.40092901921795154</v>
      </c>
      <c r="N1255">
        <f t="shared" ca="1" si="19"/>
        <v>1</v>
      </c>
    </row>
    <row r="1256" spans="1:14" x14ac:dyDescent="0.25">
      <c r="A1256">
        <v>400578921</v>
      </c>
      <c r="B1256">
        <v>2015</v>
      </c>
      <c r="C1256" s="1">
        <v>42025</v>
      </c>
      <c r="D1256" t="s">
        <v>33</v>
      </c>
      <c r="E1256">
        <v>1</v>
      </c>
      <c r="F1256">
        <v>17</v>
      </c>
      <c r="G1256">
        <v>26</v>
      </c>
      <c r="H1256">
        <v>1</v>
      </c>
      <c r="I1256" t="s">
        <v>33</v>
      </c>
      <c r="J1256">
        <v>128</v>
      </c>
      <c r="K1256" t="s">
        <v>13</v>
      </c>
      <c r="L1256">
        <v>118</v>
      </c>
      <c r="M1256">
        <f>IF(D1256=I1256,VLOOKUP(D1256,a_win_totals_lookup,MATCH(K1256,a_wins_total_lookup_header,0)+1,0),VLOOKUP(D1256,a_win_totals_lookup,MATCH(I1256,a_wins_total_lookup_header,0)+1,0))</f>
        <v>0.56745226115407632</v>
      </c>
      <c r="N1256">
        <f t="shared" ca="1" si="19"/>
        <v>1</v>
      </c>
    </row>
    <row r="1257" spans="1:14" x14ac:dyDescent="0.25">
      <c r="A1257">
        <v>400578921</v>
      </c>
      <c r="B1257">
        <v>2015</v>
      </c>
      <c r="C1257" s="1">
        <v>42025</v>
      </c>
      <c r="D1257" t="s">
        <v>13</v>
      </c>
      <c r="E1257">
        <v>0</v>
      </c>
      <c r="F1257">
        <v>15</v>
      </c>
      <c r="G1257">
        <v>30</v>
      </c>
      <c r="H1257">
        <v>0</v>
      </c>
      <c r="I1257" t="s">
        <v>33</v>
      </c>
      <c r="J1257">
        <v>128</v>
      </c>
      <c r="K1257" t="s">
        <v>13</v>
      </c>
      <c r="L1257">
        <v>118</v>
      </c>
      <c r="M1257">
        <f>IF(D1257=I1257,VLOOKUP(D1257,a_win_totals_lookup,MATCH(K1257,a_wins_total_lookup_header,0)+1,0),VLOOKUP(D1257,a_win_totals_lookup,MATCH(I1257,a_wins_total_lookup_header,0)+1,0))</f>
        <v>0.43254773884592373</v>
      </c>
      <c r="N1257">
        <f t="shared" ca="1" si="19"/>
        <v>0</v>
      </c>
    </row>
    <row r="1258" spans="1:14" x14ac:dyDescent="0.25">
      <c r="A1258">
        <v>400578922</v>
      </c>
      <c r="B1258">
        <v>2015</v>
      </c>
      <c r="C1258" s="1">
        <v>42025</v>
      </c>
      <c r="D1258" t="s">
        <v>28</v>
      </c>
      <c r="E1258">
        <v>1</v>
      </c>
      <c r="F1258">
        <v>30</v>
      </c>
      <c r="G1258">
        <v>12</v>
      </c>
      <c r="H1258">
        <v>1</v>
      </c>
      <c r="I1258" t="s">
        <v>28</v>
      </c>
      <c r="J1258">
        <v>92</v>
      </c>
      <c r="K1258" t="s">
        <v>27</v>
      </c>
      <c r="L1258">
        <v>86</v>
      </c>
      <c r="M1258">
        <f>IF(D1258=I1258,VLOOKUP(D1258,a_win_totals_lookup,MATCH(K1258,a_wins_total_lookup_header,0)+1,0),VLOOKUP(D1258,a_win_totals_lookup,MATCH(I1258,a_wins_total_lookup_header,0)+1,0))</f>
        <v>0.48395794110210644</v>
      </c>
      <c r="N1258">
        <f t="shared" ca="1" si="19"/>
        <v>0</v>
      </c>
    </row>
    <row r="1259" spans="1:14" x14ac:dyDescent="0.25">
      <c r="A1259">
        <v>400578922</v>
      </c>
      <c r="B1259">
        <v>2015</v>
      </c>
      <c r="C1259" s="1">
        <v>42025</v>
      </c>
      <c r="D1259" t="s">
        <v>27</v>
      </c>
      <c r="E1259">
        <v>0</v>
      </c>
      <c r="F1259">
        <v>27</v>
      </c>
      <c r="G1259">
        <v>15</v>
      </c>
      <c r="H1259">
        <v>0</v>
      </c>
      <c r="I1259" t="s">
        <v>28</v>
      </c>
      <c r="J1259">
        <v>92</v>
      </c>
      <c r="K1259" t="s">
        <v>27</v>
      </c>
      <c r="L1259">
        <v>86</v>
      </c>
      <c r="M1259">
        <f>IF(D1259=I1259,VLOOKUP(D1259,a_win_totals_lookup,MATCH(K1259,a_wins_total_lookup_header,0)+1,0),VLOOKUP(D1259,a_win_totals_lookup,MATCH(I1259,a_wins_total_lookup_header,0)+1,0))</f>
        <v>0.51604205889789367</v>
      </c>
      <c r="N1259">
        <f t="shared" ca="1" si="19"/>
        <v>0</v>
      </c>
    </row>
    <row r="1260" spans="1:14" x14ac:dyDescent="0.25">
      <c r="A1260">
        <v>400578923</v>
      </c>
      <c r="B1260">
        <v>2015</v>
      </c>
      <c r="C1260" s="1">
        <v>42025</v>
      </c>
      <c r="D1260" t="s">
        <v>14</v>
      </c>
      <c r="E1260">
        <v>1</v>
      </c>
      <c r="F1260">
        <v>30</v>
      </c>
      <c r="G1260">
        <v>13</v>
      </c>
      <c r="H1260">
        <v>0</v>
      </c>
      <c r="I1260" t="s">
        <v>29</v>
      </c>
      <c r="J1260">
        <v>75</v>
      </c>
      <c r="K1260" t="s">
        <v>14</v>
      </c>
      <c r="L1260">
        <v>98</v>
      </c>
      <c r="M1260">
        <f>IF(D1260=I1260,VLOOKUP(D1260,a_win_totals_lookup,MATCH(K1260,a_wins_total_lookup_header,0)+1,0),VLOOKUP(D1260,a_win_totals_lookup,MATCH(I1260,a_wins_total_lookup_header,0)+1,0))</f>
        <v>0.75879125867873198</v>
      </c>
      <c r="N1260">
        <f t="shared" ca="1" si="19"/>
        <v>1</v>
      </c>
    </row>
    <row r="1261" spans="1:14" x14ac:dyDescent="0.25">
      <c r="A1261">
        <v>400578923</v>
      </c>
      <c r="B1261">
        <v>2015</v>
      </c>
      <c r="C1261" s="1">
        <v>42025</v>
      </c>
      <c r="D1261" t="s">
        <v>29</v>
      </c>
      <c r="E1261">
        <v>0</v>
      </c>
      <c r="F1261">
        <v>7</v>
      </c>
      <c r="G1261">
        <v>34</v>
      </c>
      <c r="H1261">
        <v>1</v>
      </c>
      <c r="I1261" t="s">
        <v>29</v>
      </c>
      <c r="J1261">
        <v>75</v>
      </c>
      <c r="K1261" t="s">
        <v>14</v>
      </c>
      <c r="L1261">
        <v>98</v>
      </c>
      <c r="M1261">
        <f>IF(D1261=I1261,VLOOKUP(D1261,a_win_totals_lookup,MATCH(K1261,a_wins_total_lookup_header,0)+1,0),VLOOKUP(D1261,a_win_totals_lookup,MATCH(I1261,a_wins_total_lookup_header,0)+1,0))</f>
        <v>0.24120874132126804</v>
      </c>
      <c r="N1261">
        <f t="shared" ca="1" si="19"/>
        <v>0</v>
      </c>
    </row>
    <row r="1262" spans="1:14" x14ac:dyDescent="0.25">
      <c r="A1262">
        <v>400578924</v>
      </c>
      <c r="B1262">
        <v>2015</v>
      </c>
      <c r="C1262" s="1">
        <v>42025</v>
      </c>
      <c r="D1262" t="s">
        <v>17</v>
      </c>
      <c r="E1262">
        <v>0</v>
      </c>
      <c r="F1262">
        <v>12</v>
      </c>
      <c r="G1262">
        <v>31</v>
      </c>
      <c r="H1262">
        <v>0</v>
      </c>
      <c r="I1262" t="s">
        <v>12</v>
      </c>
      <c r="J1262">
        <v>96</v>
      </c>
      <c r="K1262" t="s">
        <v>17</v>
      </c>
      <c r="L1262">
        <v>80</v>
      </c>
      <c r="M1262">
        <f>IF(D1262=I1262,VLOOKUP(D1262,a_win_totals_lookup,MATCH(K1262,a_wins_total_lookup_header,0)+1,0),VLOOKUP(D1262,a_win_totals_lookup,MATCH(I1262,a_wins_total_lookup_header,0)+1,0))</f>
        <v>0.40952872102451271</v>
      </c>
      <c r="N1262">
        <f t="shared" ca="1" si="19"/>
        <v>1</v>
      </c>
    </row>
    <row r="1263" spans="1:14" x14ac:dyDescent="0.25">
      <c r="A1263">
        <v>400578924</v>
      </c>
      <c r="B1263">
        <v>2015</v>
      </c>
      <c r="C1263" s="1">
        <v>42025</v>
      </c>
      <c r="D1263" t="s">
        <v>12</v>
      </c>
      <c r="E1263">
        <v>1</v>
      </c>
      <c r="F1263">
        <v>21</v>
      </c>
      <c r="G1263">
        <v>21</v>
      </c>
      <c r="H1263">
        <v>1</v>
      </c>
      <c r="I1263" t="s">
        <v>12</v>
      </c>
      <c r="J1263">
        <v>96</v>
      </c>
      <c r="K1263" t="s">
        <v>17</v>
      </c>
      <c r="L1263">
        <v>80</v>
      </c>
      <c r="M1263">
        <f>IF(D1263=I1263,VLOOKUP(D1263,a_win_totals_lookup,MATCH(K1263,a_wins_total_lookup_header,0)+1,0),VLOOKUP(D1263,a_win_totals_lookup,MATCH(I1263,a_wins_total_lookup_header,0)+1,0))</f>
        <v>0.59047127897548735</v>
      </c>
      <c r="N1263">
        <f t="shared" ca="1" si="19"/>
        <v>1</v>
      </c>
    </row>
    <row r="1264" spans="1:14" x14ac:dyDescent="0.25">
      <c r="A1264">
        <v>400578925</v>
      </c>
      <c r="B1264">
        <v>2015</v>
      </c>
      <c r="C1264" s="1">
        <v>42025</v>
      </c>
      <c r="D1264" t="s">
        <v>38</v>
      </c>
      <c r="E1264">
        <v>1</v>
      </c>
      <c r="F1264">
        <v>22</v>
      </c>
      <c r="G1264">
        <v>20</v>
      </c>
      <c r="H1264">
        <v>0</v>
      </c>
      <c r="I1264" t="s">
        <v>25</v>
      </c>
      <c r="J1264">
        <v>103</v>
      </c>
      <c r="K1264" t="s">
        <v>38</v>
      </c>
      <c r="L1264">
        <v>105</v>
      </c>
      <c r="M1264">
        <f>IF(D1264=I1264,VLOOKUP(D1264,a_win_totals_lookup,MATCH(K1264,a_wins_total_lookup_header,0)+1,0),VLOOKUP(D1264,a_win_totals_lookup,MATCH(I1264,a_wins_total_lookup_header,0)+1,0))</f>
        <v>0.54814795925339088</v>
      </c>
      <c r="N1264">
        <f t="shared" ca="1" si="19"/>
        <v>1</v>
      </c>
    </row>
    <row r="1265" spans="1:14" x14ac:dyDescent="0.25">
      <c r="A1265">
        <v>400578925</v>
      </c>
      <c r="B1265">
        <v>2015</v>
      </c>
      <c r="C1265" s="1">
        <v>42025</v>
      </c>
      <c r="D1265" t="s">
        <v>25</v>
      </c>
      <c r="E1265">
        <v>0</v>
      </c>
      <c r="F1265">
        <v>29</v>
      </c>
      <c r="G1265">
        <v>14</v>
      </c>
      <c r="H1265">
        <v>1</v>
      </c>
      <c r="I1265" t="s">
        <v>25</v>
      </c>
      <c r="J1265">
        <v>103</v>
      </c>
      <c r="K1265" t="s">
        <v>38</v>
      </c>
      <c r="L1265">
        <v>105</v>
      </c>
      <c r="M1265">
        <f>IF(D1265=I1265,VLOOKUP(D1265,a_win_totals_lookup,MATCH(K1265,a_wins_total_lookup_header,0)+1,0),VLOOKUP(D1265,a_win_totals_lookup,MATCH(I1265,a_wins_total_lookup_header,0)+1,0))</f>
        <v>0.45185204074660917</v>
      </c>
      <c r="N1265">
        <f t="shared" ca="1" si="19"/>
        <v>0</v>
      </c>
    </row>
    <row r="1266" spans="1:14" x14ac:dyDescent="0.25">
      <c r="A1266">
        <v>400578926</v>
      </c>
      <c r="B1266">
        <v>2015</v>
      </c>
      <c r="C1266" s="1">
        <v>42025</v>
      </c>
      <c r="D1266" t="s">
        <v>35</v>
      </c>
      <c r="E1266">
        <v>1</v>
      </c>
      <c r="F1266">
        <v>26</v>
      </c>
      <c r="G1266">
        <v>18</v>
      </c>
      <c r="H1266">
        <v>1</v>
      </c>
      <c r="I1266" t="s">
        <v>35</v>
      </c>
      <c r="J1266">
        <v>118</v>
      </c>
      <c r="K1266" t="s">
        <v>39</v>
      </c>
      <c r="L1266">
        <v>113</v>
      </c>
      <c r="M1266">
        <f>IF(D1266=I1266,VLOOKUP(D1266,a_win_totals_lookup,MATCH(K1266,a_wins_total_lookup_header,0)+1,0),VLOOKUP(D1266,a_win_totals_lookup,MATCH(I1266,a_wins_total_lookup_header,0)+1,0))</f>
        <v>0.44695853169533922</v>
      </c>
      <c r="N1266">
        <f t="shared" ca="1" si="19"/>
        <v>1</v>
      </c>
    </row>
    <row r="1267" spans="1:14" x14ac:dyDescent="0.25">
      <c r="A1267">
        <v>400578926</v>
      </c>
      <c r="B1267">
        <v>2015</v>
      </c>
      <c r="C1267" s="1">
        <v>42025</v>
      </c>
      <c r="D1267" t="s">
        <v>39</v>
      </c>
      <c r="E1267">
        <v>0</v>
      </c>
      <c r="F1267">
        <v>31</v>
      </c>
      <c r="G1267">
        <v>12</v>
      </c>
      <c r="H1267">
        <v>0</v>
      </c>
      <c r="I1267" t="s">
        <v>35</v>
      </c>
      <c r="J1267">
        <v>118</v>
      </c>
      <c r="K1267" t="s">
        <v>39</v>
      </c>
      <c r="L1267">
        <v>113</v>
      </c>
      <c r="M1267">
        <f>IF(D1267=I1267,VLOOKUP(D1267,a_win_totals_lookup,MATCH(K1267,a_wins_total_lookup_header,0)+1,0),VLOOKUP(D1267,a_win_totals_lookup,MATCH(I1267,a_wins_total_lookup_header,0)+1,0))</f>
        <v>0.55304146830466083</v>
      </c>
      <c r="N1267">
        <f t="shared" ca="1" si="19"/>
        <v>1</v>
      </c>
    </row>
    <row r="1268" spans="1:14" x14ac:dyDescent="0.25">
      <c r="A1268">
        <v>400578927</v>
      </c>
      <c r="B1268">
        <v>2015</v>
      </c>
      <c r="C1268" s="1">
        <v>42025</v>
      </c>
      <c r="D1268" t="s">
        <v>23</v>
      </c>
      <c r="E1268">
        <v>1</v>
      </c>
      <c r="F1268">
        <v>18</v>
      </c>
      <c r="G1268">
        <v>24</v>
      </c>
      <c r="H1268">
        <v>0</v>
      </c>
      <c r="I1268" t="s">
        <v>37</v>
      </c>
      <c r="J1268">
        <v>100</v>
      </c>
      <c r="K1268" t="s">
        <v>23</v>
      </c>
      <c r="L1268">
        <v>103</v>
      </c>
      <c r="M1268">
        <f>IF(D1268=I1268,VLOOKUP(D1268,a_win_totals_lookup,MATCH(K1268,a_wins_total_lookup_header,0)+1,0),VLOOKUP(D1268,a_win_totals_lookup,MATCH(I1268,a_wins_total_lookup_header,0)+1,0))</f>
        <v>0.57711263446281591</v>
      </c>
      <c r="N1268">
        <f t="shared" ca="1" si="19"/>
        <v>1</v>
      </c>
    </row>
    <row r="1269" spans="1:14" x14ac:dyDescent="0.25">
      <c r="A1269">
        <v>400578927</v>
      </c>
      <c r="B1269">
        <v>2015</v>
      </c>
      <c r="C1269" s="1">
        <v>42025</v>
      </c>
      <c r="D1269" t="s">
        <v>37</v>
      </c>
      <c r="E1269">
        <v>0</v>
      </c>
      <c r="F1269">
        <v>16</v>
      </c>
      <c r="G1269">
        <v>26</v>
      </c>
      <c r="H1269">
        <v>1</v>
      </c>
      <c r="I1269" t="s">
        <v>37</v>
      </c>
      <c r="J1269">
        <v>100</v>
      </c>
      <c r="K1269" t="s">
        <v>23</v>
      </c>
      <c r="L1269">
        <v>103</v>
      </c>
      <c r="M1269">
        <f>IF(D1269=I1269,VLOOKUP(D1269,a_win_totals_lookup,MATCH(K1269,a_wins_total_lookup_header,0)+1,0),VLOOKUP(D1269,a_win_totals_lookup,MATCH(I1269,a_wins_total_lookup_header,0)+1,0))</f>
        <v>0.42288736553718415</v>
      </c>
      <c r="N1269">
        <f t="shared" ca="1" si="19"/>
        <v>0</v>
      </c>
    </row>
    <row r="1270" spans="1:14" x14ac:dyDescent="0.25">
      <c r="A1270">
        <v>400578928</v>
      </c>
      <c r="B1270">
        <v>2015</v>
      </c>
      <c r="C1270" s="1">
        <v>42025</v>
      </c>
      <c r="D1270" t="s">
        <v>36</v>
      </c>
      <c r="E1270">
        <v>1</v>
      </c>
      <c r="F1270">
        <v>34</v>
      </c>
      <c r="G1270">
        <v>6</v>
      </c>
      <c r="H1270">
        <v>1</v>
      </c>
      <c r="I1270" t="s">
        <v>36</v>
      </c>
      <c r="J1270">
        <v>126</v>
      </c>
      <c r="K1270" t="s">
        <v>16</v>
      </c>
      <c r="L1270">
        <v>113</v>
      </c>
      <c r="M1270">
        <f>IF(D1270=I1270,VLOOKUP(D1270,a_win_totals_lookup,MATCH(K1270,a_wins_total_lookup_header,0)+1,0),VLOOKUP(D1270,a_win_totals_lookup,MATCH(I1270,a_wins_total_lookup_header,0)+1,0))</f>
        <v>0.54147759642487181</v>
      </c>
      <c r="N1270">
        <f t="shared" ca="1" si="19"/>
        <v>1</v>
      </c>
    </row>
    <row r="1271" spans="1:14" x14ac:dyDescent="0.25">
      <c r="A1271">
        <v>400578928</v>
      </c>
      <c r="B1271">
        <v>2015</v>
      </c>
      <c r="C1271" s="1">
        <v>42025</v>
      </c>
      <c r="D1271" t="s">
        <v>16</v>
      </c>
      <c r="E1271">
        <v>0</v>
      </c>
      <c r="F1271">
        <v>29</v>
      </c>
      <c r="G1271">
        <v>14</v>
      </c>
      <c r="H1271">
        <v>0</v>
      </c>
      <c r="I1271" t="s">
        <v>36</v>
      </c>
      <c r="J1271">
        <v>126</v>
      </c>
      <c r="K1271" t="s">
        <v>16</v>
      </c>
      <c r="L1271">
        <v>113</v>
      </c>
      <c r="M1271">
        <f>IF(D1271=I1271,VLOOKUP(D1271,a_win_totals_lookup,MATCH(K1271,a_wins_total_lookup_header,0)+1,0),VLOOKUP(D1271,a_win_totals_lookup,MATCH(I1271,a_wins_total_lookup_header,0)+1,0))</f>
        <v>0.45852240357512825</v>
      </c>
      <c r="N1271">
        <f t="shared" ca="1" si="19"/>
        <v>0</v>
      </c>
    </row>
    <row r="1272" spans="1:14" x14ac:dyDescent="0.25">
      <c r="A1272">
        <v>400578929</v>
      </c>
      <c r="B1272">
        <v>2015</v>
      </c>
      <c r="C1272" s="1">
        <v>42026</v>
      </c>
      <c r="D1272" t="s">
        <v>30</v>
      </c>
      <c r="E1272">
        <v>1</v>
      </c>
      <c r="F1272">
        <v>28</v>
      </c>
      <c r="G1272">
        <v>16</v>
      </c>
      <c r="H1272">
        <v>1</v>
      </c>
      <c r="I1272" t="s">
        <v>30</v>
      </c>
      <c r="J1272">
        <v>104</v>
      </c>
      <c r="K1272" t="s">
        <v>15</v>
      </c>
      <c r="L1272">
        <v>81</v>
      </c>
      <c r="M1272">
        <f>IF(D1272=I1272,VLOOKUP(D1272,a_win_totals_lookup,MATCH(K1272,a_wins_total_lookup_header,0)+1,0),VLOOKUP(D1272,a_win_totals_lookup,MATCH(I1272,a_wins_total_lookup_header,0)+1,0))</f>
        <v>0.5</v>
      </c>
      <c r="N1272">
        <f t="shared" ca="1" si="19"/>
        <v>1</v>
      </c>
    </row>
    <row r="1273" spans="1:14" x14ac:dyDescent="0.25">
      <c r="A1273">
        <v>400578929</v>
      </c>
      <c r="B1273">
        <v>2015</v>
      </c>
      <c r="C1273" s="1">
        <v>42026</v>
      </c>
      <c r="D1273" t="s">
        <v>15</v>
      </c>
      <c r="E1273">
        <v>0</v>
      </c>
      <c r="F1273">
        <v>27</v>
      </c>
      <c r="G1273">
        <v>17</v>
      </c>
      <c r="H1273">
        <v>0</v>
      </c>
      <c r="I1273" t="s">
        <v>30</v>
      </c>
      <c r="J1273">
        <v>104</v>
      </c>
      <c r="K1273" t="s">
        <v>15</v>
      </c>
      <c r="L1273">
        <v>81</v>
      </c>
      <c r="M1273">
        <f>IF(D1273=I1273,VLOOKUP(D1273,a_win_totals_lookup,MATCH(K1273,a_wins_total_lookup_header,0)+1,0),VLOOKUP(D1273,a_win_totals_lookup,MATCH(I1273,a_wins_total_lookup_header,0)+1,0))</f>
        <v>0.5</v>
      </c>
      <c r="N1273">
        <f t="shared" ca="1" si="19"/>
        <v>0</v>
      </c>
    </row>
    <row r="1274" spans="1:14" x14ac:dyDescent="0.25">
      <c r="A1274">
        <v>400578930</v>
      </c>
      <c r="B1274">
        <v>2015</v>
      </c>
      <c r="C1274" s="1">
        <v>42026</v>
      </c>
      <c r="D1274" t="s">
        <v>19</v>
      </c>
      <c r="E1274">
        <v>0</v>
      </c>
      <c r="F1274">
        <v>21</v>
      </c>
      <c r="G1274">
        <v>21</v>
      </c>
      <c r="H1274">
        <v>1</v>
      </c>
      <c r="I1274" t="s">
        <v>19</v>
      </c>
      <c r="J1274">
        <v>99</v>
      </c>
      <c r="K1274" t="s">
        <v>34</v>
      </c>
      <c r="L1274">
        <v>101</v>
      </c>
      <c r="M1274">
        <f>IF(D1274=I1274,VLOOKUP(D1274,a_win_totals_lookup,MATCH(K1274,a_wins_total_lookup_header,0)+1,0),VLOOKUP(D1274,a_win_totals_lookup,MATCH(I1274,a_wins_total_lookup_header,0)+1,0))</f>
        <v>0.46303651516321748</v>
      </c>
      <c r="N1274">
        <f t="shared" ca="1" si="19"/>
        <v>1</v>
      </c>
    </row>
    <row r="1275" spans="1:14" x14ac:dyDescent="0.25">
      <c r="A1275">
        <v>400578930</v>
      </c>
      <c r="B1275">
        <v>2015</v>
      </c>
      <c r="C1275" s="1">
        <v>42026</v>
      </c>
      <c r="D1275" t="s">
        <v>34</v>
      </c>
      <c r="E1275">
        <v>1</v>
      </c>
      <c r="F1275">
        <v>15</v>
      </c>
      <c r="G1275">
        <v>28</v>
      </c>
      <c r="H1275">
        <v>0</v>
      </c>
      <c r="I1275" t="s">
        <v>19</v>
      </c>
      <c r="J1275">
        <v>99</v>
      </c>
      <c r="K1275" t="s">
        <v>34</v>
      </c>
      <c r="L1275">
        <v>101</v>
      </c>
      <c r="M1275">
        <f>IF(D1275=I1275,VLOOKUP(D1275,a_win_totals_lookup,MATCH(K1275,a_wins_total_lookup_header,0)+1,0),VLOOKUP(D1275,a_win_totals_lookup,MATCH(I1275,a_wins_total_lookup_header,0)+1,0))</f>
        <v>0.53696348483678247</v>
      </c>
      <c r="N1275">
        <f t="shared" ca="1" si="19"/>
        <v>1</v>
      </c>
    </row>
    <row r="1276" spans="1:14" x14ac:dyDescent="0.25">
      <c r="A1276">
        <v>400578931</v>
      </c>
      <c r="B1276">
        <v>2015</v>
      </c>
      <c r="C1276" s="1">
        <v>42026</v>
      </c>
      <c r="D1276" t="s">
        <v>22</v>
      </c>
      <c r="E1276">
        <v>1</v>
      </c>
      <c r="F1276">
        <v>14</v>
      </c>
      <c r="G1276">
        <v>26</v>
      </c>
      <c r="H1276">
        <v>0</v>
      </c>
      <c r="I1276" t="s">
        <v>39</v>
      </c>
      <c r="J1276">
        <v>89</v>
      </c>
      <c r="K1276" t="s">
        <v>22</v>
      </c>
      <c r="L1276">
        <v>90</v>
      </c>
      <c r="M1276">
        <f>IF(D1276=I1276,VLOOKUP(D1276,a_win_totals_lookup,MATCH(K1276,a_wins_total_lookup_header,0)+1,0),VLOOKUP(D1276,a_win_totals_lookup,MATCH(I1276,a_wins_total_lookup_header,0)+1,0))</f>
        <v>0.25990995831593727</v>
      </c>
      <c r="N1276">
        <f t="shared" ca="1" si="19"/>
        <v>0</v>
      </c>
    </row>
    <row r="1277" spans="1:14" x14ac:dyDescent="0.25">
      <c r="A1277">
        <v>400578931</v>
      </c>
      <c r="B1277">
        <v>2015</v>
      </c>
      <c r="C1277" s="1">
        <v>42026</v>
      </c>
      <c r="D1277" t="s">
        <v>39</v>
      </c>
      <c r="E1277">
        <v>0</v>
      </c>
      <c r="F1277">
        <v>31</v>
      </c>
      <c r="G1277">
        <v>13</v>
      </c>
      <c r="H1277">
        <v>1</v>
      </c>
      <c r="I1277" t="s">
        <v>39</v>
      </c>
      <c r="J1277">
        <v>89</v>
      </c>
      <c r="K1277" t="s">
        <v>22</v>
      </c>
      <c r="L1277">
        <v>90</v>
      </c>
      <c r="M1277">
        <f>IF(D1277=I1277,VLOOKUP(D1277,a_win_totals_lookup,MATCH(K1277,a_wins_total_lookup_header,0)+1,0),VLOOKUP(D1277,a_win_totals_lookup,MATCH(I1277,a_wins_total_lookup_header,0)+1,0))</f>
        <v>0.74009004168406278</v>
      </c>
      <c r="N1277">
        <f t="shared" ca="1" si="19"/>
        <v>1</v>
      </c>
    </row>
    <row r="1278" spans="1:14" x14ac:dyDescent="0.25">
      <c r="A1278">
        <v>400578932</v>
      </c>
      <c r="B1278">
        <v>2015</v>
      </c>
      <c r="C1278" s="1">
        <v>42026</v>
      </c>
      <c r="D1278" t="s">
        <v>23</v>
      </c>
      <c r="E1278">
        <v>0</v>
      </c>
      <c r="F1278">
        <v>18</v>
      </c>
      <c r="G1278">
        <v>25</v>
      </c>
      <c r="H1278">
        <v>0</v>
      </c>
      <c r="I1278" t="s">
        <v>41</v>
      </c>
      <c r="J1278">
        <v>123</v>
      </c>
      <c r="K1278" t="s">
        <v>23</v>
      </c>
      <c r="L1278">
        <v>84</v>
      </c>
      <c r="M1278">
        <f>IF(D1278=I1278,VLOOKUP(D1278,a_win_totals_lookup,MATCH(K1278,a_wins_total_lookup_header,0)+1,0),VLOOKUP(D1278,a_win_totals_lookup,MATCH(I1278,a_wins_total_lookup_header,0)+1,0))</f>
        <v>0.35087017426187905</v>
      </c>
      <c r="N1278">
        <f t="shared" ca="1" si="19"/>
        <v>0</v>
      </c>
    </row>
    <row r="1279" spans="1:14" x14ac:dyDescent="0.25">
      <c r="A1279">
        <v>400578932</v>
      </c>
      <c r="B1279">
        <v>2015</v>
      </c>
      <c r="C1279" s="1">
        <v>42026</v>
      </c>
      <c r="D1279" t="s">
        <v>41</v>
      </c>
      <c r="E1279">
        <v>1</v>
      </c>
      <c r="F1279">
        <v>29</v>
      </c>
      <c r="G1279">
        <v>14</v>
      </c>
      <c r="H1279">
        <v>1</v>
      </c>
      <c r="I1279" t="s">
        <v>41</v>
      </c>
      <c r="J1279">
        <v>123</v>
      </c>
      <c r="K1279" t="s">
        <v>23</v>
      </c>
      <c r="L1279">
        <v>84</v>
      </c>
      <c r="M1279">
        <f>IF(D1279=I1279,VLOOKUP(D1279,a_win_totals_lookup,MATCH(K1279,a_wins_total_lookup_header,0)+1,0),VLOOKUP(D1279,a_win_totals_lookup,MATCH(I1279,a_wins_total_lookup_header,0)+1,0))</f>
        <v>0.64912982573812106</v>
      </c>
      <c r="N1279">
        <f t="shared" ca="1" si="19"/>
        <v>0</v>
      </c>
    </row>
    <row r="1280" spans="1:14" x14ac:dyDescent="0.25">
      <c r="A1280">
        <v>400578933</v>
      </c>
      <c r="B1280">
        <v>2015</v>
      </c>
      <c r="C1280" s="1">
        <v>42027</v>
      </c>
      <c r="D1280" t="s">
        <v>21</v>
      </c>
      <c r="E1280">
        <v>0</v>
      </c>
      <c r="F1280">
        <v>8</v>
      </c>
      <c r="G1280">
        <v>35</v>
      </c>
      <c r="H1280">
        <v>1</v>
      </c>
      <c r="I1280" t="s">
        <v>21</v>
      </c>
      <c r="J1280">
        <v>86</v>
      </c>
      <c r="K1280" t="s">
        <v>27</v>
      </c>
      <c r="L1280">
        <v>91</v>
      </c>
      <c r="M1280">
        <f>IF(D1280=I1280,VLOOKUP(D1280,a_win_totals_lookup,MATCH(K1280,a_wins_total_lookup_header,0)+1,0),VLOOKUP(D1280,a_win_totals_lookup,MATCH(I1280,a_wins_total_lookup_header,0)+1,0))</f>
        <v>0.21334857625709938</v>
      </c>
      <c r="N1280">
        <f t="shared" ca="1" si="19"/>
        <v>0</v>
      </c>
    </row>
    <row r="1281" spans="1:14" x14ac:dyDescent="0.25">
      <c r="A1281">
        <v>400578933</v>
      </c>
      <c r="B1281">
        <v>2015</v>
      </c>
      <c r="C1281" s="1">
        <v>42027</v>
      </c>
      <c r="D1281" t="s">
        <v>27</v>
      </c>
      <c r="E1281">
        <v>1</v>
      </c>
      <c r="F1281">
        <v>28</v>
      </c>
      <c r="G1281">
        <v>15</v>
      </c>
      <c r="H1281">
        <v>0</v>
      </c>
      <c r="I1281" t="s">
        <v>21</v>
      </c>
      <c r="J1281">
        <v>86</v>
      </c>
      <c r="K1281" t="s">
        <v>27</v>
      </c>
      <c r="L1281">
        <v>91</v>
      </c>
      <c r="M1281">
        <f>IF(D1281=I1281,VLOOKUP(D1281,a_win_totals_lookup,MATCH(K1281,a_wins_total_lookup_header,0)+1,0),VLOOKUP(D1281,a_win_totals_lookup,MATCH(I1281,a_wins_total_lookup_header,0)+1,0))</f>
        <v>0.78665142374290065</v>
      </c>
      <c r="N1281">
        <f t="shared" ca="1" si="19"/>
        <v>1</v>
      </c>
    </row>
    <row r="1282" spans="1:14" x14ac:dyDescent="0.25">
      <c r="A1282">
        <v>400578934</v>
      </c>
      <c r="B1282">
        <v>2015</v>
      </c>
      <c r="C1282" s="1">
        <v>42027</v>
      </c>
      <c r="D1282" t="s">
        <v>26</v>
      </c>
      <c r="E1282">
        <v>1</v>
      </c>
      <c r="F1282">
        <v>36</v>
      </c>
      <c r="G1282">
        <v>8</v>
      </c>
      <c r="H1282">
        <v>1</v>
      </c>
      <c r="I1282" t="s">
        <v>26</v>
      </c>
      <c r="J1282">
        <v>103</v>
      </c>
      <c r="K1282" t="s">
        <v>38</v>
      </c>
      <c r="L1282">
        <v>93</v>
      </c>
      <c r="M1282">
        <f>IF(D1282=I1282,VLOOKUP(D1282,a_win_totals_lookup,MATCH(K1282,a_wins_total_lookup_header,0)+1,0),VLOOKUP(D1282,a_win_totals_lookup,MATCH(I1282,a_wins_total_lookup_header,0)+1,0))</f>
        <v>0.40892741206867239</v>
      </c>
      <c r="N1282">
        <f t="shared" ca="1" si="19"/>
        <v>1</v>
      </c>
    </row>
    <row r="1283" spans="1:14" x14ac:dyDescent="0.25">
      <c r="A1283">
        <v>400578934</v>
      </c>
      <c r="B1283">
        <v>2015</v>
      </c>
      <c r="C1283" s="1">
        <v>42027</v>
      </c>
      <c r="D1283" t="s">
        <v>38</v>
      </c>
      <c r="E1283">
        <v>0</v>
      </c>
      <c r="F1283">
        <v>22</v>
      </c>
      <c r="G1283">
        <v>21</v>
      </c>
      <c r="H1283">
        <v>0</v>
      </c>
      <c r="I1283" t="s">
        <v>26</v>
      </c>
      <c r="J1283">
        <v>103</v>
      </c>
      <c r="K1283" t="s">
        <v>38</v>
      </c>
      <c r="L1283">
        <v>93</v>
      </c>
      <c r="M1283">
        <f>IF(D1283=I1283,VLOOKUP(D1283,a_win_totals_lookup,MATCH(K1283,a_wins_total_lookup_header,0)+1,0),VLOOKUP(D1283,a_win_totals_lookup,MATCH(I1283,a_wins_total_lookup_header,0)+1,0))</f>
        <v>0.59107258793132766</v>
      </c>
      <c r="N1283">
        <f t="shared" ref="N1283:N1346" ca="1" si="20">ROUND(0.5*RANDBETWEEN(-1,1)+M1283,0)</f>
        <v>0</v>
      </c>
    </row>
    <row r="1284" spans="1:14" x14ac:dyDescent="0.25">
      <c r="A1284">
        <v>400578935</v>
      </c>
      <c r="B1284">
        <v>2015</v>
      </c>
      <c r="C1284" s="1">
        <v>42027</v>
      </c>
      <c r="D1284" t="s">
        <v>18</v>
      </c>
      <c r="E1284">
        <v>0</v>
      </c>
      <c r="F1284">
        <v>18</v>
      </c>
      <c r="G1284">
        <v>26</v>
      </c>
      <c r="H1284">
        <v>0</v>
      </c>
      <c r="I1284" t="s">
        <v>40</v>
      </c>
      <c r="J1284">
        <v>129</v>
      </c>
      <c r="K1284" t="s">
        <v>18</v>
      </c>
      <c r="L1284">
        <v>90</v>
      </c>
      <c r="M1284">
        <f>IF(D1284=I1284,VLOOKUP(D1284,a_win_totals_lookup,MATCH(K1284,a_wins_total_lookup_header,0)+1,0),VLOOKUP(D1284,a_win_totals_lookup,MATCH(I1284,a_wins_total_lookup_header,0)+1,0))</f>
        <v>0.40969739834145852</v>
      </c>
      <c r="N1284">
        <f t="shared" ca="1" si="20"/>
        <v>1</v>
      </c>
    </row>
    <row r="1285" spans="1:14" x14ac:dyDescent="0.25">
      <c r="A1285">
        <v>400578935</v>
      </c>
      <c r="B1285">
        <v>2015</v>
      </c>
      <c r="C1285" s="1">
        <v>42027</v>
      </c>
      <c r="D1285" t="s">
        <v>40</v>
      </c>
      <c r="E1285">
        <v>1</v>
      </c>
      <c r="F1285">
        <v>24</v>
      </c>
      <c r="G1285">
        <v>20</v>
      </c>
      <c r="H1285">
        <v>1</v>
      </c>
      <c r="I1285" t="s">
        <v>40</v>
      </c>
      <c r="J1285">
        <v>129</v>
      </c>
      <c r="K1285" t="s">
        <v>18</v>
      </c>
      <c r="L1285">
        <v>90</v>
      </c>
      <c r="M1285">
        <f>IF(D1285=I1285,VLOOKUP(D1285,a_win_totals_lookup,MATCH(K1285,a_wins_total_lookup_header,0)+1,0),VLOOKUP(D1285,a_win_totals_lookup,MATCH(I1285,a_wins_total_lookup_header,0)+1,0))</f>
        <v>0.59030260165854143</v>
      </c>
      <c r="N1285">
        <f t="shared" ca="1" si="20"/>
        <v>1</v>
      </c>
    </row>
    <row r="1286" spans="1:14" x14ac:dyDescent="0.25">
      <c r="A1286">
        <v>400578936</v>
      </c>
      <c r="B1286">
        <v>2015</v>
      </c>
      <c r="C1286" s="1">
        <v>42027</v>
      </c>
      <c r="D1286" t="s">
        <v>20</v>
      </c>
      <c r="E1286">
        <v>0</v>
      </c>
      <c r="F1286">
        <v>15</v>
      </c>
      <c r="G1286">
        <v>30</v>
      </c>
      <c r="H1286">
        <v>0</v>
      </c>
      <c r="I1286" t="s">
        <v>24</v>
      </c>
      <c r="J1286">
        <v>89</v>
      </c>
      <c r="K1286" t="s">
        <v>20</v>
      </c>
      <c r="L1286">
        <v>87</v>
      </c>
      <c r="M1286">
        <f>IF(D1286=I1286,VLOOKUP(D1286,a_win_totals_lookup,MATCH(K1286,a_wins_total_lookup_header,0)+1,0),VLOOKUP(D1286,a_win_totals_lookup,MATCH(I1286,a_wins_total_lookup_header,0)+1,0))</f>
        <v>0.38957517755485771</v>
      </c>
      <c r="N1286">
        <f t="shared" ca="1" si="20"/>
        <v>1</v>
      </c>
    </row>
    <row r="1287" spans="1:14" x14ac:dyDescent="0.25">
      <c r="A1287">
        <v>400578936</v>
      </c>
      <c r="B1287">
        <v>2015</v>
      </c>
      <c r="C1287" s="1">
        <v>42027</v>
      </c>
      <c r="D1287" t="s">
        <v>24</v>
      </c>
      <c r="E1287">
        <v>1</v>
      </c>
      <c r="F1287">
        <v>19</v>
      </c>
      <c r="G1287">
        <v>24</v>
      </c>
      <c r="H1287">
        <v>1</v>
      </c>
      <c r="I1287" t="s">
        <v>24</v>
      </c>
      <c r="J1287">
        <v>89</v>
      </c>
      <c r="K1287" t="s">
        <v>20</v>
      </c>
      <c r="L1287">
        <v>87</v>
      </c>
      <c r="M1287">
        <f>IF(D1287=I1287,VLOOKUP(D1287,a_win_totals_lookup,MATCH(K1287,a_wins_total_lookup_header,0)+1,0),VLOOKUP(D1287,a_win_totals_lookup,MATCH(I1287,a_wins_total_lookup_header,0)+1,0))</f>
        <v>0.61042482244514229</v>
      </c>
      <c r="N1287">
        <f t="shared" ca="1" si="20"/>
        <v>1</v>
      </c>
    </row>
    <row r="1288" spans="1:14" x14ac:dyDescent="0.25">
      <c r="A1288">
        <v>400578937</v>
      </c>
      <c r="B1288">
        <v>2015</v>
      </c>
      <c r="C1288" s="1">
        <v>42027</v>
      </c>
      <c r="D1288" t="s">
        <v>31</v>
      </c>
      <c r="E1288">
        <v>1</v>
      </c>
      <c r="F1288">
        <v>8</v>
      </c>
      <c r="G1288">
        <v>36</v>
      </c>
      <c r="H1288">
        <v>1</v>
      </c>
      <c r="I1288" t="s">
        <v>31</v>
      </c>
      <c r="J1288">
        <v>113</v>
      </c>
      <c r="K1288" t="s">
        <v>13</v>
      </c>
      <c r="L1288">
        <v>106</v>
      </c>
      <c r="M1288">
        <f>IF(D1288=I1288,VLOOKUP(D1288,a_win_totals_lookup,MATCH(K1288,a_wins_total_lookup_header,0)+1,0),VLOOKUP(D1288,a_win_totals_lookup,MATCH(I1288,a_wins_total_lookup_header,0)+1,0))</f>
        <v>0.61088100448941873</v>
      </c>
      <c r="N1288">
        <f t="shared" ca="1" si="20"/>
        <v>0</v>
      </c>
    </row>
    <row r="1289" spans="1:14" x14ac:dyDescent="0.25">
      <c r="A1289">
        <v>400578937</v>
      </c>
      <c r="B1289">
        <v>2015</v>
      </c>
      <c r="C1289" s="1">
        <v>42027</v>
      </c>
      <c r="D1289" t="s">
        <v>13</v>
      </c>
      <c r="E1289">
        <v>0</v>
      </c>
      <c r="F1289">
        <v>15</v>
      </c>
      <c r="G1289">
        <v>31</v>
      </c>
      <c r="H1289">
        <v>0</v>
      </c>
      <c r="I1289" t="s">
        <v>31</v>
      </c>
      <c r="J1289">
        <v>113</v>
      </c>
      <c r="K1289" t="s">
        <v>13</v>
      </c>
      <c r="L1289">
        <v>106</v>
      </c>
      <c r="M1289">
        <f>IF(D1289=I1289,VLOOKUP(D1289,a_win_totals_lookup,MATCH(K1289,a_wins_total_lookup_header,0)+1,0),VLOOKUP(D1289,a_win_totals_lookup,MATCH(I1289,a_wins_total_lookup_header,0)+1,0))</f>
        <v>0.38911899551058127</v>
      </c>
      <c r="N1289">
        <f t="shared" ca="1" si="20"/>
        <v>0</v>
      </c>
    </row>
    <row r="1290" spans="1:14" x14ac:dyDescent="0.25">
      <c r="A1290">
        <v>400578938</v>
      </c>
      <c r="B1290">
        <v>2015</v>
      </c>
      <c r="C1290" s="1">
        <v>42027</v>
      </c>
      <c r="D1290" t="s">
        <v>30</v>
      </c>
      <c r="E1290">
        <v>1</v>
      </c>
      <c r="F1290">
        <v>29</v>
      </c>
      <c r="G1290">
        <v>16</v>
      </c>
      <c r="H1290">
        <v>0</v>
      </c>
      <c r="I1290" t="s">
        <v>14</v>
      </c>
      <c r="J1290">
        <v>98</v>
      </c>
      <c r="K1290" t="s">
        <v>30</v>
      </c>
      <c r="L1290">
        <v>102</v>
      </c>
      <c r="M1290">
        <f>IF(D1290=I1290,VLOOKUP(D1290,a_win_totals_lookup,MATCH(K1290,a_wins_total_lookup_header,0)+1,0),VLOOKUP(D1290,a_win_totals_lookup,MATCH(I1290,a_wins_total_lookup_header,0)+1,0))</f>
        <v>0.52596063059506537</v>
      </c>
      <c r="N1290">
        <f t="shared" ca="1" si="20"/>
        <v>1</v>
      </c>
    </row>
    <row r="1291" spans="1:14" x14ac:dyDescent="0.25">
      <c r="A1291">
        <v>400578938</v>
      </c>
      <c r="B1291">
        <v>2015</v>
      </c>
      <c r="C1291" s="1">
        <v>42027</v>
      </c>
      <c r="D1291" t="s">
        <v>14</v>
      </c>
      <c r="E1291">
        <v>0</v>
      </c>
      <c r="F1291">
        <v>30</v>
      </c>
      <c r="G1291">
        <v>14</v>
      </c>
      <c r="H1291">
        <v>1</v>
      </c>
      <c r="I1291" t="s">
        <v>14</v>
      </c>
      <c r="J1291">
        <v>98</v>
      </c>
      <c r="K1291" t="s">
        <v>30</v>
      </c>
      <c r="L1291">
        <v>102</v>
      </c>
      <c r="M1291">
        <f>IF(D1291=I1291,VLOOKUP(D1291,a_win_totals_lookup,MATCH(K1291,a_wins_total_lookup_header,0)+1,0),VLOOKUP(D1291,a_win_totals_lookup,MATCH(I1291,a_wins_total_lookup_header,0)+1,0))</f>
        <v>0.47403936940493457</v>
      </c>
      <c r="N1291">
        <f t="shared" ca="1" si="20"/>
        <v>0</v>
      </c>
    </row>
    <row r="1292" spans="1:14" x14ac:dyDescent="0.25">
      <c r="A1292">
        <v>400578939</v>
      </c>
      <c r="B1292">
        <v>2015</v>
      </c>
      <c r="C1292" s="1">
        <v>42027</v>
      </c>
      <c r="D1292" t="s">
        <v>29</v>
      </c>
      <c r="E1292">
        <v>0</v>
      </c>
      <c r="F1292">
        <v>7</v>
      </c>
      <c r="G1292">
        <v>35</v>
      </c>
      <c r="H1292">
        <v>1</v>
      </c>
      <c r="I1292" t="s">
        <v>29</v>
      </c>
      <c r="J1292">
        <v>84</v>
      </c>
      <c r="K1292" t="s">
        <v>12</v>
      </c>
      <c r="L1292">
        <v>92</v>
      </c>
      <c r="M1292">
        <f>IF(D1292=I1292,VLOOKUP(D1292,a_win_totals_lookup,MATCH(K1292,a_wins_total_lookup_header,0)+1,0),VLOOKUP(D1292,a_win_totals_lookup,MATCH(I1292,a_wins_total_lookup_header,0)+1,0))</f>
        <v>0.32498145759955055</v>
      </c>
      <c r="N1292">
        <f t="shared" ca="1" si="20"/>
        <v>0</v>
      </c>
    </row>
    <row r="1293" spans="1:14" x14ac:dyDescent="0.25">
      <c r="A1293">
        <v>400578939</v>
      </c>
      <c r="B1293">
        <v>2015</v>
      </c>
      <c r="C1293" s="1">
        <v>42027</v>
      </c>
      <c r="D1293" t="s">
        <v>12</v>
      </c>
      <c r="E1293">
        <v>1</v>
      </c>
      <c r="F1293">
        <v>22</v>
      </c>
      <c r="G1293">
        <v>21</v>
      </c>
      <c r="H1293">
        <v>0</v>
      </c>
      <c r="I1293" t="s">
        <v>29</v>
      </c>
      <c r="J1293">
        <v>84</v>
      </c>
      <c r="K1293" t="s">
        <v>12</v>
      </c>
      <c r="L1293">
        <v>92</v>
      </c>
      <c r="M1293">
        <f>IF(D1293=I1293,VLOOKUP(D1293,a_win_totals_lookup,MATCH(K1293,a_wins_total_lookup_header,0)+1,0),VLOOKUP(D1293,a_win_totals_lookup,MATCH(I1293,a_wins_total_lookup_header,0)+1,0))</f>
        <v>0.67501854240044945</v>
      </c>
      <c r="N1293">
        <f t="shared" ca="1" si="20"/>
        <v>1</v>
      </c>
    </row>
    <row r="1294" spans="1:14" x14ac:dyDescent="0.25">
      <c r="A1294">
        <v>400578940</v>
      </c>
      <c r="B1294">
        <v>2015</v>
      </c>
      <c r="C1294" s="1">
        <v>42027</v>
      </c>
      <c r="D1294" t="s">
        <v>17</v>
      </c>
      <c r="E1294">
        <v>0</v>
      </c>
      <c r="F1294">
        <v>12</v>
      </c>
      <c r="G1294">
        <v>32</v>
      </c>
      <c r="H1294">
        <v>0</v>
      </c>
      <c r="I1294" t="s">
        <v>15</v>
      </c>
      <c r="J1294">
        <v>99</v>
      </c>
      <c r="K1294" t="s">
        <v>17</v>
      </c>
      <c r="L1294">
        <v>85</v>
      </c>
      <c r="M1294">
        <f>IF(D1294=I1294,VLOOKUP(D1294,a_win_totals_lookup,MATCH(K1294,a_wins_total_lookup_header,0)+1,0),VLOOKUP(D1294,a_win_totals_lookup,MATCH(I1294,a_wins_total_lookup_header,0)+1,0))</f>
        <v>0.29215473840837614</v>
      </c>
      <c r="N1294">
        <f t="shared" ca="1" si="20"/>
        <v>1</v>
      </c>
    </row>
    <row r="1295" spans="1:14" x14ac:dyDescent="0.25">
      <c r="A1295">
        <v>400578940</v>
      </c>
      <c r="B1295">
        <v>2015</v>
      </c>
      <c r="C1295" s="1">
        <v>42027</v>
      </c>
      <c r="D1295" t="s">
        <v>15</v>
      </c>
      <c r="E1295">
        <v>1</v>
      </c>
      <c r="F1295">
        <v>28</v>
      </c>
      <c r="G1295">
        <v>17</v>
      </c>
      <c r="H1295">
        <v>1</v>
      </c>
      <c r="I1295" t="s">
        <v>15</v>
      </c>
      <c r="J1295">
        <v>99</v>
      </c>
      <c r="K1295" t="s">
        <v>17</v>
      </c>
      <c r="L1295">
        <v>85</v>
      </c>
      <c r="M1295">
        <f>IF(D1295=I1295,VLOOKUP(D1295,a_win_totals_lookup,MATCH(K1295,a_wins_total_lookup_header,0)+1,0),VLOOKUP(D1295,a_win_totals_lookup,MATCH(I1295,a_wins_total_lookup_header,0)+1,0))</f>
        <v>0.70784526159162375</v>
      </c>
      <c r="N1295">
        <f t="shared" ca="1" si="20"/>
        <v>1</v>
      </c>
    </row>
    <row r="1296" spans="1:14" x14ac:dyDescent="0.25">
      <c r="A1296">
        <v>400578941</v>
      </c>
      <c r="B1296">
        <v>2015</v>
      </c>
      <c r="C1296" s="1">
        <v>42027</v>
      </c>
      <c r="D1296" t="s">
        <v>22</v>
      </c>
      <c r="E1296">
        <v>1</v>
      </c>
      <c r="F1296">
        <v>15</v>
      </c>
      <c r="G1296">
        <v>26</v>
      </c>
      <c r="H1296">
        <v>0</v>
      </c>
      <c r="I1296" t="s">
        <v>32</v>
      </c>
      <c r="J1296">
        <v>99</v>
      </c>
      <c r="K1296" t="s">
        <v>22</v>
      </c>
      <c r="L1296">
        <v>100</v>
      </c>
      <c r="M1296">
        <f>IF(D1296=I1296,VLOOKUP(D1296,a_win_totals_lookup,MATCH(K1296,a_wins_total_lookup_header,0)+1,0),VLOOKUP(D1296,a_win_totals_lookup,MATCH(I1296,a_wins_total_lookup_header,0)+1,0))</f>
        <v>0.33715695553306341</v>
      </c>
      <c r="N1296">
        <f t="shared" ca="1" si="20"/>
        <v>0</v>
      </c>
    </row>
    <row r="1297" spans="1:14" x14ac:dyDescent="0.25">
      <c r="A1297">
        <v>400578941</v>
      </c>
      <c r="B1297">
        <v>2015</v>
      </c>
      <c r="C1297" s="1">
        <v>42027</v>
      </c>
      <c r="D1297" t="s">
        <v>32</v>
      </c>
      <c r="E1297">
        <v>0</v>
      </c>
      <c r="F1297">
        <v>18</v>
      </c>
      <c r="G1297">
        <v>25</v>
      </c>
      <c r="H1297">
        <v>1</v>
      </c>
      <c r="I1297" t="s">
        <v>32</v>
      </c>
      <c r="J1297">
        <v>99</v>
      </c>
      <c r="K1297" t="s">
        <v>22</v>
      </c>
      <c r="L1297">
        <v>100</v>
      </c>
      <c r="M1297">
        <f>IF(D1297=I1297,VLOOKUP(D1297,a_win_totals_lookup,MATCH(K1297,a_wins_total_lookup_header,0)+1,0),VLOOKUP(D1297,a_win_totals_lookup,MATCH(I1297,a_wins_total_lookup_header,0)+1,0))</f>
        <v>0.66284304446693665</v>
      </c>
      <c r="N1297">
        <f t="shared" ca="1" si="20"/>
        <v>0</v>
      </c>
    </row>
    <row r="1298" spans="1:14" x14ac:dyDescent="0.25">
      <c r="A1298">
        <v>400578942</v>
      </c>
      <c r="B1298">
        <v>2015</v>
      </c>
      <c r="C1298" s="1">
        <v>42027</v>
      </c>
      <c r="D1298" t="s">
        <v>16</v>
      </c>
      <c r="E1298">
        <v>1</v>
      </c>
      <c r="F1298">
        <v>30</v>
      </c>
      <c r="G1298">
        <v>14</v>
      </c>
      <c r="H1298">
        <v>0</v>
      </c>
      <c r="I1298" t="s">
        <v>35</v>
      </c>
      <c r="J1298">
        <v>111</v>
      </c>
      <c r="K1298" t="s">
        <v>16</v>
      </c>
      <c r="L1298">
        <v>113</v>
      </c>
      <c r="M1298">
        <f>IF(D1298=I1298,VLOOKUP(D1298,a_win_totals_lookup,MATCH(K1298,a_wins_total_lookup_header,0)+1,0),VLOOKUP(D1298,a_win_totals_lookup,MATCH(I1298,a_wins_total_lookup_header,0)+1,0))</f>
        <v>0.54369096101297021</v>
      </c>
      <c r="N1298">
        <f t="shared" ca="1" si="20"/>
        <v>0</v>
      </c>
    </row>
    <row r="1299" spans="1:14" x14ac:dyDescent="0.25">
      <c r="A1299">
        <v>400578942</v>
      </c>
      <c r="B1299">
        <v>2015</v>
      </c>
      <c r="C1299" s="1">
        <v>42027</v>
      </c>
      <c r="D1299" t="s">
        <v>35</v>
      </c>
      <c r="E1299">
        <v>0</v>
      </c>
      <c r="F1299">
        <v>26</v>
      </c>
      <c r="G1299">
        <v>19</v>
      </c>
      <c r="H1299">
        <v>1</v>
      </c>
      <c r="I1299" t="s">
        <v>35</v>
      </c>
      <c r="J1299">
        <v>111</v>
      </c>
      <c r="K1299" t="s">
        <v>16</v>
      </c>
      <c r="L1299">
        <v>113</v>
      </c>
      <c r="M1299">
        <f>IF(D1299=I1299,VLOOKUP(D1299,a_win_totals_lookup,MATCH(K1299,a_wins_total_lookup_header,0)+1,0),VLOOKUP(D1299,a_win_totals_lookup,MATCH(I1299,a_wins_total_lookup_header,0)+1,0))</f>
        <v>0.45630903898702979</v>
      </c>
      <c r="N1299">
        <f t="shared" ca="1" si="20"/>
        <v>0</v>
      </c>
    </row>
    <row r="1300" spans="1:14" x14ac:dyDescent="0.25">
      <c r="A1300">
        <v>400578943</v>
      </c>
      <c r="B1300">
        <v>2015</v>
      </c>
      <c r="C1300" s="1">
        <v>42027</v>
      </c>
      <c r="D1300" t="s">
        <v>36</v>
      </c>
      <c r="E1300">
        <v>1</v>
      </c>
      <c r="F1300">
        <v>35</v>
      </c>
      <c r="G1300">
        <v>6</v>
      </c>
      <c r="H1300">
        <v>1</v>
      </c>
      <c r="I1300" t="s">
        <v>36</v>
      </c>
      <c r="J1300">
        <v>126</v>
      </c>
      <c r="K1300" t="s">
        <v>37</v>
      </c>
      <c r="L1300">
        <v>101</v>
      </c>
      <c r="M1300">
        <f>IF(D1300=I1300,VLOOKUP(D1300,a_win_totals_lookup,MATCH(K1300,a_wins_total_lookup_header,0)+1,0),VLOOKUP(D1300,a_win_totals_lookup,MATCH(I1300,a_wins_total_lookup_header,0)+1,0))</f>
        <v>0.69209130562404242</v>
      </c>
      <c r="N1300">
        <f t="shared" ca="1" si="20"/>
        <v>0</v>
      </c>
    </row>
    <row r="1301" spans="1:14" x14ac:dyDescent="0.25">
      <c r="A1301">
        <v>400578943</v>
      </c>
      <c r="B1301">
        <v>2015</v>
      </c>
      <c r="C1301" s="1">
        <v>42027</v>
      </c>
      <c r="D1301" t="s">
        <v>37</v>
      </c>
      <c r="E1301">
        <v>0</v>
      </c>
      <c r="F1301">
        <v>16</v>
      </c>
      <c r="G1301">
        <v>27</v>
      </c>
      <c r="H1301">
        <v>0</v>
      </c>
      <c r="I1301" t="s">
        <v>36</v>
      </c>
      <c r="J1301">
        <v>126</v>
      </c>
      <c r="K1301" t="s">
        <v>37</v>
      </c>
      <c r="L1301">
        <v>101</v>
      </c>
      <c r="M1301">
        <f>IF(D1301=I1301,VLOOKUP(D1301,a_win_totals_lookup,MATCH(K1301,a_wins_total_lookup_header,0)+1,0),VLOOKUP(D1301,a_win_totals_lookup,MATCH(I1301,a_wins_total_lookup_header,0)+1,0))</f>
        <v>0.30790869437595753</v>
      </c>
      <c r="N1301">
        <f t="shared" ca="1" si="20"/>
        <v>1</v>
      </c>
    </row>
    <row r="1302" spans="1:14" x14ac:dyDescent="0.25">
      <c r="A1302">
        <v>400578944</v>
      </c>
      <c r="B1302">
        <v>2015</v>
      </c>
      <c r="C1302" s="1">
        <v>42028</v>
      </c>
      <c r="D1302" t="s">
        <v>18</v>
      </c>
      <c r="E1302">
        <v>1</v>
      </c>
      <c r="F1302">
        <v>19</v>
      </c>
      <c r="G1302">
        <v>26</v>
      </c>
      <c r="H1302">
        <v>1</v>
      </c>
      <c r="I1302" t="s">
        <v>18</v>
      </c>
      <c r="J1302">
        <v>76</v>
      </c>
      <c r="K1302" t="s">
        <v>31</v>
      </c>
      <c r="L1302">
        <v>71</v>
      </c>
      <c r="M1302">
        <f>IF(D1302=I1302,VLOOKUP(D1302,a_win_totals_lookup,MATCH(K1302,a_wins_total_lookup_header,0)+1,0),VLOOKUP(D1302,a_win_totals_lookup,MATCH(I1302,a_wins_total_lookup_header,0)+1,0))</f>
        <v>0.56217650088579807</v>
      </c>
      <c r="N1302">
        <f t="shared" ca="1" si="20"/>
        <v>1</v>
      </c>
    </row>
    <row r="1303" spans="1:14" x14ac:dyDescent="0.25">
      <c r="A1303">
        <v>400578944</v>
      </c>
      <c r="B1303">
        <v>2015</v>
      </c>
      <c r="C1303" s="1">
        <v>42028</v>
      </c>
      <c r="D1303" t="s">
        <v>31</v>
      </c>
      <c r="E1303">
        <v>0</v>
      </c>
      <c r="F1303">
        <v>8</v>
      </c>
      <c r="G1303">
        <v>37</v>
      </c>
      <c r="H1303">
        <v>0</v>
      </c>
      <c r="I1303" t="s">
        <v>18</v>
      </c>
      <c r="J1303">
        <v>76</v>
      </c>
      <c r="K1303" t="s">
        <v>31</v>
      </c>
      <c r="L1303">
        <v>71</v>
      </c>
      <c r="M1303">
        <f>IF(D1303=I1303,VLOOKUP(D1303,a_win_totals_lookup,MATCH(K1303,a_wins_total_lookup_header,0)+1,0),VLOOKUP(D1303,a_win_totals_lookup,MATCH(I1303,a_wins_total_lookup_header,0)+1,0))</f>
        <v>0.43782349911420193</v>
      </c>
      <c r="N1303">
        <f t="shared" ca="1" si="20"/>
        <v>0</v>
      </c>
    </row>
    <row r="1304" spans="1:14" x14ac:dyDescent="0.25">
      <c r="A1304">
        <v>400578945</v>
      </c>
      <c r="B1304">
        <v>2015</v>
      </c>
      <c r="C1304" s="1">
        <v>42028</v>
      </c>
      <c r="D1304" t="s">
        <v>33</v>
      </c>
      <c r="E1304">
        <v>0</v>
      </c>
      <c r="F1304">
        <v>17</v>
      </c>
      <c r="G1304">
        <v>27</v>
      </c>
      <c r="H1304">
        <v>0</v>
      </c>
      <c r="I1304" t="s">
        <v>19</v>
      </c>
      <c r="J1304">
        <v>101</v>
      </c>
      <c r="K1304" t="s">
        <v>33</v>
      </c>
      <c r="L1304">
        <v>86</v>
      </c>
      <c r="M1304">
        <f>IF(D1304=I1304,VLOOKUP(D1304,a_win_totals_lookup,MATCH(K1304,a_wins_total_lookup_header,0)+1,0),VLOOKUP(D1304,a_win_totals_lookup,MATCH(I1304,a_wins_total_lookup_header,0)+1,0))</f>
        <v>0.60338468202473983</v>
      </c>
      <c r="N1304">
        <f t="shared" ca="1" si="20"/>
        <v>1</v>
      </c>
    </row>
    <row r="1305" spans="1:14" x14ac:dyDescent="0.25">
      <c r="A1305">
        <v>400578945</v>
      </c>
      <c r="B1305">
        <v>2015</v>
      </c>
      <c r="C1305" s="1">
        <v>42028</v>
      </c>
      <c r="D1305" t="s">
        <v>19</v>
      </c>
      <c r="E1305">
        <v>1</v>
      </c>
      <c r="F1305">
        <v>22</v>
      </c>
      <c r="G1305">
        <v>21</v>
      </c>
      <c r="H1305">
        <v>1</v>
      </c>
      <c r="I1305" t="s">
        <v>19</v>
      </c>
      <c r="J1305">
        <v>101</v>
      </c>
      <c r="K1305" t="s">
        <v>33</v>
      </c>
      <c r="L1305">
        <v>86</v>
      </c>
      <c r="M1305">
        <f>IF(D1305=I1305,VLOOKUP(D1305,a_win_totals_lookup,MATCH(K1305,a_wins_total_lookup_header,0)+1,0),VLOOKUP(D1305,a_win_totals_lookup,MATCH(I1305,a_wins_total_lookup_header,0)+1,0))</f>
        <v>0.39661531797526017</v>
      </c>
      <c r="N1305">
        <f t="shared" ca="1" si="20"/>
        <v>0</v>
      </c>
    </row>
    <row r="1306" spans="1:14" x14ac:dyDescent="0.25">
      <c r="A1306">
        <v>400578946</v>
      </c>
      <c r="B1306">
        <v>2015</v>
      </c>
      <c r="C1306" s="1">
        <v>42028</v>
      </c>
      <c r="D1306" t="s">
        <v>28</v>
      </c>
      <c r="E1306">
        <v>1</v>
      </c>
      <c r="F1306">
        <v>31</v>
      </c>
      <c r="G1306">
        <v>12</v>
      </c>
      <c r="H1306">
        <v>1</v>
      </c>
      <c r="I1306" t="s">
        <v>28</v>
      </c>
      <c r="J1306">
        <v>101</v>
      </c>
      <c r="K1306" t="s">
        <v>21</v>
      </c>
      <c r="L1306">
        <v>83</v>
      </c>
      <c r="M1306">
        <f>IF(D1306=I1306,VLOOKUP(D1306,a_win_totals_lookup,MATCH(K1306,a_wins_total_lookup_header,0)+1,0),VLOOKUP(D1306,a_win_totals_lookup,MATCH(I1306,a_wins_total_lookup_header,0)+1,0))</f>
        <v>0.77568020337392563</v>
      </c>
      <c r="N1306">
        <f t="shared" ca="1" si="20"/>
        <v>0</v>
      </c>
    </row>
    <row r="1307" spans="1:14" x14ac:dyDescent="0.25">
      <c r="A1307">
        <v>400578946</v>
      </c>
      <c r="B1307">
        <v>2015</v>
      </c>
      <c r="C1307" s="1">
        <v>42028</v>
      </c>
      <c r="D1307" t="s">
        <v>21</v>
      </c>
      <c r="E1307">
        <v>0</v>
      </c>
      <c r="F1307">
        <v>8</v>
      </c>
      <c r="G1307">
        <v>36</v>
      </c>
      <c r="H1307">
        <v>0</v>
      </c>
      <c r="I1307" t="s">
        <v>28</v>
      </c>
      <c r="J1307">
        <v>101</v>
      </c>
      <c r="K1307" t="s">
        <v>21</v>
      </c>
      <c r="L1307">
        <v>83</v>
      </c>
      <c r="M1307">
        <f>IF(D1307=I1307,VLOOKUP(D1307,a_win_totals_lookup,MATCH(K1307,a_wins_total_lookup_header,0)+1,0),VLOOKUP(D1307,a_win_totals_lookup,MATCH(I1307,a_wins_total_lookup_header,0)+1,0))</f>
        <v>0.22431979662607437</v>
      </c>
      <c r="N1307">
        <f t="shared" ca="1" si="20"/>
        <v>0</v>
      </c>
    </row>
    <row r="1308" spans="1:14" x14ac:dyDescent="0.25">
      <c r="A1308">
        <v>400578947</v>
      </c>
      <c r="B1308">
        <v>2015</v>
      </c>
      <c r="C1308" s="1">
        <v>42028</v>
      </c>
      <c r="D1308" t="s">
        <v>23</v>
      </c>
      <c r="E1308">
        <v>0</v>
      </c>
      <c r="F1308">
        <v>18</v>
      </c>
      <c r="G1308">
        <v>26</v>
      </c>
      <c r="H1308">
        <v>0</v>
      </c>
      <c r="I1308" t="s">
        <v>34</v>
      </c>
      <c r="J1308">
        <v>108</v>
      </c>
      <c r="K1308" t="s">
        <v>23</v>
      </c>
      <c r="L1308">
        <v>73</v>
      </c>
      <c r="M1308">
        <f>IF(D1308=I1308,VLOOKUP(D1308,a_win_totals_lookup,MATCH(K1308,a_wins_total_lookup_header,0)+1,0),VLOOKUP(D1308,a_win_totals_lookup,MATCH(I1308,a_wins_total_lookup_header,0)+1,0))</f>
        <v>0.61088100448941873</v>
      </c>
      <c r="N1308">
        <f t="shared" ca="1" si="20"/>
        <v>1</v>
      </c>
    </row>
    <row r="1309" spans="1:14" x14ac:dyDescent="0.25">
      <c r="A1309">
        <v>400578947</v>
      </c>
      <c r="B1309">
        <v>2015</v>
      </c>
      <c r="C1309" s="1">
        <v>42028</v>
      </c>
      <c r="D1309" t="s">
        <v>34</v>
      </c>
      <c r="E1309">
        <v>1</v>
      </c>
      <c r="F1309">
        <v>16</v>
      </c>
      <c r="G1309">
        <v>28</v>
      </c>
      <c r="H1309">
        <v>1</v>
      </c>
      <c r="I1309" t="s">
        <v>34</v>
      </c>
      <c r="J1309">
        <v>108</v>
      </c>
      <c r="K1309" t="s">
        <v>23</v>
      </c>
      <c r="L1309">
        <v>73</v>
      </c>
      <c r="M1309">
        <f>IF(D1309=I1309,VLOOKUP(D1309,a_win_totals_lookup,MATCH(K1309,a_wins_total_lookup_header,0)+1,0),VLOOKUP(D1309,a_win_totals_lookup,MATCH(I1309,a_wins_total_lookup_header,0)+1,0))</f>
        <v>0.38911899551058127</v>
      </c>
      <c r="N1309">
        <f t="shared" ca="1" si="20"/>
        <v>0</v>
      </c>
    </row>
    <row r="1310" spans="1:14" x14ac:dyDescent="0.25">
      <c r="A1310">
        <v>400578948</v>
      </c>
      <c r="B1310">
        <v>2015</v>
      </c>
      <c r="C1310" s="1">
        <v>42028</v>
      </c>
      <c r="D1310" t="s">
        <v>39</v>
      </c>
      <c r="E1310">
        <v>1</v>
      </c>
      <c r="F1310">
        <v>32</v>
      </c>
      <c r="G1310">
        <v>13</v>
      </c>
      <c r="H1310">
        <v>1</v>
      </c>
      <c r="I1310" t="s">
        <v>39</v>
      </c>
      <c r="J1310">
        <v>103</v>
      </c>
      <c r="K1310" t="s">
        <v>25</v>
      </c>
      <c r="L1310">
        <v>96</v>
      </c>
      <c r="M1310">
        <f>IF(D1310=I1310,VLOOKUP(D1310,a_win_totals_lookup,MATCH(K1310,a_wins_total_lookup_header,0)+1,0),VLOOKUP(D1310,a_win_totals_lookup,MATCH(I1310,a_wins_total_lookup_header,0)+1,0))</f>
        <v>0.50943799496520714</v>
      </c>
      <c r="N1310">
        <f t="shared" ca="1" si="20"/>
        <v>0</v>
      </c>
    </row>
    <row r="1311" spans="1:14" x14ac:dyDescent="0.25">
      <c r="A1311">
        <v>400578948</v>
      </c>
      <c r="B1311">
        <v>2015</v>
      </c>
      <c r="C1311" s="1">
        <v>42028</v>
      </c>
      <c r="D1311" t="s">
        <v>25</v>
      </c>
      <c r="E1311">
        <v>0</v>
      </c>
      <c r="F1311">
        <v>29</v>
      </c>
      <c r="G1311">
        <v>15</v>
      </c>
      <c r="H1311">
        <v>0</v>
      </c>
      <c r="I1311" t="s">
        <v>39</v>
      </c>
      <c r="J1311">
        <v>103</v>
      </c>
      <c r="K1311" t="s">
        <v>25</v>
      </c>
      <c r="L1311">
        <v>96</v>
      </c>
      <c r="M1311">
        <f>IF(D1311=I1311,VLOOKUP(D1311,a_win_totals_lookup,MATCH(K1311,a_wins_total_lookup_header,0)+1,0),VLOOKUP(D1311,a_win_totals_lookup,MATCH(I1311,a_wins_total_lookup_header,0)+1,0))</f>
        <v>0.4905620050347928</v>
      </c>
      <c r="N1311">
        <f t="shared" ca="1" si="20"/>
        <v>0</v>
      </c>
    </row>
    <row r="1312" spans="1:14" x14ac:dyDescent="0.25">
      <c r="A1312">
        <v>400578949</v>
      </c>
      <c r="B1312">
        <v>2015</v>
      </c>
      <c r="C1312" s="1">
        <v>42029</v>
      </c>
      <c r="D1312" t="s">
        <v>30</v>
      </c>
      <c r="E1312">
        <v>0</v>
      </c>
      <c r="F1312">
        <v>29</v>
      </c>
      <c r="G1312">
        <v>17</v>
      </c>
      <c r="H1312">
        <v>1</v>
      </c>
      <c r="I1312" t="s">
        <v>30</v>
      </c>
      <c r="J1312">
        <v>84</v>
      </c>
      <c r="K1312" t="s">
        <v>24</v>
      </c>
      <c r="L1312">
        <v>96</v>
      </c>
      <c r="M1312">
        <f>IF(D1312=I1312,VLOOKUP(D1312,a_win_totals_lookup,MATCH(K1312,a_wins_total_lookup_header,0)+1,0),VLOOKUP(D1312,a_win_totals_lookup,MATCH(I1312,a_wins_total_lookup_header,0)+1,0))</f>
        <v>0.59122407999213222</v>
      </c>
      <c r="N1312">
        <f t="shared" ca="1" si="20"/>
        <v>1</v>
      </c>
    </row>
    <row r="1313" spans="1:14" x14ac:dyDescent="0.25">
      <c r="A1313">
        <v>400578949</v>
      </c>
      <c r="B1313">
        <v>2015</v>
      </c>
      <c r="C1313" s="1">
        <v>42029</v>
      </c>
      <c r="D1313" t="s">
        <v>24</v>
      </c>
      <c r="E1313">
        <v>1</v>
      </c>
      <c r="F1313">
        <v>20</v>
      </c>
      <c r="G1313">
        <v>24</v>
      </c>
      <c r="H1313">
        <v>0</v>
      </c>
      <c r="I1313" t="s">
        <v>30</v>
      </c>
      <c r="J1313">
        <v>84</v>
      </c>
      <c r="K1313" t="s">
        <v>24</v>
      </c>
      <c r="L1313">
        <v>96</v>
      </c>
      <c r="M1313">
        <f>IF(D1313=I1313,VLOOKUP(D1313,a_win_totals_lookup,MATCH(K1313,a_wins_total_lookup_header,0)+1,0),VLOOKUP(D1313,a_win_totals_lookup,MATCH(I1313,a_wins_total_lookup_header,0)+1,0))</f>
        <v>0.40877592000786772</v>
      </c>
      <c r="N1313">
        <f t="shared" ca="1" si="20"/>
        <v>0</v>
      </c>
    </row>
    <row r="1314" spans="1:14" x14ac:dyDescent="0.25">
      <c r="A1314">
        <v>400578950</v>
      </c>
      <c r="B1314">
        <v>2015</v>
      </c>
      <c r="C1314" s="1">
        <v>42029</v>
      </c>
      <c r="D1314" t="s">
        <v>40</v>
      </c>
      <c r="E1314">
        <v>1</v>
      </c>
      <c r="F1314">
        <v>25</v>
      </c>
      <c r="G1314">
        <v>20</v>
      </c>
      <c r="H1314">
        <v>1</v>
      </c>
      <c r="I1314" t="s">
        <v>40</v>
      </c>
      <c r="J1314">
        <v>108</v>
      </c>
      <c r="K1314" t="s">
        <v>38</v>
      </c>
      <c r="L1314">
        <v>98</v>
      </c>
      <c r="M1314">
        <f>IF(D1314=I1314,VLOOKUP(D1314,a_win_totals_lookup,MATCH(K1314,a_wins_total_lookup_header,0)+1,0),VLOOKUP(D1314,a_win_totals_lookup,MATCH(I1314,a_wins_total_lookup_header,0)+1,0))</f>
        <v>0.52231903699980808</v>
      </c>
      <c r="N1314">
        <f t="shared" ca="1" si="20"/>
        <v>0</v>
      </c>
    </row>
    <row r="1315" spans="1:14" x14ac:dyDescent="0.25">
      <c r="A1315">
        <v>400578950</v>
      </c>
      <c r="B1315">
        <v>2015</v>
      </c>
      <c r="C1315" s="1">
        <v>42029</v>
      </c>
      <c r="D1315" t="s">
        <v>38</v>
      </c>
      <c r="E1315">
        <v>0</v>
      </c>
      <c r="F1315">
        <v>22</v>
      </c>
      <c r="G1315">
        <v>22</v>
      </c>
      <c r="H1315">
        <v>0</v>
      </c>
      <c r="I1315" t="s">
        <v>40</v>
      </c>
      <c r="J1315">
        <v>108</v>
      </c>
      <c r="K1315" t="s">
        <v>38</v>
      </c>
      <c r="L1315">
        <v>98</v>
      </c>
      <c r="M1315">
        <f>IF(D1315=I1315,VLOOKUP(D1315,a_win_totals_lookup,MATCH(K1315,a_wins_total_lookup_header,0)+1,0),VLOOKUP(D1315,a_win_totals_lookup,MATCH(I1315,a_wins_total_lookup_header,0)+1,0))</f>
        <v>0.47768096300019181</v>
      </c>
      <c r="N1315">
        <f t="shared" ca="1" si="20"/>
        <v>0</v>
      </c>
    </row>
    <row r="1316" spans="1:14" x14ac:dyDescent="0.25">
      <c r="A1316">
        <v>400578951</v>
      </c>
      <c r="B1316">
        <v>2015</v>
      </c>
      <c r="C1316" s="1">
        <v>42029</v>
      </c>
      <c r="D1316" t="s">
        <v>41</v>
      </c>
      <c r="E1316">
        <v>1</v>
      </c>
      <c r="F1316">
        <v>30</v>
      </c>
      <c r="G1316">
        <v>14</v>
      </c>
      <c r="H1316">
        <v>0</v>
      </c>
      <c r="I1316" t="s">
        <v>35</v>
      </c>
      <c r="J1316">
        <v>100</v>
      </c>
      <c r="K1316" t="s">
        <v>41</v>
      </c>
      <c r="L1316">
        <v>120</v>
      </c>
      <c r="M1316">
        <f>IF(D1316=I1316,VLOOKUP(D1316,a_win_totals_lookup,MATCH(K1316,a_wins_total_lookup_header,0)+1,0),VLOOKUP(D1316,a_win_totals_lookup,MATCH(I1316,a_wins_total_lookup_header,0)+1,0))</f>
        <v>0.6124771173739717</v>
      </c>
      <c r="N1316">
        <f t="shared" ca="1" si="20"/>
        <v>1</v>
      </c>
    </row>
    <row r="1317" spans="1:14" x14ac:dyDescent="0.25">
      <c r="A1317">
        <v>400578951</v>
      </c>
      <c r="B1317">
        <v>2015</v>
      </c>
      <c r="C1317" s="1">
        <v>42029</v>
      </c>
      <c r="D1317" t="s">
        <v>35</v>
      </c>
      <c r="E1317">
        <v>0</v>
      </c>
      <c r="F1317">
        <v>26</v>
      </c>
      <c r="G1317">
        <v>20</v>
      </c>
      <c r="H1317">
        <v>1</v>
      </c>
      <c r="I1317" t="s">
        <v>35</v>
      </c>
      <c r="J1317">
        <v>100</v>
      </c>
      <c r="K1317" t="s">
        <v>41</v>
      </c>
      <c r="L1317">
        <v>120</v>
      </c>
      <c r="M1317">
        <f>IF(D1317=I1317,VLOOKUP(D1317,a_win_totals_lookup,MATCH(K1317,a_wins_total_lookup_header,0)+1,0),VLOOKUP(D1317,a_win_totals_lookup,MATCH(I1317,a_wins_total_lookup_header,0)+1,0))</f>
        <v>0.3875228826260283</v>
      </c>
      <c r="N1317">
        <f t="shared" ca="1" si="20"/>
        <v>1</v>
      </c>
    </row>
    <row r="1318" spans="1:14" x14ac:dyDescent="0.25">
      <c r="A1318">
        <v>400578952</v>
      </c>
      <c r="B1318">
        <v>2015</v>
      </c>
      <c r="C1318" s="1">
        <v>42029</v>
      </c>
      <c r="D1318" t="s">
        <v>14</v>
      </c>
      <c r="E1318">
        <v>0</v>
      </c>
      <c r="F1318">
        <v>30</v>
      </c>
      <c r="G1318">
        <v>15</v>
      </c>
      <c r="H1318">
        <v>0</v>
      </c>
      <c r="I1318" t="s">
        <v>12</v>
      </c>
      <c r="J1318">
        <v>109</v>
      </c>
      <c r="K1318" t="s">
        <v>14</v>
      </c>
      <c r="L1318">
        <v>106</v>
      </c>
      <c r="M1318">
        <f>IF(D1318=I1318,VLOOKUP(D1318,a_win_totals_lookup,MATCH(K1318,a_wins_total_lookup_header,0)+1,0),VLOOKUP(D1318,a_win_totals_lookup,MATCH(I1318,a_wins_total_lookup_header,0)+1,0))</f>
        <v>0.60230820918773997</v>
      </c>
      <c r="N1318">
        <f t="shared" ca="1" si="20"/>
        <v>1</v>
      </c>
    </row>
    <row r="1319" spans="1:14" x14ac:dyDescent="0.25">
      <c r="A1319">
        <v>400578952</v>
      </c>
      <c r="B1319">
        <v>2015</v>
      </c>
      <c r="C1319" s="1">
        <v>42029</v>
      </c>
      <c r="D1319" t="s">
        <v>12</v>
      </c>
      <c r="E1319">
        <v>1</v>
      </c>
      <c r="F1319">
        <v>23</v>
      </c>
      <c r="G1319">
        <v>21</v>
      </c>
      <c r="H1319">
        <v>1</v>
      </c>
      <c r="I1319" t="s">
        <v>12</v>
      </c>
      <c r="J1319">
        <v>109</v>
      </c>
      <c r="K1319" t="s">
        <v>14</v>
      </c>
      <c r="L1319">
        <v>106</v>
      </c>
      <c r="M1319">
        <f>IF(D1319=I1319,VLOOKUP(D1319,a_win_totals_lookup,MATCH(K1319,a_wins_total_lookup_header,0)+1,0),VLOOKUP(D1319,a_win_totals_lookup,MATCH(I1319,a_wins_total_lookup_header,0)+1,0))</f>
        <v>0.39769179081226008</v>
      </c>
      <c r="N1319">
        <f t="shared" ca="1" si="20"/>
        <v>0</v>
      </c>
    </row>
    <row r="1320" spans="1:14" x14ac:dyDescent="0.25">
      <c r="A1320">
        <v>400578953</v>
      </c>
      <c r="B1320">
        <v>2015</v>
      </c>
      <c r="C1320" s="1">
        <v>42029</v>
      </c>
      <c r="D1320" t="s">
        <v>26</v>
      </c>
      <c r="E1320">
        <v>1</v>
      </c>
      <c r="F1320">
        <v>37</v>
      </c>
      <c r="G1320">
        <v>8</v>
      </c>
      <c r="H1320">
        <v>1</v>
      </c>
      <c r="I1320" t="s">
        <v>26</v>
      </c>
      <c r="J1320">
        <v>112</v>
      </c>
      <c r="K1320" t="s">
        <v>29</v>
      </c>
      <c r="L1320">
        <v>100</v>
      </c>
      <c r="M1320">
        <f>IF(D1320=I1320,VLOOKUP(D1320,a_win_totals_lookup,MATCH(K1320,a_wins_total_lookup_header,0)+1,0),VLOOKUP(D1320,a_win_totals_lookup,MATCH(I1320,a_wins_total_lookup_header,0)+1,0))</f>
        <v>0.69708802310993623</v>
      </c>
      <c r="N1320">
        <f t="shared" ca="1" si="20"/>
        <v>1</v>
      </c>
    </row>
    <row r="1321" spans="1:14" x14ac:dyDescent="0.25">
      <c r="A1321">
        <v>400578953</v>
      </c>
      <c r="B1321">
        <v>2015</v>
      </c>
      <c r="C1321" s="1">
        <v>42029</v>
      </c>
      <c r="D1321" t="s">
        <v>29</v>
      </c>
      <c r="E1321">
        <v>0</v>
      </c>
      <c r="F1321">
        <v>7</v>
      </c>
      <c r="G1321">
        <v>36</v>
      </c>
      <c r="H1321">
        <v>0</v>
      </c>
      <c r="I1321" t="s">
        <v>26</v>
      </c>
      <c r="J1321">
        <v>112</v>
      </c>
      <c r="K1321" t="s">
        <v>29</v>
      </c>
      <c r="L1321">
        <v>100</v>
      </c>
      <c r="M1321">
        <f>IF(D1321=I1321,VLOOKUP(D1321,a_win_totals_lookup,MATCH(K1321,a_wins_total_lookup_header,0)+1,0),VLOOKUP(D1321,a_win_totals_lookup,MATCH(I1321,a_wins_total_lookup_header,0)+1,0))</f>
        <v>0.30291197689006377</v>
      </c>
      <c r="N1321">
        <f t="shared" ca="1" si="20"/>
        <v>0</v>
      </c>
    </row>
    <row r="1322" spans="1:14" x14ac:dyDescent="0.25">
      <c r="A1322">
        <v>400578954</v>
      </c>
      <c r="B1322">
        <v>2015</v>
      </c>
      <c r="C1322" s="1">
        <v>42029</v>
      </c>
      <c r="D1322" t="s">
        <v>20</v>
      </c>
      <c r="E1322">
        <v>1</v>
      </c>
      <c r="F1322">
        <v>16</v>
      </c>
      <c r="G1322">
        <v>30</v>
      </c>
      <c r="H1322">
        <v>0</v>
      </c>
      <c r="I1322" t="s">
        <v>13</v>
      </c>
      <c r="J1322">
        <v>99</v>
      </c>
      <c r="K1322" t="s">
        <v>20</v>
      </c>
      <c r="L1322">
        <v>106</v>
      </c>
      <c r="M1322">
        <f>IF(D1322=I1322,VLOOKUP(D1322,a_win_totals_lookup,MATCH(K1322,a_wins_total_lookup_header,0)+1,0),VLOOKUP(D1322,a_win_totals_lookup,MATCH(I1322,a_wins_total_lookup_header,0)+1,0))</f>
        <v>0.55154153277934415</v>
      </c>
      <c r="N1322">
        <f t="shared" ca="1" si="20"/>
        <v>0</v>
      </c>
    </row>
    <row r="1323" spans="1:14" x14ac:dyDescent="0.25">
      <c r="A1323">
        <v>400578954</v>
      </c>
      <c r="B1323">
        <v>2015</v>
      </c>
      <c r="C1323" s="1">
        <v>42029</v>
      </c>
      <c r="D1323" t="s">
        <v>13</v>
      </c>
      <c r="E1323">
        <v>0</v>
      </c>
      <c r="F1323">
        <v>15</v>
      </c>
      <c r="G1323">
        <v>32</v>
      </c>
      <c r="H1323">
        <v>1</v>
      </c>
      <c r="I1323" t="s">
        <v>13</v>
      </c>
      <c r="J1323">
        <v>99</v>
      </c>
      <c r="K1323" t="s">
        <v>20</v>
      </c>
      <c r="L1323">
        <v>106</v>
      </c>
      <c r="M1323">
        <f>IF(D1323=I1323,VLOOKUP(D1323,a_win_totals_lookup,MATCH(K1323,a_wins_total_lookup_header,0)+1,0),VLOOKUP(D1323,a_win_totals_lookup,MATCH(I1323,a_wins_total_lookup_header,0)+1,0))</f>
        <v>0.44845846722065585</v>
      </c>
      <c r="N1323">
        <f t="shared" ca="1" si="20"/>
        <v>1</v>
      </c>
    </row>
    <row r="1324" spans="1:14" x14ac:dyDescent="0.25">
      <c r="A1324">
        <v>400578955</v>
      </c>
      <c r="B1324">
        <v>2015</v>
      </c>
      <c r="C1324" s="1">
        <v>42029</v>
      </c>
      <c r="D1324" t="s">
        <v>19</v>
      </c>
      <c r="E1324">
        <v>0</v>
      </c>
      <c r="F1324">
        <v>22</v>
      </c>
      <c r="G1324">
        <v>22</v>
      </c>
      <c r="H1324">
        <v>0</v>
      </c>
      <c r="I1324" t="s">
        <v>15</v>
      </c>
      <c r="J1324">
        <v>101</v>
      </c>
      <c r="K1324" t="s">
        <v>19</v>
      </c>
      <c r="L1324">
        <v>95</v>
      </c>
      <c r="M1324">
        <f>IF(D1324=I1324,VLOOKUP(D1324,a_win_totals_lookup,MATCH(K1324,a_wins_total_lookup_header,0)+1,0),VLOOKUP(D1324,a_win_totals_lookup,MATCH(I1324,a_wins_total_lookup_header,0)+1,0))</f>
        <v>0.23628580799123672</v>
      </c>
      <c r="N1324">
        <f t="shared" ca="1" si="20"/>
        <v>1</v>
      </c>
    </row>
    <row r="1325" spans="1:14" x14ac:dyDescent="0.25">
      <c r="A1325">
        <v>400578955</v>
      </c>
      <c r="B1325">
        <v>2015</v>
      </c>
      <c r="C1325" s="1">
        <v>42029</v>
      </c>
      <c r="D1325" t="s">
        <v>15</v>
      </c>
      <c r="E1325">
        <v>1</v>
      </c>
      <c r="F1325">
        <v>29</v>
      </c>
      <c r="G1325">
        <v>17</v>
      </c>
      <c r="H1325">
        <v>1</v>
      </c>
      <c r="I1325" t="s">
        <v>15</v>
      </c>
      <c r="J1325">
        <v>101</v>
      </c>
      <c r="K1325" t="s">
        <v>19</v>
      </c>
      <c r="L1325">
        <v>95</v>
      </c>
      <c r="M1325">
        <f>IF(D1325=I1325,VLOOKUP(D1325,a_win_totals_lookup,MATCH(K1325,a_wins_total_lookup_header,0)+1,0),VLOOKUP(D1325,a_win_totals_lookup,MATCH(I1325,a_wins_total_lookup_header,0)+1,0))</f>
        <v>0.76371419200876312</v>
      </c>
      <c r="N1325">
        <f t="shared" ca="1" si="20"/>
        <v>0</v>
      </c>
    </row>
    <row r="1326" spans="1:14" x14ac:dyDescent="0.25">
      <c r="A1326">
        <v>400578956</v>
      </c>
      <c r="B1326">
        <v>2015</v>
      </c>
      <c r="C1326" s="1">
        <v>42029</v>
      </c>
      <c r="D1326" t="s">
        <v>33</v>
      </c>
      <c r="E1326">
        <v>0</v>
      </c>
      <c r="F1326">
        <v>17</v>
      </c>
      <c r="G1326">
        <v>28</v>
      </c>
      <c r="H1326">
        <v>0</v>
      </c>
      <c r="I1326" t="s">
        <v>27</v>
      </c>
      <c r="J1326">
        <v>114</v>
      </c>
      <c r="K1326" t="s">
        <v>33</v>
      </c>
      <c r="L1326">
        <v>110</v>
      </c>
      <c r="M1326">
        <f>IF(D1326=I1326,VLOOKUP(D1326,a_win_totals_lookup,MATCH(K1326,a_wins_total_lookup_header,0)+1,0),VLOOKUP(D1326,a_win_totals_lookup,MATCH(I1326,a_wins_total_lookup_header,0)+1,0))</f>
        <v>0.34307350386175622</v>
      </c>
      <c r="N1326">
        <f t="shared" ca="1" si="20"/>
        <v>0</v>
      </c>
    </row>
    <row r="1327" spans="1:14" x14ac:dyDescent="0.25">
      <c r="A1327">
        <v>400578956</v>
      </c>
      <c r="B1327">
        <v>2015</v>
      </c>
      <c r="C1327" s="1">
        <v>42029</v>
      </c>
      <c r="D1327" t="s">
        <v>27</v>
      </c>
      <c r="E1327">
        <v>1</v>
      </c>
      <c r="F1327">
        <v>29</v>
      </c>
      <c r="G1327">
        <v>15</v>
      </c>
      <c r="H1327">
        <v>1</v>
      </c>
      <c r="I1327" t="s">
        <v>27</v>
      </c>
      <c r="J1327">
        <v>114</v>
      </c>
      <c r="K1327" t="s">
        <v>33</v>
      </c>
      <c r="L1327">
        <v>110</v>
      </c>
      <c r="M1327">
        <f>IF(D1327=I1327,VLOOKUP(D1327,a_win_totals_lookup,MATCH(K1327,a_wins_total_lookup_header,0)+1,0),VLOOKUP(D1327,a_win_totals_lookup,MATCH(I1327,a_wins_total_lookup_header,0)+1,0))</f>
        <v>0.65692649613824394</v>
      </c>
      <c r="N1327">
        <f t="shared" ca="1" si="20"/>
        <v>1</v>
      </c>
    </row>
    <row r="1328" spans="1:14" x14ac:dyDescent="0.25">
      <c r="A1328">
        <v>400578957</v>
      </c>
      <c r="B1328">
        <v>2015</v>
      </c>
      <c r="C1328" s="1">
        <v>42029</v>
      </c>
      <c r="D1328" t="s">
        <v>22</v>
      </c>
      <c r="E1328">
        <v>0</v>
      </c>
      <c r="F1328">
        <v>15</v>
      </c>
      <c r="G1328">
        <v>27</v>
      </c>
      <c r="H1328">
        <v>0</v>
      </c>
      <c r="I1328" t="s">
        <v>36</v>
      </c>
      <c r="J1328">
        <v>114</v>
      </c>
      <c r="K1328" t="s">
        <v>22</v>
      </c>
      <c r="L1328">
        <v>111</v>
      </c>
      <c r="M1328">
        <f>IF(D1328=I1328,VLOOKUP(D1328,a_win_totals_lookup,MATCH(K1328,a_wins_total_lookup_header,0)+1,0),VLOOKUP(D1328,a_win_totals_lookup,MATCH(I1328,a_wins_total_lookup_header,0)+1,0))</f>
        <v>0.23595732644921025</v>
      </c>
      <c r="N1328">
        <f t="shared" ca="1" si="20"/>
        <v>1</v>
      </c>
    </row>
    <row r="1329" spans="1:14" x14ac:dyDescent="0.25">
      <c r="A1329">
        <v>400578957</v>
      </c>
      <c r="B1329">
        <v>2015</v>
      </c>
      <c r="C1329" s="1">
        <v>42029</v>
      </c>
      <c r="D1329" t="s">
        <v>36</v>
      </c>
      <c r="E1329">
        <v>1</v>
      </c>
      <c r="F1329">
        <v>36</v>
      </c>
      <c r="G1329">
        <v>6</v>
      </c>
      <c r="H1329">
        <v>1</v>
      </c>
      <c r="I1329" t="s">
        <v>36</v>
      </c>
      <c r="J1329">
        <v>114</v>
      </c>
      <c r="K1329" t="s">
        <v>22</v>
      </c>
      <c r="L1329">
        <v>111</v>
      </c>
      <c r="M1329">
        <f>IF(D1329=I1329,VLOOKUP(D1329,a_win_totals_lookup,MATCH(K1329,a_wins_total_lookup_header,0)+1,0),VLOOKUP(D1329,a_win_totals_lookup,MATCH(I1329,a_wins_total_lookup_header,0)+1,0))</f>
        <v>0.7640426735507897</v>
      </c>
      <c r="N1329">
        <f t="shared" ca="1" si="20"/>
        <v>1</v>
      </c>
    </row>
    <row r="1330" spans="1:14" x14ac:dyDescent="0.25">
      <c r="A1330">
        <v>400578958</v>
      </c>
      <c r="B1330">
        <v>2015</v>
      </c>
      <c r="C1330" s="1">
        <v>42029</v>
      </c>
      <c r="D1330" t="s">
        <v>32</v>
      </c>
      <c r="E1330">
        <v>0</v>
      </c>
      <c r="F1330">
        <v>18</v>
      </c>
      <c r="G1330">
        <v>26</v>
      </c>
      <c r="H1330">
        <v>1</v>
      </c>
      <c r="I1330" t="s">
        <v>32</v>
      </c>
      <c r="J1330">
        <v>115</v>
      </c>
      <c r="K1330" t="s">
        <v>25</v>
      </c>
      <c r="L1330">
        <v>117</v>
      </c>
      <c r="M1330">
        <f>IF(D1330=I1330,VLOOKUP(D1330,a_win_totals_lookup,MATCH(K1330,a_wins_total_lookup_header,0)+1,0),VLOOKUP(D1330,a_win_totals_lookup,MATCH(I1330,a_wins_total_lookup_header,0)+1,0))</f>
        <v>0.41758613378174975</v>
      </c>
      <c r="N1330">
        <f t="shared" ca="1" si="20"/>
        <v>0</v>
      </c>
    </row>
    <row r="1331" spans="1:14" x14ac:dyDescent="0.25">
      <c r="A1331">
        <v>400578958</v>
      </c>
      <c r="B1331">
        <v>2015</v>
      </c>
      <c r="C1331" s="1">
        <v>42029</v>
      </c>
      <c r="D1331" t="s">
        <v>25</v>
      </c>
      <c r="E1331">
        <v>1</v>
      </c>
      <c r="F1331">
        <v>30</v>
      </c>
      <c r="G1331">
        <v>15</v>
      </c>
      <c r="H1331">
        <v>0</v>
      </c>
      <c r="I1331" t="s">
        <v>32</v>
      </c>
      <c r="J1331">
        <v>115</v>
      </c>
      <c r="K1331" t="s">
        <v>25</v>
      </c>
      <c r="L1331">
        <v>117</v>
      </c>
      <c r="M1331">
        <f>IF(D1331=I1331,VLOOKUP(D1331,a_win_totals_lookup,MATCH(K1331,a_wins_total_lookup_header,0)+1,0),VLOOKUP(D1331,a_win_totals_lookup,MATCH(I1331,a_wins_total_lookup_header,0)+1,0))</f>
        <v>0.5824138662182502</v>
      </c>
      <c r="N1331">
        <f t="shared" ca="1" si="20"/>
        <v>0</v>
      </c>
    </row>
    <row r="1332" spans="1:14" x14ac:dyDescent="0.25">
      <c r="A1332">
        <v>400578959</v>
      </c>
      <c r="B1332">
        <v>2015</v>
      </c>
      <c r="C1332" s="1">
        <v>42029</v>
      </c>
      <c r="D1332" t="s">
        <v>16</v>
      </c>
      <c r="E1332">
        <v>1</v>
      </c>
      <c r="F1332">
        <v>31</v>
      </c>
      <c r="G1332">
        <v>14</v>
      </c>
      <c r="H1332">
        <v>0</v>
      </c>
      <c r="I1332" t="s">
        <v>17</v>
      </c>
      <c r="J1332">
        <v>87</v>
      </c>
      <c r="K1332" t="s">
        <v>16</v>
      </c>
      <c r="L1332">
        <v>99</v>
      </c>
      <c r="M1332">
        <f>IF(D1332=I1332,VLOOKUP(D1332,a_win_totals_lookup,MATCH(K1332,a_wins_total_lookup_header,0)+1,0),VLOOKUP(D1332,a_win_totals_lookup,MATCH(I1332,a_wins_total_lookup_header,0)+1,0))</f>
        <v>0.65557177266505795</v>
      </c>
      <c r="N1332">
        <f t="shared" ca="1" si="20"/>
        <v>1</v>
      </c>
    </row>
    <row r="1333" spans="1:14" x14ac:dyDescent="0.25">
      <c r="A1333">
        <v>400578959</v>
      </c>
      <c r="B1333">
        <v>2015</v>
      </c>
      <c r="C1333" s="1">
        <v>42029</v>
      </c>
      <c r="D1333" t="s">
        <v>17</v>
      </c>
      <c r="E1333">
        <v>0</v>
      </c>
      <c r="F1333">
        <v>12</v>
      </c>
      <c r="G1333">
        <v>33</v>
      </c>
      <c r="H1333">
        <v>1</v>
      </c>
      <c r="I1333" t="s">
        <v>17</v>
      </c>
      <c r="J1333">
        <v>87</v>
      </c>
      <c r="K1333" t="s">
        <v>16</v>
      </c>
      <c r="L1333">
        <v>99</v>
      </c>
      <c r="M1333">
        <f>IF(D1333=I1333,VLOOKUP(D1333,a_win_totals_lookup,MATCH(K1333,a_wins_total_lookup_header,0)+1,0),VLOOKUP(D1333,a_win_totals_lookup,MATCH(I1333,a_wins_total_lookup_header,0)+1,0))</f>
        <v>0.34442822733494199</v>
      </c>
      <c r="N1333">
        <f t="shared" ca="1" si="20"/>
        <v>1</v>
      </c>
    </row>
    <row r="1334" spans="1:14" x14ac:dyDescent="0.25">
      <c r="A1334">
        <v>400578962</v>
      </c>
      <c r="B1334">
        <v>2015</v>
      </c>
      <c r="C1334" s="1">
        <v>42030</v>
      </c>
      <c r="D1334" t="s">
        <v>28</v>
      </c>
      <c r="E1334">
        <v>1</v>
      </c>
      <c r="F1334">
        <v>32</v>
      </c>
      <c r="G1334">
        <v>12</v>
      </c>
      <c r="H1334">
        <v>1</v>
      </c>
      <c r="I1334" t="s">
        <v>28</v>
      </c>
      <c r="J1334">
        <v>103</v>
      </c>
      <c r="K1334" t="s">
        <v>13</v>
      </c>
      <c r="L1334">
        <v>94</v>
      </c>
      <c r="M1334">
        <f>IF(D1334=I1334,VLOOKUP(D1334,a_win_totals_lookup,MATCH(K1334,a_wins_total_lookup_header,0)+1,0),VLOOKUP(D1334,a_win_totals_lookup,MATCH(I1334,a_wins_total_lookup_header,0)+1,0))</f>
        <v>0.70201279293629204</v>
      </c>
      <c r="N1334">
        <f t="shared" ca="1" si="20"/>
        <v>1</v>
      </c>
    </row>
    <row r="1335" spans="1:14" x14ac:dyDescent="0.25">
      <c r="A1335">
        <v>400578962</v>
      </c>
      <c r="B1335">
        <v>2015</v>
      </c>
      <c r="C1335" s="1">
        <v>42030</v>
      </c>
      <c r="D1335" t="s">
        <v>13</v>
      </c>
      <c r="E1335">
        <v>0</v>
      </c>
      <c r="F1335">
        <v>15</v>
      </c>
      <c r="G1335">
        <v>33</v>
      </c>
      <c r="H1335">
        <v>0</v>
      </c>
      <c r="I1335" t="s">
        <v>28</v>
      </c>
      <c r="J1335">
        <v>103</v>
      </c>
      <c r="K1335" t="s">
        <v>13</v>
      </c>
      <c r="L1335">
        <v>94</v>
      </c>
      <c r="M1335">
        <f>IF(D1335=I1335,VLOOKUP(D1335,a_win_totals_lookup,MATCH(K1335,a_wins_total_lookup_header,0)+1,0),VLOOKUP(D1335,a_win_totals_lookup,MATCH(I1335,a_wins_total_lookup_header,0)+1,0))</f>
        <v>0.29798720706370802</v>
      </c>
      <c r="N1335">
        <f t="shared" ca="1" si="20"/>
        <v>1</v>
      </c>
    </row>
    <row r="1336" spans="1:14" x14ac:dyDescent="0.25">
      <c r="A1336">
        <v>400578963</v>
      </c>
      <c r="B1336">
        <v>2015</v>
      </c>
      <c r="C1336" s="1">
        <v>42030</v>
      </c>
      <c r="D1336" t="s">
        <v>12</v>
      </c>
      <c r="E1336">
        <v>1</v>
      </c>
      <c r="F1336">
        <v>24</v>
      </c>
      <c r="G1336">
        <v>21</v>
      </c>
      <c r="H1336">
        <v>1</v>
      </c>
      <c r="I1336" t="s">
        <v>12</v>
      </c>
      <c r="J1336">
        <v>99</v>
      </c>
      <c r="K1336" t="s">
        <v>21</v>
      </c>
      <c r="L1336">
        <v>74</v>
      </c>
      <c r="M1336">
        <f>IF(D1336=I1336,VLOOKUP(D1336,a_win_totals_lookup,MATCH(K1336,a_wins_total_lookup_header,0)+1,0),VLOOKUP(D1336,a_win_totals_lookup,MATCH(I1336,a_wins_total_lookup_header,0)+1,0))</f>
        <v>0.70884186366552659</v>
      </c>
      <c r="N1336">
        <f t="shared" ca="1" si="20"/>
        <v>0</v>
      </c>
    </row>
    <row r="1337" spans="1:14" x14ac:dyDescent="0.25">
      <c r="A1337">
        <v>400578963</v>
      </c>
      <c r="B1337">
        <v>2015</v>
      </c>
      <c r="C1337" s="1">
        <v>42030</v>
      </c>
      <c r="D1337" t="s">
        <v>21</v>
      </c>
      <c r="E1337">
        <v>0</v>
      </c>
      <c r="F1337">
        <v>8</v>
      </c>
      <c r="G1337">
        <v>37</v>
      </c>
      <c r="H1337">
        <v>0</v>
      </c>
      <c r="I1337" t="s">
        <v>12</v>
      </c>
      <c r="J1337">
        <v>99</v>
      </c>
      <c r="K1337" t="s">
        <v>21</v>
      </c>
      <c r="L1337">
        <v>74</v>
      </c>
      <c r="M1337">
        <f>IF(D1337=I1337,VLOOKUP(D1337,a_win_totals_lookup,MATCH(K1337,a_wins_total_lookup_header,0)+1,0),VLOOKUP(D1337,a_win_totals_lookup,MATCH(I1337,a_wins_total_lookup_header,0)+1,0))</f>
        <v>0.29115813633447341</v>
      </c>
      <c r="N1337">
        <f t="shared" ca="1" si="20"/>
        <v>1</v>
      </c>
    </row>
    <row r="1338" spans="1:14" x14ac:dyDescent="0.25">
      <c r="A1338">
        <v>400578964</v>
      </c>
      <c r="B1338">
        <v>2015</v>
      </c>
      <c r="C1338" s="1">
        <v>42030</v>
      </c>
      <c r="D1338" t="s">
        <v>29</v>
      </c>
      <c r="E1338">
        <v>0</v>
      </c>
      <c r="F1338">
        <v>7</v>
      </c>
      <c r="G1338">
        <v>37</v>
      </c>
      <c r="H1338">
        <v>0</v>
      </c>
      <c r="I1338" t="s">
        <v>38</v>
      </c>
      <c r="J1338">
        <v>92</v>
      </c>
      <c r="K1338" t="s">
        <v>29</v>
      </c>
      <c r="L1338">
        <v>84</v>
      </c>
      <c r="M1338">
        <f>IF(D1338=I1338,VLOOKUP(D1338,a_win_totals_lookup,MATCH(K1338,a_wins_total_lookup_header,0)+1,0),VLOOKUP(D1338,a_win_totals_lookup,MATCH(I1338,a_wins_total_lookup_header,0)+1,0))</f>
        <v>0.23114261401714065</v>
      </c>
      <c r="N1338">
        <f t="shared" ca="1" si="20"/>
        <v>0</v>
      </c>
    </row>
    <row r="1339" spans="1:14" x14ac:dyDescent="0.25">
      <c r="A1339">
        <v>400578964</v>
      </c>
      <c r="B1339">
        <v>2015</v>
      </c>
      <c r="C1339" s="1">
        <v>42030</v>
      </c>
      <c r="D1339" t="s">
        <v>38</v>
      </c>
      <c r="E1339">
        <v>1</v>
      </c>
      <c r="F1339">
        <v>23</v>
      </c>
      <c r="G1339">
        <v>22</v>
      </c>
      <c r="H1339">
        <v>1</v>
      </c>
      <c r="I1339" t="s">
        <v>38</v>
      </c>
      <c r="J1339">
        <v>92</v>
      </c>
      <c r="K1339" t="s">
        <v>29</v>
      </c>
      <c r="L1339">
        <v>84</v>
      </c>
      <c r="M1339">
        <f>IF(D1339=I1339,VLOOKUP(D1339,a_win_totals_lookup,MATCH(K1339,a_wins_total_lookup_header,0)+1,0),VLOOKUP(D1339,a_win_totals_lookup,MATCH(I1339,a_wins_total_lookup_header,0)+1,0))</f>
        <v>0.76885738598285935</v>
      </c>
      <c r="N1339">
        <f t="shared" ca="1" si="20"/>
        <v>1</v>
      </c>
    </row>
    <row r="1340" spans="1:14" x14ac:dyDescent="0.25">
      <c r="A1340">
        <v>400578965</v>
      </c>
      <c r="B1340">
        <v>2015</v>
      </c>
      <c r="C1340" s="1">
        <v>42030</v>
      </c>
      <c r="D1340" t="s">
        <v>22</v>
      </c>
      <c r="E1340">
        <v>1</v>
      </c>
      <c r="F1340">
        <v>16</v>
      </c>
      <c r="G1340">
        <v>27</v>
      </c>
      <c r="H1340">
        <v>0</v>
      </c>
      <c r="I1340" t="s">
        <v>34</v>
      </c>
      <c r="J1340">
        <v>90</v>
      </c>
      <c r="K1340" t="s">
        <v>22</v>
      </c>
      <c r="L1340">
        <v>99</v>
      </c>
      <c r="M1340">
        <f>IF(D1340=I1340,VLOOKUP(D1340,a_win_totals_lookup,MATCH(K1340,a_wins_total_lookup_header,0)+1,0),VLOOKUP(D1340,a_win_totals_lookup,MATCH(I1340,a_wins_total_lookup_header,0)+1,0))</f>
        <v>0.44399285510679726</v>
      </c>
      <c r="N1340">
        <f t="shared" ca="1" si="20"/>
        <v>0</v>
      </c>
    </row>
    <row r="1341" spans="1:14" x14ac:dyDescent="0.25">
      <c r="A1341">
        <v>400578965</v>
      </c>
      <c r="B1341">
        <v>2015</v>
      </c>
      <c r="C1341" s="1">
        <v>42030</v>
      </c>
      <c r="D1341" t="s">
        <v>34</v>
      </c>
      <c r="E1341">
        <v>0</v>
      </c>
      <c r="F1341">
        <v>16</v>
      </c>
      <c r="G1341">
        <v>29</v>
      </c>
      <c r="H1341">
        <v>1</v>
      </c>
      <c r="I1341" t="s">
        <v>34</v>
      </c>
      <c r="J1341">
        <v>90</v>
      </c>
      <c r="K1341" t="s">
        <v>22</v>
      </c>
      <c r="L1341">
        <v>99</v>
      </c>
      <c r="M1341">
        <f>IF(D1341=I1341,VLOOKUP(D1341,a_win_totals_lookup,MATCH(K1341,a_wins_total_lookup_header,0)+1,0),VLOOKUP(D1341,a_win_totals_lookup,MATCH(I1341,a_wins_total_lookup_header,0)+1,0))</f>
        <v>0.5560071448932028</v>
      </c>
      <c r="N1341">
        <f t="shared" ca="1" si="20"/>
        <v>1</v>
      </c>
    </row>
    <row r="1342" spans="1:14" x14ac:dyDescent="0.25">
      <c r="A1342">
        <v>400578966</v>
      </c>
      <c r="B1342">
        <v>2015</v>
      </c>
      <c r="C1342" s="1">
        <v>42030</v>
      </c>
      <c r="D1342" t="s">
        <v>32</v>
      </c>
      <c r="E1342">
        <v>0</v>
      </c>
      <c r="F1342">
        <v>18</v>
      </c>
      <c r="G1342">
        <v>27</v>
      </c>
      <c r="H1342">
        <v>0</v>
      </c>
      <c r="I1342" t="s">
        <v>41</v>
      </c>
      <c r="J1342">
        <v>102</v>
      </c>
      <c r="K1342" t="s">
        <v>32</v>
      </c>
      <c r="L1342">
        <v>98</v>
      </c>
      <c r="M1342">
        <f>IF(D1342=I1342,VLOOKUP(D1342,a_win_totals_lookup,MATCH(K1342,a_wins_total_lookup_header,0)+1,0),VLOOKUP(D1342,a_win_totals_lookup,MATCH(I1342,a_wins_total_lookup_header,0)+1,0))</f>
        <v>0.35087017426187905</v>
      </c>
      <c r="N1342">
        <f t="shared" ca="1" si="20"/>
        <v>0</v>
      </c>
    </row>
    <row r="1343" spans="1:14" x14ac:dyDescent="0.25">
      <c r="A1343">
        <v>400578966</v>
      </c>
      <c r="B1343">
        <v>2015</v>
      </c>
      <c r="C1343" s="1">
        <v>42030</v>
      </c>
      <c r="D1343" t="s">
        <v>41</v>
      </c>
      <c r="E1343">
        <v>1</v>
      </c>
      <c r="F1343">
        <v>31</v>
      </c>
      <c r="G1343">
        <v>14</v>
      </c>
      <c r="H1343">
        <v>1</v>
      </c>
      <c r="I1343" t="s">
        <v>41</v>
      </c>
      <c r="J1343">
        <v>102</v>
      </c>
      <c r="K1343" t="s">
        <v>32</v>
      </c>
      <c r="L1343">
        <v>98</v>
      </c>
      <c r="M1343">
        <f>IF(D1343=I1343,VLOOKUP(D1343,a_win_totals_lookup,MATCH(K1343,a_wins_total_lookup_header,0)+1,0),VLOOKUP(D1343,a_win_totals_lookup,MATCH(I1343,a_wins_total_lookup_header,0)+1,0))</f>
        <v>0.64912982573812106</v>
      </c>
      <c r="N1343">
        <f t="shared" ca="1" si="20"/>
        <v>1</v>
      </c>
    </row>
    <row r="1344" spans="1:14" x14ac:dyDescent="0.25">
      <c r="A1344">
        <v>400578967</v>
      </c>
      <c r="B1344">
        <v>2015</v>
      </c>
      <c r="C1344" s="1">
        <v>42031</v>
      </c>
      <c r="D1344" t="s">
        <v>20</v>
      </c>
      <c r="E1344">
        <v>0</v>
      </c>
      <c r="F1344">
        <v>16</v>
      </c>
      <c r="G1344">
        <v>31</v>
      </c>
      <c r="H1344">
        <v>1</v>
      </c>
      <c r="I1344" t="s">
        <v>20</v>
      </c>
      <c r="J1344">
        <v>91</v>
      </c>
      <c r="K1344" t="s">
        <v>27</v>
      </c>
      <c r="L1344">
        <v>104</v>
      </c>
      <c r="M1344">
        <f>IF(D1344=I1344,VLOOKUP(D1344,a_win_totals_lookup,MATCH(K1344,a_wins_total_lookup_header,0)+1,0),VLOOKUP(D1344,a_win_totals_lookup,MATCH(I1344,a_wins_total_lookup_header,0)+1,0))</f>
        <v>0.32867360629810738</v>
      </c>
      <c r="N1344">
        <f t="shared" ca="1" si="20"/>
        <v>0</v>
      </c>
    </row>
    <row r="1345" spans="1:14" x14ac:dyDescent="0.25">
      <c r="A1345">
        <v>400578967</v>
      </c>
      <c r="B1345">
        <v>2015</v>
      </c>
      <c r="C1345" s="1">
        <v>42031</v>
      </c>
      <c r="D1345" t="s">
        <v>27</v>
      </c>
      <c r="E1345">
        <v>1</v>
      </c>
      <c r="F1345">
        <v>30</v>
      </c>
      <c r="G1345">
        <v>15</v>
      </c>
      <c r="H1345">
        <v>0</v>
      </c>
      <c r="I1345" t="s">
        <v>20</v>
      </c>
      <c r="J1345">
        <v>91</v>
      </c>
      <c r="K1345" t="s">
        <v>27</v>
      </c>
      <c r="L1345">
        <v>104</v>
      </c>
      <c r="M1345">
        <f>IF(D1345=I1345,VLOOKUP(D1345,a_win_totals_lookup,MATCH(K1345,a_wins_total_lookup_header,0)+1,0),VLOOKUP(D1345,a_win_totals_lookup,MATCH(I1345,a_wins_total_lookup_header,0)+1,0))</f>
        <v>0.67132639370189251</v>
      </c>
      <c r="N1345">
        <f t="shared" ca="1" si="20"/>
        <v>1</v>
      </c>
    </row>
    <row r="1346" spans="1:14" x14ac:dyDescent="0.25">
      <c r="A1346">
        <v>400578968</v>
      </c>
      <c r="B1346">
        <v>2015</v>
      </c>
      <c r="C1346" s="1">
        <v>42031</v>
      </c>
      <c r="D1346" t="s">
        <v>40</v>
      </c>
      <c r="E1346">
        <v>1</v>
      </c>
      <c r="F1346">
        <v>26</v>
      </c>
      <c r="G1346">
        <v>20</v>
      </c>
      <c r="H1346">
        <v>0</v>
      </c>
      <c r="I1346" t="s">
        <v>33</v>
      </c>
      <c r="J1346">
        <v>95</v>
      </c>
      <c r="K1346" t="s">
        <v>40</v>
      </c>
      <c r="L1346">
        <v>103</v>
      </c>
      <c r="M1346">
        <f>IF(D1346=I1346,VLOOKUP(D1346,a_win_totals_lookup,MATCH(K1346,a_wins_total_lookup_header,0)+1,0),VLOOKUP(D1346,a_win_totals_lookup,MATCH(I1346,a_wins_total_lookup_header,0)+1,0))</f>
        <v>0.68885451974663314</v>
      </c>
      <c r="N1346">
        <f t="shared" ca="1" si="20"/>
        <v>1</v>
      </c>
    </row>
    <row r="1347" spans="1:14" x14ac:dyDescent="0.25">
      <c r="A1347">
        <v>400578968</v>
      </c>
      <c r="B1347">
        <v>2015</v>
      </c>
      <c r="C1347" s="1">
        <v>42031</v>
      </c>
      <c r="D1347" t="s">
        <v>33</v>
      </c>
      <c r="E1347">
        <v>0</v>
      </c>
      <c r="F1347">
        <v>17</v>
      </c>
      <c r="G1347">
        <v>29</v>
      </c>
      <c r="H1347">
        <v>1</v>
      </c>
      <c r="I1347" t="s">
        <v>33</v>
      </c>
      <c r="J1347">
        <v>95</v>
      </c>
      <c r="K1347" t="s">
        <v>40</v>
      </c>
      <c r="L1347">
        <v>103</v>
      </c>
      <c r="M1347">
        <f>IF(D1347=I1347,VLOOKUP(D1347,a_win_totals_lookup,MATCH(K1347,a_wins_total_lookup_header,0)+1,0),VLOOKUP(D1347,a_win_totals_lookup,MATCH(I1347,a_wins_total_lookup_header,0)+1,0))</f>
        <v>0.31114548025336697</v>
      </c>
      <c r="N1347">
        <f t="shared" ref="N1347:N1410" ca="1" si="21">ROUND(0.5*RANDBETWEEN(-1,1)+M1347,0)</f>
        <v>0</v>
      </c>
    </row>
    <row r="1348" spans="1:14" x14ac:dyDescent="0.25">
      <c r="A1348">
        <v>400578969</v>
      </c>
      <c r="B1348">
        <v>2015</v>
      </c>
      <c r="C1348" s="1">
        <v>42031</v>
      </c>
      <c r="D1348" t="s">
        <v>24</v>
      </c>
      <c r="E1348">
        <v>0</v>
      </c>
      <c r="F1348">
        <v>20</v>
      </c>
      <c r="G1348">
        <v>25</v>
      </c>
      <c r="H1348">
        <v>1</v>
      </c>
      <c r="I1348" t="s">
        <v>24</v>
      </c>
      <c r="J1348">
        <v>102</v>
      </c>
      <c r="K1348" t="s">
        <v>19</v>
      </c>
      <c r="L1348">
        <v>109</v>
      </c>
      <c r="M1348">
        <f>IF(D1348=I1348,VLOOKUP(D1348,a_win_totals_lookup,MATCH(K1348,a_wins_total_lookup_header,0)+1,0),VLOOKUP(D1348,a_win_totals_lookup,MATCH(I1348,a_wins_total_lookup_header,0)+1,0))</f>
        <v>0.69085585364637281</v>
      </c>
      <c r="N1348">
        <f t="shared" ca="1" si="21"/>
        <v>1</v>
      </c>
    </row>
    <row r="1349" spans="1:14" x14ac:dyDescent="0.25">
      <c r="A1349">
        <v>400578969</v>
      </c>
      <c r="B1349">
        <v>2015</v>
      </c>
      <c r="C1349" s="1">
        <v>42031</v>
      </c>
      <c r="D1349" t="s">
        <v>19</v>
      </c>
      <c r="E1349">
        <v>1</v>
      </c>
      <c r="F1349">
        <v>23</v>
      </c>
      <c r="G1349">
        <v>22</v>
      </c>
      <c r="H1349">
        <v>0</v>
      </c>
      <c r="I1349" t="s">
        <v>24</v>
      </c>
      <c r="J1349">
        <v>102</v>
      </c>
      <c r="K1349" t="s">
        <v>19</v>
      </c>
      <c r="L1349">
        <v>109</v>
      </c>
      <c r="M1349">
        <f>IF(D1349=I1349,VLOOKUP(D1349,a_win_totals_lookup,MATCH(K1349,a_wins_total_lookup_header,0)+1,0),VLOOKUP(D1349,a_win_totals_lookup,MATCH(I1349,a_wins_total_lookup_header,0)+1,0))</f>
        <v>0.30914414635362719</v>
      </c>
      <c r="N1349">
        <f t="shared" ca="1" si="21"/>
        <v>1</v>
      </c>
    </row>
    <row r="1350" spans="1:14" x14ac:dyDescent="0.25">
      <c r="A1350">
        <v>400578970</v>
      </c>
      <c r="B1350">
        <v>2015</v>
      </c>
      <c r="C1350" s="1">
        <v>42031</v>
      </c>
      <c r="D1350" t="s">
        <v>14</v>
      </c>
      <c r="E1350">
        <v>0</v>
      </c>
      <c r="F1350">
        <v>30</v>
      </c>
      <c r="G1350">
        <v>16</v>
      </c>
      <c r="H1350">
        <v>1</v>
      </c>
      <c r="I1350" t="s">
        <v>14</v>
      </c>
      <c r="J1350">
        <v>90</v>
      </c>
      <c r="K1350" t="s">
        <v>28</v>
      </c>
      <c r="L1350">
        <v>109</v>
      </c>
      <c r="M1350">
        <f>IF(D1350=I1350,VLOOKUP(D1350,a_win_totals_lookup,MATCH(K1350,a_wins_total_lookup_header,0)+1,0),VLOOKUP(D1350,a_win_totals_lookup,MATCH(I1350,a_wins_total_lookup_header,0)+1,0))</f>
        <v>0.51604205889789367</v>
      </c>
      <c r="N1350">
        <f t="shared" ca="1" si="21"/>
        <v>1</v>
      </c>
    </row>
    <row r="1351" spans="1:14" x14ac:dyDescent="0.25">
      <c r="A1351">
        <v>400578970</v>
      </c>
      <c r="B1351">
        <v>2015</v>
      </c>
      <c r="C1351" s="1">
        <v>42031</v>
      </c>
      <c r="D1351" t="s">
        <v>28</v>
      </c>
      <c r="E1351">
        <v>1</v>
      </c>
      <c r="F1351">
        <v>33</v>
      </c>
      <c r="G1351">
        <v>12</v>
      </c>
      <c r="H1351">
        <v>0</v>
      </c>
      <c r="I1351" t="s">
        <v>14</v>
      </c>
      <c r="J1351">
        <v>90</v>
      </c>
      <c r="K1351" t="s">
        <v>28</v>
      </c>
      <c r="L1351">
        <v>109</v>
      </c>
      <c r="M1351">
        <f>IF(D1351=I1351,VLOOKUP(D1351,a_win_totals_lookup,MATCH(K1351,a_wins_total_lookup_header,0)+1,0),VLOOKUP(D1351,a_win_totals_lookup,MATCH(I1351,a_wins_total_lookup_header,0)+1,0))</f>
        <v>0.48395794110210644</v>
      </c>
      <c r="N1351">
        <f t="shared" ca="1" si="21"/>
        <v>0</v>
      </c>
    </row>
    <row r="1352" spans="1:14" x14ac:dyDescent="0.25">
      <c r="A1352">
        <v>400578971</v>
      </c>
      <c r="B1352">
        <v>2015</v>
      </c>
      <c r="C1352" s="1">
        <v>42031</v>
      </c>
      <c r="D1352" t="s">
        <v>30</v>
      </c>
      <c r="E1352">
        <v>1</v>
      </c>
      <c r="F1352">
        <v>30</v>
      </c>
      <c r="G1352">
        <v>17</v>
      </c>
      <c r="H1352">
        <v>0</v>
      </c>
      <c r="I1352" t="s">
        <v>36</v>
      </c>
      <c r="J1352">
        <v>111</v>
      </c>
      <c r="K1352" t="s">
        <v>30</v>
      </c>
      <c r="L1352">
        <v>113</v>
      </c>
      <c r="M1352">
        <f>IF(D1352=I1352,VLOOKUP(D1352,a_win_totals_lookup,MATCH(K1352,a_wins_total_lookup_header,0)+1,0),VLOOKUP(D1352,a_win_totals_lookup,MATCH(I1352,a_wins_total_lookup_header,0)+1,0))</f>
        <v>0.51874803765381217</v>
      </c>
      <c r="N1352">
        <f t="shared" ca="1" si="21"/>
        <v>1</v>
      </c>
    </row>
    <row r="1353" spans="1:14" x14ac:dyDescent="0.25">
      <c r="A1353">
        <v>400578971</v>
      </c>
      <c r="B1353">
        <v>2015</v>
      </c>
      <c r="C1353" s="1">
        <v>42031</v>
      </c>
      <c r="D1353" t="s">
        <v>36</v>
      </c>
      <c r="E1353">
        <v>0</v>
      </c>
      <c r="F1353">
        <v>36</v>
      </c>
      <c r="G1353">
        <v>7</v>
      </c>
      <c r="H1353">
        <v>1</v>
      </c>
      <c r="I1353" t="s">
        <v>36</v>
      </c>
      <c r="J1353">
        <v>111</v>
      </c>
      <c r="K1353" t="s">
        <v>30</v>
      </c>
      <c r="L1353">
        <v>113</v>
      </c>
      <c r="M1353">
        <f>IF(D1353=I1353,VLOOKUP(D1353,a_win_totals_lookup,MATCH(K1353,a_wins_total_lookup_header,0)+1,0),VLOOKUP(D1353,a_win_totals_lookup,MATCH(I1353,a_wins_total_lookup_header,0)+1,0))</f>
        <v>0.48125196234618794</v>
      </c>
      <c r="N1353">
        <f t="shared" ca="1" si="21"/>
        <v>0</v>
      </c>
    </row>
    <row r="1354" spans="1:14" x14ac:dyDescent="0.25">
      <c r="A1354">
        <v>400578972</v>
      </c>
      <c r="B1354">
        <v>2015</v>
      </c>
      <c r="C1354" s="1">
        <v>42031</v>
      </c>
      <c r="D1354" t="s">
        <v>17</v>
      </c>
      <c r="E1354">
        <v>0</v>
      </c>
      <c r="F1354">
        <v>12</v>
      </c>
      <c r="G1354">
        <v>34</v>
      </c>
      <c r="H1354">
        <v>1</v>
      </c>
      <c r="I1354" t="s">
        <v>17</v>
      </c>
      <c r="J1354">
        <v>92</v>
      </c>
      <c r="K1354" t="s">
        <v>25</v>
      </c>
      <c r="L1354">
        <v>98</v>
      </c>
      <c r="M1354">
        <f>IF(D1354=I1354,VLOOKUP(D1354,a_win_totals_lookup,MATCH(K1354,a_wins_total_lookup_header,0)+1,0),VLOOKUP(D1354,a_win_totals_lookup,MATCH(I1354,a_wins_total_lookup_header,0)+1,0))</f>
        <v>0.34442822733494199</v>
      </c>
      <c r="N1354">
        <f t="shared" ca="1" si="21"/>
        <v>0</v>
      </c>
    </row>
    <row r="1355" spans="1:14" x14ac:dyDescent="0.25">
      <c r="A1355">
        <v>400578972</v>
      </c>
      <c r="B1355">
        <v>2015</v>
      </c>
      <c r="C1355" s="1">
        <v>42031</v>
      </c>
      <c r="D1355" t="s">
        <v>25</v>
      </c>
      <c r="E1355">
        <v>1</v>
      </c>
      <c r="F1355">
        <v>31</v>
      </c>
      <c r="G1355">
        <v>15</v>
      </c>
      <c r="H1355">
        <v>0</v>
      </c>
      <c r="I1355" t="s">
        <v>17</v>
      </c>
      <c r="J1355">
        <v>92</v>
      </c>
      <c r="K1355" t="s">
        <v>25</v>
      </c>
      <c r="L1355">
        <v>98</v>
      </c>
      <c r="M1355">
        <f>IF(D1355=I1355,VLOOKUP(D1355,a_win_totals_lookup,MATCH(K1355,a_wins_total_lookup_header,0)+1,0),VLOOKUP(D1355,a_win_totals_lookup,MATCH(I1355,a_wins_total_lookup_header,0)+1,0))</f>
        <v>0.65557177266505795</v>
      </c>
      <c r="N1355">
        <f t="shared" ca="1" si="21"/>
        <v>1</v>
      </c>
    </row>
    <row r="1356" spans="1:14" x14ac:dyDescent="0.25">
      <c r="A1356">
        <v>400578973</v>
      </c>
      <c r="B1356">
        <v>2015</v>
      </c>
      <c r="C1356" s="1">
        <v>42032</v>
      </c>
      <c r="D1356" t="s">
        <v>40</v>
      </c>
      <c r="E1356">
        <v>1</v>
      </c>
      <c r="F1356">
        <v>27</v>
      </c>
      <c r="G1356">
        <v>20</v>
      </c>
      <c r="H1356">
        <v>1</v>
      </c>
      <c r="I1356" t="s">
        <v>40</v>
      </c>
      <c r="J1356">
        <v>99</v>
      </c>
      <c r="K1356" t="s">
        <v>39</v>
      </c>
      <c r="L1356">
        <v>94</v>
      </c>
      <c r="M1356">
        <f>IF(D1356=I1356,VLOOKUP(D1356,a_win_totals_lookup,MATCH(K1356,a_wins_total_lookup_header,0)+1,0),VLOOKUP(D1356,a_win_totals_lookup,MATCH(I1356,a_wins_total_lookup_header,0)+1,0))</f>
        <v>0.56088868482079979</v>
      </c>
      <c r="N1356">
        <f t="shared" ca="1" si="21"/>
        <v>1</v>
      </c>
    </row>
    <row r="1357" spans="1:14" x14ac:dyDescent="0.25">
      <c r="A1357">
        <v>400578973</v>
      </c>
      <c r="B1357">
        <v>2015</v>
      </c>
      <c r="C1357" s="1">
        <v>42032</v>
      </c>
      <c r="D1357" t="s">
        <v>39</v>
      </c>
      <c r="E1357">
        <v>0</v>
      </c>
      <c r="F1357">
        <v>32</v>
      </c>
      <c r="G1357">
        <v>14</v>
      </c>
      <c r="H1357">
        <v>0</v>
      </c>
      <c r="I1357" t="s">
        <v>40</v>
      </c>
      <c r="J1357">
        <v>99</v>
      </c>
      <c r="K1357" t="s">
        <v>39</v>
      </c>
      <c r="L1357">
        <v>94</v>
      </c>
      <c r="M1357">
        <f>IF(D1357=I1357,VLOOKUP(D1357,a_win_totals_lookup,MATCH(K1357,a_wins_total_lookup_header,0)+1,0),VLOOKUP(D1357,a_win_totals_lookup,MATCH(I1357,a_wins_total_lookup_header,0)+1,0))</f>
        <v>0.43911131517920021</v>
      </c>
      <c r="N1357">
        <f t="shared" ca="1" si="21"/>
        <v>0</v>
      </c>
    </row>
    <row r="1358" spans="1:14" x14ac:dyDescent="0.25">
      <c r="A1358">
        <v>400578974</v>
      </c>
      <c r="B1358">
        <v>2015</v>
      </c>
      <c r="C1358" s="1">
        <v>42032</v>
      </c>
      <c r="D1358" t="s">
        <v>33</v>
      </c>
      <c r="E1358">
        <v>0</v>
      </c>
      <c r="F1358">
        <v>17</v>
      </c>
      <c r="G1358">
        <v>30</v>
      </c>
      <c r="H1358">
        <v>0</v>
      </c>
      <c r="I1358" t="s">
        <v>21</v>
      </c>
      <c r="J1358">
        <v>89</v>
      </c>
      <c r="K1358" t="s">
        <v>33</v>
      </c>
      <c r="L1358">
        <v>69</v>
      </c>
      <c r="M1358">
        <f>IF(D1358=I1358,VLOOKUP(D1358,a_win_totals_lookup,MATCH(K1358,a_wins_total_lookup_header,0)+1,0),VLOOKUP(D1358,a_win_totals_lookup,MATCH(I1358,a_wins_total_lookup_header,0)+1,0))</f>
        <v>0.65818817024414811</v>
      </c>
      <c r="N1358">
        <f t="shared" ca="1" si="21"/>
        <v>1</v>
      </c>
    </row>
    <row r="1359" spans="1:14" x14ac:dyDescent="0.25">
      <c r="A1359">
        <v>400578974</v>
      </c>
      <c r="B1359">
        <v>2015</v>
      </c>
      <c r="C1359" s="1">
        <v>42032</v>
      </c>
      <c r="D1359" t="s">
        <v>21</v>
      </c>
      <c r="E1359">
        <v>1</v>
      </c>
      <c r="F1359">
        <v>9</v>
      </c>
      <c r="G1359">
        <v>37</v>
      </c>
      <c r="H1359">
        <v>1</v>
      </c>
      <c r="I1359" t="s">
        <v>21</v>
      </c>
      <c r="J1359">
        <v>89</v>
      </c>
      <c r="K1359" t="s">
        <v>33</v>
      </c>
      <c r="L1359">
        <v>69</v>
      </c>
      <c r="M1359">
        <f>IF(D1359=I1359,VLOOKUP(D1359,a_win_totals_lookup,MATCH(K1359,a_wins_total_lookup_header,0)+1,0),VLOOKUP(D1359,a_win_totals_lookup,MATCH(I1359,a_wins_total_lookup_header,0)+1,0))</f>
        <v>0.34181182975585189</v>
      </c>
      <c r="N1359">
        <f t="shared" ca="1" si="21"/>
        <v>0</v>
      </c>
    </row>
    <row r="1360" spans="1:14" x14ac:dyDescent="0.25">
      <c r="A1360">
        <v>400578975</v>
      </c>
      <c r="B1360">
        <v>2015</v>
      </c>
      <c r="C1360" s="1">
        <v>42032</v>
      </c>
      <c r="D1360" t="s">
        <v>26</v>
      </c>
      <c r="E1360">
        <v>1</v>
      </c>
      <c r="F1360">
        <v>38</v>
      </c>
      <c r="G1360">
        <v>8</v>
      </c>
      <c r="H1360">
        <v>1</v>
      </c>
      <c r="I1360" t="s">
        <v>26</v>
      </c>
      <c r="J1360">
        <v>113</v>
      </c>
      <c r="K1360" t="s">
        <v>23</v>
      </c>
      <c r="L1360">
        <v>102</v>
      </c>
      <c r="M1360">
        <f>IF(D1360=I1360,VLOOKUP(D1360,a_win_totals_lookup,MATCH(K1360,a_wins_total_lookup_header,0)+1,0),VLOOKUP(D1360,a_win_totals_lookup,MATCH(I1360,a_wins_total_lookup_header,0)+1,0))</f>
        <v>0.53928878009305825</v>
      </c>
      <c r="N1360">
        <f t="shared" ca="1" si="21"/>
        <v>1</v>
      </c>
    </row>
    <row r="1361" spans="1:14" x14ac:dyDescent="0.25">
      <c r="A1361">
        <v>400578975</v>
      </c>
      <c r="B1361">
        <v>2015</v>
      </c>
      <c r="C1361" s="1">
        <v>42032</v>
      </c>
      <c r="D1361" t="s">
        <v>23</v>
      </c>
      <c r="E1361">
        <v>0</v>
      </c>
      <c r="F1361">
        <v>18</v>
      </c>
      <c r="G1361">
        <v>27</v>
      </c>
      <c r="H1361">
        <v>0</v>
      </c>
      <c r="I1361" t="s">
        <v>26</v>
      </c>
      <c r="J1361">
        <v>113</v>
      </c>
      <c r="K1361" t="s">
        <v>23</v>
      </c>
      <c r="L1361">
        <v>102</v>
      </c>
      <c r="M1361">
        <f>IF(D1361=I1361,VLOOKUP(D1361,a_win_totals_lookup,MATCH(K1361,a_wins_total_lookup_header,0)+1,0),VLOOKUP(D1361,a_win_totals_lookup,MATCH(I1361,a_wins_total_lookup_header,0)+1,0))</f>
        <v>0.46071121990694175</v>
      </c>
      <c r="N1361">
        <f t="shared" ca="1" si="21"/>
        <v>0</v>
      </c>
    </row>
    <row r="1362" spans="1:14" x14ac:dyDescent="0.25">
      <c r="A1362">
        <v>400578976</v>
      </c>
      <c r="B1362">
        <v>2015</v>
      </c>
      <c r="C1362" s="1">
        <v>42032</v>
      </c>
      <c r="D1362" t="s">
        <v>37</v>
      </c>
      <c r="E1362">
        <v>0</v>
      </c>
      <c r="F1362">
        <v>16</v>
      </c>
      <c r="G1362">
        <v>28</v>
      </c>
      <c r="H1362">
        <v>0</v>
      </c>
      <c r="I1362" t="s">
        <v>27</v>
      </c>
      <c r="J1362">
        <v>119</v>
      </c>
      <c r="K1362" t="s">
        <v>37</v>
      </c>
      <c r="L1362">
        <v>102</v>
      </c>
      <c r="M1362">
        <f>IF(D1362=I1362,VLOOKUP(D1362,a_win_totals_lookup,MATCH(K1362,a_wins_total_lookup_header,0)+1,0),VLOOKUP(D1362,a_win_totals_lookup,MATCH(I1362,a_wins_total_lookup_header,0)+1,0))</f>
        <v>0.31410312396771667</v>
      </c>
      <c r="N1362">
        <f t="shared" ca="1" si="21"/>
        <v>1</v>
      </c>
    </row>
    <row r="1363" spans="1:14" x14ac:dyDescent="0.25">
      <c r="A1363">
        <v>400578976</v>
      </c>
      <c r="B1363">
        <v>2015</v>
      </c>
      <c r="C1363" s="1">
        <v>42032</v>
      </c>
      <c r="D1363" t="s">
        <v>27</v>
      </c>
      <c r="E1363">
        <v>1</v>
      </c>
      <c r="F1363">
        <v>31</v>
      </c>
      <c r="G1363">
        <v>15</v>
      </c>
      <c r="H1363">
        <v>1</v>
      </c>
      <c r="I1363" t="s">
        <v>27</v>
      </c>
      <c r="J1363">
        <v>119</v>
      </c>
      <c r="K1363" t="s">
        <v>37</v>
      </c>
      <c r="L1363">
        <v>102</v>
      </c>
      <c r="M1363">
        <f>IF(D1363=I1363,VLOOKUP(D1363,a_win_totals_lookup,MATCH(K1363,a_wins_total_lookup_header,0)+1,0),VLOOKUP(D1363,a_win_totals_lookup,MATCH(I1363,a_wins_total_lookup_header,0)+1,0))</f>
        <v>0.68589687603228333</v>
      </c>
      <c r="N1363">
        <f t="shared" ca="1" si="21"/>
        <v>1</v>
      </c>
    </row>
    <row r="1364" spans="1:14" x14ac:dyDescent="0.25">
      <c r="A1364">
        <v>400578977</v>
      </c>
      <c r="B1364">
        <v>2015</v>
      </c>
      <c r="C1364" s="1">
        <v>42032</v>
      </c>
      <c r="D1364" t="s">
        <v>14</v>
      </c>
      <c r="E1364">
        <v>0</v>
      </c>
      <c r="F1364">
        <v>30</v>
      </c>
      <c r="G1364">
        <v>17</v>
      </c>
      <c r="H1364">
        <v>0</v>
      </c>
      <c r="I1364" t="s">
        <v>16</v>
      </c>
      <c r="J1364">
        <v>99</v>
      </c>
      <c r="K1364" t="s">
        <v>14</v>
      </c>
      <c r="L1364">
        <v>94</v>
      </c>
      <c r="M1364">
        <f>IF(D1364=I1364,VLOOKUP(D1364,a_win_totals_lookup,MATCH(K1364,a_wins_total_lookup_header,0)+1,0),VLOOKUP(D1364,a_win_totals_lookup,MATCH(I1364,a_wins_total_lookup_header,0)+1,0))</f>
        <v>0.53429204972678024</v>
      </c>
      <c r="N1364">
        <f t="shared" ca="1" si="21"/>
        <v>1</v>
      </c>
    </row>
    <row r="1365" spans="1:14" x14ac:dyDescent="0.25">
      <c r="A1365">
        <v>400578977</v>
      </c>
      <c r="B1365">
        <v>2015</v>
      </c>
      <c r="C1365" s="1">
        <v>42032</v>
      </c>
      <c r="D1365" t="s">
        <v>16</v>
      </c>
      <c r="E1365">
        <v>1</v>
      </c>
      <c r="F1365">
        <v>32</v>
      </c>
      <c r="G1365">
        <v>14</v>
      </c>
      <c r="H1365">
        <v>1</v>
      </c>
      <c r="I1365" t="s">
        <v>16</v>
      </c>
      <c r="J1365">
        <v>99</v>
      </c>
      <c r="K1365" t="s">
        <v>14</v>
      </c>
      <c r="L1365">
        <v>94</v>
      </c>
      <c r="M1365">
        <f>IF(D1365=I1365,VLOOKUP(D1365,a_win_totals_lookup,MATCH(K1365,a_wins_total_lookup_header,0)+1,0),VLOOKUP(D1365,a_win_totals_lookup,MATCH(I1365,a_wins_total_lookup_header,0)+1,0))</f>
        <v>0.46570795027321976</v>
      </c>
      <c r="N1365">
        <f t="shared" ca="1" si="21"/>
        <v>0</v>
      </c>
    </row>
    <row r="1366" spans="1:14" x14ac:dyDescent="0.25">
      <c r="A1366">
        <v>400578978</v>
      </c>
      <c r="B1366">
        <v>2015</v>
      </c>
      <c r="C1366" s="1">
        <v>42032</v>
      </c>
      <c r="D1366" t="s">
        <v>22</v>
      </c>
      <c r="E1366">
        <v>0</v>
      </c>
      <c r="F1366">
        <v>16</v>
      </c>
      <c r="G1366">
        <v>28</v>
      </c>
      <c r="H1366">
        <v>0</v>
      </c>
      <c r="I1366" t="s">
        <v>29</v>
      </c>
      <c r="J1366">
        <v>110</v>
      </c>
      <c r="K1366" t="s">
        <v>22</v>
      </c>
      <c r="L1366">
        <v>98</v>
      </c>
      <c r="M1366">
        <f>IF(D1366=I1366,VLOOKUP(D1366,a_win_totals_lookup,MATCH(K1366,a_wins_total_lookup_header,0)+1,0),VLOOKUP(D1366,a_win_totals_lookup,MATCH(I1366,a_wins_total_lookup_header,0)+1,0))</f>
        <v>0.5</v>
      </c>
      <c r="N1366">
        <f t="shared" ca="1" si="21"/>
        <v>0</v>
      </c>
    </row>
    <row r="1367" spans="1:14" x14ac:dyDescent="0.25">
      <c r="A1367">
        <v>400578978</v>
      </c>
      <c r="B1367">
        <v>2015</v>
      </c>
      <c r="C1367" s="1">
        <v>42032</v>
      </c>
      <c r="D1367" t="s">
        <v>29</v>
      </c>
      <c r="E1367">
        <v>1</v>
      </c>
      <c r="F1367">
        <v>8</v>
      </c>
      <c r="G1367">
        <v>37</v>
      </c>
      <c r="H1367">
        <v>1</v>
      </c>
      <c r="I1367" t="s">
        <v>29</v>
      </c>
      <c r="J1367">
        <v>110</v>
      </c>
      <c r="K1367" t="s">
        <v>22</v>
      </c>
      <c r="L1367">
        <v>98</v>
      </c>
      <c r="M1367">
        <f>IF(D1367=I1367,VLOOKUP(D1367,a_win_totals_lookup,MATCH(K1367,a_wins_total_lookup_header,0)+1,0),VLOOKUP(D1367,a_win_totals_lookup,MATCH(I1367,a_wins_total_lookup_header,0)+1,0))</f>
        <v>0.5</v>
      </c>
      <c r="N1367">
        <f t="shared" ca="1" si="21"/>
        <v>1</v>
      </c>
    </row>
    <row r="1368" spans="1:14" x14ac:dyDescent="0.25">
      <c r="A1368">
        <v>400578979</v>
      </c>
      <c r="B1368">
        <v>2015</v>
      </c>
      <c r="C1368" s="1">
        <v>42032</v>
      </c>
      <c r="D1368" t="s">
        <v>32</v>
      </c>
      <c r="E1368">
        <v>1</v>
      </c>
      <c r="F1368">
        <v>19</v>
      </c>
      <c r="G1368">
        <v>27</v>
      </c>
      <c r="H1368">
        <v>0</v>
      </c>
      <c r="I1368" t="s">
        <v>12</v>
      </c>
      <c r="J1368">
        <v>85</v>
      </c>
      <c r="K1368" t="s">
        <v>32</v>
      </c>
      <c r="L1368">
        <v>93</v>
      </c>
      <c r="M1368">
        <f>IF(D1368=I1368,VLOOKUP(D1368,a_win_totals_lookup,MATCH(K1368,a_wins_total_lookup_header,0)+1,0),VLOOKUP(D1368,a_win_totals_lookup,MATCH(I1368,a_wins_total_lookup_header,0)+1,0))</f>
        <v>0.48625786874528693</v>
      </c>
      <c r="N1368">
        <f t="shared" ca="1" si="21"/>
        <v>0</v>
      </c>
    </row>
    <row r="1369" spans="1:14" x14ac:dyDescent="0.25">
      <c r="A1369">
        <v>400578979</v>
      </c>
      <c r="B1369">
        <v>2015</v>
      </c>
      <c r="C1369" s="1">
        <v>42032</v>
      </c>
      <c r="D1369" t="s">
        <v>12</v>
      </c>
      <c r="E1369">
        <v>0</v>
      </c>
      <c r="F1369">
        <v>24</v>
      </c>
      <c r="G1369">
        <v>22</v>
      </c>
      <c r="H1369">
        <v>1</v>
      </c>
      <c r="I1369" t="s">
        <v>12</v>
      </c>
      <c r="J1369">
        <v>85</v>
      </c>
      <c r="K1369" t="s">
        <v>32</v>
      </c>
      <c r="L1369">
        <v>93</v>
      </c>
      <c r="M1369">
        <f>IF(D1369=I1369,VLOOKUP(D1369,a_win_totals_lookup,MATCH(K1369,a_wins_total_lookup_header,0)+1,0),VLOOKUP(D1369,a_win_totals_lookup,MATCH(I1369,a_wins_total_lookup_header,0)+1,0))</f>
        <v>0.51374213125471302</v>
      </c>
      <c r="N1369">
        <f t="shared" ca="1" si="21"/>
        <v>1</v>
      </c>
    </row>
    <row r="1370" spans="1:14" x14ac:dyDescent="0.25">
      <c r="A1370">
        <v>400578980</v>
      </c>
      <c r="B1370">
        <v>2015</v>
      </c>
      <c r="C1370" s="1">
        <v>42032</v>
      </c>
      <c r="D1370" t="s">
        <v>31</v>
      </c>
      <c r="E1370">
        <v>1</v>
      </c>
      <c r="F1370">
        <v>9</v>
      </c>
      <c r="G1370">
        <v>37</v>
      </c>
      <c r="H1370">
        <v>1</v>
      </c>
      <c r="I1370" t="s">
        <v>31</v>
      </c>
      <c r="J1370">
        <v>100</v>
      </c>
      <c r="K1370" t="s">
        <v>38</v>
      </c>
      <c r="L1370">
        <v>92</v>
      </c>
      <c r="M1370">
        <f>IF(D1370=I1370,VLOOKUP(D1370,a_win_totals_lookup,MATCH(K1370,a_wins_total_lookup_header,0)+1,0),VLOOKUP(D1370,a_win_totals_lookup,MATCH(I1370,a_wins_total_lookup_header,0)+1,0))</f>
        <v>0.37147810462585762</v>
      </c>
      <c r="N1370">
        <f t="shared" ca="1" si="21"/>
        <v>0</v>
      </c>
    </row>
    <row r="1371" spans="1:14" x14ac:dyDescent="0.25">
      <c r="A1371">
        <v>400578980</v>
      </c>
      <c r="B1371">
        <v>2015</v>
      </c>
      <c r="C1371" s="1">
        <v>42032</v>
      </c>
      <c r="D1371" t="s">
        <v>38</v>
      </c>
      <c r="E1371">
        <v>0</v>
      </c>
      <c r="F1371">
        <v>23</v>
      </c>
      <c r="G1371">
        <v>23</v>
      </c>
      <c r="H1371">
        <v>0</v>
      </c>
      <c r="I1371" t="s">
        <v>31</v>
      </c>
      <c r="J1371">
        <v>100</v>
      </c>
      <c r="K1371" t="s">
        <v>38</v>
      </c>
      <c r="L1371">
        <v>92</v>
      </c>
      <c r="M1371">
        <f>IF(D1371=I1371,VLOOKUP(D1371,a_win_totals_lookup,MATCH(K1371,a_wins_total_lookup_header,0)+1,0),VLOOKUP(D1371,a_win_totals_lookup,MATCH(I1371,a_wins_total_lookup_header,0)+1,0))</f>
        <v>0.62852189537414238</v>
      </c>
      <c r="N1371">
        <f t="shared" ca="1" si="21"/>
        <v>1</v>
      </c>
    </row>
    <row r="1372" spans="1:14" x14ac:dyDescent="0.25">
      <c r="A1372">
        <v>400578981</v>
      </c>
      <c r="B1372">
        <v>2015</v>
      </c>
      <c r="C1372" s="1">
        <v>42032</v>
      </c>
      <c r="D1372" t="s">
        <v>18</v>
      </c>
      <c r="E1372">
        <v>0</v>
      </c>
      <c r="F1372">
        <v>19</v>
      </c>
      <c r="G1372">
        <v>27</v>
      </c>
      <c r="H1372">
        <v>0</v>
      </c>
      <c r="I1372" t="s">
        <v>15</v>
      </c>
      <c r="J1372">
        <v>95</v>
      </c>
      <c r="K1372" t="s">
        <v>18</v>
      </c>
      <c r="L1372">
        <v>86</v>
      </c>
      <c r="M1372">
        <f>IF(D1372=I1372,VLOOKUP(D1372,a_win_totals_lookup,MATCH(K1372,a_wins_total_lookup_header,0)+1,0),VLOOKUP(D1372,a_win_totals_lookup,MATCH(I1372,a_wins_total_lookup_header,0)+1,0))</f>
        <v>0.41969870974133011</v>
      </c>
      <c r="N1372">
        <f t="shared" ca="1" si="21"/>
        <v>1</v>
      </c>
    </row>
    <row r="1373" spans="1:14" x14ac:dyDescent="0.25">
      <c r="A1373">
        <v>400578981</v>
      </c>
      <c r="B1373">
        <v>2015</v>
      </c>
      <c r="C1373" s="1">
        <v>42032</v>
      </c>
      <c r="D1373" t="s">
        <v>15</v>
      </c>
      <c r="E1373">
        <v>1</v>
      </c>
      <c r="F1373">
        <v>30</v>
      </c>
      <c r="G1373">
        <v>17</v>
      </c>
      <c r="H1373">
        <v>1</v>
      </c>
      <c r="I1373" t="s">
        <v>15</v>
      </c>
      <c r="J1373">
        <v>95</v>
      </c>
      <c r="K1373" t="s">
        <v>18</v>
      </c>
      <c r="L1373">
        <v>86</v>
      </c>
      <c r="M1373">
        <f>IF(D1373=I1373,VLOOKUP(D1373,a_win_totals_lookup,MATCH(K1373,a_wins_total_lookup_header,0)+1,0),VLOOKUP(D1373,a_win_totals_lookup,MATCH(I1373,a_wins_total_lookup_header,0)+1,0))</f>
        <v>0.58030129025866994</v>
      </c>
      <c r="N1373">
        <f t="shared" ca="1" si="21"/>
        <v>1</v>
      </c>
    </row>
    <row r="1374" spans="1:14" x14ac:dyDescent="0.25">
      <c r="A1374">
        <v>400578982</v>
      </c>
      <c r="B1374">
        <v>2015</v>
      </c>
      <c r="C1374" s="1">
        <v>42032</v>
      </c>
      <c r="D1374" t="s">
        <v>41</v>
      </c>
      <c r="E1374">
        <v>1</v>
      </c>
      <c r="F1374">
        <v>32</v>
      </c>
      <c r="G1374">
        <v>14</v>
      </c>
      <c r="H1374">
        <v>0</v>
      </c>
      <c r="I1374" t="s">
        <v>34</v>
      </c>
      <c r="J1374">
        <v>89</v>
      </c>
      <c r="K1374" t="s">
        <v>41</v>
      </c>
      <c r="L1374">
        <v>94</v>
      </c>
      <c r="M1374">
        <f>IF(D1374=I1374,VLOOKUP(D1374,a_win_totals_lookup,MATCH(K1374,a_wins_total_lookup_header,0)+1,0),VLOOKUP(D1374,a_win_totals_lookup,MATCH(I1374,a_wins_total_lookup_header,0)+1,0))</f>
        <v>0.74387996100574205</v>
      </c>
      <c r="N1374">
        <f t="shared" ca="1" si="21"/>
        <v>1</v>
      </c>
    </row>
    <row r="1375" spans="1:14" x14ac:dyDescent="0.25">
      <c r="A1375">
        <v>400578982</v>
      </c>
      <c r="B1375">
        <v>2015</v>
      </c>
      <c r="C1375" s="1">
        <v>42032</v>
      </c>
      <c r="D1375" t="s">
        <v>34</v>
      </c>
      <c r="E1375">
        <v>0</v>
      </c>
      <c r="F1375">
        <v>16</v>
      </c>
      <c r="G1375">
        <v>30</v>
      </c>
      <c r="H1375">
        <v>1</v>
      </c>
      <c r="I1375" t="s">
        <v>34</v>
      </c>
      <c r="J1375">
        <v>89</v>
      </c>
      <c r="K1375" t="s">
        <v>41</v>
      </c>
      <c r="L1375">
        <v>94</v>
      </c>
      <c r="M1375">
        <f>IF(D1375=I1375,VLOOKUP(D1375,a_win_totals_lookup,MATCH(K1375,a_wins_total_lookup_header,0)+1,0),VLOOKUP(D1375,a_win_totals_lookup,MATCH(I1375,a_wins_total_lookup_header,0)+1,0))</f>
        <v>0.25612003899425795</v>
      </c>
      <c r="N1375">
        <f t="shared" ca="1" si="21"/>
        <v>0</v>
      </c>
    </row>
    <row r="1376" spans="1:14" x14ac:dyDescent="0.25">
      <c r="A1376">
        <v>400578983</v>
      </c>
      <c r="B1376">
        <v>2015</v>
      </c>
      <c r="C1376" s="1">
        <v>42032</v>
      </c>
      <c r="D1376" t="s">
        <v>35</v>
      </c>
      <c r="E1376">
        <v>1</v>
      </c>
      <c r="F1376">
        <v>27</v>
      </c>
      <c r="G1376">
        <v>20</v>
      </c>
      <c r="H1376">
        <v>1</v>
      </c>
      <c r="I1376" t="s">
        <v>35</v>
      </c>
      <c r="J1376">
        <v>106</v>
      </c>
      <c r="K1376" t="s">
        <v>25</v>
      </c>
      <c r="L1376">
        <v>98</v>
      </c>
      <c r="M1376">
        <f>IF(D1376=I1376,VLOOKUP(D1376,a_win_totals_lookup,MATCH(K1376,a_wins_total_lookup_header,0)+1,0),VLOOKUP(D1376,a_win_totals_lookup,MATCH(I1376,a_wins_total_lookup_header,0)+1,0))</f>
        <v>0.45630903898702979</v>
      </c>
      <c r="N1376">
        <f t="shared" ca="1" si="21"/>
        <v>0</v>
      </c>
    </row>
    <row r="1377" spans="1:14" x14ac:dyDescent="0.25">
      <c r="A1377">
        <v>400578983</v>
      </c>
      <c r="B1377">
        <v>2015</v>
      </c>
      <c r="C1377" s="1">
        <v>42032</v>
      </c>
      <c r="D1377" t="s">
        <v>25</v>
      </c>
      <c r="E1377">
        <v>0</v>
      </c>
      <c r="F1377">
        <v>31</v>
      </c>
      <c r="G1377">
        <v>16</v>
      </c>
      <c r="H1377">
        <v>0</v>
      </c>
      <c r="I1377" t="s">
        <v>35</v>
      </c>
      <c r="J1377">
        <v>106</v>
      </c>
      <c r="K1377" t="s">
        <v>25</v>
      </c>
      <c r="L1377">
        <v>98</v>
      </c>
      <c r="M1377">
        <f>IF(D1377=I1377,VLOOKUP(D1377,a_win_totals_lookup,MATCH(K1377,a_wins_total_lookup_header,0)+1,0),VLOOKUP(D1377,a_win_totals_lookup,MATCH(I1377,a_wins_total_lookup_header,0)+1,0))</f>
        <v>0.54369096101297021</v>
      </c>
      <c r="N1377">
        <f t="shared" ca="1" si="21"/>
        <v>1</v>
      </c>
    </row>
    <row r="1378" spans="1:14" x14ac:dyDescent="0.25">
      <c r="A1378">
        <v>400578984</v>
      </c>
      <c r="B1378">
        <v>2015</v>
      </c>
      <c r="C1378" s="1">
        <v>42033</v>
      </c>
      <c r="D1378" t="s">
        <v>19</v>
      </c>
      <c r="E1378">
        <v>1</v>
      </c>
      <c r="F1378">
        <v>24</v>
      </c>
      <c r="G1378">
        <v>22</v>
      </c>
      <c r="H1378">
        <v>0</v>
      </c>
      <c r="I1378" t="s">
        <v>13</v>
      </c>
      <c r="J1378">
        <v>100</v>
      </c>
      <c r="K1378" t="s">
        <v>19</v>
      </c>
      <c r="L1378">
        <v>115</v>
      </c>
      <c r="M1378">
        <f>IF(D1378=I1378,VLOOKUP(D1378,a_win_totals_lookup,MATCH(K1378,a_wins_total_lookup_header,0)+1,0),VLOOKUP(D1378,a_win_totals_lookup,MATCH(I1378,a_wins_total_lookup_header,0)+1,0))</f>
        <v>0.46303651516321748</v>
      </c>
      <c r="N1378">
        <f t="shared" ca="1" si="21"/>
        <v>0</v>
      </c>
    </row>
    <row r="1379" spans="1:14" x14ac:dyDescent="0.25">
      <c r="A1379">
        <v>400578984</v>
      </c>
      <c r="B1379">
        <v>2015</v>
      </c>
      <c r="C1379" s="1">
        <v>42033</v>
      </c>
      <c r="D1379" t="s">
        <v>13</v>
      </c>
      <c r="E1379">
        <v>0</v>
      </c>
      <c r="F1379">
        <v>15</v>
      </c>
      <c r="G1379">
        <v>34</v>
      </c>
      <c r="H1379">
        <v>1</v>
      </c>
      <c r="I1379" t="s">
        <v>13</v>
      </c>
      <c r="J1379">
        <v>100</v>
      </c>
      <c r="K1379" t="s">
        <v>19</v>
      </c>
      <c r="L1379">
        <v>115</v>
      </c>
      <c r="M1379">
        <f>IF(D1379=I1379,VLOOKUP(D1379,a_win_totals_lookup,MATCH(K1379,a_wins_total_lookup_header,0)+1,0),VLOOKUP(D1379,a_win_totals_lookup,MATCH(I1379,a_wins_total_lookup_header,0)+1,0))</f>
        <v>0.53696348483678247</v>
      </c>
      <c r="N1379">
        <f t="shared" ca="1" si="21"/>
        <v>1</v>
      </c>
    </row>
    <row r="1380" spans="1:14" x14ac:dyDescent="0.25">
      <c r="A1380">
        <v>400578985</v>
      </c>
      <c r="B1380">
        <v>2015</v>
      </c>
      <c r="C1380" s="1">
        <v>42033</v>
      </c>
      <c r="D1380" t="s">
        <v>32</v>
      </c>
      <c r="E1380">
        <v>0</v>
      </c>
      <c r="F1380">
        <v>19</v>
      </c>
      <c r="G1380">
        <v>28</v>
      </c>
      <c r="H1380">
        <v>0</v>
      </c>
      <c r="I1380" t="s">
        <v>28</v>
      </c>
      <c r="J1380">
        <v>99</v>
      </c>
      <c r="K1380" t="s">
        <v>32</v>
      </c>
      <c r="L1380">
        <v>69</v>
      </c>
      <c r="M1380">
        <f>IF(D1380=I1380,VLOOKUP(D1380,a_win_totals_lookup,MATCH(K1380,a_wins_total_lookup_header,0)+1,0),VLOOKUP(D1380,a_win_totals_lookup,MATCH(I1380,a_wins_total_lookup_header,0)+1,0))</f>
        <v>0.39989944995796567</v>
      </c>
      <c r="N1380">
        <f t="shared" ca="1" si="21"/>
        <v>0</v>
      </c>
    </row>
    <row r="1381" spans="1:14" x14ac:dyDescent="0.25">
      <c r="A1381">
        <v>400578985</v>
      </c>
      <c r="B1381">
        <v>2015</v>
      </c>
      <c r="C1381" s="1">
        <v>42033</v>
      </c>
      <c r="D1381" t="s">
        <v>28</v>
      </c>
      <c r="E1381">
        <v>1</v>
      </c>
      <c r="F1381">
        <v>34</v>
      </c>
      <c r="G1381">
        <v>12</v>
      </c>
      <c r="H1381">
        <v>1</v>
      </c>
      <c r="I1381" t="s">
        <v>28</v>
      </c>
      <c r="J1381">
        <v>99</v>
      </c>
      <c r="K1381" t="s">
        <v>32</v>
      </c>
      <c r="L1381">
        <v>69</v>
      </c>
      <c r="M1381">
        <f>IF(D1381=I1381,VLOOKUP(D1381,a_win_totals_lookup,MATCH(K1381,a_wins_total_lookup_header,0)+1,0),VLOOKUP(D1381,a_win_totals_lookup,MATCH(I1381,a_wins_total_lookup_header,0)+1,0))</f>
        <v>0.60010055004203433</v>
      </c>
      <c r="N1381">
        <f t="shared" ca="1" si="21"/>
        <v>0</v>
      </c>
    </row>
    <row r="1382" spans="1:14" x14ac:dyDescent="0.25">
      <c r="A1382">
        <v>400578986</v>
      </c>
      <c r="B1382">
        <v>2015</v>
      </c>
      <c r="C1382" s="1">
        <v>42033</v>
      </c>
      <c r="D1382" t="s">
        <v>20</v>
      </c>
      <c r="E1382">
        <v>1</v>
      </c>
      <c r="F1382">
        <v>17</v>
      </c>
      <c r="G1382">
        <v>31</v>
      </c>
      <c r="H1382">
        <v>1</v>
      </c>
      <c r="I1382" t="s">
        <v>20</v>
      </c>
      <c r="J1382">
        <v>103</v>
      </c>
      <c r="K1382" t="s">
        <v>31</v>
      </c>
      <c r="L1382">
        <v>82</v>
      </c>
      <c r="M1382">
        <f>IF(D1382=I1382,VLOOKUP(D1382,a_win_totals_lookup,MATCH(K1382,a_wins_total_lookup_header,0)+1,0),VLOOKUP(D1382,a_win_totals_lookup,MATCH(I1382,a_wins_total_lookup_header,0)+1,0))</f>
        <v>0.43927229864142858</v>
      </c>
      <c r="N1382">
        <f t="shared" ca="1" si="21"/>
        <v>0</v>
      </c>
    </row>
    <row r="1383" spans="1:14" x14ac:dyDescent="0.25">
      <c r="A1383">
        <v>400578986</v>
      </c>
      <c r="B1383">
        <v>2015</v>
      </c>
      <c r="C1383" s="1">
        <v>42033</v>
      </c>
      <c r="D1383" t="s">
        <v>31</v>
      </c>
      <c r="E1383">
        <v>0</v>
      </c>
      <c r="F1383">
        <v>9</v>
      </c>
      <c r="G1383">
        <v>38</v>
      </c>
      <c r="H1383">
        <v>0</v>
      </c>
      <c r="I1383" t="s">
        <v>20</v>
      </c>
      <c r="J1383">
        <v>103</v>
      </c>
      <c r="K1383" t="s">
        <v>31</v>
      </c>
      <c r="L1383">
        <v>82</v>
      </c>
      <c r="M1383">
        <f>IF(D1383=I1383,VLOOKUP(D1383,a_win_totals_lookup,MATCH(K1383,a_wins_total_lookup_header,0)+1,0),VLOOKUP(D1383,a_win_totals_lookup,MATCH(I1383,a_wins_total_lookup_header,0)+1,0))</f>
        <v>0.56072770135857142</v>
      </c>
      <c r="N1383">
        <f t="shared" ca="1" si="21"/>
        <v>1</v>
      </c>
    </row>
    <row r="1384" spans="1:14" x14ac:dyDescent="0.25">
      <c r="A1384">
        <v>400578987</v>
      </c>
      <c r="B1384">
        <v>2015</v>
      </c>
      <c r="C1384" s="1">
        <v>42033</v>
      </c>
      <c r="D1384" t="s">
        <v>30</v>
      </c>
      <c r="E1384">
        <v>0</v>
      </c>
      <c r="F1384">
        <v>30</v>
      </c>
      <c r="G1384">
        <v>18</v>
      </c>
      <c r="H1384">
        <v>0</v>
      </c>
      <c r="I1384" t="s">
        <v>17</v>
      </c>
      <c r="J1384">
        <v>123</v>
      </c>
      <c r="K1384" t="s">
        <v>30</v>
      </c>
      <c r="L1384">
        <v>118</v>
      </c>
      <c r="M1384">
        <f>IF(D1384=I1384,VLOOKUP(D1384,a_win_totals_lookup,MATCH(K1384,a_wins_total_lookup_header,0)+1,0),VLOOKUP(D1384,a_win_totals_lookup,MATCH(I1384,a_wins_total_lookup_header,0)+1,0))</f>
        <v>0.70784526159162375</v>
      </c>
      <c r="N1384">
        <f t="shared" ca="1" si="21"/>
        <v>1</v>
      </c>
    </row>
    <row r="1385" spans="1:14" x14ac:dyDescent="0.25">
      <c r="A1385">
        <v>400578987</v>
      </c>
      <c r="B1385">
        <v>2015</v>
      </c>
      <c r="C1385" s="1">
        <v>42033</v>
      </c>
      <c r="D1385" t="s">
        <v>17</v>
      </c>
      <c r="E1385">
        <v>1</v>
      </c>
      <c r="F1385">
        <v>13</v>
      </c>
      <c r="G1385">
        <v>34</v>
      </c>
      <c r="H1385">
        <v>1</v>
      </c>
      <c r="I1385" t="s">
        <v>17</v>
      </c>
      <c r="J1385">
        <v>123</v>
      </c>
      <c r="K1385" t="s">
        <v>30</v>
      </c>
      <c r="L1385">
        <v>118</v>
      </c>
      <c r="M1385">
        <f>IF(D1385=I1385,VLOOKUP(D1385,a_win_totals_lookup,MATCH(K1385,a_wins_total_lookup_header,0)+1,0),VLOOKUP(D1385,a_win_totals_lookup,MATCH(I1385,a_wins_total_lookup_header,0)+1,0))</f>
        <v>0.29215473840837614</v>
      </c>
      <c r="N1385">
        <f t="shared" ca="1" si="21"/>
        <v>0</v>
      </c>
    </row>
    <row r="1386" spans="1:14" x14ac:dyDescent="0.25">
      <c r="A1386">
        <v>400578988</v>
      </c>
      <c r="B1386">
        <v>2015</v>
      </c>
      <c r="C1386" s="1">
        <v>42034</v>
      </c>
      <c r="D1386" t="s">
        <v>29</v>
      </c>
      <c r="E1386">
        <v>0</v>
      </c>
      <c r="F1386">
        <v>8</v>
      </c>
      <c r="G1386">
        <v>38</v>
      </c>
      <c r="H1386">
        <v>0</v>
      </c>
      <c r="I1386" t="s">
        <v>21</v>
      </c>
      <c r="J1386">
        <v>103</v>
      </c>
      <c r="K1386" t="s">
        <v>29</v>
      </c>
      <c r="L1386">
        <v>94</v>
      </c>
      <c r="M1386">
        <f>IF(D1386=I1386,VLOOKUP(D1386,a_win_totals_lookup,MATCH(K1386,a_wins_total_lookup_header,0)+1,0),VLOOKUP(D1386,a_win_totals_lookup,MATCH(I1386,a_wins_total_lookup_header,0)+1,0))</f>
        <v>0.53961526258126746</v>
      </c>
      <c r="N1386">
        <f t="shared" ca="1" si="21"/>
        <v>0</v>
      </c>
    </row>
    <row r="1387" spans="1:14" x14ac:dyDescent="0.25">
      <c r="A1387">
        <v>400578988</v>
      </c>
      <c r="B1387">
        <v>2015</v>
      </c>
      <c r="C1387" s="1">
        <v>42034</v>
      </c>
      <c r="D1387" t="s">
        <v>21</v>
      </c>
      <c r="E1387">
        <v>1</v>
      </c>
      <c r="F1387">
        <v>10</v>
      </c>
      <c r="G1387">
        <v>37</v>
      </c>
      <c r="H1387">
        <v>1</v>
      </c>
      <c r="I1387" t="s">
        <v>21</v>
      </c>
      <c r="J1387">
        <v>103</v>
      </c>
      <c r="K1387" t="s">
        <v>29</v>
      </c>
      <c r="L1387">
        <v>94</v>
      </c>
      <c r="M1387">
        <f>IF(D1387=I1387,VLOOKUP(D1387,a_win_totals_lookup,MATCH(K1387,a_wins_total_lookup_header,0)+1,0),VLOOKUP(D1387,a_win_totals_lookup,MATCH(I1387,a_wins_total_lookup_header,0)+1,0))</f>
        <v>0.46038473741873248</v>
      </c>
      <c r="N1387">
        <f t="shared" ca="1" si="21"/>
        <v>0</v>
      </c>
    </row>
    <row r="1388" spans="1:14" x14ac:dyDescent="0.25">
      <c r="A1388">
        <v>400578989</v>
      </c>
      <c r="B1388">
        <v>2015</v>
      </c>
      <c r="C1388" s="1">
        <v>42034</v>
      </c>
      <c r="D1388" t="s">
        <v>26</v>
      </c>
      <c r="E1388">
        <v>1</v>
      </c>
      <c r="F1388">
        <v>39</v>
      </c>
      <c r="G1388">
        <v>8</v>
      </c>
      <c r="H1388">
        <v>1</v>
      </c>
      <c r="I1388" t="s">
        <v>26</v>
      </c>
      <c r="J1388">
        <v>105</v>
      </c>
      <c r="K1388" t="s">
        <v>39</v>
      </c>
      <c r="L1388">
        <v>99</v>
      </c>
      <c r="M1388">
        <f>IF(D1388=I1388,VLOOKUP(D1388,a_win_totals_lookup,MATCH(K1388,a_wins_total_lookup_header,0)+1,0),VLOOKUP(D1388,a_win_totals_lookup,MATCH(I1388,a_wins_total_lookup_header,0)+1,0))</f>
        <v>0.44695853169533922</v>
      </c>
      <c r="N1388">
        <f t="shared" ca="1" si="21"/>
        <v>0</v>
      </c>
    </row>
    <row r="1389" spans="1:14" x14ac:dyDescent="0.25">
      <c r="A1389">
        <v>400578989</v>
      </c>
      <c r="B1389">
        <v>2015</v>
      </c>
      <c r="C1389" s="1">
        <v>42034</v>
      </c>
      <c r="D1389" t="s">
        <v>39</v>
      </c>
      <c r="E1389">
        <v>0</v>
      </c>
      <c r="F1389">
        <v>32</v>
      </c>
      <c r="G1389">
        <v>15</v>
      </c>
      <c r="H1389">
        <v>0</v>
      </c>
      <c r="I1389" t="s">
        <v>26</v>
      </c>
      <c r="J1389">
        <v>105</v>
      </c>
      <c r="K1389" t="s">
        <v>39</v>
      </c>
      <c r="L1389">
        <v>99</v>
      </c>
      <c r="M1389">
        <f>IF(D1389=I1389,VLOOKUP(D1389,a_win_totals_lookup,MATCH(K1389,a_wins_total_lookup_header,0)+1,0),VLOOKUP(D1389,a_win_totals_lookup,MATCH(I1389,a_wins_total_lookup_header,0)+1,0))</f>
        <v>0.55304146830466083</v>
      </c>
      <c r="N1389">
        <f t="shared" ca="1" si="21"/>
        <v>0</v>
      </c>
    </row>
    <row r="1390" spans="1:14" x14ac:dyDescent="0.25">
      <c r="A1390">
        <v>400578990</v>
      </c>
      <c r="B1390">
        <v>2015</v>
      </c>
      <c r="C1390" s="1">
        <v>42034</v>
      </c>
      <c r="D1390" t="s">
        <v>22</v>
      </c>
      <c r="E1390">
        <v>0</v>
      </c>
      <c r="F1390">
        <v>16</v>
      </c>
      <c r="G1390">
        <v>29</v>
      </c>
      <c r="H1390">
        <v>1</v>
      </c>
      <c r="I1390" t="s">
        <v>22</v>
      </c>
      <c r="J1390">
        <v>87</v>
      </c>
      <c r="K1390" t="s">
        <v>16</v>
      </c>
      <c r="L1390">
        <v>93</v>
      </c>
      <c r="M1390">
        <f>IF(D1390=I1390,VLOOKUP(D1390,a_win_totals_lookup,MATCH(K1390,a_wins_total_lookup_header,0)+1,0),VLOOKUP(D1390,a_win_totals_lookup,MATCH(I1390,a_wins_total_lookup_header,0)+1,0))</f>
        <v>0.267238229826881</v>
      </c>
      <c r="N1390">
        <f t="shared" ca="1" si="21"/>
        <v>1</v>
      </c>
    </row>
    <row r="1391" spans="1:14" x14ac:dyDescent="0.25">
      <c r="A1391">
        <v>400578990</v>
      </c>
      <c r="B1391">
        <v>2015</v>
      </c>
      <c r="C1391" s="1">
        <v>42034</v>
      </c>
      <c r="D1391" t="s">
        <v>16</v>
      </c>
      <c r="E1391">
        <v>1</v>
      </c>
      <c r="F1391">
        <v>33</v>
      </c>
      <c r="G1391">
        <v>14</v>
      </c>
      <c r="H1391">
        <v>0</v>
      </c>
      <c r="I1391" t="s">
        <v>22</v>
      </c>
      <c r="J1391">
        <v>87</v>
      </c>
      <c r="K1391" t="s">
        <v>16</v>
      </c>
      <c r="L1391">
        <v>93</v>
      </c>
      <c r="M1391">
        <f>IF(D1391=I1391,VLOOKUP(D1391,a_win_totals_lookup,MATCH(K1391,a_wins_total_lookup_header,0)+1,0),VLOOKUP(D1391,a_win_totals_lookup,MATCH(I1391,a_wins_total_lookup_header,0)+1,0))</f>
        <v>0.73276177017311905</v>
      </c>
      <c r="N1391">
        <f t="shared" ca="1" si="21"/>
        <v>1</v>
      </c>
    </row>
    <row r="1392" spans="1:14" x14ac:dyDescent="0.25">
      <c r="A1392">
        <v>400578991</v>
      </c>
      <c r="B1392">
        <v>2015</v>
      </c>
      <c r="C1392" s="1">
        <v>42034</v>
      </c>
      <c r="D1392" t="s">
        <v>23</v>
      </c>
      <c r="E1392">
        <v>0</v>
      </c>
      <c r="F1392">
        <v>18</v>
      </c>
      <c r="G1392">
        <v>28</v>
      </c>
      <c r="H1392">
        <v>1</v>
      </c>
      <c r="I1392" t="s">
        <v>23</v>
      </c>
      <c r="J1392">
        <v>122</v>
      </c>
      <c r="K1392" t="s">
        <v>27</v>
      </c>
      <c r="L1392">
        <v>127</v>
      </c>
      <c r="M1392">
        <f>IF(D1392=I1392,VLOOKUP(D1392,a_win_totals_lookup,MATCH(K1392,a_wins_total_lookup_header,0)+1,0),VLOOKUP(D1392,a_win_totals_lookup,MATCH(I1392,a_wins_total_lookup_header,0)+1,0))</f>
        <v>0.38459864577188729</v>
      </c>
      <c r="N1392">
        <f t="shared" ca="1" si="21"/>
        <v>0</v>
      </c>
    </row>
    <row r="1393" spans="1:14" x14ac:dyDescent="0.25">
      <c r="A1393">
        <v>400578991</v>
      </c>
      <c r="B1393">
        <v>2015</v>
      </c>
      <c r="C1393" s="1">
        <v>42034</v>
      </c>
      <c r="D1393" t="s">
        <v>27</v>
      </c>
      <c r="E1393">
        <v>1</v>
      </c>
      <c r="F1393">
        <v>32</v>
      </c>
      <c r="G1393">
        <v>15</v>
      </c>
      <c r="H1393">
        <v>0</v>
      </c>
      <c r="I1393" t="s">
        <v>23</v>
      </c>
      <c r="J1393">
        <v>122</v>
      </c>
      <c r="K1393" t="s">
        <v>27</v>
      </c>
      <c r="L1393">
        <v>127</v>
      </c>
      <c r="M1393">
        <f>IF(D1393=I1393,VLOOKUP(D1393,a_win_totals_lookup,MATCH(K1393,a_wins_total_lookup_header,0)+1,0),VLOOKUP(D1393,a_win_totals_lookup,MATCH(I1393,a_wins_total_lookup_header,0)+1,0))</f>
        <v>0.61540135422811282</v>
      </c>
      <c r="N1393">
        <f t="shared" ca="1" si="21"/>
        <v>1</v>
      </c>
    </row>
    <row r="1394" spans="1:14" x14ac:dyDescent="0.25">
      <c r="A1394">
        <v>400578992</v>
      </c>
      <c r="B1394">
        <v>2015</v>
      </c>
      <c r="C1394" s="1">
        <v>42034</v>
      </c>
      <c r="D1394" t="s">
        <v>40</v>
      </c>
      <c r="E1394">
        <v>1</v>
      </c>
      <c r="F1394">
        <v>28</v>
      </c>
      <c r="G1394">
        <v>20</v>
      </c>
      <c r="H1394">
        <v>1</v>
      </c>
      <c r="I1394" t="s">
        <v>40</v>
      </c>
      <c r="J1394">
        <v>101</v>
      </c>
      <c r="K1394" t="s">
        <v>37</v>
      </c>
      <c r="L1394">
        <v>90</v>
      </c>
      <c r="M1394">
        <f>IF(D1394=I1394,VLOOKUP(D1394,a_win_totals_lookup,MATCH(K1394,a_wins_total_lookup_header,0)+1,0),VLOOKUP(D1394,a_win_totals_lookup,MATCH(I1394,a_wins_total_lookup_header,0)+1,0))</f>
        <v>0.71629315358675483</v>
      </c>
      <c r="N1394">
        <f t="shared" ca="1" si="21"/>
        <v>1</v>
      </c>
    </row>
    <row r="1395" spans="1:14" x14ac:dyDescent="0.25">
      <c r="A1395">
        <v>400578992</v>
      </c>
      <c r="B1395">
        <v>2015</v>
      </c>
      <c r="C1395" s="1">
        <v>42034</v>
      </c>
      <c r="D1395" t="s">
        <v>37</v>
      </c>
      <c r="E1395">
        <v>0</v>
      </c>
      <c r="F1395">
        <v>16</v>
      </c>
      <c r="G1395">
        <v>29</v>
      </c>
      <c r="H1395">
        <v>0</v>
      </c>
      <c r="I1395" t="s">
        <v>40</v>
      </c>
      <c r="J1395">
        <v>101</v>
      </c>
      <c r="K1395" t="s">
        <v>37</v>
      </c>
      <c r="L1395">
        <v>90</v>
      </c>
      <c r="M1395">
        <f>IF(D1395=I1395,VLOOKUP(D1395,a_win_totals_lookup,MATCH(K1395,a_wins_total_lookup_header,0)+1,0),VLOOKUP(D1395,a_win_totals_lookup,MATCH(I1395,a_wins_total_lookup_header,0)+1,0))</f>
        <v>0.28370684641324517</v>
      </c>
      <c r="N1395">
        <f t="shared" ca="1" si="21"/>
        <v>0</v>
      </c>
    </row>
    <row r="1396" spans="1:14" x14ac:dyDescent="0.25">
      <c r="A1396">
        <v>400578993</v>
      </c>
      <c r="B1396">
        <v>2015</v>
      </c>
      <c r="C1396" s="1">
        <v>42034</v>
      </c>
      <c r="D1396" t="s">
        <v>41</v>
      </c>
      <c r="E1396">
        <v>0</v>
      </c>
      <c r="F1396">
        <v>32</v>
      </c>
      <c r="G1396">
        <v>15</v>
      </c>
      <c r="H1396">
        <v>0</v>
      </c>
      <c r="I1396" t="s">
        <v>12</v>
      </c>
      <c r="J1396">
        <v>108</v>
      </c>
      <c r="K1396" t="s">
        <v>41</v>
      </c>
      <c r="L1396">
        <v>103</v>
      </c>
      <c r="M1396">
        <f>IF(D1396=I1396,VLOOKUP(D1396,a_win_totals_lookup,MATCH(K1396,a_wins_total_lookup_header,0)+1,0),VLOOKUP(D1396,a_win_totals_lookup,MATCH(I1396,a_wins_total_lookup_header,0)+1,0))</f>
        <v>0.63650670086846906</v>
      </c>
      <c r="N1396">
        <f t="shared" ca="1" si="21"/>
        <v>1</v>
      </c>
    </row>
    <row r="1397" spans="1:14" x14ac:dyDescent="0.25">
      <c r="A1397">
        <v>400578993</v>
      </c>
      <c r="B1397">
        <v>2015</v>
      </c>
      <c r="C1397" s="1">
        <v>42034</v>
      </c>
      <c r="D1397" t="s">
        <v>12</v>
      </c>
      <c r="E1397">
        <v>1</v>
      </c>
      <c r="F1397">
        <v>25</v>
      </c>
      <c r="G1397">
        <v>22</v>
      </c>
      <c r="H1397">
        <v>1</v>
      </c>
      <c r="I1397" t="s">
        <v>12</v>
      </c>
      <c r="J1397">
        <v>108</v>
      </c>
      <c r="K1397" t="s">
        <v>41</v>
      </c>
      <c r="L1397">
        <v>103</v>
      </c>
      <c r="M1397">
        <f>IF(D1397=I1397,VLOOKUP(D1397,a_win_totals_lookup,MATCH(K1397,a_wins_total_lookup_header,0)+1,0),VLOOKUP(D1397,a_win_totals_lookup,MATCH(I1397,a_wins_total_lookup_header,0)+1,0))</f>
        <v>0.36349329913153089</v>
      </c>
      <c r="N1397">
        <f t="shared" ca="1" si="21"/>
        <v>1</v>
      </c>
    </row>
    <row r="1398" spans="1:14" x14ac:dyDescent="0.25">
      <c r="A1398">
        <v>400578994</v>
      </c>
      <c r="B1398">
        <v>2015</v>
      </c>
      <c r="C1398" s="1">
        <v>42034</v>
      </c>
      <c r="D1398" t="s">
        <v>14</v>
      </c>
      <c r="E1398">
        <v>1</v>
      </c>
      <c r="F1398">
        <v>31</v>
      </c>
      <c r="G1398">
        <v>17</v>
      </c>
      <c r="H1398">
        <v>0</v>
      </c>
      <c r="I1398" t="s">
        <v>24</v>
      </c>
      <c r="J1398">
        <v>72</v>
      </c>
      <c r="K1398" t="s">
        <v>14</v>
      </c>
      <c r="L1398">
        <v>93</v>
      </c>
      <c r="M1398">
        <f>IF(D1398=I1398,VLOOKUP(D1398,a_win_totals_lookup,MATCH(K1398,a_wins_total_lookup_header,0)+1,0),VLOOKUP(D1398,a_win_totals_lookup,MATCH(I1398,a_wins_total_lookup_header,0)+1,0))</f>
        <v>0.56588759857073379</v>
      </c>
      <c r="N1398">
        <f t="shared" ca="1" si="21"/>
        <v>0</v>
      </c>
    </row>
    <row r="1399" spans="1:14" x14ac:dyDescent="0.25">
      <c r="A1399">
        <v>400578994</v>
      </c>
      <c r="B1399">
        <v>2015</v>
      </c>
      <c r="C1399" s="1">
        <v>42034</v>
      </c>
      <c r="D1399" t="s">
        <v>24</v>
      </c>
      <c r="E1399">
        <v>0</v>
      </c>
      <c r="F1399">
        <v>20</v>
      </c>
      <c r="G1399">
        <v>26</v>
      </c>
      <c r="H1399">
        <v>1</v>
      </c>
      <c r="I1399" t="s">
        <v>24</v>
      </c>
      <c r="J1399">
        <v>72</v>
      </c>
      <c r="K1399" t="s">
        <v>14</v>
      </c>
      <c r="L1399">
        <v>93</v>
      </c>
      <c r="M1399">
        <f>IF(D1399=I1399,VLOOKUP(D1399,a_win_totals_lookup,MATCH(K1399,a_wins_total_lookup_header,0)+1,0),VLOOKUP(D1399,a_win_totals_lookup,MATCH(I1399,a_wins_total_lookup_header,0)+1,0))</f>
        <v>0.43411240142926621</v>
      </c>
      <c r="N1399">
        <f t="shared" ca="1" si="21"/>
        <v>0</v>
      </c>
    </row>
    <row r="1400" spans="1:14" x14ac:dyDescent="0.25">
      <c r="A1400">
        <v>400578995</v>
      </c>
      <c r="B1400">
        <v>2015</v>
      </c>
      <c r="C1400" s="1">
        <v>42034</v>
      </c>
      <c r="D1400" t="s">
        <v>36</v>
      </c>
      <c r="E1400">
        <v>0</v>
      </c>
      <c r="F1400">
        <v>36</v>
      </c>
      <c r="G1400">
        <v>8</v>
      </c>
      <c r="H1400">
        <v>0</v>
      </c>
      <c r="I1400" t="s">
        <v>34</v>
      </c>
      <c r="J1400">
        <v>110</v>
      </c>
      <c r="K1400" t="s">
        <v>36</v>
      </c>
      <c r="L1400">
        <v>100</v>
      </c>
      <c r="M1400">
        <f>IF(D1400=I1400,VLOOKUP(D1400,a_win_totals_lookup,MATCH(K1400,a_wins_total_lookup_header,0)+1,0),VLOOKUP(D1400,a_win_totals_lookup,MATCH(I1400,a_wins_total_lookup_header,0)+1,0))</f>
        <v>0.72111517802286307</v>
      </c>
      <c r="N1400">
        <f t="shared" ca="1" si="21"/>
        <v>0</v>
      </c>
    </row>
    <row r="1401" spans="1:14" x14ac:dyDescent="0.25">
      <c r="A1401">
        <v>400578995</v>
      </c>
      <c r="B1401">
        <v>2015</v>
      </c>
      <c r="C1401" s="1">
        <v>42034</v>
      </c>
      <c r="D1401" t="s">
        <v>34</v>
      </c>
      <c r="E1401">
        <v>1</v>
      </c>
      <c r="F1401">
        <v>17</v>
      </c>
      <c r="G1401">
        <v>30</v>
      </c>
      <c r="H1401">
        <v>1</v>
      </c>
      <c r="I1401" t="s">
        <v>34</v>
      </c>
      <c r="J1401">
        <v>110</v>
      </c>
      <c r="K1401" t="s">
        <v>36</v>
      </c>
      <c r="L1401">
        <v>100</v>
      </c>
      <c r="M1401">
        <f>IF(D1401=I1401,VLOOKUP(D1401,a_win_totals_lookup,MATCH(K1401,a_wins_total_lookup_header,0)+1,0),VLOOKUP(D1401,a_win_totals_lookup,MATCH(I1401,a_wins_total_lookup_header,0)+1,0))</f>
        <v>0.27888482197713693</v>
      </c>
      <c r="N1401">
        <f t="shared" ca="1" si="21"/>
        <v>0</v>
      </c>
    </row>
    <row r="1402" spans="1:14" x14ac:dyDescent="0.25">
      <c r="A1402">
        <v>400578996</v>
      </c>
      <c r="B1402">
        <v>2015</v>
      </c>
      <c r="C1402" s="1">
        <v>42034</v>
      </c>
      <c r="D1402" t="s">
        <v>30</v>
      </c>
      <c r="E1402">
        <v>0</v>
      </c>
      <c r="F1402">
        <v>30</v>
      </c>
      <c r="G1402">
        <v>19</v>
      </c>
      <c r="H1402">
        <v>0</v>
      </c>
      <c r="I1402" t="s">
        <v>35</v>
      </c>
      <c r="J1402">
        <v>99</v>
      </c>
      <c r="K1402" t="s">
        <v>30</v>
      </c>
      <c r="L1402">
        <v>93</v>
      </c>
      <c r="M1402">
        <f>IF(D1402=I1402,VLOOKUP(D1402,a_win_totals_lookup,MATCH(K1402,a_wins_total_lookup_header,0)+1,0),VLOOKUP(D1402,a_win_totals_lookup,MATCH(I1402,a_wins_total_lookup_header,0)+1,0))</f>
        <v>0.60265274759969689</v>
      </c>
      <c r="N1402">
        <f t="shared" ca="1" si="21"/>
        <v>0</v>
      </c>
    </row>
    <row r="1403" spans="1:14" x14ac:dyDescent="0.25">
      <c r="A1403">
        <v>400578996</v>
      </c>
      <c r="B1403">
        <v>2015</v>
      </c>
      <c r="C1403" s="1">
        <v>42034</v>
      </c>
      <c r="D1403" t="s">
        <v>35</v>
      </c>
      <c r="E1403">
        <v>1</v>
      </c>
      <c r="F1403">
        <v>28</v>
      </c>
      <c r="G1403">
        <v>20</v>
      </c>
      <c r="H1403">
        <v>1</v>
      </c>
      <c r="I1403" t="s">
        <v>35</v>
      </c>
      <c r="J1403">
        <v>99</v>
      </c>
      <c r="K1403" t="s">
        <v>30</v>
      </c>
      <c r="L1403">
        <v>93</v>
      </c>
      <c r="M1403">
        <f>IF(D1403=I1403,VLOOKUP(D1403,a_win_totals_lookup,MATCH(K1403,a_wins_total_lookup_header,0)+1,0),VLOOKUP(D1403,a_win_totals_lookup,MATCH(I1403,a_wins_total_lookup_header,0)+1,0))</f>
        <v>0.39734725240030316</v>
      </c>
      <c r="N1403">
        <f t="shared" ca="1" si="21"/>
        <v>0</v>
      </c>
    </row>
    <row r="1404" spans="1:14" x14ac:dyDescent="0.25">
      <c r="A1404">
        <v>400578997</v>
      </c>
      <c r="B1404">
        <v>2015</v>
      </c>
      <c r="C1404" s="1">
        <v>42035</v>
      </c>
      <c r="D1404" t="s">
        <v>20</v>
      </c>
      <c r="E1404">
        <v>0</v>
      </c>
      <c r="F1404">
        <v>17</v>
      </c>
      <c r="G1404">
        <v>32</v>
      </c>
      <c r="H1404">
        <v>1</v>
      </c>
      <c r="I1404" t="s">
        <v>20</v>
      </c>
      <c r="J1404">
        <v>94</v>
      </c>
      <c r="K1404" t="s">
        <v>37</v>
      </c>
      <c r="L1404">
        <v>99</v>
      </c>
      <c r="M1404">
        <f>IF(D1404=I1404,VLOOKUP(D1404,a_win_totals_lookup,MATCH(K1404,a_wins_total_lookup_header,0)+1,0),VLOOKUP(D1404,a_win_totals_lookup,MATCH(I1404,a_wins_total_lookup_header,0)+1,0))</f>
        <v>0.51669770605406096</v>
      </c>
      <c r="N1404">
        <f t="shared" ca="1" si="21"/>
        <v>1</v>
      </c>
    </row>
    <row r="1405" spans="1:14" x14ac:dyDescent="0.25">
      <c r="A1405">
        <v>400578997</v>
      </c>
      <c r="B1405">
        <v>2015</v>
      </c>
      <c r="C1405" s="1">
        <v>42035</v>
      </c>
      <c r="D1405" t="s">
        <v>37</v>
      </c>
      <c r="E1405">
        <v>1</v>
      </c>
      <c r="F1405">
        <v>17</v>
      </c>
      <c r="G1405">
        <v>29</v>
      </c>
      <c r="H1405">
        <v>0</v>
      </c>
      <c r="I1405" t="s">
        <v>20</v>
      </c>
      <c r="J1405">
        <v>94</v>
      </c>
      <c r="K1405" t="s">
        <v>37</v>
      </c>
      <c r="L1405">
        <v>99</v>
      </c>
      <c r="M1405">
        <f>IF(D1405=I1405,VLOOKUP(D1405,a_win_totals_lookup,MATCH(K1405,a_wins_total_lookup_header,0)+1,0),VLOOKUP(D1405,a_win_totals_lookup,MATCH(I1405,a_wins_total_lookup_header,0)+1,0))</f>
        <v>0.48330229394593899</v>
      </c>
      <c r="N1405">
        <f t="shared" ca="1" si="21"/>
        <v>0</v>
      </c>
    </row>
    <row r="1406" spans="1:14" x14ac:dyDescent="0.25">
      <c r="A1406">
        <v>400578998</v>
      </c>
      <c r="B1406">
        <v>2015</v>
      </c>
      <c r="C1406" s="1">
        <v>42035</v>
      </c>
      <c r="D1406" t="s">
        <v>14</v>
      </c>
      <c r="E1406">
        <v>1</v>
      </c>
      <c r="F1406">
        <v>32</v>
      </c>
      <c r="G1406">
        <v>17</v>
      </c>
      <c r="H1406">
        <v>0</v>
      </c>
      <c r="I1406" t="s">
        <v>13</v>
      </c>
      <c r="J1406">
        <v>93</v>
      </c>
      <c r="K1406" t="s">
        <v>14</v>
      </c>
      <c r="L1406">
        <v>108</v>
      </c>
      <c r="M1406">
        <f>IF(D1406=I1406,VLOOKUP(D1406,a_win_totals_lookup,MATCH(K1406,a_wins_total_lookup_header,0)+1,0),VLOOKUP(D1406,a_win_totals_lookup,MATCH(I1406,a_wins_total_lookup_header,0)+1,0))</f>
        <v>0.71526442122822687</v>
      </c>
      <c r="N1406">
        <f t="shared" ca="1" si="21"/>
        <v>1</v>
      </c>
    </row>
    <row r="1407" spans="1:14" x14ac:dyDescent="0.25">
      <c r="A1407">
        <v>400578998</v>
      </c>
      <c r="B1407">
        <v>2015</v>
      </c>
      <c r="C1407" s="1">
        <v>42035</v>
      </c>
      <c r="D1407" t="s">
        <v>13</v>
      </c>
      <c r="E1407">
        <v>0</v>
      </c>
      <c r="F1407">
        <v>15</v>
      </c>
      <c r="G1407">
        <v>35</v>
      </c>
      <c r="H1407">
        <v>1</v>
      </c>
      <c r="I1407" t="s">
        <v>13</v>
      </c>
      <c r="J1407">
        <v>93</v>
      </c>
      <c r="K1407" t="s">
        <v>14</v>
      </c>
      <c r="L1407">
        <v>108</v>
      </c>
      <c r="M1407">
        <f>IF(D1407=I1407,VLOOKUP(D1407,a_win_totals_lookup,MATCH(K1407,a_wins_total_lookup_header,0)+1,0),VLOOKUP(D1407,a_win_totals_lookup,MATCH(I1407,a_wins_total_lookup_header,0)+1,0))</f>
        <v>0.28473557877177313</v>
      </c>
      <c r="N1407">
        <f t="shared" ca="1" si="21"/>
        <v>0</v>
      </c>
    </row>
    <row r="1408" spans="1:14" x14ac:dyDescent="0.25">
      <c r="A1408">
        <v>400578999</v>
      </c>
      <c r="B1408">
        <v>2015</v>
      </c>
      <c r="C1408" s="1">
        <v>42035</v>
      </c>
      <c r="D1408" t="s">
        <v>27</v>
      </c>
      <c r="E1408">
        <v>1</v>
      </c>
      <c r="F1408">
        <v>33</v>
      </c>
      <c r="G1408">
        <v>15</v>
      </c>
      <c r="H1408">
        <v>0</v>
      </c>
      <c r="I1408" t="s">
        <v>25</v>
      </c>
      <c r="J1408">
        <v>116</v>
      </c>
      <c r="K1408" t="s">
        <v>27</v>
      </c>
      <c r="L1408">
        <v>120</v>
      </c>
      <c r="M1408">
        <f>IF(D1408=I1408,VLOOKUP(D1408,a_win_totals_lookup,MATCH(K1408,a_wins_total_lookup_header,0)+1,0),VLOOKUP(D1408,a_win_totals_lookup,MATCH(I1408,a_wins_total_lookup_header,0)+1,0))</f>
        <v>0.53429204972678024</v>
      </c>
      <c r="N1408">
        <f t="shared" ca="1" si="21"/>
        <v>1</v>
      </c>
    </row>
    <row r="1409" spans="1:14" x14ac:dyDescent="0.25">
      <c r="A1409">
        <v>400578999</v>
      </c>
      <c r="B1409">
        <v>2015</v>
      </c>
      <c r="C1409" s="1">
        <v>42035</v>
      </c>
      <c r="D1409" t="s">
        <v>25</v>
      </c>
      <c r="E1409">
        <v>0</v>
      </c>
      <c r="F1409">
        <v>31</v>
      </c>
      <c r="G1409">
        <v>17</v>
      </c>
      <c r="H1409">
        <v>1</v>
      </c>
      <c r="I1409" t="s">
        <v>25</v>
      </c>
      <c r="J1409">
        <v>116</v>
      </c>
      <c r="K1409" t="s">
        <v>27</v>
      </c>
      <c r="L1409">
        <v>120</v>
      </c>
      <c r="M1409">
        <f>IF(D1409=I1409,VLOOKUP(D1409,a_win_totals_lookup,MATCH(K1409,a_wins_total_lookup_header,0)+1,0),VLOOKUP(D1409,a_win_totals_lookup,MATCH(I1409,a_wins_total_lookup_header,0)+1,0))</f>
        <v>0.46570795027321976</v>
      </c>
      <c r="N1409">
        <f t="shared" ca="1" si="21"/>
        <v>1</v>
      </c>
    </row>
    <row r="1410" spans="1:14" x14ac:dyDescent="0.25">
      <c r="A1410">
        <v>400579000</v>
      </c>
      <c r="B1410">
        <v>2015</v>
      </c>
      <c r="C1410" s="1">
        <v>42035</v>
      </c>
      <c r="D1410" t="s">
        <v>26</v>
      </c>
      <c r="E1410">
        <v>1</v>
      </c>
      <c r="F1410">
        <v>40</v>
      </c>
      <c r="G1410">
        <v>8</v>
      </c>
      <c r="H1410">
        <v>1</v>
      </c>
      <c r="I1410" t="s">
        <v>26</v>
      </c>
      <c r="J1410">
        <v>91</v>
      </c>
      <c r="K1410" t="s">
        <v>21</v>
      </c>
      <c r="L1410">
        <v>85</v>
      </c>
      <c r="M1410">
        <f>IF(D1410=I1410,VLOOKUP(D1410,a_win_totals_lookup,MATCH(K1410,a_wins_total_lookup_header,0)+1,0),VLOOKUP(D1410,a_win_totals_lookup,MATCH(I1410,a_wins_total_lookup_header,0)+1,0))</f>
        <v>0.72953473790298751</v>
      </c>
      <c r="N1410">
        <f t="shared" ca="1" si="21"/>
        <v>0</v>
      </c>
    </row>
    <row r="1411" spans="1:14" x14ac:dyDescent="0.25">
      <c r="A1411">
        <v>400579000</v>
      </c>
      <c r="B1411">
        <v>2015</v>
      </c>
      <c r="C1411" s="1">
        <v>42035</v>
      </c>
      <c r="D1411" t="s">
        <v>21</v>
      </c>
      <c r="E1411">
        <v>0</v>
      </c>
      <c r="F1411">
        <v>10</v>
      </c>
      <c r="G1411">
        <v>38</v>
      </c>
      <c r="H1411">
        <v>0</v>
      </c>
      <c r="I1411" t="s">
        <v>26</v>
      </c>
      <c r="J1411">
        <v>91</v>
      </c>
      <c r="K1411" t="s">
        <v>21</v>
      </c>
      <c r="L1411">
        <v>85</v>
      </c>
      <c r="M1411">
        <f>IF(D1411=I1411,VLOOKUP(D1411,a_win_totals_lookup,MATCH(K1411,a_wins_total_lookup_header,0)+1,0),VLOOKUP(D1411,a_win_totals_lookup,MATCH(I1411,a_wins_total_lookup_header,0)+1,0))</f>
        <v>0.27046526209701249</v>
      </c>
      <c r="N1411">
        <f t="shared" ref="N1411:N1474" ca="1" si="22">ROUND(0.5*RANDBETWEEN(-1,1)+M1411,0)</f>
        <v>1</v>
      </c>
    </row>
    <row r="1412" spans="1:14" x14ac:dyDescent="0.25">
      <c r="A1412">
        <v>400579001</v>
      </c>
      <c r="B1412">
        <v>2015</v>
      </c>
      <c r="C1412" s="1">
        <v>42035</v>
      </c>
      <c r="D1412" t="s">
        <v>33</v>
      </c>
      <c r="E1412">
        <v>1</v>
      </c>
      <c r="F1412">
        <v>18</v>
      </c>
      <c r="G1412">
        <v>30</v>
      </c>
      <c r="H1412">
        <v>1</v>
      </c>
      <c r="I1412" t="s">
        <v>33</v>
      </c>
      <c r="J1412">
        <v>114</v>
      </c>
      <c r="K1412" t="s">
        <v>16</v>
      </c>
      <c r="L1412">
        <v>101</v>
      </c>
      <c r="M1412">
        <f>IF(D1412=I1412,VLOOKUP(D1412,a_win_totals_lookup,MATCH(K1412,a_wins_total_lookup_header,0)+1,0),VLOOKUP(D1412,a_win_totals_lookup,MATCH(I1412,a_wins_total_lookup_header,0)+1,0))</f>
        <v>0.37466773589115104</v>
      </c>
      <c r="N1412">
        <f t="shared" ca="1" si="22"/>
        <v>0</v>
      </c>
    </row>
    <row r="1413" spans="1:14" x14ac:dyDescent="0.25">
      <c r="A1413">
        <v>400579001</v>
      </c>
      <c r="B1413">
        <v>2015</v>
      </c>
      <c r="C1413" s="1">
        <v>42035</v>
      </c>
      <c r="D1413" t="s">
        <v>16</v>
      </c>
      <c r="E1413">
        <v>0</v>
      </c>
      <c r="F1413">
        <v>33</v>
      </c>
      <c r="G1413">
        <v>15</v>
      </c>
      <c r="H1413">
        <v>0</v>
      </c>
      <c r="I1413" t="s">
        <v>33</v>
      </c>
      <c r="J1413">
        <v>114</v>
      </c>
      <c r="K1413" t="s">
        <v>16</v>
      </c>
      <c r="L1413">
        <v>101</v>
      </c>
      <c r="M1413">
        <f>IF(D1413=I1413,VLOOKUP(D1413,a_win_totals_lookup,MATCH(K1413,a_wins_total_lookup_header,0)+1,0),VLOOKUP(D1413,a_win_totals_lookup,MATCH(I1413,a_wins_total_lookup_header,0)+1,0))</f>
        <v>0.6253322641088489</v>
      </c>
      <c r="N1413">
        <f t="shared" ca="1" si="22"/>
        <v>1</v>
      </c>
    </row>
    <row r="1414" spans="1:14" x14ac:dyDescent="0.25">
      <c r="A1414">
        <v>400579002</v>
      </c>
      <c r="B1414">
        <v>2015</v>
      </c>
      <c r="C1414" s="1">
        <v>42035</v>
      </c>
      <c r="D1414" t="s">
        <v>28</v>
      </c>
      <c r="E1414">
        <v>1</v>
      </c>
      <c r="F1414">
        <v>35</v>
      </c>
      <c r="G1414">
        <v>12</v>
      </c>
      <c r="H1414">
        <v>1</v>
      </c>
      <c r="I1414" t="s">
        <v>28</v>
      </c>
      <c r="J1414">
        <v>85</v>
      </c>
      <c r="K1414" t="s">
        <v>38</v>
      </c>
      <c r="L1414">
        <v>74</v>
      </c>
      <c r="M1414">
        <f>IF(D1414=I1414,VLOOKUP(D1414,a_win_totals_lookup,MATCH(K1414,a_wins_total_lookup_header,0)+1,0),VLOOKUP(D1414,a_win_totals_lookup,MATCH(I1414,a_wins_total_lookup_header,0)+1,0))</f>
        <v>0.47003673139148761</v>
      </c>
      <c r="N1414">
        <f t="shared" ca="1" si="22"/>
        <v>0</v>
      </c>
    </row>
    <row r="1415" spans="1:14" x14ac:dyDescent="0.25">
      <c r="A1415">
        <v>400579002</v>
      </c>
      <c r="B1415">
        <v>2015</v>
      </c>
      <c r="C1415" s="1">
        <v>42035</v>
      </c>
      <c r="D1415" t="s">
        <v>38</v>
      </c>
      <c r="E1415">
        <v>0</v>
      </c>
      <c r="F1415">
        <v>23</v>
      </c>
      <c r="G1415">
        <v>24</v>
      </c>
      <c r="H1415">
        <v>0</v>
      </c>
      <c r="I1415" t="s">
        <v>28</v>
      </c>
      <c r="J1415">
        <v>85</v>
      </c>
      <c r="K1415" t="s">
        <v>38</v>
      </c>
      <c r="L1415">
        <v>74</v>
      </c>
      <c r="M1415">
        <f>IF(D1415=I1415,VLOOKUP(D1415,a_win_totals_lookup,MATCH(K1415,a_wins_total_lookup_header,0)+1,0),VLOOKUP(D1415,a_win_totals_lookup,MATCH(I1415,a_wins_total_lookup_header,0)+1,0))</f>
        <v>0.52996326860851239</v>
      </c>
      <c r="N1415">
        <f t="shared" ca="1" si="22"/>
        <v>0</v>
      </c>
    </row>
    <row r="1416" spans="1:14" x14ac:dyDescent="0.25">
      <c r="A1416">
        <v>400579003</v>
      </c>
      <c r="B1416">
        <v>2015</v>
      </c>
      <c r="C1416" s="1">
        <v>42035</v>
      </c>
      <c r="D1416" t="s">
        <v>40</v>
      </c>
      <c r="E1416">
        <v>1</v>
      </c>
      <c r="F1416">
        <v>29</v>
      </c>
      <c r="G1416">
        <v>20</v>
      </c>
      <c r="H1416">
        <v>0</v>
      </c>
      <c r="I1416" t="s">
        <v>29</v>
      </c>
      <c r="J1416">
        <v>90</v>
      </c>
      <c r="K1416" t="s">
        <v>40</v>
      </c>
      <c r="L1416">
        <v>106</v>
      </c>
      <c r="M1416">
        <f>IF(D1416=I1416,VLOOKUP(D1416,a_win_totals_lookup,MATCH(K1416,a_wins_total_lookup_header,0)+1,0),VLOOKUP(D1416,a_win_totals_lookup,MATCH(I1416,a_wins_total_lookup_header,0)+1,0))</f>
        <v>0.7843512669729592</v>
      </c>
      <c r="N1416">
        <f t="shared" ca="1" si="22"/>
        <v>0</v>
      </c>
    </row>
    <row r="1417" spans="1:14" x14ac:dyDescent="0.25">
      <c r="A1417">
        <v>400579003</v>
      </c>
      <c r="B1417">
        <v>2015</v>
      </c>
      <c r="C1417" s="1">
        <v>42035</v>
      </c>
      <c r="D1417" t="s">
        <v>29</v>
      </c>
      <c r="E1417">
        <v>0</v>
      </c>
      <c r="F1417">
        <v>8</v>
      </c>
      <c r="G1417">
        <v>39</v>
      </c>
      <c r="H1417">
        <v>1</v>
      </c>
      <c r="I1417" t="s">
        <v>29</v>
      </c>
      <c r="J1417">
        <v>90</v>
      </c>
      <c r="K1417" t="s">
        <v>40</v>
      </c>
      <c r="L1417">
        <v>106</v>
      </c>
      <c r="M1417">
        <f>IF(D1417=I1417,VLOOKUP(D1417,a_win_totals_lookup,MATCH(K1417,a_wins_total_lookup_header,0)+1,0),VLOOKUP(D1417,a_win_totals_lookup,MATCH(I1417,a_wins_total_lookup_header,0)+1,0))</f>
        <v>0.21564873302704085</v>
      </c>
      <c r="N1417">
        <f t="shared" ca="1" si="22"/>
        <v>1</v>
      </c>
    </row>
    <row r="1418" spans="1:14" x14ac:dyDescent="0.25">
      <c r="A1418">
        <v>400579004</v>
      </c>
      <c r="B1418">
        <v>2015</v>
      </c>
      <c r="C1418" s="1">
        <v>42035</v>
      </c>
      <c r="D1418" t="s">
        <v>19</v>
      </c>
      <c r="E1418">
        <v>1</v>
      </c>
      <c r="F1418">
        <v>25</v>
      </c>
      <c r="G1418">
        <v>22</v>
      </c>
      <c r="H1418">
        <v>1</v>
      </c>
      <c r="I1418" t="s">
        <v>19</v>
      </c>
      <c r="J1418">
        <v>95</v>
      </c>
      <c r="K1418" t="s">
        <v>39</v>
      </c>
      <c r="L1418">
        <v>88</v>
      </c>
      <c r="M1418">
        <f>IF(D1418=I1418,VLOOKUP(D1418,a_win_totals_lookup,MATCH(K1418,a_wins_total_lookup_header,0)+1,0),VLOOKUP(D1418,a_win_totals_lookup,MATCH(I1418,a_wins_total_lookup_header,0)+1,0))</f>
        <v>0.27496260988622268</v>
      </c>
      <c r="N1418">
        <f t="shared" ca="1" si="22"/>
        <v>1</v>
      </c>
    </row>
    <row r="1419" spans="1:14" x14ac:dyDescent="0.25">
      <c r="A1419">
        <v>400579004</v>
      </c>
      <c r="B1419">
        <v>2015</v>
      </c>
      <c r="C1419" s="1">
        <v>42035</v>
      </c>
      <c r="D1419" t="s">
        <v>39</v>
      </c>
      <c r="E1419">
        <v>0</v>
      </c>
      <c r="F1419">
        <v>32</v>
      </c>
      <c r="G1419">
        <v>16</v>
      </c>
      <c r="H1419">
        <v>0</v>
      </c>
      <c r="I1419" t="s">
        <v>19</v>
      </c>
      <c r="J1419">
        <v>95</v>
      </c>
      <c r="K1419" t="s">
        <v>39</v>
      </c>
      <c r="L1419">
        <v>88</v>
      </c>
      <c r="M1419">
        <f>IF(D1419=I1419,VLOOKUP(D1419,a_win_totals_lookup,MATCH(K1419,a_wins_total_lookup_header,0)+1,0),VLOOKUP(D1419,a_win_totals_lookup,MATCH(I1419,a_wins_total_lookup_header,0)+1,0))</f>
        <v>0.72503739011377732</v>
      </c>
      <c r="N1419">
        <f t="shared" ca="1" si="22"/>
        <v>1</v>
      </c>
    </row>
    <row r="1420" spans="1:14" x14ac:dyDescent="0.25">
      <c r="A1420">
        <v>400579005</v>
      </c>
      <c r="B1420">
        <v>2015</v>
      </c>
      <c r="C1420" s="1">
        <v>42035</v>
      </c>
      <c r="D1420" t="s">
        <v>18</v>
      </c>
      <c r="E1420">
        <v>1</v>
      </c>
      <c r="F1420">
        <v>20</v>
      </c>
      <c r="G1420">
        <v>27</v>
      </c>
      <c r="H1420">
        <v>0</v>
      </c>
      <c r="I1420" t="s">
        <v>32</v>
      </c>
      <c r="J1420">
        <v>86</v>
      </c>
      <c r="K1420" t="s">
        <v>18</v>
      </c>
      <c r="L1420">
        <v>104</v>
      </c>
      <c r="M1420">
        <f>IF(D1420=I1420,VLOOKUP(D1420,a_win_totals_lookup,MATCH(K1420,a_wins_total_lookup_header,0)+1,0),VLOOKUP(D1420,a_win_totals_lookup,MATCH(I1420,a_wins_total_lookup_header,0)+1,0))</f>
        <v>0.56217650088579807</v>
      </c>
      <c r="N1420">
        <f t="shared" ca="1" si="22"/>
        <v>1</v>
      </c>
    </row>
    <row r="1421" spans="1:14" x14ac:dyDescent="0.25">
      <c r="A1421">
        <v>400579005</v>
      </c>
      <c r="B1421">
        <v>2015</v>
      </c>
      <c r="C1421" s="1">
        <v>42035</v>
      </c>
      <c r="D1421" t="s">
        <v>32</v>
      </c>
      <c r="E1421">
        <v>0</v>
      </c>
      <c r="F1421">
        <v>19</v>
      </c>
      <c r="G1421">
        <v>29</v>
      </c>
      <c r="H1421">
        <v>1</v>
      </c>
      <c r="I1421" t="s">
        <v>32</v>
      </c>
      <c r="J1421">
        <v>86</v>
      </c>
      <c r="K1421" t="s">
        <v>18</v>
      </c>
      <c r="L1421">
        <v>104</v>
      </c>
      <c r="M1421">
        <f>IF(D1421=I1421,VLOOKUP(D1421,a_win_totals_lookup,MATCH(K1421,a_wins_total_lookup_header,0)+1,0),VLOOKUP(D1421,a_win_totals_lookup,MATCH(I1421,a_wins_total_lookup_header,0)+1,0))</f>
        <v>0.43782349911420193</v>
      </c>
      <c r="N1421">
        <f t="shared" ca="1" si="22"/>
        <v>0</v>
      </c>
    </row>
    <row r="1422" spans="1:14" x14ac:dyDescent="0.25">
      <c r="A1422">
        <v>400579006</v>
      </c>
      <c r="B1422">
        <v>2015</v>
      </c>
      <c r="C1422" s="1">
        <v>42035</v>
      </c>
      <c r="D1422" t="s">
        <v>41</v>
      </c>
      <c r="E1422">
        <v>1</v>
      </c>
      <c r="F1422">
        <v>33</v>
      </c>
      <c r="G1422">
        <v>15</v>
      </c>
      <c r="H1422">
        <v>0</v>
      </c>
      <c r="I1422" t="s">
        <v>15</v>
      </c>
      <c r="J1422">
        <v>85</v>
      </c>
      <c r="K1422" t="s">
        <v>41</v>
      </c>
      <c r="L1422">
        <v>105</v>
      </c>
      <c r="M1422">
        <f>IF(D1422=I1422,VLOOKUP(D1422,a_win_totals_lookup,MATCH(K1422,a_wins_total_lookup_header,0)+1,0),VLOOKUP(D1422,a_win_totals_lookup,MATCH(I1422,a_wins_total_lookup_header,0)+1,0))</f>
        <v>0.5103000717980084</v>
      </c>
      <c r="N1422">
        <f t="shared" ca="1" si="22"/>
        <v>0</v>
      </c>
    </row>
    <row r="1423" spans="1:14" x14ac:dyDescent="0.25">
      <c r="A1423">
        <v>400579006</v>
      </c>
      <c r="B1423">
        <v>2015</v>
      </c>
      <c r="C1423" s="1">
        <v>42035</v>
      </c>
      <c r="D1423" t="s">
        <v>15</v>
      </c>
      <c r="E1423">
        <v>0</v>
      </c>
      <c r="F1423">
        <v>30</v>
      </c>
      <c r="G1423">
        <v>18</v>
      </c>
      <c r="H1423">
        <v>1</v>
      </c>
      <c r="I1423" t="s">
        <v>15</v>
      </c>
      <c r="J1423">
        <v>85</v>
      </c>
      <c r="K1423" t="s">
        <v>41</v>
      </c>
      <c r="L1423">
        <v>105</v>
      </c>
      <c r="M1423">
        <f>IF(D1423=I1423,VLOOKUP(D1423,a_win_totals_lookup,MATCH(K1423,a_wins_total_lookup_header,0)+1,0),VLOOKUP(D1423,a_win_totals_lookup,MATCH(I1423,a_wins_total_lookup_header,0)+1,0))</f>
        <v>0.48969992820199154</v>
      </c>
      <c r="N1423">
        <f t="shared" ca="1" si="22"/>
        <v>1</v>
      </c>
    </row>
    <row r="1424" spans="1:14" x14ac:dyDescent="0.25">
      <c r="A1424">
        <v>400579007</v>
      </c>
      <c r="B1424">
        <v>2015</v>
      </c>
      <c r="C1424" s="1">
        <v>42035</v>
      </c>
      <c r="D1424" t="s">
        <v>36</v>
      </c>
      <c r="E1424">
        <v>1</v>
      </c>
      <c r="F1424">
        <v>37</v>
      </c>
      <c r="G1424">
        <v>8</v>
      </c>
      <c r="H1424">
        <v>1</v>
      </c>
      <c r="I1424" t="s">
        <v>36</v>
      </c>
      <c r="J1424">
        <v>106</v>
      </c>
      <c r="K1424" t="s">
        <v>35</v>
      </c>
      <c r="L1424">
        <v>87</v>
      </c>
      <c r="M1424">
        <f>IF(D1424=I1424,VLOOKUP(D1424,a_win_totals_lookup,MATCH(K1424,a_wins_total_lookup_header,0)+1,0),VLOOKUP(D1424,a_win_totals_lookup,MATCH(I1424,a_wins_total_lookup_header,0)+1,0))</f>
        <v>0.58455563190980453</v>
      </c>
      <c r="N1424">
        <f t="shared" ca="1" si="22"/>
        <v>0</v>
      </c>
    </row>
    <row r="1425" spans="1:14" x14ac:dyDescent="0.25">
      <c r="A1425">
        <v>400579007</v>
      </c>
      <c r="B1425">
        <v>2015</v>
      </c>
      <c r="C1425" s="1">
        <v>42035</v>
      </c>
      <c r="D1425" t="s">
        <v>35</v>
      </c>
      <c r="E1425">
        <v>0</v>
      </c>
      <c r="F1425">
        <v>28</v>
      </c>
      <c r="G1425">
        <v>21</v>
      </c>
      <c r="H1425">
        <v>0</v>
      </c>
      <c r="I1425" t="s">
        <v>36</v>
      </c>
      <c r="J1425">
        <v>106</v>
      </c>
      <c r="K1425" t="s">
        <v>35</v>
      </c>
      <c r="L1425">
        <v>87</v>
      </c>
      <c r="M1425">
        <f>IF(D1425=I1425,VLOOKUP(D1425,a_win_totals_lookup,MATCH(K1425,a_wins_total_lookup_header,0)+1,0),VLOOKUP(D1425,a_win_totals_lookup,MATCH(I1425,a_wins_total_lookup_header,0)+1,0))</f>
        <v>0.41544436809019553</v>
      </c>
      <c r="N1425">
        <f t="shared" ca="1" si="22"/>
        <v>0</v>
      </c>
    </row>
    <row r="1426" spans="1:14" x14ac:dyDescent="0.25">
      <c r="A1426">
        <v>400579008</v>
      </c>
      <c r="B1426">
        <v>2015</v>
      </c>
      <c r="C1426" s="1">
        <v>42036</v>
      </c>
      <c r="D1426" t="s">
        <v>22</v>
      </c>
      <c r="E1426">
        <v>0</v>
      </c>
      <c r="F1426">
        <v>16</v>
      </c>
      <c r="G1426">
        <v>30</v>
      </c>
      <c r="H1426">
        <v>1</v>
      </c>
      <c r="I1426" t="s">
        <v>22</v>
      </c>
      <c r="J1426">
        <v>75</v>
      </c>
      <c r="K1426" t="s">
        <v>24</v>
      </c>
      <c r="L1426">
        <v>83</v>
      </c>
      <c r="M1426">
        <f>IF(D1426=I1426,VLOOKUP(D1426,a_win_totals_lookup,MATCH(K1426,a_wins_total_lookup_header,0)+1,0),VLOOKUP(D1426,a_win_totals_lookup,MATCH(I1426,a_wins_total_lookup_header,0)+1,0))</f>
        <v>0.29297639017457672</v>
      </c>
      <c r="N1426">
        <f t="shared" ca="1" si="22"/>
        <v>1</v>
      </c>
    </row>
    <row r="1427" spans="1:14" x14ac:dyDescent="0.25">
      <c r="A1427">
        <v>400579008</v>
      </c>
      <c r="B1427">
        <v>2015</v>
      </c>
      <c r="C1427" s="1">
        <v>42036</v>
      </c>
      <c r="D1427" t="s">
        <v>24</v>
      </c>
      <c r="E1427">
        <v>1</v>
      </c>
      <c r="F1427">
        <v>21</v>
      </c>
      <c r="G1427">
        <v>26</v>
      </c>
      <c r="H1427">
        <v>0</v>
      </c>
      <c r="I1427" t="s">
        <v>22</v>
      </c>
      <c r="J1427">
        <v>75</v>
      </c>
      <c r="K1427" t="s">
        <v>24</v>
      </c>
      <c r="L1427">
        <v>83</v>
      </c>
      <c r="M1427">
        <f>IF(D1427=I1427,VLOOKUP(D1427,a_win_totals_lookup,MATCH(K1427,a_wins_total_lookup_header,0)+1,0),VLOOKUP(D1427,a_win_totals_lookup,MATCH(I1427,a_wins_total_lookup_header,0)+1,0))</f>
        <v>0.70702360982542323</v>
      </c>
      <c r="N1427">
        <f t="shared" ca="1" si="22"/>
        <v>1</v>
      </c>
    </row>
    <row r="1428" spans="1:14" x14ac:dyDescent="0.25">
      <c r="A1428">
        <v>400579009</v>
      </c>
      <c r="B1428">
        <v>2015</v>
      </c>
      <c r="C1428" s="1">
        <v>42036</v>
      </c>
      <c r="D1428" t="s">
        <v>17</v>
      </c>
      <c r="E1428">
        <v>0</v>
      </c>
      <c r="F1428">
        <v>13</v>
      </c>
      <c r="G1428">
        <v>35</v>
      </c>
      <c r="H1428">
        <v>0</v>
      </c>
      <c r="I1428" t="s">
        <v>31</v>
      </c>
      <c r="J1428">
        <v>92</v>
      </c>
      <c r="K1428" t="s">
        <v>17</v>
      </c>
      <c r="L1428">
        <v>80</v>
      </c>
      <c r="M1428">
        <f>IF(D1428=I1428,VLOOKUP(D1428,a_win_totals_lookup,MATCH(K1428,a_wins_total_lookup_header,0)+1,0),VLOOKUP(D1428,a_win_totals_lookup,MATCH(I1428,a_wins_total_lookup_header,0)+1,0))</f>
        <v>0.42288736553718415</v>
      </c>
      <c r="N1428">
        <f t="shared" ca="1" si="22"/>
        <v>0</v>
      </c>
    </row>
    <row r="1429" spans="1:14" x14ac:dyDescent="0.25">
      <c r="A1429">
        <v>400579009</v>
      </c>
      <c r="B1429">
        <v>2015</v>
      </c>
      <c r="C1429" s="1">
        <v>42036</v>
      </c>
      <c r="D1429" t="s">
        <v>31</v>
      </c>
      <c r="E1429">
        <v>1</v>
      </c>
      <c r="F1429">
        <v>10</v>
      </c>
      <c r="G1429">
        <v>38</v>
      </c>
      <c r="H1429">
        <v>1</v>
      </c>
      <c r="I1429" t="s">
        <v>31</v>
      </c>
      <c r="J1429">
        <v>92</v>
      </c>
      <c r="K1429" t="s">
        <v>17</v>
      </c>
      <c r="L1429">
        <v>80</v>
      </c>
      <c r="M1429">
        <f>IF(D1429=I1429,VLOOKUP(D1429,a_win_totals_lookup,MATCH(K1429,a_wins_total_lookup_header,0)+1,0),VLOOKUP(D1429,a_win_totals_lookup,MATCH(I1429,a_wins_total_lookup_header,0)+1,0))</f>
        <v>0.57711263446281591</v>
      </c>
      <c r="N1429">
        <f t="shared" ca="1" si="22"/>
        <v>0</v>
      </c>
    </row>
    <row r="1430" spans="1:14" x14ac:dyDescent="0.25">
      <c r="A1430">
        <v>400579010</v>
      </c>
      <c r="B1430">
        <v>2015</v>
      </c>
      <c r="C1430" s="1">
        <v>42037</v>
      </c>
      <c r="D1430" t="s">
        <v>40</v>
      </c>
      <c r="E1430">
        <v>1</v>
      </c>
      <c r="F1430">
        <v>30</v>
      </c>
      <c r="G1430">
        <v>20</v>
      </c>
      <c r="H1430">
        <v>1</v>
      </c>
      <c r="I1430" t="s">
        <v>40</v>
      </c>
      <c r="J1430">
        <v>97</v>
      </c>
      <c r="K1430" t="s">
        <v>21</v>
      </c>
      <c r="L1430">
        <v>84</v>
      </c>
      <c r="M1430">
        <f>IF(D1430=I1430,VLOOKUP(D1430,a_win_totals_lookup,MATCH(K1430,a_wins_total_lookup_header,0)+1,0),VLOOKUP(D1430,a_win_totals_lookup,MATCH(I1430,a_wins_total_lookup_header,0)+1,0))</f>
        <v>0.80999843398468707</v>
      </c>
      <c r="N1430">
        <f t="shared" ca="1" si="22"/>
        <v>1</v>
      </c>
    </row>
    <row r="1431" spans="1:14" x14ac:dyDescent="0.25">
      <c r="A1431">
        <v>400579010</v>
      </c>
      <c r="B1431">
        <v>2015</v>
      </c>
      <c r="C1431" s="1">
        <v>42037</v>
      </c>
      <c r="D1431" t="s">
        <v>21</v>
      </c>
      <c r="E1431">
        <v>0</v>
      </c>
      <c r="F1431">
        <v>10</v>
      </c>
      <c r="G1431">
        <v>39</v>
      </c>
      <c r="H1431">
        <v>0</v>
      </c>
      <c r="I1431" t="s">
        <v>40</v>
      </c>
      <c r="J1431">
        <v>97</v>
      </c>
      <c r="K1431" t="s">
        <v>21</v>
      </c>
      <c r="L1431">
        <v>84</v>
      </c>
      <c r="M1431">
        <f>IF(D1431=I1431,VLOOKUP(D1431,a_win_totals_lookup,MATCH(K1431,a_wins_total_lookup_header,0)+1,0),VLOOKUP(D1431,a_win_totals_lookup,MATCH(I1431,a_wins_total_lookup_header,0)+1,0))</f>
        <v>0.19000156601531293</v>
      </c>
      <c r="N1431">
        <f t="shared" ca="1" si="22"/>
        <v>0</v>
      </c>
    </row>
    <row r="1432" spans="1:14" x14ac:dyDescent="0.25">
      <c r="A1432">
        <v>400579011</v>
      </c>
      <c r="B1432">
        <v>2015</v>
      </c>
      <c r="C1432" s="1">
        <v>42037</v>
      </c>
      <c r="D1432" t="s">
        <v>18</v>
      </c>
      <c r="E1432">
        <v>1</v>
      </c>
      <c r="F1432">
        <v>21</v>
      </c>
      <c r="G1432">
        <v>27</v>
      </c>
      <c r="H1432">
        <v>0</v>
      </c>
      <c r="I1432" t="s">
        <v>25</v>
      </c>
      <c r="J1432">
        <v>88</v>
      </c>
      <c r="K1432" t="s">
        <v>18</v>
      </c>
      <c r="L1432">
        <v>92</v>
      </c>
      <c r="M1432">
        <f>IF(D1432=I1432,VLOOKUP(D1432,a_win_totals_lookup,MATCH(K1432,a_wins_total_lookup_header,0)+1,0),VLOOKUP(D1432,a_win_totals_lookup,MATCH(I1432,a_wins_total_lookup_header,0)+1,0))</f>
        <v>0.47933915293597207</v>
      </c>
      <c r="N1432">
        <f t="shared" ca="1" si="22"/>
        <v>1</v>
      </c>
    </row>
    <row r="1433" spans="1:14" x14ac:dyDescent="0.25">
      <c r="A1433">
        <v>400579011</v>
      </c>
      <c r="B1433">
        <v>2015</v>
      </c>
      <c r="C1433" s="1">
        <v>42037</v>
      </c>
      <c r="D1433" t="s">
        <v>25</v>
      </c>
      <c r="E1433">
        <v>0</v>
      </c>
      <c r="F1433">
        <v>31</v>
      </c>
      <c r="G1433">
        <v>18</v>
      </c>
      <c r="H1433">
        <v>1</v>
      </c>
      <c r="I1433" t="s">
        <v>25</v>
      </c>
      <c r="J1433">
        <v>88</v>
      </c>
      <c r="K1433" t="s">
        <v>18</v>
      </c>
      <c r="L1433">
        <v>92</v>
      </c>
      <c r="M1433">
        <f>IF(D1433=I1433,VLOOKUP(D1433,a_win_totals_lookup,MATCH(K1433,a_wins_total_lookup_header,0)+1,0),VLOOKUP(D1433,a_win_totals_lookup,MATCH(I1433,a_wins_total_lookup_header,0)+1,0))</f>
        <v>0.52066084706402804</v>
      </c>
      <c r="N1433">
        <f t="shared" ca="1" si="22"/>
        <v>1</v>
      </c>
    </row>
    <row r="1434" spans="1:14" x14ac:dyDescent="0.25">
      <c r="A1434">
        <v>400579012</v>
      </c>
      <c r="B1434">
        <v>2015</v>
      </c>
      <c r="C1434" s="1">
        <v>42037</v>
      </c>
      <c r="D1434" t="s">
        <v>23</v>
      </c>
      <c r="E1434">
        <v>1</v>
      </c>
      <c r="F1434">
        <v>19</v>
      </c>
      <c r="G1434">
        <v>28</v>
      </c>
      <c r="H1434">
        <v>1</v>
      </c>
      <c r="I1434" t="s">
        <v>23</v>
      </c>
      <c r="J1434">
        <v>102</v>
      </c>
      <c r="K1434" t="s">
        <v>41</v>
      </c>
      <c r="L1434">
        <v>100</v>
      </c>
      <c r="M1434">
        <f>IF(D1434=I1434,VLOOKUP(D1434,a_win_totals_lookup,MATCH(K1434,a_wins_total_lookup_header,0)+1,0),VLOOKUP(D1434,a_win_totals_lookup,MATCH(I1434,a_wins_total_lookup_header,0)+1,0))</f>
        <v>0.35087017426187905</v>
      </c>
      <c r="N1434">
        <f t="shared" ca="1" si="22"/>
        <v>0</v>
      </c>
    </row>
    <row r="1435" spans="1:14" x14ac:dyDescent="0.25">
      <c r="A1435">
        <v>400579012</v>
      </c>
      <c r="B1435">
        <v>2015</v>
      </c>
      <c r="C1435" s="1">
        <v>42037</v>
      </c>
      <c r="D1435" t="s">
        <v>41</v>
      </c>
      <c r="E1435">
        <v>0</v>
      </c>
      <c r="F1435">
        <v>33</v>
      </c>
      <c r="G1435">
        <v>16</v>
      </c>
      <c r="H1435">
        <v>0</v>
      </c>
      <c r="I1435" t="s">
        <v>23</v>
      </c>
      <c r="J1435">
        <v>102</v>
      </c>
      <c r="K1435" t="s">
        <v>41</v>
      </c>
      <c r="L1435">
        <v>100</v>
      </c>
      <c r="M1435">
        <f>IF(D1435=I1435,VLOOKUP(D1435,a_win_totals_lookup,MATCH(K1435,a_wins_total_lookup_header,0)+1,0),VLOOKUP(D1435,a_win_totals_lookup,MATCH(I1435,a_wins_total_lookup_header,0)+1,0))</f>
        <v>0.64912982573812106</v>
      </c>
      <c r="N1435">
        <f t="shared" ca="1" si="22"/>
        <v>1</v>
      </c>
    </row>
    <row r="1436" spans="1:14" x14ac:dyDescent="0.25">
      <c r="A1436">
        <v>400579013</v>
      </c>
      <c r="B1436">
        <v>2015</v>
      </c>
      <c r="C1436" s="1">
        <v>42037</v>
      </c>
      <c r="D1436" t="s">
        <v>19</v>
      </c>
      <c r="E1436">
        <v>1</v>
      </c>
      <c r="F1436">
        <v>26</v>
      </c>
      <c r="G1436">
        <v>22</v>
      </c>
      <c r="H1436">
        <v>0</v>
      </c>
      <c r="I1436" t="s">
        <v>27</v>
      </c>
      <c r="J1436">
        <v>75</v>
      </c>
      <c r="K1436" t="s">
        <v>19</v>
      </c>
      <c r="L1436">
        <v>82</v>
      </c>
      <c r="M1436">
        <f>IF(D1436=I1436,VLOOKUP(D1436,a_win_totals_lookup,MATCH(K1436,a_wins_total_lookup_header,0)+1,0),VLOOKUP(D1436,a_win_totals_lookup,MATCH(I1436,a_wins_total_lookup_header,0)+1,0))</f>
        <v>0.25555230020051067</v>
      </c>
      <c r="N1436">
        <f t="shared" ca="1" si="22"/>
        <v>0</v>
      </c>
    </row>
    <row r="1437" spans="1:14" x14ac:dyDescent="0.25">
      <c r="A1437">
        <v>400579013</v>
      </c>
      <c r="B1437">
        <v>2015</v>
      </c>
      <c r="C1437" s="1">
        <v>42037</v>
      </c>
      <c r="D1437" t="s">
        <v>27</v>
      </c>
      <c r="E1437">
        <v>0</v>
      </c>
      <c r="F1437">
        <v>33</v>
      </c>
      <c r="G1437">
        <v>16</v>
      </c>
      <c r="H1437">
        <v>1</v>
      </c>
      <c r="I1437" t="s">
        <v>27</v>
      </c>
      <c r="J1437">
        <v>75</v>
      </c>
      <c r="K1437" t="s">
        <v>19</v>
      </c>
      <c r="L1437">
        <v>82</v>
      </c>
      <c r="M1437">
        <f>IF(D1437=I1437,VLOOKUP(D1437,a_win_totals_lookup,MATCH(K1437,a_wins_total_lookup_header,0)+1,0),VLOOKUP(D1437,a_win_totals_lookup,MATCH(I1437,a_wins_total_lookup_header,0)+1,0))</f>
        <v>0.74444769979948933</v>
      </c>
      <c r="N1437">
        <f t="shared" ca="1" si="22"/>
        <v>1</v>
      </c>
    </row>
    <row r="1438" spans="1:14" x14ac:dyDescent="0.25">
      <c r="A1438">
        <v>400579014</v>
      </c>
      <c r="B1438">
        <v>2015</v>
      </c>
      <c r="C1438" s="1">
        <v>42037</v>
      </c>
      <c r="D1438" t="s">
        <v>26</v>
      </c>
      <c r="E1438">
        <v>0</v>
      </c>
      <c r="F1438">
        <v>40</v>
      </c>
      <c r="G1438">
        <v>9</v>
      </c>
      <c r="H1438">
        <v>0</v>
      </c>
      <c r="I1438" t="s">
        <v>12</v>
      </c>
      <c r="J1438">
        <v>115</v>
      </c>
      <c r="K1438" t="s">
        <v>26</v>
      </c>
      <c r="L1438">
        <v>100</v>
      </c>
      <c r="M1438">
        <f>IF(D1438=I1438,VLOOKUP(D1438,a_win_totals_lookup,MATCH(K1438,a_wins_total_lookup_header,0)+1,0),VLOOKUP(D1438,a_win_totals_lookup,MATCH(I1438,a_wins_total_lookup_header,0)+1,0))</f>
        <v>0.52560193997306337</v>
      </c>
      <c r="N1438">
        <f t="shared" ca="1" si="22"/>
        <v>1</v>
      </c>
    </row>
    <row r="1439" spans="1:14" x14ac:dyDescent="0.25">
      <c r="A1439">
        <v>400579014</v>
      </c>
      <c r="B1439">
        <v>2015</v>
      </c>
      <c r="C1439" s="1">
        <v>42037</v>
      </c>
      <c r="D1439" t="s">
        <v>12</v>
      </c>
      <c r="E1439">
        <v>1</v>
      </c>
      <c r="F1439">
        <v>26</v>
      </c>
      <c r="G1439">
        <v>22</v>
      </c>
      <c r="H1439">
        <v>1</v>
      </c>
      <c r="I1439" t="s">
        <v>12</v>
      </c>
      <c r="J1439">
        <v>115</v>
      </c>
      <c r="K1439" t="s">
        <v>26</v>
      </c>
      <c r="L1439">
        <v>100</v>
      </c>
      <c r="M1439">
        <f>IF(D1439=I1439,VLOOKUP(D1439,a_win_totals_lookup,MATCH(K1439,a_wins_total_lookup_header,0)+1,0),VLOOKUP(D1439,a_win_totals_lookup,MATCH(I1439,a_wins_total_lookup_header,0)+1,0))</f>
        <v>0.47439806002693663</v>
      </c>
      <c r="N1439">
        <f t="shared" ca="1" si="22"/>
        <v>0</v>
      </c>
    </row>
    <row r="1440" spans="1:14" x14ac:dyDescent="0.25">
      <c r="A1440">
        <v>400579015</v>
      </c>
      <c r="B1440">
        <v>2015</v>
      </c>
      <c r="C1440" s="1">
        <v>42037</v>
      </c>
      <c r="D1440" t="s">
        <v>38</v>
      </c>
      <c r="E1440">
        <v>1</v>
      </c>
      <c r="F1440">
        <v>24</v>
      </c>
      <c r="G1440">
        <v>24</v>
      </c>
      <c r="H1440">
        <v>1</v>
      </c>
      <c r="I1440" t="s">
        <v>38</v>
      </c>
      <c r="J1440">
        <v>104</v>
      </c>
      <c r="K1440" t="s">
        <v>13</v>
      </c>
      <c r="L1440">
        <v>97</v>
      </c>
      <c r="M1440">
        <f>IF(D1440=I1440,VLOOKUP(D1440,a_win_totals_lookup,MATCH(K1440,a_wins_total_lookup_header,0)+1,0),VLOOKUP(D1440,a_win_totals_lookup,MATCH(I1440,a_wins_total_lookup_header,0)+1,0))</f>
        <v>0.72649226385047183</v>
      </c>
      <c r="N1440">
        <f t="shared" ca="1" si="22"/>
        <v>1</v>
      </c>
    </row>
    <row r="1441" spans="1:14" x14ac:dyDescent="0.25">
      <c r="A1441">
        <v>400579015</v>
      </c>
      <c r="B1441">
        <v>2015</v>
      </c>
      <c r="C1441" s="1">
        <v>42037</v>
      </c>
      <c r="D1441" t="s">
        <v>13</v>
      </c>
      <c r="E1441">
        <v>0</v>
      </c>
      <c r="F1441">
        <v>15</v>
      </c>
      <c r="G1441">
        <v>36</v>
      </c>
      <c r="H1441">
        <v>0</v>
      </c>
      <c r="I1441" t="s">
        <v>38</v>
      </c>
      <c r="J1441">
        <v>104</v>
      </c>
      <c r="K1441" t="s">
        <v>13</v>
      </c>
      <c r="L1441">
        <v>97</v>
      </c>
      <c r="M1441">
        <f>IF(D1441=I1441,VLOOKUP(D1441,a_win_totals_lookup,MATCH(K1441,a_wins_total_lookup_header,0)+1,0),VLOOKUP(D1441,a_win_totals_lookup,MATCH(I1441,a_wins_total_lookup_header,0)+1,0))</f>
        <v>0.27350773614952834</v>
      </c>
      <c r="N1441">
        <f t="shared" ca="1" si="22"/>
        <v>1</v>
      </c>
    </row>
    <row r="1442" spans="1:14" x14ac:dyDescent="0.25">
      <c r="A1442">
        <v>400579016</v>
      </c>
      <c r="B1442">
        <v>2015</v>
      </c>
      <c r="C1442" s="1">
        <v>42037</v>
      </c>
      <c r="D1442" t="s">
        <v>14</v>
      </c>
      <c r="E1442">
        <v>1</v>
      </c>
      <c r="F1442">
        <v>33</v>
      </c>
      <c r="G1442">
        <v>17</v>
      </c>
      <c r="H1442">
        <v>1</v>
      </c>
      <c r="I1442" t="s">
        <v>14</v>
      </c>
      <c r="J1442">
        <v>100</v>
      </c>
      <c r="K1442" t="s">
        <v>29</v>
      </c>
      <c r="L1442">
        <v>94</v>
      </c>
      <c r="M1442">
        <f>IF(D1442=I1442,VLOOKUP(D1442,a_win_totals_lookup,MATCH(K1442,a_wins_total_lookup_header,0)+1,0),VLOOKUP(D1442,a_win_totals_lookup,MATCH(I1442,a_wins_total_lookup_header,0)+1,0))</f>
        <v>0.75879125867873198</v>
      </c>
      <c r="N1442">
        <f t="shared" ca="1" si="22"/>
        <v>1</v>
      </c>
    </row>
    <row r="1443" spans="1:14" x14ac:dyDescent="0.25">
      <c r="A1443">
        <v>400579016</v>
      </c>
      <c r="B1443">
        <v>2015</v>
      </c>
      <c r="C1443" s="1">
        <v>42037</v>
      </c>
      <c r="D1443" t="s">
        <v>29</v>
      </c>
      <c r="E1443">
        <v>0</v>
      </c>
      <c r="F1443">
        <v>8</v>
      </c>
      <c r="G1443">
        <v>40</v>
      </c>
      <c r="H1443">
        <v>0</v>
      </c>
      <c r="I1443" t="s">
        <v>14</v>
      </c>
      <c r="J1443">
        <v>100</v>
      </c>
      <c r="K1443" t="s">
        <v>29</v>
      </c>
      <c r="L1443">
        <v>94</v>
      </c>
      <c r="M1443">
        <f>IF(D1443=I1443,VLOOKUP(D1443,a_win_totals_lookup,MATCH(K1443,a_wins_total_lookup_header,0)+1,0),VLOOKUP(D1443,a_win_totals_lookup,MATCH(I1443,a_wins_total_lookup_header,0)+1,0))</f>
        <v>0.24120874132126804</v>
      </c>
      <c r="N1443">
        <f t="shared" ca="1" si="22"/>
        <v>0</v>
      </c>
    </row>
    <row r="1444" spans="1:14" x14ac:dyDescent="0.25">
      <c r="A1444">
        <v>400579017</v>
      </c>
      <c r="B1444">
        <v>2015</v>
      </c>
      <c r="C1444" s="1">
        <v>42037</v>
      </c>
      <c r="D1444" t="s">
        <v>28</v>
      </c>
      <c r="E1444">
        <v>1</v>
      </c>
      <c r="F1444">
        <v>36</v>
      </c>
      <c r="G1444">
        <v>12</v>
      </c>
      <c r="H1444">
        <v>0</v>
      </c>
      <c r="I1444" t="s">
        <v>35</v>
      </c>
      <c r="J1444">
        <v>101</v>
      </c>
      <c r="K1444" t="s">
        <v>28</v>
      </c>
      <c r="L1444">
        <v>102</v>
      </c>
      <c r="M1444">
        <f>IF(D1444=I1444,VLOOKUP(D1444,a_win_totals_lookup,MATCH(K1444,a_wins_total_lookup_header,0)+1,0),VLOOKUP(D1444,a_win_totals_lookup,MATCH(I1444,a_wins_total_lookup_header,0)+1,0))</f>
        <v>0.56178370887279372</v>
      </c>
      <c r="N1444">
        <f t="shared" ca="1" si="22"/>
        <v>1</v>
      </c>
    </row>
    <row r="1445" spans="1:14" x14ac:dyDescent="0.25">
      <c r="A1445">
        <v>400579017</v>
      </c>
      <c r="B1445">
        <v>2015</v>
      </c>
      <c r="C1445" s="1">
        <v>42037</v>
      </c>
      <c r="D1445" t="s">
        <v>35</v>
      </c>
      <c r="E1445">
        <v>0</v>
      </c>
      <c r="F1445">
        <v>28</v>
      </c>
      <c r="G1445">
        <v>22</v>
      </c>
      <c r="H1445">
        <v>1</v>
      </c>
      <c r="I1445" t="s">
        <v>35</v>
      </c>
      <c r="J1445">
        <v>101</v>
      </c>
      <c r="K1445" t="s">
        <v>28</v>
      </c>
      <c r="L1445">
        <v>102</v>
      </c>
      <c r="M1445">
        <f>IF(D1445=I1445,VLOOKUP(D1445,a_win_totals_lookup,MATCH(K1445,a_wins_total_lookup_header,0)+1,0),VLOOKUP(D1445,a_win_totals_lookup,MATCH(I1445,a_wins_total_lookup_header,0)+1,0))</f>
        <v>0.43821629112720617</v>
      </c>
      <c r="N1445">
        <f t="shared" ca="1" si="22"/>
        <v>0</v>
      </c>
    </row>
    <row r="1446" spans="1:14" x14ac:dyDescent="0.25">
      <c r="A1446">
        <v>400579018</v>
      </c>
      <c r="B1446">
        <v>2015</v>
      </c>
      <c r="C1446" s="1">
        <v>42038</v>
      </c>
      <c r="D1446" t="s">
        <v>32</v>
      </c>
      <c r="E1446">
        <v>0</v>
      </c>
      <c r="F1446">
        <v>19</v>
      </c>
      <c r="G1446">
        <v>30</v>
      </c>
      <c r="H1446">
        <v>0</v>
      </c>
      <c r="I1446" t="s">
        <v>21</v>
      </c>
      <c r="J1446">
        <v>105</v>
      </c>
      <c r="K1446" t="s">
        <v>32</v>
      </c>
      <c r="L1446">
        <v>98</v>
      </c>
      <c r="M1446">
        <f>IF(D1446=I1446,VLOOKUP(D1446,a_win_totals_lookup,MATCH(K1446,a_wins_total_lookup_header,0)+1,0),VLOOKUP(D1446,a_win_totals_lookup,MATCH(I1446,a_wins_total_lookup_header,0)+1,0))</f>
        <v>0.69736543414984997</v>
      </c>
      <c r="N1446">
        <f t="shared" ca="1" si="22"/>
        <v>1</v>
      </c>
    </row>
    <row r="1447" spans="1:14" x14ac:dyDescent="0.25">
      <c r="A1447">
        <v>400579018</v>
      </c>
      <c r="B1447">
        <v>2015</v>
      </c>
      <c r="C1447" s="1">
        <v>42038</v>
      </c>
      <c r="D1447" t="s">
        <v>21</v>
      </c>
      <c r="E1447">
        <v>1</v>
      </c>
      <c r="F1447">
        <v>11</v>
      </c>
      <c r="G1447">
        <v>39</v>
      </c>
      <c r="H1447">
        <v>1</v>
      </c>
      <c r="I1447" t="s">
        <v>21</v>
      </c>
      <c r="J1447">
        <v>105</v>
      </c>
      <c r="K1447" t="s">
        <v>32</v>
      </c>
      <c r="L1447">
        <v>98</v>
      </c>
      <c r="M1447">
        <f>IF(D1447=I1447,VLOOKUP(D1447,a_win_totals_lookup,MATCH(K1447,a_wins_total_lookup_header,0)+1,0),VLOOKUP(D1447,a_win_totals_lookup,MATCH(I1447,a_wins_total_lookup_header,0)+1,0))</f>
        <v>0.30263456585015008</v>
      </c>
      <c r="N1447">
        <f t="shared" ca="1" si="22"/>
        <v>0</v>
      </c>
    </row>
    <row r="1448" spans="1:14" x14ac:dyDescent="0.25">
      <c r="A1448">
        <v>400579019</v>
      </c>
      <c r="B1448">
        <v>2015</v>
      </c>
      <c r="C1448" s="1">
        <v>42038</v>
      </c>
      <c r="D1448" t="s">
        <v>33</v>
      </c>
      <c r="E1448">
        <v>1</v>
      </c>
      <c r="F1448">
        <v>19</v>
      </c>
      <c r="G1448">
        <v>30</v>
      </c>
      <c r="H1448">
        <v>1</v>
      </c>
      <c r="I1448" t="s">
        <v>33</v>
      </c>
      <c r="J1448">
        <v>108</v>
      </c>
      <c r="K1448" t="s">
        <v>24</v>
      </c>
      <c r="L1448">
        <v>91</v>
      </c>
      <c r="M1448">
        <f>IF(D1448=I1448,VLOOKUP(D1448,a_win_totals_lookup,MATCH(K1448,a_wins_total_lookup_header,0)+1,0),VLOOKUP(D1448,a_win_totals_lookup,MATCH(I1448,a_wins_total_lookup_header,0)+1,0))</f>
        <v>0.40503347301746906</v>
      </c>
      <c r="N1448">
        <f t="shared" ca="1" si="22"/>
        <v>0</v>
      </c>
    </row>
    <row r="1449" spans="1:14" x14ac:dyDescent="0.25">
      <c r="A1449">
        <v>400579019</v>
      </c>
      <c r="B1449">
        <v>2015</v>
      </c>
      <c r="C1449" s="1">
        <v>42038</v>
      </c>
      <c r="D1449" t="s">
        <v>24</v>
      </c>
      <c r="E1449">
        <v>0</v>
      </c>
      <c r="F1449">
        <v>21</v>
      </c>
      <c r="G1449">
        <v>27</v>
      </c>
      <c r="H1449">
        <v>0</v>
      </c>
      <c r="I1449" t="s">
        <v>33</v>
      </c>
      <c r="J1449">
        <v>108</v>
      </c>
      <c r="K1449" t="s">
        <v>24</v>
      </c>
      <c r="L1449">
        <v>91</v>
      </c>
      <c r="M1449">
        <f>IF(D1449=I1449,VLOOKUP(D1449,a_win_totals_lookup,MATCH(K1449,a_wins_total_lookup_header,0)+1,0),VLOOKUP(D1449,a_win_totals_lookup,MATCH(I1449,a_wins_total_lookup_header,0)+1,0))</f>
        <v>0.59496652698253094</v>
      </c>
      <c r="N1449">
        <f t="shared" ca="1" si="22"/>
        <v>0</v>
      </c>
    </row>
    <row r="1450" spans="1:14" x14ac:dyDescent="0.25">
      <c r="A1450">
        <v>400579020</v>
      </c>
      <c r="B1450">
        <v>2015</v>
      </c>
      <c r="C1450" s="1">
        <v>42038</v>
      </c>
      <c r="D1450" t="s">
        <v>22</v>
      </c>
      <c r="E1450">
        <v>1</v>
      </c>
      <c r="F1450">
        <v>17</v>
      </c>
      <c r="G1450">
        <v>30</v>
      </c>
      <c r="H1450">
        <v>0</v>
      </c>
      <c r="I1450" t="s">
        <v>31</v>
      </c>
      <c r="J1450">
        <v>97</v>
      </c>
      <c r="K1450" t="s">
        <v>22</v>
      </c>
      <c r="L1450">
        <v>108</v>
      </c>
      <c r="M1450">
        <f>IF(D1450=I1450,VLOOKUP(D1450,a_win_totals_lookup,MATCH(K1450,a_wins_total_lookup_header,0)+1,0),VLOOKUP(D1450,a_win_totals_lookup,MATCH(I1450,a_wins_total_lookup_header,0)+1,0))</f>
        <v>0.33715695553306341</v>
      </c>
      <c r="N1450">
        <f t="shared" ca="1" si="22"/>
        <v>0</v>
      </c>
    </row>
    <row r="1451" spans="1:14" x14ac:dyDescent="0.25">
      <c r="A1451">
        <v>400579020</v>
      </c>
      <c r="B1451">
        <v>2015</v>
      </c>
      <c r="C1451" s="1">
        <v>42038</v>
      </c>
      <c r="D1451" t="s">
        <v>31</v>
      </c>
      <c r="E1451">
        <v>0</v>
      </c>
      <c r="F1451">
        <v>10</v>
      </c>
      <c r="G1451">
        <v>39</v>
      </c>
      <c r="H1451">
        <v>1</v>
      </c>
      <c r="I1451" t="s">
        <v>31</v>
      </c>
      <c r="J1451">
        <v>97</v>
      </c>
      <c r="K1451" t="s">
        <v>22</v>
      </c>
      <c r="L1451">
        <v>108</v>
      </c>
      <c r="M1451">
        <f>IF(D1451=I1451,VLOOKUP(D1451,a_win_totals_lookup,MATCH(K1451,a_wins_total_lookup_header,0)+1,0),VLOOKUP(D1451,a_win_totals_lookup,MATCH(I1451,a_wins_total_lookup_header,0)+1,0))</f>
        <v>0.66284304446693665</v>
      </c>
      <c r="N1451">
        <f t="shared" ca="1" si="22"/>
        <v>0</v>
      </c>
    </row>
    <row r="1452" spans="1:14" x14ac:dyDescent="0.25">
      <c r="A1452">
        <v>400579021</v>
      </c>
      <c r="B1452">
        <v>2015</v>
      </c>
      <c r="C1452" s="1">
        <v>42038</v>
      </c>
      <c r="D1452" t="s">
        <v>39</v>
      </c>
      <c r="E1452">
        <v>1</v>
      </c>
      <c r="F1452">
        <v>33</v>
      </c>
      <c r="G1452">
        <v>16</v>
      </c>
      <c r="H1452">
        <v>1</v>
      </c>
      <c r="I1452" t="s">
        <v>39</v>
      </c>
      <c r="J1452">
        <v>103</v>
      </c>
      <c r="K1452" t="s">
        <v>34</v>
      </c>
      <c r="L1452">
        <v>102</v>
      </c>
      <c r="M1452">
        <f>IF(D1452=I1452,VLOOKUP(D1452,a_win_totals_lookup,MATCH(K1452,a_wins_total_lookup_header,0)+1,0),VLOOKUP(D1452,a_win_totals_lookup,MATCH(I1452,a_wins_total_lookup_header,0)+1,0))</f>
        <v>0.69454700244383094</v>
      </c>
      <c r="N1452">
        <f t="shared" ca="1" si="22"/>
        <v>1</v>
      </c>
    </row>
    <row r="1453" spans="1:14" x14ac:dyDescent="0.25">
      <c r="A1453">
        <v>400579021</v>
      </c>
      <c r="B1453">
        <v>2015</v>
      </c>
      <c r="C1453" s="1">
        <v>42038</v>
      </c>
      <c r="D1453" t="s">
        <v>34</v>
      </c>
      <c r="E1453">
        <v>0</v>
      </c>
      <c r="F1453">
        <v>17</v>
      </c>
      <c r="G1453">
        <v>31</v>
      </c>
      <c r="H1453">
        <v>0</v>
      </c>
      <c r="I1453" t="s">
        <v>39</v>
      </c>
      <c r="J1453">
        <v>103</v>
      </c>
      <c r="K1453" t="s">
        <v>34</v>
      </c>
      <c r="L1453">
        <v>102</v>
      </c>
      <c r="M1453">
        <f>IF(D1453=I1453,VLOOKUP(D1453,a_win_totals_lookup,MATCH(K1453,a_wins_total_lookup_header,0)+1,0),VLOOKUP(D1453,a_win_totals_lookup,MATCH(I1453,a_wins_total_lookup_header,0)+1,0))</f>
        <v>0.305452997556169</v>
      </c>
      <c r="N1453">
        <f t="shared" ca="1" si="22"/>
        <v>0</v>
      </c>
    </row>
    <row r="1454" spans="1:14" x14ac:dyDescent="0.25">
      <c r="A1454">
        <v>400579022</v>
      </c>
      <c r="B1454">
        <v>2015</v>
      </c>
      <c r="C1454" s="1">
        <v>42038</v>
      </c>
      <c r="D1454" t="s">
        <v>36</v>
      </c>
      <c r="E1454">
        <v>1</v>
      </c>
      <c r="F1454">
        <v>38</v>
      </c>
      <c r="G1454">
        <v>8</v>
      </c>
      <c r="H1454">
        <v>0</v>
      </c>
      <c r="I1454" t="s">
        <v>37</v>
      </c>
      <c r="J1454">
        <v>96</v>
      </c>
      <c r="K1454" t="s">
        <v>36</v>
      </c>
      <c r="L1454">
        <v>121</v>
      </c>
      <c r="M1454">
        <f>IF(D1454=I1454,VLOOKUP(D1454,a_win_totals_lookup,MATCH(K1454,a_wins_total_lookup_header,0)+1,0),VLOOKUP(D1454,a_win_totals_lookup,MATCH(I1454,a_wins_total_lookup_header,0)+1,0))</f>
        <v>0.69209130562404242</v>
      </c>
      <c r="N1454">
        <f t="shared" ca="1" si="22"/>
        <v>1</v>
      </c>
    </row>
    <row r="1455" spans="1:14" x14ac:dyDescent="0.25">
      <c r="A1455">
        <v>400579022</v>
      </c>
      <c r="B1455">
        <v>2015</v>
      </c>
      <c r="C1455" s="1">
        <v>42038</v>
      </c>
      <c r="D1455" t="s">
        <v>37</v>
      </c>
      <c r="E1455">
        <v>0</v>
      </c>
      <c r="F1455">
        <v>17</v>
      </c>
      <c r="G1455">
        <v>30</v>
      </c>
      <c r="H1455">
        <v>1</v>
      </c>
      <c r="I1455" t="s">
        <v>37</v>
      </c>
      <c r="J1455">
        <v>96</v>
      </c>
      <c r="K1455" t="s">
        <v>36</v>
      </c>
      <c r="L1455">
        <v>121</v>
      </c>
      <c r="M1455">
        <f>IF(D1455=I1455,VLOOKUP(D1455,a_win_totals_lookup,MATCH(K1455,a_wins_total_lookup_header,0)+1,0),VLOOKUP(D1455,a_win_totals_lookup,MATCH(I1455,a_wins_total_lookup_header,0)+1,0))</f>
        <v>0.30790869437595753</v>
      </c>
      <c r="N1455">
        <f t="shared" ca="1" si="22"/>
        <v>1</v>
      </c>
    </row>
    <row r="1456" spans="1:14" x14ac:dyDescent="0.25">
      <c r="A1456">
        <v>400579023</v>
      </c>
      <c r="B1456">
        <v>2015</v>
      </c>
      <c r="C1456" s="1">
        <v>42039</v>
      </c>
      <c r="D1456" t="s">
        <v>33</v>
      </c>
      <c r="E1456">
        <v>0</v>
      </c>
      <c r="F1456">
        <v>19</v>
      </c>
      <c r="G1456">
        <v>31</v>
      </c>
      <c r="H1456">
        <v>0</v>
      </c>
      <c r="I1456" t="s">
        <v>20</v>
      </c>
      <c r="J1456">
        <v>114</v>
      </c>
      <c r="K1456" t="s">
        <v>33</v>
      </c>
      <c r="L1456">
        <v>109</v>
      </c>
      <c r="M1456">
        <f>IF(D1456=I1456,VLOOKUP(D1456,a_win_totals_lookup,MATCH(K1456,a_wins_total_lookup_header,0)+1,0),VLOOKUP(D1456,a_win_totals_lookup,MATCH(I1456,a_wins_total_lookup_header,0)+1,0))</f>
        <v>0.51613510920097938</v>
      </c>
      <c r="N1456">
        <f t="shared" ca="1" si="22"/>
        <v>1</v>
      </c>
    </row>
    <row r="1457" spans="1:14" x14ac:dyDescent="0.25">
      <c r="A1457">
        <v>400579023</v>
      </c>
      <c r="B1457">
        <v>2015</v>
      </c>
      <c r="C1457" s="1">
        <v>42039</v>
      </c>
      <c r="D1457" t="s">
        <v>20</v>
      </c>
      <c r="E1457">
        <v>1</v>
      </c>
      <c r="F1457">
        <v>18</v>
      </c>
      <c r="G1457">
        <v>32</v>
      </c>
      <c r="H1457">
        <v>1</v>
      </c>
      <c r="I1457" t="s">
        <v>20</v>
      </c>
      <c r="J1457">
        <v>114</v>
      </c>
      <c r="K1457" t="s">
        <v>33</v>
      </c>
      <c r="L1457">
        <v>109</v>
      </c>
      <c r="M1457">
        <f>IF(D1457=I1457,VLOOKUP(D1457,a_win_totals_lookup,MATCH(K1457,a_wins_total_lookup_header,0)+1,0),VLOOKUP(D1457,a_win_totals_lookup,MATCH(I1457,a_wins_total_lookup_header,0)+1,0))</f>
        <v>0.48386489079902056</v>
      </c>
      <c r="N1457">
        <f t="shared" ca="1" si="22"/>
        <v>0</v>
      </c>
    </row>
    <row r="1458" spans="1:14" x14ac:dyDescent="0.25">
      <c r="A1458">
        <v>400579024</v>
      </c>
      <c r="B1458">
        <v>2015</v>
      </c>
      <c r="C1458" s="1">
        <v>42039</v>
      </c>
      <c r="D1458" t="s">
        <v>26</v>
      </c>
      <c r="E1458">
        <v>1</v>
      </c>
      <c r="F1458">
        <v>41</v>
      </c>
      <c r="G1458">
        <v>9</v>
      </c>
      <c r="H1458">
        <v>1</v>
      </c>
      <c r="I1458" t="s">
        <v>26</v>
      </c>
      <c r="J1458">
        <v>105</v>
      </c>
      <c r="K1458" t="s">
        <v>25</v>
      </c>
      <c r="L1458">
        <v>96</v>
      </c>
      <c r="M1458">
        <f>IF(D1458=I1458,VLOOKUP(D1458,a_win_totals_lookup,MATCH(K1458,a_wins_total_lookup_header,0)+1,0),VLOOKUP(D1458,a_win_totals_lookup,MATCH(I1458,a_wins_total_lookup_header,0)+1,0))</f>
        <v>0.45630903898702979</v>
      </c>
      <c r="N1458">
        <f t="shared" ca="1" si="22"/>
        <v>0</v>
      </c>
    </row>
    <row r="1459" spans="1:14" x14ac:dyDescent="0.25">
      <c r="A1459">
        <v>400579024</v>
      </c>
      <c r="B1459">
        <v>2015</v>
      </c>
      <c r="C1459" s="1">
        <v>42039</v>
      </c>
      <c r="D1459" t="s">
        <v>25</v>
      </c>
      <c r="E1459">
        <v>0</v>
      </c>
      <c r="F1459">
        <v>31</v>
      </c>
      <c r="G1459">
        <v>19</v>
      </c>
      <c r="H1459">
        <v>0</v>
      </c>
      <c r="I1459" t="s">
        <v>26</v>
      </c>
      <c r="J1459">
        <v>105</v>
      </c>
      <c r="K1459" t="s">
        <v>25</v>
      </c>
      <c r="L1459">
        <v>96</v>
      </c>
      <c r="M1459">
        <f>IF(D1459=I1459,VLOOKUP(D1459,a_win_totals_lookup,MATCH(K1459,a_wins_total_lookup_header,0)+1,0),VLOOKUP(D1459,a_win_totals_lookup,MATCH(I1459,a_wins_total_lookup_header,0)+1,0))</f>
        <v>0.54369096101297021</v>
      </c>
      <c r="N1459">
        <f t="shared" ca="1" si="22"/>
        <v>0</v>
      </c>
    </row>
    <row r="1460" spans="1:14" x14ac:dyDescent="0.25">
      <c r="A1460">
        <v>400579025</v>
      </c>
      <c r="B1460">
        <v>2015</v>
      </c>
      <c r="C1460" s="1">
        <v>42039</v>
      </c>
      <c r="D1460" t="s">
        <v>22</v>
      </c>
      <c r="E1460">
        <v>1</v>
      </c>
      <c r="F1460">
        <v>18</v>
      </c>
      <c r="G1460">
        <v>30</v>
      </c>
      <c r="H1460">
        <v>1</v>
      </c>
      <c r="I1460" t="s">
        <v>22</v>
      </c>
      <c r="J1460">
        <v>104</v>
      </c>
      <c r="K1460" t="s">
        <v>32</v>
      </c>
      <c r="L1460">
        <v>100</v>
      </c>
      <c r="M1460">
        <f>IF(D1460=I1460,VLOOKUP(D1460,a_win_totals_lookup,MATCH(K1460,a_wins_total_lookup_header,0)+1,0),VLOOKUP(D1460,a_win_totals_lookup,MATCH(I1460,a_wins_total_lookup_header,0)+1,0))</f>
        <v>0.33715695553306341</v>
      </c>
      <c r="N1460">
        <f t="shared" ca="1" si="22"/>
        <v>0</v>
      </c>
    </row>
    <row r="1461" spans="1:14" x14ac:dyDescent="0.25">
      <c r="A1461">
        <v>400579025</v>
      </c>
      <c r="B1461">
        <v>2015</v>
      </c>
      <c r="C1461" s="1">
        <v>42039</v>
      </c>
      <c r="D1461" t="s">
        <v>32</v>
      </c>
      <c r="E1461">
        <v>0</v>
      </c>
      <c r="F1461">
        <v>19</v>
      </c>
      <c r="G1461">
        <v>31</v>
      </c>
      <c r="H1461">
        <v>0</v>
      </c>
      <c r="I1461" t="s">
        <v>22</v>
      </c>
      <c r="J1461">
        <v>104</v>
      </c>
      <c r="K1461" t="s">
        <v>32</v>
      </c>
      <c r="L1461">
        <v>100</v>
      </c>
      <c r="M1461">
        <f>IF(D1461=I1461,VLOOKUP(D1461,a_win_totals_lookup,MATCH(K1461,a_wins_total_lookup_header,0)+1,0),VLOOKUP(D1461,a_win_totals_lookup,MATCH(I1461,a_wins_total_lookup_header,0)+1,0))</f>
        <v>0.66284304446693665</v>
      </c>
      <c r="N1461">
        <f t="shared" ca="1" si="22"/>
        <v>1</v>
      </c>
    </row>
    <row r="1462" spans="1:14" x14ac:dyDescent="0.25">
      <c r="A1462">
        <v>400579026</v>
      </c>
      <c r="B1462">
        <v>2015</v>
      </c>
      <c r="C1462" s="1">
        <v>42039</v>
      </c>
      <c r="D1462" t="s">
        <v>23</v>
      </c>
      <c r="E1462">
        <v>1</v>
      </c>
      <c r="F1462">
        <v>20</v>
      </c>
      <c r="G1462">
        <v>28</v>
      </c>
      <c r="H1462">
        <v>0</v>
      </c>
      <c r="I1462" t="s">
        <v>27</v>
      </c>
      <c r="J1462">
        <v>93</v>
      </c>
      <c r="K1462" t="s">
        <v>23</v>
      </c>
      <c r="L1462">
        <v>109</v>
      </c>
      <c r="M1462">
        <f>IF(D1462=I1462,VLOOKUP(D1462,a_win_totals_lookup,MATCH(K1462,a_wins_total_lookup_header,0)+1,0),VLOOKUP(D1462,a_win_totals_lookup,MATCH(I1462,a_wins_total_lookup_header,0)+1,0))</f>
        <v>0.38459864577188729</v>
      </c>
      <c r="N1462">
        <f t="shared" ca="1" si="22"/>
        <v>1</v>
      </c>
    </row>
    <row r="1463" spans="1:14" x14ac:dyDescent="0.25">
      <c r="A1463">
        <v>400579026</v>
      </c>
      <c r="B1463">
        <v>2015</v>
      </c>
      <c r="C1463" s="1">
        <v>42039</v>
      </c>
      <c r="D1463" t="s">
        <v>27</v>
      </c>
      <c r="E1463">
        <v>0</v>
      </c>
      <c r="F1463">
        <v>33</v>
      </c>
      <c r="G1463">
        <v>17</v>
      </c>
      <c r="H1463">
        <v>1</v>
      </c>
      <c r="I1463" t="s">
        <v>27</v>
      </c>
      <c r="J1463">
        <v>93</v>
      </c>
      <c r="K1463" t="s">
        <v>23</v>
      </c>
      <c r="L1463">
        <v>109</v>
      </c>
      <c r="M1463">
        <f>IF(D1463=I1463,VLOOKUP(D1463,a_win_totals_lookup,MATCH(K1463,a_wins_total_lookup_header,0)+1,0),VLOOKUP(D1463,a_win_totals_lookup,MATCH(I1463,a_wins_total_lookup_header,0)+1,0))</f>
        <v>0.61540135422811282</v>
      </c>
      <c r="N1463">
        <f t="shared" ca="1" si="22"/>
        <v>0</v>
      </c>
    </row>
    <row r="1464" spans="1:14" x14ac:dyDescent="0.25">
      <c r="A1464">
        <v>400579027</v>
      </c>
      <c r="B1464">
        <v>2015</v>
      </c>
      <c r="C1464" s="1">
        <v>42039</v>
      </c>
      <c r="D1464" t="s">
        <v>30</v>
      </c>
      <c r="E1464">
        <v>0</v>
      </c>
      <c r="F1464">
        <v>30</v>
      </c>
      <c r="G1464">
        <v>20</v>
      </c>
      <c r="H1464">
        <v>0</v>
      </c>
      <c r="I1464" t="s">
        <v>16</v>
      </c>
      <c r="J1464">
        <v>101</v>
      </c>
      <c r="K1464" t="s">
        <v>30</v>
      </c>
      <c r="L1464">
        <v>90</v>
      </c>
      <c r="M1464">
        <f>IF(D1464=I1464,VLOOKUP(D1464,a_win_totals_lookup,MATCH(K1464,a_wins_total_lookup_header,0)+1,0),VLOOKUP(D1464,a_win_totals_lookup,MATCH(I1464,a_wins_total_lookup_header,0)+1,0))</f>
        <v>0.5600388834823441</v>
      </c>
      <c r="N1464">
        <f t="shared" ca="1" si="22"/>
        <v>1</v>
      </c>
    </row>
    <row r="1465" spans="1:14" x14ac:dyDescent="0.25">
      <c r="A1465">
        <v>400579027</v>
      </c>
      <c r="B1465">
        <v>2015</v>
      </c>
      <c r="C1465" s="1">
        <v>42039</v>
      </c>
      <c r="D1465" t="s">
        <v>16</v>
      </c>
      <c r="E1465">
        <v>1</v>
      </c>
      <c r="F1465">
        <v>34</v>
      </c>
      <c r="G1465">
        <v>15</v>
      </c>
      <c r="H1465">
        <v>1</v>
      </c>
      <c r="I1465" t="s">
        <v>16</v>
      </c>
      <c r="J1465">
        <v>101</v>
      </c>
      <c r="K1465" t="s">
        <v>30</v>
      </c>
      <c r="L1465">
        <v>90</v>
      </c>
      <c r="M1465">
        <f>IF(D1465=I1465,VLOOKUP(D1465,a_win_totals_lookup,MATCH(K1465,a_wins_total_lookup_header,0)+1,0),VLOOKUP(D1465,a_win_totals_lookup,MATCH(I1465,a_wins_total_lookup_header,0)+1,0))</f>
        <v>0.43996111651765601</v>
      </c>
      <c r="N1465">
        <f t="shared" ca="1" si="22"/>
        <v>0</v>
      </c>
    </row>
    <row r="1466" spans="1:14" x14ac:dyDescent="0.25">
      <c r="A1466">
        <v>400579028</v>
      </c>
      <c r="B1466">
        <v>2015</v>
      </c>
      <c r="C1466" s="1">
        <v>42039</v>
      </c>
      <c r="D1466" t="s">
        <v>17</v>
      </c>
      <c r="E1466">
        <v>0</v>
      </c>
      <c r="F1466">
        <v>13</v>
      </c>
      <c r="G1466">
        <v>36</v>
      </c>
      <c r="H1466">
        <v>0</v>
      </c>
      <c r="I1466" t="s">
        <v>19</v>
      </c>
      <c r="J1466">
        <v>113</v>
      </c>
      <c r="K1466" t="s">
        <v>17</v>
      </c>
      <c r="L1466">
        <v>105</v>
      </c>
      <c r="M1466">
        <f>IF(D1466=I1466,VLOOKUP(D1466,a_win_totals_lookup,MATCH(K1466,a_wins_total_lookup_header,0)+1,0),VLOOKUP(D1466,a_win_totals_lookup,MATCH(I1466,a_wins_total_lookup_header,0)+1,0))</f>
        <v>0.57155775136304665</v>
      </c>
      <c r="N1466">
        <f t="shared" ca="1" si="22"/>
        <v>1</v>
      </c>
    </row>
    <row r="1467" spans="1:14" x14ac:dyDescent="0.25">
      <c r="A1467">
        <v>400579028</v>
      </c>
      <c r="B1467">
        <v>2015</v>
      </c>
      <c r="C1467" s="1">
        <v>42039</v>
      </c>
      <c r="D1467" t="s">
        <v>19</v>
      </c>
      <c r="E1467">
        <v>1</v>
      </c>
      <c r="F1467">
        <v>27</v>
      </c>
      <c r="G1467">
        <v>22</v>
      </c>
      <c r="H1467">
        <v>1</v>
      </c>
      <c r="I1467" t="s">
        <v>19</v>
      </c>
      <c r="J1467">
        <v>113</v>
      </c>
      <c r="K1467" t="s">
        <v>17</v>
      </c>
      <c r="L1467">
        <v>105</v>
      </c>
      <c r="M1467">
        <f>IF(D1467=I1467,VLOOKUP(D1467,a_win_totals_lookup,MATCH(K1467,a_wins_total_lookup_header,0)+1,0),VLOOKUP(D1467,a_win_totals_lookup,MATCH(I1467,a_wins_total_lookup_header,0)+1,0))</f>
        <v>0.42844224863695335</v>
      </c>
      <c r="N1467">
        <f t="shared" ca="1" si="22"/>
        <v>0</v>
      </c>
    </row>
    <row r="1468" spans="1:14" x14ac:dyDescent="0.25">
      <c r="A1468">
        <v>400579029</v>
      </c>
      <c r="B1468">
        <v>2015</v>
      </c>
      <c r="C1468" s="1">
        <v>42039</v>
      </c>
      <c r="D1468" t="s">
        <v>24</v>
      </c>
      <c r="E1468">
        <v>0</v>
      </c>
      <c r="F1468">
        <v>21</v>
      </c>
      <c r="G1468">
        <v>28</v>
      </c>
      <c r="H1468">
        <v>0</v>
      </c>
      <c r="I1468" t="s">
        <v>29</v>
      </c>
      <c r="J1468">
        <v>102</v>
      </c>
      <c r="K1468" t="s">
        <v>24</v>
      </c>
      <c r="L1468">
        <v>101</v>
      </c>
      <c r="M1468">
        <f>IF(D1468=I1468,VLOOKUP(D1468,a_win_totals_lookup,MATCH(K1468,a_wins_total_lookup_header,0)+1,0),VLOOKUP(D1468,a_win_totals_lookup,MATCH(I1468,a_wins_total_lookup_header,0)+1,0))</f>
        <v>0.70702360982542323</v>
      </c>
      <c r="N1468">
        <f t="shared" ca="1" si="22"/>
        <v>0</v>
      </c>
    </row>
    <row r="1469" spans="1:14" x14ac:dyDescent="0.25">
      <c r="A1469">
        <v>400579029</v>
      </c>
      <c r="B1469">
        <v>2015</v>
      </c>
      <c r="C1469" s="1">
        <v>42039</v>
      </c>
      <c r="D1469" t="s">
        <v>29</v>
      </c>
      <c r="E1469">
        <v>1</v>
      </c>
      <c r="F1469">
        <v>9</v>
      </c>
      <c r="G1469">
        <v>40</v>
      </c>
      <c r="H1469">
        <v>1</v>
      </c>
      <c r="I1469" t="s">
        <v>29</v>
      </c>
      <c r="J1469">
        <v>102</v>
      </c>
      <c r="K1469" t="s">
        <v>24</v>
      </c>
      <c r="L1469">
        <v>101</v>
      </c>
      <c r="M1469">
        <f>IF(D1469=I1469,VLOOKUP(D1469,a_win_totals_lookup,MATCH(K1469,a_wins_total_lookup_header,0)+1,0),VLOOKUP(D1469,a_win_totals_lookup,MATCH(I1469,a_wins_total_lookup_header,0)+1,0))</f>
        <v>0.29297639017457672</v>
      </c>
      <c r="N1469">
        <f t="shared" ca="1" si="22"/>
        <v>0</v>
      </c>
    </row>
    <row r="1470" spans="1:14" x14ac:dyDescent="0.25">
      <c r="A1470">
        <v>400579030</v>
      </c>
      <c r="B1470">
        <v>2015</v>
      </c>
      <c r="C1470" s="1">
        <v>42039</v>
      </c>
      <c r="D1470" t="s">
        <v>12</v>
      </c>
      <c r="E1470">
        <v>0</v>
      </c>
      <c r="F1470">
        <v>26</v>
      </c>
      <c r="G1470">
        <v>23</v>
      </c>
      <c r="H1470">
        <v>1</v>
      </c>
      <c r="I1470" t="s">
        <v>12</v>
      </c>
      <c r="J1470">
        <v>91</v>
      </c>
      <c r="K1470" t="s">
        <v>38</v>
      </c>
      <c r="L1470">
        <v>102</v>
      </c>
      <c r="M1470">
        <f>IF(D1470=I1470,VLOOKUP(D1470,a_win_totals_lookup,MATCH(K1470,a_wins_total_lookup_header,0)+1,0),VLOOKUP(D1470,a_win_totals_lookup,MATCH(I1470,a_wins_total_lookup_header,0)+1,0))</f>
        <v>0.38440358663606417</v>
      </c>
      <c r="N1470">
        <f t="shared" ca="1" si="22"/>
        <v>0</v>
      </c>
    </row>
    <row r="1471" spans="1:14" x14ac:dyDescent="0.25">
      <c r="A1471">
        <v>400579030</v>
      </c>
      <c r="B1471">
        <v>2015</v>
      </c>
      <c r="C1471" s="1">
        <v>42039</v>
      </c>
      <c r="D1471" t="s">
        <v>38</v>
      </c>
      <c r="E1471">
        <v>1</v>
      </c>
      <c r="F1471">
        <v>25</v>
      </c>
      <c r="G1471">
        <v>24</v>
      </c>
      <c r="H1471">
        <v>0</v>
      </c>
      <c r="I1471" t="s">
        <v>12</v>
      </c>
      <c r="J1471">
        <v>91</v>
      </c>
      <c r="K1471" t="s">
        <v>38</v>
      </c>
      <c r="L1471">
        <v>102</v>
      </c>
      <c r="M1471">
        <f>IF(D1471=I1471,VLOOKUP(D1471,a_win_totals_lookup,MATCH(K1471,a_wins_total_lookup_header,0)+1,0),VLOOKUP(D1471,a_win_totals_lookup,MATCH(I1471,a_wins_total_lookup_header,0)+1,0))</f>
        <v>0.61559641336393578</v>
      </c>
      <c r="N1471">
        <f t="shared" ca="1" si="22"/>
        <v>1</v>
      </c>
    </row>
    <row r="1472" spans="1:14" x14ac:dyDescent="0.25">
      <c r="A1472">
        <v>400579031</v>
      </c>
      <c r="B1472">
        <v>2015</v>
      </c>
      <c r="C1472" s="1">
        <v>42039</v>
      </c>
      <c r="D1472" t="s">
        <v>13</v>
      </c>
      <c r="E1472">
        <v>0</v>
      </c>
      <c r="F1472">
        <v>15</v>
      </c>
      <c r="G1472">
        <v>37</v>
      </c>
      <c r="H1472">
        <v>0</v>
      </c>
      <c r="I1472" t="s">
        <v>15</v>
      </c>
      <c r="J1472">
        <v>110</v>
      </c>
      <c r="K1472" t="s">
        <v>13</v>
      </c>
      <c r="L1472">
        <v>103</v>
      </c>
      <c r="M1472">
        <f>IF(D1472=I1472,VLOOKUP(D1472,a_win_totals_lookup,MATCH(K1472,a_wins_total_lookup_header,0)+1,0),VLOOKUP(D1472,a_win_totals_lookup,MATCH(I1472,a_wins_total_lookup_header,0)+1,0))</f>
        <v>0.26404929594784404</v>
      </c>
      <c r="N1472">
        <f t="shared" ca="1" si="22"/>
        <v>0</v>
      </c>
    </row>
    <row r="1473" spans="1:14" x14ac:dyDescent="0.25">
      <c r="A1473">
        <v>400579031</v>
      </c>
      <c r="B1473">
        <v>2015</v>
      </c>
      <c r="C1473" s="1">
        <v>42039</v>
      </c>
      <c r="D1473" t="s">
        <v>15</v>
      </c>
      <c r="E1473">
        <v>1</v>
      </c>
      <c r="F1473">
        <v>31</v>
      </c>
      <c r="G1473">
        <v>18</v>
      </c>
      <c r="H1473">
        <v>1</v>
      </c>
      <c r="I1473" t="s">
        <v>15</v>
      </c>
      <c r="J1473">
        <v>110</v>
      </c>
      <c r="K1473" t="s">
        <v>13</v>
      </c>
      <c r="L1473">
        <v>103</v>
      </c>
      <c r="M1473">
        <f>IF(D1473=I1473,VLOOKUP(D1473,a_win_totals_lookup,MATCH(K1473,a_wins_total_lookup_header,0)+1,0),VLOOKUP(D1473,a_win_totals_lookup,MATCH(I1473,a_wins_total_lookup_header,0)+1,0))</f>
        <v>0.73595070405215601</v>
      </c>
      <c r="N1473">
        <f t="shared" ca="1" si="22"/>
        <v>1</v>
      </c>
    </row>
    <row r="1474" spans="1:14" x14ac:dyDescent="0.25">
      <c r="A1474">
        <v>400579032</v>
      </c>
      <c r="B1474">
        <v>2015</v>
      </c>
      <c r="C1474" s="1">
        <v>42039</v>
      </c>
      <c r="D1474" t="s">
        <v>28</v>
      </c>
      <c r="E1474">
        <v>1</v>
      </c>
      <c r="F1474">
        <v>37</v>
      </c>
      <c r="G1474">
        <v>12</v>
      </c>
      <c r="H1474">
        <v>0</v>
      </c>
      <c r="I1474" t="s">
        <v>34</v>
      </c>
      <c r="J1474">
        <v>90</v>
      </c>
      <c r="K1474" t="s">
        <v>28</v>
      </c>
      <c r="L1474">
        <v>100</v>
      </c>
      <c r="M1474">
        <f>IF(D1474=I1474,VLOOKUP(D1474,a_win_totals_lookup,MATCH(K1474,a_wins_total_lookup_header,0)+1,0),VLOOKUP(D1474,a_win_totals_lookup,MATCH(I1474,a_wins_total_lookup_header,0)+1,0))</f>
        <v>0.70201279293629204</v>
      </c>
      <c r="N1474">
        <f t="shared" ca="1" si="22"/>
        <v>1</v>
      </c>
    </row>
    <row r="1475" spans="1:14" x14ac:dyDescent="0.25">
      <c r="A1475">
        <v>400579032</v>
      </c>
      <c r="B1475">
        <v>2015</v>
      </c>
      <c r="C1475" s="1">
        <v>42039</v>
      </c>
      <c r="D1475" t="s">
        <v>34</v>
      </c>
      <c r="E1475">
        <v>0</v>
      </c>
      <c r="F1475">
        <v>17</v>
      </c>
      <c r="G1475">
        <v>32</v>
      </c>
      <c r="H1475">
        <v>1</v>
      </c>
      <c r="I1475" t="s">
        <v>34</v>
      </c>
      <c r="J1475">
        <v>90</v>
      </c>
      <c r="K1475" t="s">
        <v>28</v>
      </c>
      <c r="L1475">
        <v>100</v>
      </c>
      <c r="M1475">
        <f>IF(D1475=I1475,VLOOKUP(D1475,a_win_totals_lookup,MATCH(K1475,a_wins_total_lookup_header,0)+1,0),VLOOKUP(D1475,a_win_totals_lookup,MATCH(I1475,a_wins_total_lookup_header,0)+1,0))</f>
        <v>0.29798720706370802</v>
      </c>
      <c r="N1475">
        <f t="shared" ref="N1475:N1538" ca="1" si="23">ROUND(0.5*RANDBETWEEN(-1,1)+M1475,0)</f>
        <v>0</v>
      </c>
    </row>
    <row r="1476" spans="1:14" x14ac:dyDescent="0.25">
      <c r="A1476">
        <v>400579033</v>
      </c>
      <c r="B1476">
        <v>2015</v>
      </c>
      <c r="C1476" s="1">
        <v>42039</v>
      </c>
      <c r="D1476" t="s">
        <v>14</v>
      </c>
      <c r="E1476">
        <v>0</v>
      </c>
      <c r="F1476">
        <v>33</v>
      </c>
      <c r="G1476">
        <v>18</v>
      </c>
      <c r="H1476">
        <v>0</v>
      </c>
      <c r="I1476" t="s">
        <v>36</v>
      </c>
      <c r="J1476">
        <v>128</v>
      </c>
      <c r="K1476" t="s">
        <v>14</v>
      </c>
      <c r="L1476">
        <v>114</v>
      </c>
      <c r="M1476">
        <f>IF(D1476=I1476,VLOOKUP(D1476,a_win_totals_lookup,MATCH(K1476,a_wins_total_lookup_header,0)+1,0),VLOOKUP(D1476,a_win_totals_lookup,MATCH(I1476,a_wins_total_lookup_header,0)+1,0))</f>
        <v>0.49277333787842664</v>
      </c>
      <c r="N1476">
        <f t="shared" ca="1" si="23"/>
        <v>0</v>
      </c>
    </row>
    <row r="1477" spans="1:14" x14ac:dyDescent="0.25">
      <c r="A1477">
        <v>400579033</v>
      </c>
      <c r="B1477">
        <v>2015</v>
      </c>
      <c r="C1477" s="1">
        <v>42039</v>
      </c>
      <c r="D1477" t="s">
        <v>36</v>
      </c>
      <c r="E1477">
        <v>1</v>
      </c>
      <c r="F1477">
        <v>39</v>
      </c>
      <c r="G1477">
        <v>8</v>
      </c>
      <c r="H1477">
        <v>1</v>
      </c>
      <c r="I1477" t="s">
        <v>36</v>
      </c>
      <c r="J1477">
        <v>128</v>
      </c>
      <c r="K1477" t="s">
        <v>14</v>
      </c>
      <c r="L1477">
        <v>114</v>
      </c>
      <c r="M1477">
        <f>IF(D1477=I1477,VLOOKUP(D1477,a_win_totals_lookup,MATCH(K1477,a_wins_total_lookup_header,0)+1,0),VLOOKUP(D1477,a_win_totals_lookup,MATCH(I1477,a_wins_total_lookup_header,0)+1,0))</f>
        <v>0.50722666212157341</v>
      </c>
      <c r="N1477">
        <f t="shared" ca="1" si="23"/>
        <v>0</v>
      </c>
    </row>
    <row r="1478" spans="1:14" x14ac:dyDescent="0.25">
      <c r="A1478">
        <v>400579034</v>
      </c>
      <c r="B1478">
        <v>2015</v>
      </c>
      <c r="C1478" s="1">
        <v>42040</v>
      </c>
      <c r="D1478" t="s">
        <v>18</v>
      </c>
      <c r="E1478">
        <v>1</v>
      </c>
      <c r="F1478">
        <v>22</v>
      </c>
      <c r="G1478">
        <v>27</v>
      </c>
      <c r="H1478">
        <v>1</v>
      </c>
      <c r="I1478" t="s">
        <v>18</v>
      </c>
      <c r="J1478">
        <v>94</v>
      </c>
      <c r="K1478" t="s">
        <v>25</v>
      </c>
      <c r="L1478">
        <v>87</v>
      </c>
      <c r="M1478">
        <f>IF(D1478=I1478,VLOOKUP(D1478,a_win_totals_lookup,MATCH(K1478,a_wins_total_lookup_header,0)+1,0),VLOOKUP(D1478,a_win_totals_lookup,MATCH(I1478,a_wins_total_lookup_header,0)+1,0))</f>
        <v>0.47933915293597207</v>
      </c>
      <c r="N1478">
        <f t="shared" ca="1" si="23"/>
        <v>0</v>
      </c>
    </row>
    <row r="1479" spans="1:14" x14ac:dyDescent="0.25">
      <c r="A1479">
        <v>400579034</v>
      </c>
      <c r="B1479">
        <v>2015</v>
      </c>
      <c r="C1479" s="1">
        <v>42040</v>
      </c>
      <c r="D1479" t="s">
        <v>25</v>
      </c>
      <c r="E1479">
        <v>0</v>
      </c>
      <c r="F1479">
        <v>31</v>
      </c>
      <c r="G1479">
        <v>20</v>
      </c>
      <c r="H1479">
        <v>0</v>
      </c>
      <c r="I1479" t="s">
        <v>18</v>
      </c>
      <c r="J1479">
        <v>94</v>
      </c>
      <c r="K1479" t="s">
        <v>25</v>
      </c>
      <c r="L1479">
        <v>87</v>
      </c>
      <c r="M1479">
        <f>IF(D1479=I1479,VLOOKUP(D1479,a_win_totals_lookup,MATCH(K1479,a_wins_total_lookup_header,0)+1,0),VLOOKUP(D1479,a_win_totals_lookup,MATCH(I1479,a_wins_total_lookup_header,0)+1,0))</f>
        <v>0.52066084706402804</v>
      </c>
      <c r="N1479">
        <f t="shared" ca="1" si="23"/>
        <v>1</v>
      </c>
    </row>
    <row r="1480" spans="1:14" x14ac:dyDescent="0.25">
      <c r="A1480">
        <v>400579035</v>
      </c>
      <c r="B1480">
        <v>2015</v>
      </c>
      <c r="C1480" s="1">
        <v>42040</v>
      </c>
      <c r="D1480" t="s">
        <v>40</v>
      </c>
      <c r="E1480">
        <v>1</v>
      </c>
      <c r="F1480">
        <v>31</v>
      </c>
      <c r="G1480">
        <v>20</v>
      </c>
      <c r="H1480">
        <v>1</v>
      </c>
      <c r="I1480" t="s">
        <v>40</v>
      </c>
      <c r="J1480">
        <v>105</v>
      </c>
      <c r="K1480" t="s">
        <v>41</v>
      </c>
      <c r="L1480">
        <v>94</v>
      </c>
      <c r="M1480">
        <f>IF(D1480=I1480,VLOOKUP(D1480,a_win_totals_lookup,MATCH(K1480,a_wins_total_lookup_header,0)+1,0),VLOOKUP(D1480,a_win_totals_lookup,MATCH(I1480,a_wins_total_lookup_header,0)+1,0))</f>
        <v>0.5</v>
      </c>
      <c r="N1480">
        <f t="shared" ca="1" si="23"/>
        <v>1</v>
      </c>
    </row>
    <row r="1481" spans="1:14" x14ac:dyDescent="0.25">
      <c r="A1481">
        <v>400579035</v>
      </c>
      <c r="B1481">
        <v>2015</v>
      </c>
      <c r="C1481" s="1">
        <v>42040</v>
      </c>
      <c r="D1481" t="s">
        <v>41</v>
      </c>
      <c r="E1481">
        <v>0</v>
      </c>
      <c r="F1481">
        <v>33</v>
      </c>
      <c r="G1481">
        <v>17</v>
      </c>
      <c r="H1481">
        <v>0</v>
      </c>
      <c r="I1481" t="s">
        <v>40</v>
      </c>
      <c r="J1481">
        <v>105</v>
      </c>
      <c r="K1481" t="s">
        <v>41</v>
      </c>
      <c r="L1481">
        <v>94</v>
      </c>
      <c r="M1481">
        <f>IF(D1481=I1481,VLOOKUP(D1481,a_win_totals_lookup,MATCH(K1481,a_wins_total_lookup_header,0)+1,0),VLOOKUP(D1481,a_win_totals_lookup,MATCH(I1481,a_wins_total_lookup_header,0)+1,0))</f>
        <v>0.5</v>
      </c>
      <c r="N1481">
        <f t="shared" ca="1" si="23"/>
        <v>1</v>
      </c>
    </row>
    <row r="1482" spans="1:14" x14ac:dyDescent="0.25">
      <c r="A1482">
        <v>400579036</v>
      </c>
      <c r="B1482">
        <v>2015</v>
      </c>
      <c r="C1482" s="1">
        <v>42040</v>
      </c>
      <c r="D1482" t="s">
        <v>14</v>
      </c>
      <c r="E1482">
        <v>1</v>
      </c>
      <c r="F1482">
        <v>34</v>
      </c>
      <c r="G1482">
        <v>18</v>
      </c>
      <c r="H1482">
        <v>0</v>
      </c>
      <c r="I1482" t="s">
        <v>37</v>
      </c>
      <c r="J1482">
        <v>78</v>
      </c>
      <c r="K1482" t="s">
        <v>14</v>
      </c>
      <c r="L1482">
        <v>101</v>
      </c>
      <c r="M1482">
        <f>IF(D1482=I1482,VLOOKUP(D1482,a_win_totals_lookup,MATCH(K1482,a_wins_total_lookup_header,0)+1,0),VLOOKUP(D1482,a_win_totals_lookup,MATCH(I1482,a_wins_total_lookup_header,0)+1,0))</f>
        <v>0.68589687603228333</v>
      </c>
      <c r="N1482">
        <f t="shared" ca="1" si="23"/>
        <v>1</v>
      </c>
    </row>
    <row r="1483" spans="1:14" x14ac:dyDescent="0.25">
      <c r="A1483">
        <v>400579036</v>
      </c>
      <c r="B1483">
        <v>2015</v>
      </c>
      <c r="C1483" s="1">
        <v>42040</v>
      </c>
      <c r="D1483" t="s">
        <v>37</v>
      </c>
      <c r="E1483">
        <v>0</v>
      </c>
      <c r="F1483">
        <v>17</v>
      </c>
      <c r="G1483">
        <v>31</v>
      </c>
      <c r="H1483">
        <v>1</v>
      </c>
      <c r="I1483" t="s">
        <v>37</v>
      </c>
      <c r="J1483">
        <v>78</v>
      </c>
      <c r="K1483" t="s">
        <v>14</v>
      </c>
      <c r="L1483">
        <v>101</v>
      </c>
      <c r="M1483">
        <f>IF(D1483=I1483,VLOOKUP(D1483,a_win_totals_lookup,MATCH(K1483,a_wins_total_lookup_header,0)+1,0),VLOOKUP(D1483,a_win_totals_lookup,MATCH(I1483,a_wins_total_lookup_header,0)+1,0))</f>
        <v>0.31410312396771667</v>
      </c>
      <c r="N1483">
        <f t="shared" ca="1" si="23"/>
        <v>0</v>
      </c>
    </row>
    <row r="1484" spans="1:14" x14ac:dyDescent="0.25">
      <c r="A1484">
        <v>400579037</v>
      </c>
      <c r="B1484">
        <v>2015</v>
      </c>
      <c r="C1484" s="1">
        <v>42040</v>
      </c>
      <c r="D1484" t="s">
        <v>35</v>
      </c>
      <c r="E1484">
        <v>0</v>
      </c>
      <c r="F1484">
        <v>28</v>
      </c>
      <c r="G1484">
        <v>23</v>
      </c>
      <c r="H1484">
        <v>0</v>
      </c>
      <c r="I1484" t="s">
        <v>39</v>
      </c>
      <c r="J1484">
        <v>108</v>
      </c>
      <c r="K1484" t="s">
        <v>35</v>
      </c>
      <c r="L1484">
        <v>87</v>
      </c>
      <c r="M1484">
        <f>IF(D1484=I1484,VLOOKUP(D1484,a_win_totals_lookup,MATCH(K1484,a_wins_total_lookup_header,0)+1,0),VLOOKUP(D1484,a_win_totals_lookup,MATCH(I1484,a_wins_total_lookup_header,0)+1,0))</f>
        <v>0.44695853169533922</v>
      </c>
      <c r="N1484">
        <f t="shared" ca="1" si="23"/>
        <v>1</v>
      </c>
    </row>
    <row r="1485" spans="1:14" x14ac:dyDescent="0.25">
      <c r="A1485">
        <v>400579037</v>
      </c>
      <c r="B1485">
        <v>2015</v>
      </c>
      <c r="C1485" s="1">
        <v>42040</v>
      </c>
      <c r="D1485" t="s">
        <v>39</v>
      </c>
      <c r="E1485">
        <v>1</v>
      </c>
      <c r="F1485">
        <v>34</v>
      </c>
      <c r="G1485">
        <v>16</v>
      </c>
      <c r="H1485">
        <v>1</v>
      </c>
      <c r="I1485" t="s">
        <v>39</v>
      </c>
      <c r="J1485">
        <v>108</v>
      </c>
      <c r="K1485" t="s">
        <v>35</v>
      </c>
      <c r="L1485">
        <v>87</v>
      </c>
      <c r="M1485">
        <f>IF(D1485=I1485,VLOOKUP(D1485,a_win_totals_lookup,MATCH(K1485,a_wins_total_lookup_header,0)+1,0),VLOOKUP(D1485,a_win_totals_lookup,MATCH(I1485,a_wins_total_lookup_header,0)+1,0))</f>
        <v>0.55304146830466083</v>
      </c>
      <c r="N1485">
        <f t="shared" ca="1" si="23"/>
        <v>0</v>
      </c>
    </row>
    <row r="1486" spans="1:14" x14ac:dyDescent="0.25">
      <c r="A1486">
        <v>400579038</v>
      </c>
      <c r="B1486">
        <v>2015</v>
      </c>
      <c r="C1486" s="1">
        <v>42041</v>
      </c>
      <c r="D1486" t="s">
        <v>23</v>
      </c>
      <c r="E1486">
        <v>1</v>
      </c>
      <c r="F1486">
        <v>21</v>
      </c>
      <c r="G1486">
        <v>28</v>
      </c>
      <c r="H1486">
        <v>1</v>
      </c>
      <c r="I1486" t="s">
        <v>23</v>
      </c>
      <c r="J1486">
        <v>92</v>
      </c>
      <c r="K1486" t="s">
        <v>31</v>
      </c>
      <c r="L1486">
        <v>88</v>
      </c>
      <c r="M1486">
        <f>IF(D1486=I1486,VLOOKUP(D1486,a_win_totals_lookup,MATCH(K1486,a_wins_total_lookup_header,0)+1,0),VLOOKUP(D1486,a_win_totals_lookup,MATCH(I1486,a_wins_total_lookup_header,0)+1,0))</f>
        <v>0.5</v>
      </c>
      <c r="N1486">
        <f t="shared" ca="1" si="23"/>
        <v>1</v>
      </c>
    </row>
    <row r="1487" spans="1:14" x14ac:dyDescent="0.25">
      <c r="A1487">
        <v>400579038</v>
      </c>
      <c r="B1487">
        <v>2015</v>
      </c>
      <c r="C1487" s="1">
        <v>42041</v>
      </c>
      <c r="D1487" t="s">
        <v>31</v>
      </c>
      <c r="E1487">
        <v>0</v>
      </c>
      <c r="F1487">
        <v>10</v>
      </c>
      <c r="G1487">
        <v>40</v>
      </c>
      <c r="H1487">
        <v>0</v>
      </c>
      <c r="I1487" t="s">
        <v>23</v>
      </c>
      <c r="J1487">
        <v>92</v>
      </c>
      <c r="K1487" t="s">
        <v>31</v>
      </c>
      <c r="L1487">
        <v>88</v>
      </c>
      <c r="M1487">
        <f>IF(D1487=I1487,VLOOKUP(D1487,a_win_totals_lookup,MATCH(K1487,a_wins_total_lookup_header,0)+1,0),VLOOKUP(D1487,a_win_totals_lookup,MATCH(I1487,a_wins_total_lookup_header,0)+1,0))</f>
        <v>0.5</v>
      </c>
      <c r="N1487">
        <f t="shared" ca="1" si="23"/>
        <v>0</v>
      </c>
    </row>
    <row r="1488" spans="1:14" x14ac:dyDescent="0.25">
      <c r="A1488">
        <v>400579039</v>
      </c>
      <c r="B1488">
        <v>2015</v>
      </c>
      <c r="C1488" s="1">
        <v>42041</v>
      </c>
      <c r="D1488" t="s">
        <v>40</v>
      </c>
      <c r="E1488">
        <v>0</v>
      </c>
      <c r="F1488">
        <v>31</v>
      </c>
      <c r="G1488">
        <v>21</v>
      </c>
      <c r="H1488">
        <v>0</v>
      </c>
      <c r="I1488" t="s">
        <v>20</v>
      </c>
      <c r="J1488">
        <v>103</v>
      </c>
      <c r="K1488" t="s">
        <v>40</v>
      </c>
      <c r="L1488">
        <v>99</v>
      </c>
      <c r="M1488">
        <f>IF(D1488=I1488,VLOOKUP(D1488,a_win_totals_lookup,MATCH(K1488,a_wins_total_lookup_header,0)+1,0),VLOOKUP(D1488,a_win_totals_lookup,MATCH(I1488,a_wins_total_lookup_header,0)+1,0))</f>
        <v>0.70252114864958182</v>
      </c>
      <c r="N1488">
        <f t="shared" ca="1" si="23"/>
        <v>1</v>
      </c>
    </row>
    <row r="1489" spans="1:14" x14ac:dyDescent="0.25">
      <c r="A1489">
        <v>400579039</v>
      </c>
      <c r="B1489">
        <v>2015</v>
      </c>
      <c r="C1489" s="1">
        <v>42041</v>
      </c>
      <c r="D1489" t="s">
        <v>20</v>
      </c>
      <c r="E1489">
        <v>1</v>
      </c>
      <c r="F1489">
        <v>19</v>
      </c>
      <c r="G1489">
        <v>32</v>
      </c>
      <c r="H1489">
        <v>1</v>
      </c>
      <c r="I1489" t="s">
        <v>20</v>
      </c>
      <c r="J1489">
        <v>103</v>
      </c>
      <c r="K1489" t="s">
        <v>40</v>
      </c>
      <c r="L1489">
        <v>99</v>
      </c>
      <c r="M1489">
        <f>IF(D1489=I1489,VLOOKUP(D1489,a_win_totals_lookup,MATCH(K1489,a_wins_total_lookup_header,0)+1,0),VLOOKUP(D1489,a_win_totals_lookup,MATCH(I1489,a_wins_total_lookup_header,0)+1,0))</f>
        <v>0.29747885135041813</v>
      </c>
      <c r="N1489">
        <f t="shared" ca="1" si="23"/>
        <v>0</v>
      </c>
    </row>
    <row r="1490" spans="1:14" x14ac:dyDescent="0.25">
      <c r="A1490">
        <v>400579040</v>
      </c>
      <c r="B1490">
        <v>2015</v>
      </c>
      <c r="C1490" s="1">
        <v>42041</v>
      </c>
      <c r="D1490" t="s">
        <v>17</v>
      </c>
      <c r="E1490">
        <v>0</v>
      </c>
      <c r="F1490">
        <v>13</v>
      </c>
      <c r="G1490">
        <v>37</v>
      </c>
      <c r="H1490">
        <v>0</v>
      </c>
      <c r="I1490" t="s">
        <v>13</v>
      </c>
      <c r="J1490">
        <v>103</v>
      </c>
      <c r="K1490" t="s">
        <v>17</v>
      </c>
      <c r="L1490">
        <v>97</v>
      </c>
      <c r="M1490">
        <f>IF(D1490=I1490,VLOOKUP(D1490,a_win_totals_lookup,MATCH(K1490,a_wins_total_lookup_header,0)+1,0),VLOOKUP(D1490,a_win_totals_lookup,MATCH(I1490,a_wins_total_lookup_header,0)+1,0))</f>
        <v>0.53496419100371084</v>
      </c>
      <c r="N1490">
        <f t="shared" ca="1" si="23"/>
        <v>0</v>
      </c>
    </row>
    <row r="1491" spans="1:14" x14ac:dyDescent="0.25">
      <c r="A1491">
        <v>400579040</v>
      </c>
      <c r="B1491">
        <v>2015</v>
      </c>
      <c r="C1491" s="1">
        <v>42041</v>
      </c>
      <c r="D1491" t="s">
        <v>13</v>
      </c>
      <c r="E1491">
        <v>1</v>
      </c>
      <c r="F1491">
        <v>16</v>
      </c>
      <c r="G1491">
        <v>37</v>
      </c>
      <c r="H1491">
        <v>1</v>
      </c>
      <c r="I1491" t="s">
        <v>13</v>
      </c>
      <c r="J1491">
        <v>103</v>
      </c>
      <c r="K1491" t="s">
        <v>17</v>
      </c>
      <c r="L1491">
        <v>97</v>
      </c>
      <c r="M1491">
        <f>IF(D1491=I1491,VLOOKUP(D1491,a_win_totals_lookup,MATCH(K1491,a_wins_total_lookup_header,0)+1,0),VLOOKUP(D1491,a_win_totals_lookup,MATCH(I1491,a_wins_total_lookup_header,0)+1,0))</f>
        <v>0.46503580899628916</v>
      </c>
      <c r="N1491">
        <f t="shared" ca="1" si="23"/>
        <v>0</v>
      </c>
    </row>
    <row r="1492" spans="1:14" x14ac:dyDescent="0.25">
      <c r="A1492">
        <v>400579041</v>
      </c>
      <c r="B1492">
        <v>2015</v>
      </c>
      <c r="C1492" s="1">
        <v>42041</v>
      </c>
      <c r="D1492" t="s">
        <v>26</v>
      </c>
      <c r="E1492">
        <v>1</v>
      </c>
      <c r="F1492">
        <v>42</v>
      </c>
      <c r="G1492">
        <v>9</v>
      </c>
      <c r="H1492">
        <v>1</v>
      </c>
      <c r="I1492" t="s">
        <v>26</v>
      </c>
      <c r="J1492">
        <v>124</v>
      </c>
      <c r="K1492" t="s">
        <v>36</v>
      </c>
      <c r="L1492">
        <v>116</v>
      </c>
      <c r="M1492">
        <f>IF(D1492=I1492,VLOOKUP(D1492,a_win_totals_lookup,MATCH(K1492,a_wins_total_lookup_header,0)+1,0),VLOOKUP(D1492,a_win_totals_lookup,MATCH(I1492,a_wins_total_lookup_header,0)+1,0))</f>
        <v>0.41544436809019553</v>
      </c>
      <c r="N1492">
        <f t="shared" ca="1" si="23"/>
        <v>1</v>
      </c>
    </row>
    <row r="1493" spans="1:14" x14ac:dyDescent="0.25">
      <c r="A1493">
        <v>400579041</v>
      </c>
      <c r="B1493">
        <v>2015</v>
      </c>
      <c r="C1493" s="1">
        <v>42041</v>
      </c>
      <c r="D1493" t="s">
        <v>36</v>
      </c>
      <c r="E1493">
        <v>0</v>
      </c>
      <c r="F1493">
        <v>39</v>
      </c>
      <c r="G1493">
        <v>9</v>
      </c>
      <c r="H1493">
        <v>0</v>
      </c>
      <c r="I1493" t="s">
        <v>26</v>
      </c>
      <c r="J1493">
        <v>124</v>
      </c>
      <c r="K1493" t="s">
        <v>36</v>
      </c>
      <c r="L1493">
        <v>116</v>
      </c>
      <c r="M1493">
        <f>IF(D1493=I1493,VLOOKUP(D1493,a_win_totals_lookup,MATCH(K1493,a_wins_total_lookup_header,0)+1,0),VLOOKUP(D1493,a_win_totals_lookup,MATCH(I1493,a_wins_total_lookup_header,0)+1,0))</f>
        <v>0.58455563190980453</v>
      </c>
      <c r="N1493">
        <f t="shared" ca="1" si="23"/>
        <v>0</v>
      </c>
    </row>
    <row r="1494" spans="1:14" x14ac:dyDescent="0.25">
      <c r="A1494">
        <v>400579042</v>
      </c>
      <c r="B1494">
        <v>2015</v>
      </c>
      <c r="C1494" s="1">
        <v>42041</v>
      </c>
      <c r="D1494" t="s">
        <v>22</v>
      </c>
      <c r="E1494">
        <v>1</v>
      </c>
      <c r="F1494">
        <v>19</v>
      </c>
      <c r="G1494">
        <v>30</v>
      </c>
      <c r="H1494">
        <v>1</v>
      </c>
      <c r="I1494" t="s">
        <v>22</v>
      </c>
      <c r="J1494">
        <v>107</v>
      </c>
      <c r="K1494" t="s">
        <v>21</v>
      </c>
      <c r="L1494">
        <v>96</v>
      </c>
      <c r="M1494">
        <f>IF(D1494=I1494,VLOOKUP(D1494,a_win_totals_lookup,MATCH(K1494,a_wins_total_lookup_header,0)+1,0),VLOOKUP(D1494,a_win_totals_lookup,MATCH(I1494,a_wins_total_lookup_header,0)+1,0))</f>
        <v>0.53961526258126746</v>
      </c>
      <c r="N1494">
        <f t="shared" ca="1" si="23"/>
        <v>1</v>
      </c>
    </row>
    <row r="1495" spans="1:14" x14ac:dyDescent="0.25">
      <c r="A1495">
        <v>400579042</v>
      </c>
      <c r="B1495">
        <v>2015</v>
      </c>
      <c r="C1495" s="1">
        <v>42041</v>
      </c>
      <c r="D1495" t="s">
        <v>21</v>
      </c>
      <c r="E1495">
        <v>0</v>
      </c>
      <c r="F1495">
        <v>11</v>
      </c>
      <c r="G1495">
        <v>40</v>
      </c>
      <c r="H1495">
        <v>0</v>
      </c>
      <c r="I1495" t="s">
        <v>22</v>
      </c>
      <c r="J1495">
        <v>107</v>
      </c>
      <c r="K1495" t="s">
        <v>21</v>
      </c>
      <c r="L1495">
        <v>96</v>
      </c>
      <c r="M1495">
        <f>IF(D1495=I1495,VLOOKUP(D1495,a_win_totals_lookup,MATCH(K1495,a_wins_total_lookup_header,0)+1,0),VLOOKUP(D1495,a_win_totals_lookup,MATCH(I1495,a_wins_total_lookup_header,0)+1,0))</f>
        <v>0.46038473741873248</v>
      </c>
      <c r="N1495">
        <f t="shared" ca="1" si="23"/>
        <v>0</v>
      </c>
    </row>
    <row r="1496" spans="1:14" x14ac:dyDescent="0.25">
      <c r="A1496">
        <v>400579043</v>
      </c>
      <c r="B1496">
        <v>2015</v>
      </c>
      <c r="C1496" s="1">
        <v>42041</v>
      </c>
      <c r="D1496" t="s">
        <v>32</v>
      </c>
      <c r="E1496">
        <v>0</v>
      </c>
      <c r="F1496">
        <v>19</v>
      </c>
      <c r="G1496">
        <v>32</v>
      </c>
      <c r="H1496">
        <v>0</v>
      </c>
      <c r="I1496" t="s">
        <v>33</v>
      </c>
      <c r="J1496">
        <v>98</v>
      </c>
      <c r="K1496" t="s">
        <v>32</v>
      </c>
      <c r="L1496">
        <v>88</v>
      </c>
      <c r="M1496">
        <f>IF(D1496=I1496,VLOOKUP(D1496,a_win_totals_lookup,MATCH(K1496,a_wins_total_lookup_header,0)+1,0),VLOOKUP(D1496,a_win_totals_lookup,MATCH(I1496,a_wins_total_lookup_header,0)+1,0))</f>
        <v>0.54476805573373421</v>
      </c>
      <c r="N1496">
        <f t="shared" ca="1" si="23"/>
        <v>0</v>
      </c>
    </row>
    <row r="1497" spans="1:14" x14ac:dyDescent="0.25">
      <c r="A1497">
        <v>400579043</v>
      </c>
      <c r="B1497">
        <v>2015</v>
      </c>
      <c r="C1497" s="1">
        <v>42041</v>
      </c>
      <c r="D1497" t="s">
        <v>33</v>
      </c>
      <c r="E1497">
        <v>1</v>
      </c>
      <c r="F1497">
        <v>20</v>
      </c>
      <c r="G1497">
        <v>31</v>
      </c>
      <c r="H1497">
        <v>1</v>
      </c>
      <c r="I1497" t="s">
        <v>33</v>
      </c>
      <c r="J1497">
        <v>98</v>
      </c>
      <c r="K1497" t="s">
        <v>32</v>
      </c>
      <c r="L1497">
        <v>88</v>
      </c>
      <c r="M1497">
        <f>IF(D1497=I1497,VLOOKUP(D1497,a_win_totals_lookup,MATCH(K1497,a_wins_total_lookup_header,0)+1,0),VLOOKUP(D1497,a_win_totals_lookup,MATCH(I1497,a_wins_total_lookup_header,0)+1,0))</f>
        <v>0.45523194426626579</v>
      </c>
      <c r="N1497">
        <f t="shared" ca="1" si="23"/>
        <v>0</v>
      </c>
    </row>
    <row r="1498" spans="1:14" x14ac:dyDescent="0.25">
      <c r="A1498">
        <v>400579044</v>
      </c>
      <c r="B1498">
        <v>2015</v>
      </c>
      <c r="C1498" s="1">
        <v>42041</v>
      </c>
      <c r="D1498" t="s">
        <v>41</v>
      </c>
      <c r="E1498">
        <v>0</v>
      </c>
      <c r="F1498">
        <v>33</v>
      </c>
      <c r="G1498">
        <v>18</v>
      </c>
      <c r="H1498">
        <v>0</v>
      </c>
      <c r="I1498" t="s">
        <v>27</v>
      </c>
      <c r="J1498">
        <v>123</v>
      </c>
      <c r="K1498" t="s">
        <v>41</v>
      </c>
      <c r="L1498">
        <v>107</v>
      </c>
      <c r="M1498">
        <f>IF(D1498=I1498,VLOOKUP(D1498,a_win_totals_lookup,MATCH(K1498,a_wins_total_lookup_header,0)+1,0),VLOOKUP(D1498,a_win_totals_lookup,MATCH(I1498,a_wins_total_lookup_header,0)+1,0))</f>
        <v>0.53622195991228083</v>
      </c>
      <c r="N1498">
        <f t="shared" ca="1" si="23"/>
        <v>0</v>
      </c>
    </row>
    <row r="1499" spans="1:14" x14ac:dyDescent="0.25">
      <c r="A1499">
        <v>400579044</v>
      </c>
      <c r="B1499">
        <v>2015</v>
      </c>
      <c r="C1499" s="1">
        <v>42041</v>
      </c>
      <c r="D1499" t="s">
        <v>27</v>
      </c>
      <c r="E1499">
        <v>1</v>
      </c>
      <c r="F1499">
        <v>34</v>
      </c>
      <c r="G1499">
        <v>17</v>
      </c>
      <c r="H1499">
        <v>1</v>
      </c>
      <c r="I1499" t="s">
        <v>27</v>
      </c>
      <c r="J1499">
        <v>123</v>
      </c>
      <c r="K1499" t="s">
        <v>41</v>
      </c>
      <c r="L1499">
        <v>107</v>
      </c>
      <c r="M1499">
        <f>IF(D1499=I1499,VLOOKUP(D1499,a_win_totals_lookup,MATCH(K1499,a_wins_total_lookup_header,0)+1,0),VLOOKUP(D1499,a_win_totals_lookup,MATCH(I1499,a_wins_total_lookup_header,0)+1,0))</f>
        <v>0.46377804008771911</v>
      </c>
      <c r="N1499">
        <f t="shared" ca="1" si="23"/>
        <v>1</v>
      </c>
    </row>
    <row r="1500" spans="1:14" x14ac:dyDescent="0.25">
      <c r="A1500">
        <v>400579045</v>
      </c>
      <c r="B1500">
        <v>2015</v>
      </c>
      <c r="C1500" s="1">
        <v>42041</v>
      </c>
      <c r="D1500" t="s">
        <v>16</v>
      </c>
      <c r="E1500">
        <v>1</v>
      </c>
      <c r="F1500">
        <v>35</v>
      </c>
      <c r="G1500">
        <v>15</v>
      </c>
      <c r="H1500">
        <v>1</v>
      </c>
      <c r="I1500" t="s">
        <v>16</v>
      </c>
      <c r="J1500">
        <v>117</v>
      </c>
      <c r="K1500" t="s">
        <v>19</v>
      </c>
      <c r="L1500">
        <v>111</v>
      </c>
      <c r="M1500">
        <f>IF(D1500=I1500,VLOOKUP(D1500,a_win_totals_lookup,MATCH(K1500,a_wins_total_lookup_header,0)+1,0),VLOOKUP(D1500,a_win_totals_lookup,MATCH(I1500,a_wins_total_lookup_header,0)+1,0))</f>
        <v>0.71744673717528584</v>
      </c>
      <c r="N1500">
        <f t="shared" ca="1" si="23"/>
        <v>1</v>
      </c>
    </row>
    <row r="1501" spans="1:14" x14ac:dyDescent="0.25">
      <c r="A1501">
        <v>400579045</v>
      </c>
      <c r="B1501">
        <v>2015</v>
      </c>
      <c r="C1501" s="1">
        <v>42041</v>
      </c>
      <c r="D1501" t="s">
        <v>19</v>
      </c>
      <c r="E1501">
        <v>0</v>
      </c>
      <c r="F1501">
        <v>27</v>
      </c>
      <c r="G1501">
        <v>23</v>
      </c>
      <c r="H1501">
        <v>0</v>
      </c>
      <c r="I1501" t="s">
        <v>16</v>
      </c>
      <c r="J1501">
        <v>117</v>
      </c>
      <c r="K1501" t="s">
        <v>19</v>
      </c>
      <c r="L1501">
        <v>111</v>
      </c>
      <c r="M1501">
        <f>IF(D1501=I1501,VLOOKUP(D1501,a_win_totals_lookup,MATCH(K1501,a_wins_total_lookup_header,0)+1,0),VLOOKUP(D1501,a_win_totals_lookup,MATCH(I1501,a_wins_total_lookup_header,0)+1,0))</f>
        <v>0.28255326282471421</v>
      </c>
      <c r="N1501">
        <f t="shared" ca="1" si="23"/>
        <v>0</v>
      </c>
    </row>
    <row r="1502" spans="1:14" x14ac:dyDescent="0.25">
      <c r="A1502">
        <v>400579046</v>
      </c>
      <c r="B1502">
        <v>2015</v>
      </c>
      <c r="C1502" s="1">
        <v>42041</v>
      </c>
      <c r="D1502" t="s">
        <v>28</v>
      </c>
      <c r="E1502">
        <v>0</v>
      </c>
      <c r="F1502">
        <v>37</v>
      </c>
      <c r="G1502">
        <v>13</v>
      </c>
      <c r="H1502">
        <v>0</v>
      </c>
      <c r="I1502" t="s">
        <v>29</v>
      </c>
      <c r="J1502">
        <v>90</v>
      </c>
      <c r="K1502" t="s">
        <v>28</v>
      </c>
      <c r="L1502">
        <v>89</v>
      </c>
      <c r="M1502">
        <f>IF(D1502=I1502,VLOOKUP(D1502,a_win_totals_lookup,MATCH(K1502,a_wins_total_lookup_header,0)+1,0),VLOOKUP(D1502,a_win_totals_lookup,MATCH(I1502,a_wins_total_lookup_header,0)+1,0))</f>
        <v>0.74684840850402012</v>
      </c>
      <c r="N1502">
        <f t="shared" ca="1" si="23"/>
        <v>1</v>
      </c>
    </row>
    <row r="1503" spans="1:14" x14ac:dyDescent="0.25">
      <c r="A1503">
        <v>400579046</v>
      </c>
      <c r="B1503">
        <v>2015</v>
      </c>
      <c r="C1503" s="1">
        <v>42041</v>
      </c>
      <c r="D1503" t="s">
        <v>29</v>
      </c>
      <c r="E1503">
        <v>1</v>
      </c>
      <c r="F1503">
        <v>10</v>
      </c>
      <c r="G1503">
        <v>40</v>
      </c>
      <c r="H1503">
        <v>1</v>
      </c>
      <c r="I1503" t="s">
        <v>29</v>
      </c>
      <c r="J1503">
        <v>90</v>
      </c>
      <c r="K1503" t="s">
        <v>28</v>
      </c>
      <c r="L1503">
        <v>89</v>
      </c>
      <c r="M1503">
        <f>IF(D1503=I1503,VLOOKUP(D1503,a_win_totals_lookup,MATCH(K1503,a_wins_total_lookup_header,0)+1,0),VLOOKUP(D1503,a_win_totals_lookup,MATCH(I1503,a_wins_total_lookup_header,0)+1,0))</f>
        <v>0.25315159149597988</v>
      </c>
      <c r="N1503">
        <f t="shared" ca="1" si="23"/>
        <v>0</v>
      </c>
    </row>
    <row r="1504" spans="1:14" x14ac:dyDescent="0.25">
      <c r="A1504">
        <v>400579047</v>
      </c>
      <c r="B1504">
        <v>2015</v>
      </c>
      <c r="C1504" s="1">
        <v>42041</v>
      </c>
      <c r="D1504" t="s">
        <v>12</v>
      </c>
      <c r="E1504">
        <v>1</v>
      </c>
      <c r="F1504">
        <v>27</v>
      </c>
      <c r="G1504">
        <v>23</v>
      </c>
      <c r="H1504">
        <v>0</v>
      </c>
      <c r="I1504" t="s">
        <v>38</v>
      </c>
      <c r="J1504">
        <v>113</v>
      </c>
      <c r="K1504" t="s">
        <v>12</v>
      </c>
      <c r="L1504">
        <v>116</v>
      </c>
      <c r="M1504">
        <f>IF(D1504=I1504,VLOOKUP(D1504,a_win_totals_lookup,MATCH(K1504,a_wins_total_lookup_header,0)+1,0),VLOOKUP(D1504,a_win_totals_lookup,MATCH(I1504,a_wins_total_lookup_header,0)+1,0))</f>
        <v>0.38440358663606417</v>
      </c>
      <c r="N1504">
        <f t="shared" ca="1" si="23"/>
        <v>0</v>
      </c>
    </row>
    <row r="1505" spans="1:14" x14ac:dyDescent="0.25">
      <c r="A1505">
        <v>400579047</v>
      </c>
      <c r="B1505">
        <v>2015</v>
      </c>
      <c r="C1505" s="1">
        <v>42041</v>
      </c>
      <c r="D1505" t="s">
        <v>38</v>
      </c>
      <c r="E1505">
        <v>0</v>
      </c>
      <c r="F1505">
        <v>25</v>
      </c>
      <c r="G1505">
        <v>25</v>
      </c>
      <c r="H1505">
        <v>1</v>
      </c>
      <c r="I1505" t="s">
        <v>38</v>
      </c>
      <c r="J1505">
        <v>113</v>
      </c>
      <c r="K1505" t="s">
        <v>12</v>
      </c>
      <c r="L1505">
        <v>116</v>
      </c>
      <c r="M1505">
        <f>IF(D1505=I1505,VLOOKUP(D1505,a_win_totals_lookup,MATCH(K1505,a_wins_total_lookup_header,0)+1,0),VLOOKUP(D1505,a_win_totals_lookup,MATCH(I1505,a_wins_total_lookup_header,0)+1,0))</f>
        <v>0.61559641336393578</v>
      </c>
      <c r="N1505">
        <f t="shared" ca="1" si="23"/>
        <v>1</v>
      </c>
    </row>
    <row r="1506" spans="1:14" x14ac:dyDescent="0.25">
      <c r="A1506">
        <v>400579048</v>
      </c>
      <c r="B1506">
        <v>2015</v>
      </c>
      <c r="C1506" s="1">
        <v>42041</v>
      </c>
      <c r="D1506" t="s">
        <v>35</v>
      </c>
      <c r="E1506">
        <v>1</v>
      </c>
      <c r="F1506">
        <v>29</v>
      </c>
      <c r="G1506">
        <v>23</v>
      </c>
      <c r="H1506">
        <v>1</v>
      </c>
      <c r="I1506" t="s">
        <v>35</v>
      </c>
      <c r="J1506">
        <v>100</v>
      </c>
      <c r="K1506" t="s">
        <v>34</v>
      </c>
      <c r="L1506">
        <v>93</v>
      </c>
      <c r="M1506">
        <f>IF(D1506=I1506,VLOOKUP(D1506,a_win_totals_lookup,MATCH(K1506,a_wins_total_lookup_header,0)+1,0),VLOOKUP(D1506,a_win_totals_lookup,MATCH(I1506,a_wins_total_lookup_header,0)+1,0))</f>
        <v>0.64759781623680968</v>
      </c>
      <c r="N1506">
        <f t="shared" ca="1" si="23"/>
        <v>1</v>
      </c>
    </row>
    <row r="1507" spans="1:14" x14ac:dyDescent="0.25">
      <c r="A1507">
        <v>400579048</v>
      </c>
      <c r="B1507">
        <v>2015</v>
      </c>
      <c r="C1507" s="1">
        <v>42041</v>
      </c>
      <c r="D1507" t="s">
        <v>34</v>
      </c>
      <c r="E1507">
        <v>0</v>
      </c>
      <c r="F1507">
        <v>17</v>
      </c>
      <c r="G1507">
        <v>33</v>
      </c>
      <c r="H1507">
        <v>0</v>
      </c>
      <c r="I1507" t="s">
        <v>35</v>
      </c>
      <c r="J1507">
        <v>100</v>
      </c>
      <c r="K1507" t="s">
        <v>34</v>
      </c>
      <c r="L1507">
        <v>93</v>
      </c>
      <c r="M1507">
        <f>IF(D1507=I1507,VLOOKUP(D1507,a_win_totals_lookup,MATCH(K1507,a_wins_total_lookup_header,0)+1,0),VLOOKUP(D1507,a_win_totals_lookup,MATCH(I1507,a_wins_total_lookup_header,0)+1,0))</f>
        <v>0.35240218376319032</v>
      </c>
      <c r="N1507">
        <f t="shared" ca="1" si="23"/>
        <v>1</v>
      </c>
    </row>
    <row r="1508" spans="1:14" x14ac:dyDescent="0.25">
      <c r="A1508">
        <v>400579049</v>
      </c>
      <c r="B1508">
        <v>2015</v>
      </c>
      <c r="C1508" s="1">
        <v>42041</v>
      </c>
      <c r="D1508" t="s">
        <v>24</v>
      </c>
      <c r="E1508">
        <v>0</v>
      </c>
      <c r="F1508">
        <v>21</v>
      </c>
      <c r="G1508">
        <v>29</v>
      </c>
      <c r="H1508">
        <v>0</v>
      </c>
      <c r="I1508" t="s">
        <v>15</v>
      </c>
      <c r="J1508">
        <v>98</v>
      </c>
      <c r="K1508" t="s">
        <v>24</v>
      </c>
      <c r="L1508">
        <v>85</v>
      </c>
      <c r="M1508">
        <f>IF(D1508=I1508,VLOOKUP(D1508,a_win_totals_lookup,MATCH(K1508,a_wins_total_lookup_header,0)+1,0),VLOOKUP(D1508,a_win_totals_lookup,MATCH(I1508,a_wins_total_lookup_header,0)+1,0))</f>
        <v>0.40877592000786772</v>
      </c>
      <c r="N1508">
        <f t="shared" ca="1" si="23"/>
        <v>0</v>
      </c>
    </row>
    <row r="1509" spans="1:14" x14ac:dyDescent="0.25">
      <c r="A1509">
        <v>400579049</v>
      </c>
      <c r="B1509">
        <v>2015</v>
      </c>
      <c r="C1509" s="1">
        <v>42041</v>
      </c>
      <c r="D1509" t="s">
        <v>15</v>
      </c>
      <c r="E1509">
        <v>1</v>
      </c>
      <c r="F1509">
        <v>32</v>
      </c>
      <c r="G1509">
        <v>18</v>
      </c>
      <c r="H1509">
        <v>1</v>
      </c>
      <c r="I1509" t="s">
        <v>15</v>
      </c>
      <c r="J1509">
        <v>98</v>
      </c>
      <c r="K1509" t="s">
        <v>24</v>
      </c>
      <c r="L1509">
        <v>85</v>
      </c>
      <c r="M1509">
        <f>IF(D1509=I1509,VLOOKUP(D1509,a_win_totals_lookup,MATCH(K1509,a_wins_total_lookup_header,0)+1,0),VLOOKUP(D1509,a_win_totals_lookup,MATCH(I1509,a_wins_total_lookup_header,0)+1,0))</f>
        <v>0.59122407999213222</v>
      </c>
      <c r="N1509">
        <f t="shared" ca="1" si="23"/>
        <v>0</v>
      </c>
    </row>
    <row r="1510" spans="1:14" x14ac:dyDescent="0.25">
      <c r="A1510">
        <v>400579050</v>
      </c>
      <c r="B1510">
        <v>2015</v>
      </c>
      <c r="C1510" s="1">
        <v>42042</v>
      </c>
      <c r="D1510" t="s">
        <v>30</v>
      </c>
      <c r="E1510">
        <v>1</v>
      </c>
      <c r="F1510">
        <v>31</v>
      </c>
      <c r="G1510">
        <v>20</v>
      </c>
      <c r="H1510">
        <v>0</v>
      </c>
      <c r="I1510" t="s">
        <v>12</v>
      </c>
      <c r="J1510">
        <v>72</v>
      </c>
      <c r="K1510" t="s">
        <v>30</v>
      </c>
      <c r="L1510">
        <v>107</v>
      </c>
      <c r="M1510">
        <f>IF(D1510=I1510,VLOOKUP(D1510,a_win_totals_lookup,MATCH(K1510,a_wins_total_lookup_header,0)+1,0),VLOOKUP(D1510,a_win_totals_lookup,MATCH(I1510,a_wins_total_lookup_header,0)+1,0))</f>
        <v>0.62692044428040861</v>
      </c>
      <c r="N1510">
        <f t="shared" ca="1" si="23"/>
        <v>0</v>
      </c>
    </row>
    <row r="1511" spans="1:14" x14ac:dyDescent="0.25">
      <c r="A1511">
        <v>400579050</v>
      </c>
      <c r="B1511">
        <v>2015</v>
      </c>
      <c r="C1511" s="1">
        <v>42042</v>
      </c>
      <c r="D1511" t="s">
        <v>12</v>
      </c>
      <c r="E1511">
        <v>0</v>
      </c>
      <c r="F1511">
        <v>27</v>
      </c>
      <c r="G1511">
        <v>24</v>
      </c>
      <c r="H1511">
        <v>1</v>
      </c>
      <c r="I1511" t="s">
        <v>12</v>
      </c>
      <c r="J1511">
        <v>72</v>
      </c>
      <c r="K1511" t="s">
        <v>30</v>
      </c>
      <c r="L1511">
        <v>107</v>
      </c>
      <c r="M1511">
        <f>IF(D1511=I1511,VLOOKUP(D1511,a_win_totals_lookup,MATCH(K1511,a_wins_total_lookup_header,0)+1,0),VLOOKUP(D1511,a_win_totals_lookup,MATCH(I1511,a_wins_total_lookup_header,0)+1,0))</f>
        <v>0.37307955571959134</v>
      </c>
      <c r="N1511">
        <f t="shared" ca="1" si="23"/>
        <v>0</v>
      </c>
    </row>
    <row r="1512" spans="1:14" x14ac:dyDescent="0.25">
      <c r="A1512">
        <v>400579051</v>
      </c>
      <c r="B1512">
        <v>2015</v>
      </c>
      <c r="C1512" s="1">
        <v>42042</v>
      </c>
      <c r="D1512" t="s">
        <v>23</v>
      </c>
      <c r="E1512">
        <v>0</v>
      </c>
      <c r="F1512">
        <v>21</v>
      </c>
      <c r="G1512">
        <v>29</v>
      </c>
      <c r="H1512">
        <v>0</v>
      </c>
      <c r="I1512" t="s">
        <v>25</v>
      </c>
      <c r="J1512">
        <v>114</v>
      </c>
      <c r="K1512" t="s">
        <v>23</v>
      </c>
      <c r="L1512">
        <v>77</v>
      </c>
      <c r="M1512">
        <f>IF(D1512=I1512,VLOOKUP(D1512,a_win_totals_lookup,MATCH(K1512,a_wins_total_lookup_header,0)+1,0),VLOOKUP(D1512,a_win_totals_lookup,MATCH(I1512,a_wins_total_lookup_header,0)+1,0))</f>
        <v>0.41758613378174975</v>
      </c>
      <c r="N1512">
        <f t="shared" ca="1" si="23"/>
        <v>0</v>
      </c>
    </row>
    <row r="1513" spans="1:14" x14ac:dyDescent="0.25">
      <c r="A1513">
        <v>400579051</v>
      </c>
      <c r="B1513">
        <v>2015</v>
      </c>
      <c r="C1513" s="1">
        <v>42042</v>
      </c>
      <c r="D1513" t="s">
        <v>25</v>
      </c>
      <c r="E1513">
        <v>1</v>
      </c>
      <c r="F1513">
        <v>32</v>
      </c>
      <c r="G1513">
        <v>20</v>
      </c>
      <c r="H1513">
        <v>1</v>
      </c>
      <c r="I1513" t="s">
        <v>25</v>
      </c>
      <c r="J1513">
        <v>114</v>
      </c>
      <c r="K1513" t="s">
        <v>23</v>
      </c>
      <c r="L1513">
        <v>77</v>
      </c>
      <c r="M1513">
        <f>IF(D1513=I1513,VLOOKUP(D1513,a_win_totals_lookup,MATCH(K1513,a_wins_total_lookup_header,0)+1,0),VLOOKUP(D1513,a_win_totals_lookup,MATCH(I1513,a_wins_total_lookup_header,0)+1,0))</f>
        <v>0.5824138662182502</v>
      </c>
      <c r="N1513">
        <f t="shared" ca="1" si="23"/>
        <v>0</v>
      </c>
    </row>
    <row r="1514" spans="1:14" x14ac:dyDescent="0.25">
      <c r="A1514">
        <v>400579052</v>
      </c>
      <c r="B1514">
        <v>2015</v>
      </c>
      <c r="C1514" s="1">
        <v>42042</v>
      </c>
      <c r="D1514" t="s">
        <v>36</v>
      </c>
      <c r="E1514">
        <v>1</v>
      </c>
      <c r="F1514">
        <v>40</v>
      </c>
      <c r="G1514">
        <v>9</v>
      </c>
      <c r="H1514">
        <v>0</v>
      </c>
      <c r="I1514" t="s">
        <v>31</v>
      </c>
      <c r="J1514">
        <v>92</v>
      </c>
      <c r="K1514" t="s">
        <v>36</v>
      </c>
      <c r="L1514">
        <v>106</v>
      </c>
      <c r="M1514">
        <f>IF(D1514=I1514,VLOOKUP(D1514,a_win_totals_lookup,MATCH(K1514,a_wins_total_lookup_header,0)+1,0),VLOOKUP(D1514,a_win_totals_lookup,MATCH(I1514,a_wins_total_lookup_header,0)+1,0))</f>
        <v>0.62222030574062748</v>
      </c>
      <c r="N1514">
        <f t="shared" ca="1" si="23"/>
        <v>1</v>
      </c>
    </row>
    <row r="1515" spans="1:14" x14ac:dyDescent="0.25">
      <c r="A1515">
        <v>400579052</v>
      </c>
      <c r="B1515">
        <v>2015</v>
      </c>
      <c r="C1515" s="1">
        <v>42042</v>
      </c>
      <c r="D1515" t="s">
        <v>31</v>
      </c>
      <c r="E1515">
        <v>0</v>
      </c>
      <c r="F1515">
        <v>10</v>
      </c>
      <c r="G1515">
        <v>41</v>
      </c>
      <c r="H1515">
        <v>1</v>
      </c>
      <c r="I1515" t="s">
        <v>31</v>
      </c>
      <c r="J1515">
        <v>92</v>
      </c>
      <c r="K1515" t="s">
        <v>36</v>
      </c>
      <c r="L1515">
        <v>106</v>
      </c>
      <c r="M1515">
        <f>IF(D1515=I1515,VLOOKUP(D1515,a_win_totals_lookup,MATCH(K1515,a_wins_total_lookup_header,0)+1,0),VLOOKUP(D1515,a_win_totals_lookup,MATCH(I1515,a_wins_total_lookup_header,0)+1,0))</f>
        <v>0.37777969425937236</v>
      </c>
      <c r="N1515">
        <f t="shared" ca="1" si="23"/>
        <v>0</v>
      </c>
    </row>
    <row r="1516" spans="1:14" x14ac:dyDescent="0.25">
      <c r="A1516">
        <v>400579053</v>
      </c>
      <c r="B1516">
        <v>2015</v>
      </c>
      <c r="C1516" s="1">
        <v>42042</v>
      </c>
      <c r="D1516" t="s">
        <v>18</v>
      </c>
      <c r="E1516">
        <v>0</v>
      </c>
      <c r="F1516">
        <v>22</v>
      </c>
      <c r="G1516">
        <v>28</v>
      </c>
      <c r="H1516">
        <v>0</v>
      </c>
      <c r="I1516" t="s">
        <v>21</v>
      </c>
      <c r="J1516">
        <v>89</v>
      </c>
      <c r="K1516" t="s">
        <v>18</v>
      </c>
      <c r="L1516">
        <v>81</v>
      </c>
      <c r="M1516">
        <f>IF(D1516=I1516,VLOOKUP(D1516,a_win_totals_lookup,MATCH(K1516,a_wins_total_lookup_header,0)+1,0),VLOOKUP(D1516,a_win_totals_lookup,MATCH(I1516,a_wins_total_lookup_header,0)+1,0))</f>
        <v>0.74739815693098044</v>
      </c>
      <c r="N1516">
        <f t="shared" ca="1" si="23"/>
        <v>1</v>
      </c>
    </row>
    <row r="1517" spans="1:14" x14ac:dyDescent="0.25">
      <c r="A1517">
        <v>400579053</v>
      </c>
      <c r="B1517">
        <v>2015</v>
      </c>
      <c r="C1517" s="1">
        <v>42042</v>
      </c>
      <c r="D1517" t="s">
        <v>21</v>
      </c>
      <c r="E1517">
        <v>1</v>
      </c>
      <c r="F1517">
        <v>12</v>
      </c>
      <c r="G1517">
        <v>40</v>
      </c>
      <c r="H1517">
        <v>1</v>
      </c>
      <c r="I1517" t="s">
        <v>21</v>
      </c>
      <c r="J1517">
        <v>89</v>
      </c>
      <c r="K1517" t="s">
        <v>18</v>
      </c>
      <c r="L1517">
        <v>81</v>
      </c>
      <c r="M1517">
        <f>IF(D1517=I1517,VLOOKUP(D1517,a_win_totals_lookup,MATCH(K1517,a_wins_total_lookup_header,0)+1,0),VLOOKUP(D1517,a_win_totals_lookup,MATCH(I1517,a_wins_total_lookup_header,0)+1,0))</f>
        <v>0.25260184306901956</v>
      </c>
      <c r="N1517">
        <f t="shared" ca="1" si="23"/>
        <v>0</v>
      </c>
    </row>
    <row r="1518" spans="1:14" x14ac:dyDescent="0.25">
      <c r="A1518">
        <v>400579054</v>
      </c>
      <c r="B1518">
        <v>2015</v>
      </c>
      <c r="C1518" s="1">
        <v>42042</v>
      </c>
      <c r="D1518" t="s">
        <v>14</v>
      </c>
      <c r="E1518">
        <v>1</v>
      </c>
      <c r="F1518">
        <v>35</v>
      </c>
      <c r="G1518">
        <v>18</v>
      </c>
      <c r="H1518">
        <v>1</v>
      </c>
      <c r="I1518" t="s">
        <v>14</v>
      </c>
      <c r="J1518">
        <v>111</v>
      </c>
      <c r="K1518" t="s">
        <v>39</v>
      </c>
      <c r="L1518">
        <v>101</v>
      </c>
      <c r="M1518">
        <f>IF(D1518=I1518,VLOOKUP(D1518,a_win_totals_lookup,MATCH(K1518,a_wins_total_lookup_header,0)+1,0),VLOOKUP(D1518,a_win_totals_lookup,MATCH(I1518,a_wins_total_lookup_header,0)+1,0))</f>
        <v>0.52488627234984619</v>
      </c>
      <c r="N1518">
        <f t="shared" ca="1" si="23"/>
        <v>1</v>
      </c>
    </row>
    <row r="1519" spans="1:14" x14ac:dyDescent="0.25">
      <c r="A1519">
        <v>400579054</v>
      </c>
      <c r="B1519">
        <v>2015</v>
      </c>
      <c r="C1519" s="1">
        <v>42042</v>
      </c>
      <c r="D1519" t="s">
        <v>39</v>
      </c>
      <c r="E1519">
        <v>0</v>
      </c>
      <c r="F1519">
        <v>34</v>
      </c>
      <c r="G1519">
        <v>17</v>
      </c>
      <c r="H1519">
        <v>0</v>
      </c>
      <c r="I1519" t="s">
        <v>14</v>
      </c>
      <c r="J1519">
        <v>111</v>
      </c>
      <c r="K1519" t="s">
        <v>39</v>
      </c>
      <c r="L1519">
        <v>101</v>
      </c>
      <c r="M1519">
        <f>IF(D1519=I1519,VLOOKUP(D1519,a_win_totals_lookup,MATCH(K1519,a_wins_total_lookup_header,0)+1,0),VLOOKUP(D1519,a_win_totals_lookup,MATCH(I1519,a_wins_total_lookup_header,0)+1,0))</f>
        <v>0.47511372765015386</v>
      </c>
      <c r="N1519">
        <f t="shared" ca="1" si="23"/>
        <v>0</v>
      </c>
    </row>
    <row r="1520" spans="1:14" x14ac:dyDescent="0.25">
      <c r="A1520">
        <v>400579055</v>
      </c>
      <c r="B1520">
        <v>2015</v>
      </c>
      <c r="C1520" s="1">
        <v>42042</v>
      </c>
      <c r="D1520" t="s">
        <v>22</v>
      </c>
      <c r="E1520">
        <v>0</v>
      </c>
      <c r="F1520">
        <v>19</v>
      </c>
      <c r="G1520">
        <v>31</v>
      </c>
      <c r="H1520">
        <v>0</v>
      </c>
      <c r="I1520" t="s">
        <v>19</v>
      </c>
      <c r="J1520">
        <v>96</v>
      </c>
      <c r="K1520" t="s">
        <v>22</v>
      </c>
      <c r="L1520">
        <v>93</v>
      </c>
      <c r="M1520">
        <f>IF(D1520=I1520,VLOOKUP(D1520,a_win_totals_lookup,MATCH(K1520,a_wins_total_lookup_header,0)+1,0),VLOOKUP(D1520,a_win_totals_lookup,MATCH(I1520,a_wins_total_lookup_header,0)+1,0))</f>
        <v>0.48079732495336996</v>
      </c>
      <c r="N1520">
        <f t="shared" ca="1" si="23"/>
        <v>0</v>
      </c>
    </row>
    <row r="1521" spans="1:14" x14ac:dyDescent="0.25">
      <c r="A1521">
        <v>400579055</v>
      </c>
      <c r="B1521">
        <v>2015</v>
      </c>
      <c r="C1521" s="1">
        <v>42042</v>
      </c>
      <c r="D1521" t="s">
        <v>19</v>
      </c>
      <c r="E1521">
        <v>1</v>
      </c>
      <c r="F1521">
        <v>28</v>
      </c>
      <c r="G1521">
        <v>23</v>
      </c>
      <c r="H1521">
        <v>1</v>
      </c>
      <c r="I1521" t="s">
        <v>19</v>
      </c>
      <c r="J1521">
        <v>96</v>
      </c>
      <c r="K1521" t="s">
        <v>22</v>
      </c>
      <c r="L1521">
        <v>93</v>
      </c>
      <c r="M1521">
        <f>IF(D1521=I1521,VLOOKUP(D1521,a_win_totals_lookup,MATCH(K1521,a_wins_total_lookup_header,0)+1,0),VLOOKUP(D1521,a_win_totals_lookup,MATCH(I1521,a_wins_total_lookup_header,0)+1,0))</f>
        <v>0.51920267504662998</v>
      </c>
      <c r="N1521">
        <f t="shared" ca="1" si="23"/>
        <v>1</v>
      </c>
    </row>
    <row r="1522" spans="1:14" x14ac:dyDescent="0.25">
      <c r="A1522">
        <v>400579056</v>
      </c>
      <c r="B1522">
        <v>2015</v>
      </c>
      <c r="C1522" s="1">
        <v>42042</v>
      </c>
      <c r="D1522" t="s">
        <v>37</v>
      </c>
      <c r="E1522">
        <v>0</v>
      </c>
      <c r="F1522">
        <v>17</v>
      </c>
      <c r="G1522">
        <v>32</v>
      </c>
      <c r="H1522">
        <v>0</v>
      </c>
      <c r="I1522" t="s">
        <v>34</v>
      </c>
      <c r="J1522">
        <v>102</v>
      </c>
      <c r="K1522" t="s">
        <v>37</v>
      </c>
      <c r="L1522">
        <v>90</v>
      </c>
      <c r="M1522">
        <f>IF(D1522=I1522,VLOOKUP(D1522,a_win_totals_lookup,MATCH(K1522,a_wins_total_lookup_header,0)+1,0),VLOOKUP(D1522,a_win_totals_lookup,MATCH(I1522,a_wins_total_lookup_header,0)+1,0))</f>
        <v>0.53496419100371084</v>
      </c>
      <c r="N1522">
        <f t="shared" ca="1" si="23"/>
        <v>1</v>
      </c>
    </row>
    <row r="1523" spans="1:14" x14ac:dyDescent="0.25">
      <c r="A1523">
        <v>400579056</v>
      </c>
      <c r="B1523">
        <v>2015</v>
      </c>
      <c r="C1523" s="1">
        <v>42042</v>
      </c>
      <c r="D1523" t="s">
        <v>34</v>
      </c>
      <c r="E1523">
        <v>1</v>
      </c>
      <c r="F1523">
        <v>18</v>
      </c>
      <c r="G1523">
        <v>33</v>
      </c>
      <c r="H1523">
        <v>1</v>
      </c>
      <c r="I1523" t="s">
        <v>34</v>
      </c>
      <c r="J1523">
        <v>102</v>
      </c>
      <c r="K1523" t="s">
        <v>37</v>
      </c>
      <c r="L1523">
        <v>90</v>
      </c>
      <c r="M1523">
        <f>IF(D1523=I1523,VLOOKUP(D1523,a_win_totals_lookup,MATCH(K1523,a_wins_total_lookup_header,0)+1,0),VLOOKUP(D1523,a_win_totals_lookup,MATCH(I1523,a_wins_total_lookup_header,0)+1,0))</f>
        <v>0.46503580899628916</v>
      </c>
      <c r="N1523">
        <f t="shared" ca="1" si="23"/>
        <v>1</v>
      </c>
    </row>
    <row r="1524" spans="1:14" x14ac:dyDescent="0.25">
      <c r="A1524">
        <v>400579057</v>
      </c>
      <c r="B1524">
        <v>2015</v>
      </c>
      <c r="C1524" s="1">
        <v>42043</v>
      </c>
      <c r="D1524" t="s">
        <v>41</v>
      </c>
      <c r="E1524">
        <v>0</v>
      </c>
      <c r="F1524">
        <v>33</v>
      </c>
      <c r="G1524">
        <v>19</v>
      </c>
      <c r="H1524">
        <v>0</v>
      </c>
      <c r="I1524" t="s">
        <v>38</v>
      </c>
      <c r="J1524">
        <v>131</v>
      </c>
      <c r="K1524" t="s">
        <v>41</v>
      </c>
      <c r="L1524">
        <v>108</v>
      </c>
      <c r="M1524">
        <f>IF(D1524=I1524,VLOOKUP(D1524,a_win_totals_lookup,MATCH(K1524,a_wins_total_lookup_header,0)+1,0),VLOOKUP(D1524,a_win_totals_lookup,MATCH(I1524,a_wins_total_lookup_header,0)+1,0))</f>
        <v>0.52231903699980808</v>
      </c>
      <c r="N1524">
        <f t="shared" ca="1" si="23"/>
        <v>1</v>
      </c>
    </row>
    <row r="1525" spans="1:14" x14ac:dyDescent="0.25">
      <c r="A1525">
        <v>400579057</v>
      </c>
      <c r="B1525">
        <v>2015</v>
      </c>
      <c r="C1525" s="1">
        <v>42043</v>
      </c>
      <c r="D1525" t="s">
        <v>38</v>
      </c>
      <c r="E1525">
        <v>1</v>
      </c>
      <c r="F1525">
        <v>26</v>
      </c>
      <c r="G1525">
        <v>25</v>
      </c>
      <c r="H1525">
        <v>1</v>
      </c>
      <c r="I1525" t="s">
        <v>38</v>
      </c>
      <c r="J1525">
        <v>131</v>
      </c>
      <c r="K1525" t="s">
        <v>41</v>
      </c>
      <c r="L1525">
        <v>108</v>
      </c>
      <c r="M1525">
        <f>IF(D1525=I1525,VLOOKUP(D1525,a_win_totals_lookup,MATCH(K1525,a_wins_total_lookup_header,0)+1,0),VLOOKUP(D1525,a_win_totals_lookup,MATCH(I1525,a_wins_total_lookup_header,0)+1,0))</f>
        <v>0.47768096300019181</v>
      </c>
      <c r="N1525">
        <f t="shared" ca="1" si="23"/>
        <v>1</v>
      </c>
    </row>
    <row r="1526" spans="1:14" x14ac:dyDescent="0.25">
      <c r="A1526">
        <v>400579058</v>
      </c>
      <c r="B1526">
        <v>2015</v>
      </c>
      <c r="C1526" s="1">
        <v>42043</v>
      </c>
      <c r="D1526" t="s">
        <v>40</v>
      </c>
      <c r="E1526">
        <v>1</v>
      </c>
      <c r="F1526">
        <v>32</v>
      </c>
      <c r="G1526">
        <v>21</v>
      </c>
      <c r="H1526">
        <v>1</v>
      </c>
      <c r="I1526" t="s">
        <v>40</v>
      </c>
      <c r="J1526">
        <v>120</v>
      </c>
      <c r="K1526" t="s">
        <v>17</v>
      </c>
      <c r="L1526">
        <v>105</v>
      </c>
      <c r="M1526">
        <f>IF(D1526=I1526,VLOOKUP(D1526,a_win_totals_lookup,MATCH(K1526,a_wins_total_lookup_header,0)+1,0),VLOOKUP(D1526,a_win_totals_lookup,MATCH(I1526,a_wins_total_lookup_header,0)+1,0))</f>
        <v>0.71629315358675483</v>
      </c>
      <c r="N1526">
        <f t="shared" ca="1" si="23"/>
        <v>1</v>
      </c>
    </row>
    <row r="1527" spans="1:14" x14ac:dyDescent="0.25">
      <c r="A1527">
        <v>400579058</v>
      </c>
      <c r="B1527">
        <v>2015</v>
      </c>
      <c r="C1527" s="1">
        <v>42043</v>
      </c>
      <c r="D1527" t="s">
        <v>17</v>
      </c>
      <c r="E1527">
        <v>0</v>
      </c>
      <c r="F1527">
        <v>13</v>
      </c>
      <c r="G1527">
        <v>38</v>
      </c>
      <c r="H1527">
        <v>0</v>
      </c>
      <c r="I1527" t="s">
        <v>40</v>
      </c>
      <c r="J1527">
        <v>120</v>
      </c>
      <c r="K1527" t="s">
        <v>17</v>
      </c>
      <c r="L1527">
        <v>105</v>
      </c>
      <c r="M1527">
        <f>IF(D1527=I1527,VLOOKUP(D1527,a_win_totals_lookup,MATCH(K1527,a_wins_total_lookup_header,0)+1,0),VLOOKUP(D1527,a_win_totals_lookup,MATCH(I1527,a_wins_total_lookup_header,0)+1,0))</f>
        <v>0.28370684641324517</v>
      </c>
      <c r="N1527">
        <f t="shared" ca="1" si="23"/>
        <v>0</v>
      </c>
    </row>
    <row r="1528" spans="1:14" x14ac:dyDescent="0.25">
      <c r="A1528">
        <v>400579059</v>
      </c>
      <c r="B1528">
        <v>2015</v>
      </c>
      <c r="C1528" s="1">
        <v>42043</v>
      </c>
      <c r="D1528" t="s">
        <v>26</v>
      </c>
      <c r="E1528">
        <v>0</v>
      </c>
      <c r="F1528">
        <v>42</v>
      </c>
      <c r="G1528">
        <v>10</v>
      </c>
      <c r="H1528">
        <v>0</v>
      </c>
      <c r="I1528" t="s">
        <v>28</v>
      </c>
      <c r="J1528">
        <v>94</v>
      </c>
      <c r="K1528" t="s">
        <v>26</v>
      </c>
      <c r="L1528">
        <v>88</v>
      </c>
      <c r="M1528">
        <f>IF(D1528=I1528,VLOOKUP(D1528,a_win_totals_lookup,MATCH(K1528,a_wins_total_lookup_header,0)+1,0),VLOOKUP(D1528,a_win_totals_lookup,MATCH(I1528,a_wins_total_lookup_header,0)+1,0))</f>
        <v>0.43821629112720617</v>
      </c>
      <c r="N1528">
        <f t="shared" ca="1" si="23"/>
        <v>1</v>
      </c>
    </row>
    <row r="1529" spans="1:14" x14ac:dyDescent="0.25">
      <c r="A1529">
        <v>400579059</v>
      </c>
      <c r="B1529">
        <v>2015</v>
      </c>
      <c r="C1529" s="1">
        <v>42043</v>
      </c>
      <c r="D1529" t="s">
        <v>28</v>
      </c>
      <c r="E1529">
        <v>1</v>
      </c>
      <c r="F1529">
        <v>38</v>
      </c>
      <c r="G1529">
        <v>13</v>
      </c>
      <c r="H1529">
        <v>1</v>
      </c>
      <c r="I1529" t="s">
        <v>28</v>
      </c>
      <c r="J1529">
        <v>94</v>
      </c>
      <c r="K1529" t="s">
        <v>26</v>
      </c>
      <c r="L1529">
        <v>88</v>
      </c>
      <c r="M1529">
        <f>IF(D1529=I1529,VLOOKUP(D1529,a_win_totals_lookup,MATCH(K1529,a_wins_total_lookup_header,0)+1,0),VLOOKUP(D1529,a_win_totals_lookup,MATCH(I1529,a_wins_total_lookup_header,0)+1,0))</f>
        <v>0.56178370887279372</v>
      </c>
      <c r="N1529">
        <f t="shared" ca="1" si="23"/>
        <v>1</v>
      </c>
    </row>
    <row r="1530" spans="1:14" x14ac:dyDescent="0.25">
      <c r="A1530">
        <v>400579060</v>
      </c>
      <c r="B1530">
        <v>2015</v>
      </c>
      <c r="C1530" s="1">
        <v>42043</v>
      </c>
      <c r="D1530" t="s">
        <v>18</v>
      </c>
      <c r="E1530">
        <v>0</v>
      </c>
      <c r="F1530">
        <v>22</v>
      </c>
      <c r="G1530">
        <v>29</v>
      </c>
      <c r="H1530">
        <v>1</v>
      </c>
      <c r="I1530" t="s">
        <v>18</v>
      </c>
      <c r="J1530">
        <v>102</v>
      </c>
      <c r="K1530" t="s">
        <v>20</v>
      </c>
      <c r="L1530">
        <v>103</v>
      </c>
      <c r="M1530">
        <f>IF(D1530=I1530,VLOOKUP(D1530,a_win_totals_lookup,MATCH(K1530,a_wins_total_lookup_header,0)+1,0),VLOOKUP(D1530,a_win_totals_lookup,MATCH(I1530,a_wins_total_lookup_header,0)+1,0))</f>
        <v>0.62107555647590951</v>
      </c>
      <c r="N1530">
        <f t="shared" ca="1" si="23"/>
        <v>1</v>
      </c>
    </row>
    <row r="1531" spans="1:14" x14ac:dyDescent="0.25">
      <c r="A1531">
        <v>400579060</v>
      </c>
      <c r="B1531">
        <v>2015</v>
      </c>
      <c r="C1531" s="1">
        <v>42043</v>
      </c>
      <c r="D1531" t="s">
        <v>20</v>
      </c>
      <c r="E1531">
        <v>1</v>
      </c>
      <c r="F1531">
        <v>20</v>
      </c>
      <c r="G1531">
        <v>32</v>
      </c>
      <c r="H1531">
        <v>0</v>
      </c>
      <c r="I1531" t="s">
        <v>18</v>
      </c>
      <c r="J1531">
        <v>102</v>
      </c>
      <c r="K1531" t="s">
        <v>20</v>
      </c>
      <c r="L1531">
        <v>103</v>
      </c>
      <c r="M1531">
        <f>IF(D1531=I1531,VLOOKUP(D1531,a_win_totals_lookup,MATCH(K1531,a_wins_total_lookup_header,0)+1,0),VLOOKUP(D1531,a_win_totals_lookup,MATCH(I1531,a_wins_total_lookup_header,0)+1,0))</f>
        <v>0.37892444352409055</v>
      </c>
      <c r="N1531">
        <f t="shared" ca="1" si="23"/>
        <v>1</v>
      </c>
    </row>
    <row r="1532" spans="1:14" x14ac:dyDescent="0.25">
      <c r="A1532">
        <v>400579061</v>
      </c>
      <c r="B1532">
        <v>2015</v>
      </c>
      <c r="C1532" s="1">
        <v>42043</v>
      </c>
      <c r="D1532" t="s">
        <v>33</v>
      </c>
      <c r="E1532">
        <v>0</v>
      </c>
      <c r="F1532">
        <v>20</v>
      </c>
      <c r="G1532">
        <v>32</v>
      </c>
      <c r="H1532">
        <v>1</v>
      </c>
      <c r="I1532" t="s">
        <v>33</v>
      </c>
      <c r="J1532">
        <v>101</v>
      </c>
      <c r="K1532" t="s">
        <v>29</v>
      </c>
      <c r="L1532">
        <v>112</v>
      </c>
      <c r="M1532">
        <f>IF(D1532=I1532,VLOOKUP(D1532,a_win_totals_lookup,MATCH(K1532,a_wins_total_lookup_header,0)+1,0),VLOOKUP(D1532,a_win_totals_lookup,MATCH(I1532,a_wins_total_lookup_header,0)+1,0))</f>
        <v>0.62162155425050336</v>
      </c>
      <c r="N1532">
        <f t="shared" ca="1" si="23"/>
        <v>0</v>
      </c>
    </row>
    <row r="1533" spans="1:14" x14ac:dyDescent="0.25">
      <c r="A1533">
        <v>400579061</v>
      </c>
      <c r="B1533">
        <v>2015</v>
      </c>
      <c r="C1533" s="1">
        <v>42043</v>
      </c>
      <c r="D1533" t="s">
        <v>29</v>
      </c>
      <c r="E1533">
        <v>1</v>
      </c>
      <c r="F1533">
        <v>11</v>
      </c>
      <c r="G1533">
        <v>40</v>
      </c>
      <c r="H1533">
        <v>0</v>
      </c>
      <c r="I1533" t="s">
        <v>33</v>
      </c>
      <c r="J1533">
        <v>101</v>
      </c>
      <c r="K1533" t="s">
        <v>29</v>
      </c>
      <c r="L1533">
        <v>112</v>
      </c>
      <c r="M1533">
        <f>IF(D1533=I1533,VLOOKUP(D1533,a_win_totals_lookup,MATCH(K1533,a_wins_total_lookup_header,0)+1,0),VLOOKUP(D1533,a_win_totals_lookup,MATCH(I1533,a_wins_total_lookup_header,0)+1,0))</f>
        <v>0.37837844574949669</v>
      </c>
      <c r="N1533">
        <f t="shared" ca="1" si="23"/>
        <v>0</v>
      </c>
    </row>
    <row r="1534" spans="1:14" x14ac:dyDescent="0.25">
      <c r="A1534">
        <v>400579062</v>
      </c>
      <c r="B1534">
        <v>2015</v>
      </c>
      <c r="C1534" s="1">
        <v>42043</v>
      </c>
      <c r="D1534" t="s">
        <v>30</v>
      </c>
      <c r="E1534">
        <v>1</v>
      </c>
      <c r="F1534">
        <v>32</v>
      </c>
      <c r="G1534">
        <v>20</v>
      </c>
      <c r="H1534">
        <v>0</v>
      </c>
      <c r="I1534" t="s">
        <v>13</v>
      </c>
      <c r="J1534">
        <v>97</v>
      </c>
      <c r="K1534" t="s">
        <v>30</v>
      </c>
      <c r="L1534">
        <v>98</v>
      </c>
      <c r="M1534">
        <f>IF(D1534=I1534,VLOOKUP(D1534,a_win_totals_lookup,MATCH(K1534,a_wins_total_lookup_header,0)+1,0),VLOOKUP(D1534,a_win_totals_lookup,MATCH(I1534,a_wins_total_lookup_header,0)+1,0))</f>
        <v>0.73595070405215601</v>
      </c>
      <c r="N1534">
        <f t="shared" ca="1" si="23"/>
        <v>1</v>
      </c>
    </row>
    <row r="1535" spans="1:14" x14ac:dyDescent="0.25">
      <c r="A1535">
        <v>400579062</v>
      </c>
      <c r="B1535">
        <v>2015</v>
      </c>
      <c r="C1535" s="1">
        <v>42043</v>
      </c>
      <c r="D1535" t="s">
        <v>13</v>
      </c>
      <c r="E1535">
        <v>0</v>
      </c>
      <c r="F1535">
        <v>16</v>
      </c>
      <c r="G1535">
        <v>38</v>
      </c>
      <c r="H1535">
        <v>1</v>
      </c>
      <c r="I1535" t="s">
        <v>13</v>
      </c>
      <c r="J1535">
        <v>97</v>
      </c>
      <c r="K1535" t="s">
        <v>30</v>
      </c>
      <c r="L1535">
        <v>98</v>
      </c>
      <c r="M1535">
        <f>IF(D1535=I1535,VLOOKUP(D1535,a_win_totals_lookup,MATCH(K1535,a_wins_total_lookup_header,0)+1,0),VLOOKUP(D1535,a_win_totals_lookup,MATCH(I1535,a_wins_total_lookup_header,0)+1,0))</f>
        <v>0.26404929594784404</v>
      </c>
      <c r="N1535">
        <f t="shared" ca="1" si="23"/>
        <v>0</v>
      </c>
    </row>
    <row r="1536" spans="1:14" x14ac:dyDescent="0.25">
      <c r="A1536">
        <v>400579063</v>
      </c>
      <c r="B1536">
        <v>2015</v>
      </c>
      <c r="C1536" s="1">
        <v>42043</v>
      </c>
      <c r="D1536" t="s">
        <v>16</v>
      </c>
      <c r="E1536">
        <v>0</v>
      </c>
      <c r="F1536">
        <v>35</v>
      </c>
      <c r="G1536">
        <v>16</v>
      </c>
      <c r="H1536">
        <v>1</v>
      </c>
      <c r="I1536" t="s">
        <v>16</v>
      </c>
      <c r="J1536">
        <v>98</v>
      </c>
      <c r="K1536" t="s">
        <v>39</v>
      </c>
      <c r="L1536">
        <v>109</v>
      </c>
      <c r="M1536">
        <f>IF(D1536=I1536,VLOOKUP(D1536,a_win_totals_lookup,MATCH(K1536,a_wins_total_lookup_header,0)+1,0),VLOOKUP(D1536,a_win_totals_lookup,MATCH(I1536,a_wins_total_lookup_header,0)+1,0))</f>
        <v>0.4905620050347928</v>
      </c>
      <c r="N1536">
        <f t="shared" ca="1" si="23"/>
        <v>0</v>
      </c>
    </row>
    <row r="1537" spans="1:14" x14ac:dyDescent="0.25">
      <c r="A1537">
        <v>400579063</v>
      </c>
      <c r="B1537">
        <v>2015</v>
      </c>
      <c r="C1537" s="1">
        <v>42043</v>
      </c>
      <c r="D1537" t="s">
        <v>39</v>
      </c>
      <c r="E1537">
        <v>1</v>
      </c>
      <c r="F1537">
        <v>35</v>
      </c>
      <c r="G1537">
        <v>17</v>
      </c>
      <c r="H1537">
        <v>0</v>
      </c>
      <c r="I1537" t="s">
        <v>16</v>
      </c>
      <c r="J1537">
        <v>98</v>
      </c>
      <c r="K1537" t="s">
        <v>39</v>
      </c>
      <c r="L1537">
        <v>109</v>
      </c>
      <c r="M1537">
        <f>IF(D1537=I1537,VLOOKUP(D1537,a_win_totals_lookup,MATCH(K1537,a_wins_total_lookup_header,0)+1,0),VLOOKUP(D1537,a_win_totals_lookup,MATCH(I1537,a_wins_total_lookup_header,0)+1,0))</f>
        <v>0.50943799496520714</v>
      </c>
      <c r="N1537">
        <f t="shared" ca="1" si="23"/>
        <v>1</v>
      </c>
    </row>
    <row r="1538" spans="1:14" x14ac:dyDescent="0.25">
      <c r="A1538">
        <v>400579064</v>
      </c>
      <c r="B1538">
        <v>2015</v>
      </c>
      <c r="C1538" s="1">
        <v>42043</v>
      </c>
      <c r="D1538" t="s">
        <v>15</v>
      </c>
      <c r="E1538">
        <v>0</v>
      </c>
      <c r="F1538">
        <v>32</v>
      </c>
      <c r="G1538">
        <v>19</v>
      </c>
      <c r="H1538">
        <v>0</v>
      </c>
      <c r="I1538" t="s">
        <v>27</v>
      </c>
      <c r="J1538">
        <v>87</v>
      </c>
      <c r="K1538" t="s">
        <v>15</v>
      </c>
      <c r="L1538">
        <v>82</v>
      </c>
      <c r="M1538">
        <f>IF(D1538=I1538,VLOOKUP(D1538,a_win_totals_lookup,MATCH(K1538,a_wins_total_lookup_header,0)+1,0),VLOOKUP(D1538,a_win_totals_lookup,MATCH(I1538,a_wins_total_lookup_header,0)+1,0))</f>
        <v>0.52596063059506537</v>
      </c>
      <c r="N1538">
        <f t="shared" ca="1" si="23"/>
        <v>0</v>
      </c>
    </row>
    <row r="1539" spans="1:14" x14ac:dyDescent="0.25">
      <c r="A1539">
        <v>400579064</v>
      </c>
      <c r="B1539">
        <v>2015</v>
      </c>
      <c r="C1539" s="1">
        <v>42043</v>
      </c>
      <c r="D1539" t="s">
        <v>27</v>
      </c>
      <c r="E1539">
        <v>1</v>
      </c>
      <c r="F1539">
        <v>35</v>
      </c>
      <c r="G1539">
        <v>17</v>
      </c>
      <c r="H1539">
        <v>1</v>
      </c>
      <c r="I1539" t="s">
        <v>27</v>
      </c>
      <c r="J1539">
        <v>87</v>
      </c>
      <c r="K1539" t="s">
        <v>15</v>
      </c>
      <c r="L1539">
        <v>82</v>
      </c>
      <c r="M1539">
        <f>IF(D1539=I1539,VLOOKUP(D1539,a_win_totals_lookup,MATCH(K1539,a_wins_total_lookup_header,0)+1,0),VLOOKUP(D1539,a_win_totals_lookup,MATCH(I1539,a_wins_total_lookup_header,0)+1,0))</f>
        <v>0.47403936940493457</v>
      </c>
      <c r="N1539">
        <f t="shared" ref="N1539:N1602" ca="1" si="24">ROUND(0.5*RANDBETWEEN(-1,1)+M1539,0)</f>
        <v>0</v>
      </c>
    </row>
    <row r="1540" spans="1:14" x14ac:dyDescent="0.25">
      <c r="A1540">
        <v>400579065</v>
      </c>
      <c r="B1540">
        <v>2015</v>
      </c>
      <c r="C1540" s="1">
        <v>42043</v>
      </c>
      <c r="D1540" t="s">
        <v>35</v>
      </c>
      <c r="E1540">
        <v>0</v>
      </c>
      <c r="F1540">
        <v>29</v>
      </c>
      <c r="G1540">
        <v>24</v>
      </c>
      <c r="H1540">
        <v>0</v>
      </c>
      <c r="I1540" t="s">
        <v>37</v>
      </c>
      <c r="J1540">
        <v>85</v>
      </c>
      <c r="K1540" t="s">
        <v>35</v>
      </c>
      <c r="L1540">
        <v>83</v>
      </c>
      <c r="M1540">
        <f>IF(D1540=I1540,VLOOKUP(D1540,a_win_totals_lookup,MATCH(K1540,a_wins_total_lookup_header,0)+1,0),VLOOKUP(D1540,a_win_totals_lookup,MATCH(I1540,a_wins_total_lookup_header,0)+1,0))</f>
        <v>0.61500767730198336</v>
      </c>
      <c r="N1540">
        <f t="shared" ca="1" si="24"/>
        <v>0</v>
      </c>
    </row>
    <row r="1541" spans="1:14" x14ac:dyDescent="0.25">
      <c r="A1541">
        <v>400579065</v>
      </c>
      <c r="B1541">
        <v>2015</v>
      </c>
      <c r="C1541" s="1">
        <v>42043</v>
      </c>
      <c r="D1541" t="s">
        <v>37</v>
      </c>
      <c r="E1541">
        <v>1</v>
      </c>
      <c r="F1541">
        <v>18</v>
      </c>
      <c r="G1541">
        <v>32</v>
      </c>
      <c r="H1541">
        <v>1</v>
      </c>
      <c r="I1541" t="s">
        <v>37</v>
      </c>
      <c r="J1541">
        <v>85</v>
      </c>
      <c r="K1541" t="s">
        <v>35</v>
      </c>
      <c r="L1541">
        <v>83</v>
      </c>
      <c r="M1541">
        <f>IF(D1541=I1541,VLOOKUP(D1541,a_win_totals_lookup,MATCH(K1541,a_wins_total_lookup_header,0)+1,0),VLOOKUP(D1541,a_win_totals_lookup,MATCH(I1541,a_wins_total_lookup_header,0)+1,0))</f>
        <v>0.38499232269801659</v>
      </c>
      <c r="N1541">
        <f t="shared" ca="1" si="24"/>
        <v>0</v>
      </c>
    </row>
    <row r="1542" spans="1:14" x14ac:dyDescent="0.25">
      <c r="A1542">
        <v>400579066</v>
      </c>
      <c r="B1542">
        <v>2015</v>
      </c>
      <c r="C1542" s="1">
        <v>42044</v>
      </c>
      <c r="D1542" t="s">
        <v>20</v>
      </c>
      <c r="E1542">
        <v>0</v>
      </c>
      <c r="F1542">
        <v>20</v>
      </c>
      <c r="G1542">
        <v>33</v>
      </c>
      <c r="H1542">
        <v>1</v>
      </c>
      <c r="I1542" t="s">
        <v>20</v>
      </c>
      <c r="J1542">
        <v>93</v>
      </c>
      <c r="K1542" t="s">
        <v>15</v>
      </c>
      <c r="L1542">
        <v>95</v>
      </c>
      <c r="M1542">
        <f>IF(D1542=I1542,VLOOKUP(D1542,a_win_totals_lookup,MATCH(K1542,a_wins_total_lookup_header,0)+1,0),VLOOKUP(D1542,a_win_totals_lookup,MATCH(I1542,a_wins_total_lookup_header,0)+1,0))</f>
        <v>0.30616154877960861</v>
      </c>
      <c r="N1542">
        <f t="shared" ca="1" si="24"/>
        <v>1</v>
      </c>
    </row>
    <row r="1543" spans="1:14" x14ac:dyDescent="0.25">
      <c r="A1543">
        <v>400579066</v>
      </c>
      <c r="B1543">
        <v>2015</v>
      </c>
      <c r="C1543" s="1">
        <v>42044</v>
      </c>
      <c r="D1543" t="s">
        <v>15</v>
      </c>
      <c r="E1543">
        <v>1</v>
      </c>
      <c r="F1543">
        <v>33</v>
      </c>
      <c r="G1543">
        <v>19</v>
      </c>
      <c r="H1543">
        <v>0</v>
      </c>
      <c r="I1543" t="s">
        <v>20</v>
      </c>
      <c r="J1543">
        <v>93</v>
      </c>
      <c r="K1543" t="s">
        <v>15</v>
      </c>
      <c r="L1543">
        <v>95</v>
      </c>
      <c r="M1543">
        <f>IF(D1543=I1543,VLOOKUP(D1543,a_win_totals_lookup,MATCH(K1543,a_wins_total_lookup_header,0)+1,0),VLOOKUP(D1543,a_win_totals_lookup,MATCH(I1543,a_wins_total_lookup_header,0)+1,0))</f>
        <v>0.69383845122039145</v>
      </c>
      <c r="N1543">
        <f t="shared" ca="1" si="24"/>
        <v>0</v>
      </c>
    </row>
    <row r="1544" spans="1:14" x14ac:dyDescent="0.25">
      <c r="A1544">
        <v>400579067</v>
      </c>
      <c r="B1544">
        <v>2015</v>
      </c>
      <c r="C1544" s="1">
        <v>42044</v>
      </c>
      <c r="D1544" t="s">
        <v>36</v>
      </c>
      <c r="E1544">
        <v>1</v>
      </c>
      <c r="F1544">
        <v>41</v>
      </c>
      <c r="G1544">
        <v>9</v>
      </c>
      <c r="H1544">
        <v>0</v>
      </c>
      <c r="I1544" t="s">
        <v>21</v>
      </c>
      <c r="J1544">
        <v>84</v>
      </c>
      <c r="K1544" t="s">
        <v>36</v>
      </c>
      <c r="L1544">
        <v>89</v>
      </c>
      <c r="M1544">
        <f>IF(D1544=I1544,VLOOKUP(D1544,a_win_totals_lookup,MATCH(K1544,a_wins_total_lookup_header,0)+1,0),VLOOKUP(D1544,a_win_totals_lookup,MATCH(I1544,a_wins_total_lookup_header,0)+1,0))</f>
        <v>0.79146298511296831</v>
      </c>
      <c r="N1544">
        <f t="shared" ca="1" si="24"/>
        <v>0</v>
      </c>
    </row>
    <row r="1545" spans="1:14" x14ac:dyDescent="0.25">
      <c r="A1545">
        <v>400579067</v>
      </c>
      <c r="B1545">
        <v>2015</v>
      </c>
      <c r="C1545" s="1">
        <v>42044</v>
      </c>
      <c r="D1545" t="s">
        <v>21</v>
      </c>
      <c r="E1545">
        <v>0</v>
      </c>
      <c r="F1545">
        <v>12</v>
      </c>
      <c r="G1545">
        <v>41</v>
      </c>
      <c r="H1545">
        <v>1</v>
      </c>
      <c r="I1545" t="s">
        <v>21</v>
      </c>
      <c r="J1545">
        <v>84</v>
      </c>
      <c r="K1545" t="s">
        <v>36</v>
      </c>
      <c r="L1545">
        <v>89</v>
      </c>
      <c r="M1545">
        <f>IF(D1545=I1545,VLOOKUP(D1545,a_win_totals_lookup,MATCH(K1545,a_wins_total_lookup_header,0)+1,0),VLOOKUP(D1545,a_win_totals_lookup,MATCH(I1545,a_wins_total_lookup_header,0)+1,0))</f>
        <v>0.20853701488703166</v>
      </c>
      <c r="N1545">
        <f t="shared" ca="1" si="24"/>
        <v>0</v>
      </c>
    </row>
    <row r="1546" spans="1:14" x14ac:dyDescent="0.25">
      <c r="A1546">
        <v>400579068</v>
      </c>
      <c r="B1546">
        <v>2015</v>
      </c>
      <c r="C1546" s="1">
        <v>42044</v>
      </c>
      <c r="D1546" t="s">
        <v>13</v>
      </c>
      <c r="E1546">
        <v>0</v>
      </c>
      <c r="F1546">
        <v>16</v>
      </c>
      <c r="G1546">
        <v>39</v>
      </c>
      <c r="H1546">
        <v>0</v>
      </c>
      <c r="I1546" t="s">
        <v>25</v>
      </c>
      <c r="J1546">
        <v>96</v>
      </c>
      <c r="K1546" t="s">
        <v>13</v>
      </c>
      <c r="L1546">
        <v>80</v>
      </c>
      <c r="M1546">
        <f>IF(D1546=I1546,VLOOKUP(D1546,a_win_totals_lookup,MATCH(K1546,a_wins_total_lookup_header,0)+1,0),VLOOKUP(D1546,a_win_totals_lookup,MATCH(I1546,a_wins_total_lookup_header,0)+1,0))</f>
        <v>0.31352139396241918</v>
      </c>
      <c r="N1546">
        <f t="shared" ca="1" si="24"/>
        <v>0</v>
      </c>
    </row>
    <row r="1547" spans="1:14" x14ac:dyDescent="0.25">
      <c r="A1547">
        <v>400579068</v>
      </c>
      <c r="B1547">
        <v>2015</v>
      </c>
      <c r="C1547" s="1">
        <v>42044</v>
      </c>
      <c r="D1547" t="s">
        <v>25</v>
      </c>
      <c r="E1547">
        <v>1</v>
      </c>
      <c r="F1547">
        <v>33</v>
      </c>
      <c r="G1547">
        <v>20</v>
      </c>
      <c r="H1547">
        <v>1</v>
      </c>
      <c r="I1547" t="s">
        <v>25</v>
      </c>
      <c r="J1547">
        <v>96</v>
      </c>
      <c r="K1547" t="s">
        <v>13</v>
      </c>
      <c r="L1547">
        <v>80</v>
      </c>
      <c r="M1547">
        <f>IF(D1547=I1547,VLOOKUP(D1547,a_win_totals_lookup,MATCH(K1547,a_wins_total_lookup_header,0)+1,0),VLOOKUP(D1547,a_win_totals_lookup,MATCH(I1547,a_wins_total_lookup_header,0)+1,0))</f>
        <v>0.68647860603758082</v>
      </c>
      <c r="N1547">
        <f t="shared" ca="1" si="24"/>
        <v>1</v>
      </c>
    </row>
    <row r="1548" spans="1:14" x14ac:dyDescent="0.25">
      <c r="A1548">
        <v>400579069</v>
      </c>
      <c r="B1548">
        <v>2015</v>
      </c>
      <c r="C1548" s="1">
        <v>42044</v>
      </c>
      <c r="D1548" t="s">
        <v>24</v>
      </c>
      <c r="E1548">
        <v>1</v>
      </c>
      <c r="F1548">
        <v>22</v>
      </c>
      <c r="G1548">
        <v>29</v>
      </c>
      <c r="H1548">
        <v>1</v>
      </c>
      <c r="I1548" t="s">
        <v>24</v>
      </c>
      <c r="J1548">
        <v>109</v>
      </c>
      <c r="K1548" t="s">
        <v>31</v>
      </c>
      <c r="L1548">
        <v>95</v>
      </c>
      <c r="M1548">
        <f>IF(D1548=I1548,VLOOKUP(D1548,a_win_totals_lookup,MATCH(K1548,a_wins_total_lookup_header,0)+1,0),VLOOKUP(D1548,a_win_totals_lookup,MATCH(I1548,a_wins_total_lookup_header,0)+1,0))</f>
        <v>0.5510669083041746</v>
      </c>
      <c r="N1548">
        <f t="shared" ca="1" si="24"/>
        <v>1</v>
      </c>
    </row>
    <row r="1549" spans="1:14" x14ac:dyDescent="0.25">
      <c r="A1549">
        <v>400579069</v>
      </c>
      <c r="B1549">
        <v>2015</v>
      </c>
      <c r="C1549" s="1">
        <v>42044</v>
      </c>
      <c r="D1549" t="s">
        <v>31</v>
      </c>
      <c r="E1549">
        <v>0</v>
      </c>
      <c r="F1549">
        <v>10</v>
      </c>
      <c r="G1549">
        <v>42</v>
      </c>
      <c r="H1549">
        <v>0</v>
      </c>
      <c r="I1549" t="s">
        <v>24</v>
      </c>
      <c r="J1549">
        <v>109</v>
      </c>
      <c r="K1549" t="s">
        <v>31</v>
      </c>
      <c r="L1549">
        <v>95</v>
      </c>
      <c r="M1549">
        <f>IF(D1549=I1549,VLOOKUP(D1549,a_win_totals_lookup,MATCH(K1549,a_wins_total_lookup_header,0)+1,0),VLOOKUP(D1549,a_win_totals_lookup,MATCH(I1549,a_wins_total_lookup_header,0)+1,0))</f>
        <v>0.4489330916958254</v>
      </c>
      <c r="N1549">
        <f t="shared" ca="1" si="24"/>
        <v>0</v>
      </c>
    </row>
    <row r="1550" spans="1:14" x14ac:dyDescent="0.25">
      <c r="A1550">
        <v>400579070</v>
      </c>
      <c r="B1550">
        <v>2015</v>
      </c>
      <c r="C1550" s="1">
        <v>42044</v>
      </c>
      <c r="D1550" t="s">
        <v>23</v>
      </c>
      <c r="E1550">
        <v>0</v>
      </c>
      <c r="F1550">
        <v>21</v>
      </c>
      <c r="G1550">
        <v>30</v>
      </c>
      <c r="H1550">
        <v>0</v>
      </c>
      <c r="I1550" t="s">
        <v>19</v>
      </c>
      <c r="J1550">
        <v>103</v>
      </c>
      <c r="K1550" t="s">
        <v>23</v>
      </c>
      <c r="L1550">
        <v>97</v>
      </c>
      <c r="M1550">
        <f>IF(D1550=I1550,VLOOKUP(D1550,a_win_totals_lookup,MATCH(K1550,a_wins_total_lookup_header,0)+1,0),VLOOKUP(D1550,a_win_totals_lookup,MATCH(I1550,a_wins_total_lookup_header,0)+1,0))</f>
        <v>0.64545979335474335</v>
      </c>
      <c r="N1550">
        <f t="shared" ca="1" si="24"/>
        <v>1</v>
      </c>
    </row>
    <row r="1551" spans="1:14" x14ac:dyDescent="0.25">
      <c r="A1551">
        <v>400579070</v>
      </c>
      <c r="B1551">
        <v>2015</v>
      </c>
      <c r="C1551" s="1">
        <v>42044</v>
      </c>
      <c r="D1551" t="s">
        <v>19</v>
      </c>
      <c r="E1551">
        <v>1</v>
      </c>
      <c r="F1551">
        <v>29</v>
      </c>
      <c r="G1551">
        <v>23</v>
      </c>
      <c r="H1551">
        <v>1</v>
      </c>
      <c r="I1551" t="s">
        <v>19</v>
      </c>
      <c r="J1551">
        <v>103</v>
      </c>
      <c r="K1551" t="s">
        <v>23</v>
      </c>
      <c r="L1551">
        <v>97</v>
      </c>
      <c r="M1551">
        <f>IF(D1551=I1551,VLOOKUP(D1551,a_win_totals_lookup,MATCH(K1551,a_wins_total_lookup_header,0)+1,0),VLOOKUP(D1551,a_win_totals_lookup,MATCH(I1551,a_wins_total_lookup_header,0)+1,0))</f>
        <v>0.35454020664525671</v>
      </c>
      <c r="N1551">
        <f t="shared" ca="1" si="24"/>
        <v>0</v>
      </c>
    </row>
    <row r="1552" spans="1:14" x14ac:dyDescent="0.25">
      <c r="A1552">
        <v>400579071</v>
      </c>
      <c r="B1552">
        <v>2015</v>
      </c>
      <c r="C1552" s="1">
        <v>42044</v>
      </c>
      <c r="D1552" t="s">
        <v>26</v>
      </c>
      <c r="E1552">
        <v>1</v>
      </c>
      <c r="F1552">
        <v>43</v>
      </c>
      <c r="G1552">
        <v>10</v>
      </c>
      <c r="H1552">
        <v>0</v>
      </c>
      <c r="I1552" t="s">
        <v>29</v>
      </c>
      <c r="J1552">
        <v>105</v>
      </c>
      <c r="K1552" t="s">
        <v>26</v>
      </c>
      <c r="L1552">
        <v>117</v>
      </c>
      <c r="M1552">
        <f>IF(D1552=I1552,VLOOKUP(D1552,a_win_totals_lookup,MATCH(K1552,a_wins_total_lookup_header,0)+1,0),VLOOKUP(D1552,a_win_totals_lookup,MATCH(I1552,a_wins_total_lookup_header,0)+1,0))</f>
        <v>0.69708802310993623</v>
      </c>
      <c r="N1552">
        <f t="shared" ca="1" si="24"/>
        <v>1</v>
      </c>
    </row>
    <row r="1553" spans="1:14" x14ac:dyDescent="0.25">
      <c r="A1553">
        <v>400579071</v>
      </c>
      <c r="B1553">
        <v>2015</v>
      </c>
      <c r="C1553" s="1">
        <v>42044</v>
      </c>
      <c r="D1553" t="s">
        <v>29</v>
      </c>
      <c r="E1553">
        <v>0</v>
      </c>
      <c r="F1553">
        <v>11</v>
      </c>
      <c r="G1553">
        <v>41</v>
      </c>
      <c r="H1553">
        <v>1</v>
      </c>
      <c r="I1553" t="s">
        <v>29</v>
      </c>
      <c r="J1553">
        <v>105</v>
      </c>
      <c r="K1553" t="s">
        <v>26</v>
      </c>
      <c r="L1553">
        <v>117</v>
      </c>
      <c r="M1553">
        <f>IF(D1553=I1553,VLOOKUP(D1553,a_win_totals_lookup,MATCH(K1553,a_wins_total_lookup_header,0)+1,0),VLOOKUP(D1553,a_win_totals_lookup,MATCH(I1553,a_wins_total_lookup_header,0)+1,0))</f>
        <v>0.30291197689006377</v>
      </c>
      <c r="N1553">
        <f t="shared" ca="1" si="24"/>
        <v>0</v>
      </c>
    </row>
    <row r="1554" spans="1:14" x14ac:dyDescent="0.25">
      <c r="A1554">
        <v>400579072</v>
      </c>
      <c r="B1554">
        <v>2015</v>
      </c>
      <c r="C1554" s="1">
        <v>42044</v>
      </c>
      <c r="D1554" t="s">
        <v>12</v>
      </c>
      <c r="E1554">
        <v>0</v>
      </c>
      <c r="F1554">
        <v>27</v>
      </c>
      <c r="G1554">
        <v>25</v>
      </c>
      <c r="H1554">
        <v>1</v>
      </c>
      <c r="I1554" t="s">
        <v>12</v>
      </c>
      <c r="J1554">
        <v>96</v>
      </c>
      <c r="K1554" t="s">
        <v>34</v>
      </c>
      <c r="L1554">
        <v>100</v>
      </c>
      <c r="M1554">
        <f>IF(D1554=I1554,VLOOKUP(D1554,a_win_totals_lookup,MATCH(K1554,a_wins_total_lookup_header,0)+1,0),VLOOKUP(D1554,a_win_totals_lookup,MATCH(I1554,a_wins_total_lookup_header,0)+1,0))</f>
        <v>0.62386816358907304</v>
      </c>
      <c r="N1554">
        <f t="shared" ca="1" si="24"/>
        <v>0</v>
      </c>
    </row>
    <row r="1555" spans="1:14" x14ac:dyDescent="0.25">
      <c r="A1555">
        <v>400579072</v>
      </c>
      <c r="B1555">
        <v>2015</v>
      </c>
      <c r="C1555" s="1">
        <v>42044</v>
      </c>
      <c r="D1555" t="s">
        <v>34</v>
      </c>
      <c r="E1555">
        <v>1</v>
      </c>
      <c r="F1555">
        <v>19</v>
      </c>
      <c r="G1555">
        <v>33</v>
      </c>
      <c r="H1555">
        <v>0</v>
      </c>
      <c r="I1555" t="s">
        <v>12</v>
      </c>
      <c r="J1555">
        <v>96</v>
      </c>
      <c r="K1555" t="s">
        <v>34</v>
      </c>
      <c r="L1555">
        <v>100</v>
      </c>
      <c r="M1555">
        <f>IF(D1555=I1555,VLOOKUP(D1555,a_win_totals_lookup,MATCH(K1555,a_wins_total_lookup_header,0)+1,0),VLOOKUP(D1555,a_win_totals_lookup,MATCH(I1555,a_wins_total_lookup_header,0)+1,0))</f>
        <v>0.37613183641092696</v>
      </c>
      <c r="N1555">
        <f t="shared" ca="1" si="24"/>
        <v>1</v>
      </c>
    </row>
    <row r="1556" spans="1:14" x14ac:dyDescent="0.25">
      <c r="A1556">
        <v>400579073</v>
      </c>
      <c r="B1556">
        <v>2015</v>
      </c>
      <c r="C1556" s="1">
        <v>42044</v>
      </c>
      <c r="D1556" t="s">
        <v>14</v>
      </c>
      <c r="E1556">
        <v>0</v>
      </c>
      <c r="F1556">
        <v>35</v>
      </c>
      <c r="G1556">
        <v>19</v>
      </c>
      <c r="H1556">
        <v>1</v>
      </c>
      <c r="I1556" t="s">
        <v>14</v>
      </c>
      <c r="J1556">
        <v>98</v>
      </c>
      <c r="K1556" t="s">
        <v>41</v>
      </c>
      <c r="L1556">
        <v>115</v>
      </c>
      <c r="M1556">
        <f>IF(D1556=I1556,VLOOKUP(D1556,a_win_totals_lookup,MATCH(K1556,a_wins_total_lookup_header,0)+1,0),VLOOKUP(D1556,a_win_totals_lookup,MATCH(I1556,a_wins_total_lookup_header,0)+1,0))</f>
        <v>0.46377804008771911</v>
      </c>
      <c r="N1556">
        <f t="shared" ca="1" si="24"/>
        <v>1</v>
      </c>
    </row>
    <row r="1557" spans="1:14" x14ac:dyDescent="0.25">
      <c r="A1557">
        <v>400579073</v>
      </c>
      <c r="B1557">
        <v>2015</v>
      </c>
      <c r="C1557" s="1">
        <v>42044</v>
      </c>
      <c r="D1557" t="s">
        <v>41</v>
      </c>
      <c r="E1557">
        <v>1</v>
      </c>
      <c r="F1557">
        <v>34</v>
      </c>
      <c r="G1557">
        <v>19</v>
      </c>
      <c r="H1557">
        <v>0</v>
      </c>
      <c r="I1557" t="s">
        <v>14</v>
      </c>
      <c r="J1557">
        <v>98</v>
      </c>
      <c r="K1557" t="s">
        <v>41</v>
      </c>
      <c r="L1557">
        <v>115</v>
      </c>
      <c r="M1557">
        <f>IF(D1557=I1557,VLOOKUP(D1557,a_win_totals_lookup,MATCH(K1557,a_wins_total_lookup_header,0)+1,0),VLOOKUP(D1557,a_win_totals_lookup,MATCH(I1557,a_wins_total_lookup_header,0)+1,0))</f>
        <v>0.53622195991228083</v>
      </c>
      <c r="N1557">
        <f t="shared" ca="1" si="24"/>
        <v>1</v>
      </c>
    </row>
    <row r="1558" spans="1:14" x14ac:dyDescent="0.25">
      <c r="A1558">
        <v>400579074</v>
      </c>
      <c r="B1558">
        <v>2015</v>
      </c>
      <c r="C1558" s="1">
        <v>42044</v>
      </c>
      <c r="D1558" t="s">
        <v>32</v>
      </c>
      <c r="E1558">
        <v>0</v>
      </c>
      <c r="F1558">
        <v>19</v>
      </c>
      <c r="G1558">
        <v>33</v>
      </c>
      <c r="H1558">
        <v>1</v>
      </c>
      <c r="I1558" t="s">
        <v>32</v>
      </c>
      <c r="J1558">
        <v>114</v>
      </c>
      <c r="K1558" t="s">
        <v>38</v>
      </c>
      <c r="L1558">
        <v>124</v>
      </c>
      <c r="M1558">
        <f>IF(D1558=I1558,VLOOKUP(D1558,a_win_totals_lookup,MATCH(K1558,a_wins_total_lookup_header,0)+1,0),VLOOKUP(D1558,a_win_totals_lookup,MATCH(I1558,a_wins_total_lookup_header,0)+1,0))</f>
        <v>0.37147810462585762</v>
      </c>
      <c r="N1558">
        <f t="shared" ca="1" si="24"/>
        <v>0</v>
      </c>
    </row>
    <row r="1559" spans="1:14" x14ac:dyDescent="0.25">
      <c r="A1559">
        <v>400579074</v>
      </c>
      <c r="B1559">
        <v>2015</v>
      </c>
      <c r="C1559" s="1">
        <v>42044</v>
      </c>
      <c r="D1559" t="s">
        <v>38</v>
      </c>
      <c r="E1559">
        <v>1</v>
      </c>
      <c r="F1559">
        <v>27</v>
      </c>
      <c r="G1559">
        <v>25</v>
      </c>
      <c r="H1559">
        <v>0</v>
      </c>
      <c r="I1559" t="s">
        <v>32</v>
      </c>
      <c r="J1559">
        <v>114</v>
      </c>
      <c r="K1559" t="s">
        <v>38</v>
      </c>
      <c r="L1559">
        <v>124</v>
      </c>
      <c r="M1559">
        <f>IF(D1559=I1559,VLOOKUP(D1559,a_win_totals_lookup,MATCH(K1559,a_wins_total_lookup_header,0)+1,0),VLOOKUP(D1559,a_win_totals_lookup,MATCH(I1559,a_wins_total_lookup_header,0)+1,0))</f>
        <v>0.62852189537414238</v>
      </c>
      <c r="N1559">
        <f t="shared" ca="1" si="24"/>
        <v>1</v>
      </c>
    </row>
    <row r="1560" spans="1:14" x14ac:dyDescent="0.25">
      <c r="A1560">
        <v>400579075</v>
      </c>
      <c r="B1560">
        <v>2015</v>
      </c>
      <c r="C1560" s="1">
        <v>42045</v>
      </c>
      <c r="D1560" t="s">
        <v>18</v>
      </c>
      <c r="E1560">
        <v>0</v>
      </c>
      <c r="F1560">
        <v>22</v>
      </c>
      <c r="G1560">
        <v>30</v>
      </c>
      <c r="H1560">
        <v>1</v>
      </c>
      <c r="I1560" t="s">
        <v>18</v>
      </c>
      <c r="J1560">
        <v>78</v>
      </c>
      <c r="K1560" t="s">
        <v>33</v>
      </c>
      <c r="L1560">
        <v>106</v>
      </c>
      <c r="M1560">
        <f>IF(D1560=I1560,VLOOKUP(D1560,a_win_totals_lookup,MATCH(K1560,a_wins_total_lookup_header,0)+1,0),VLOOKUP(D1560,a_win_totals_lookup,MATCH(I1560,a_wins_total_lookup_header,0)+1,0))</f>
        <v>0.60576693861644582</v>
      </c>
      <c r="N1560">
        <f t="shared" ca="1" si="24"/>
        <v>0</v>
      </c>
    </row>
    <row r="1561" spans="1:14" x14ac:dyDescent="0.25">
      <c r="A1561">
        <v>400579075</v>
      </c>
      <c r="B1561">
        <v>2015</v>
      </c>
      <c r="C1561" s="1">
        <v>42045</v>
      </c>
      <c r="D1561" t="s">
        <v>33</v>
      </c>
      <c r="E1561">
        <v>1</v>
      </c>
      <c r="F1561">
        <v>21</v>
      </c>
      <c r="G1561">
        <v>32</v>
      </c>
      <c r="H1561">
        <v>0</v>
      </c>
      <c r="I1561" t="s">
        <v>18</v>
      </c>
      <c r="J1561">
        <v>78</v>
      </c>
      <c r="K1561" t="s">
        <v>33</v>
      </c>
      <c r="L1561">
        <v>106</v>
      </c>
      <c r="M1561">
        <f>IF(D1561=I1561,VLOOKUP(D1561,a_win_totals_lookup,MATCH(K1561,a_wins_total_lookup_header,0)+1,0),VLOOKUP(D1561,a_win_totals_lookup,MATCH(I1561,a_wins_total_lookup_header,0)+1,0))</f>
        <v>0.39423306138355413</v>
      </c>
      <c r="N1561">
        <f t="shared" ca="1" si="24"/>
        <v>0</v>
      </c>
    </row>
    <row r="1562" spans="1:14" x14ac:dyDescent="0.25">
      <c r="A1562">
        <v>400579076</v>
      </c>
      <c r="B1562">
        <v>2015</v>
      </c>
      <c r="C1562" s="1">
        <v>42045</v>
      </c>
      <c r="D1562" t="s">
        <v>16</v>
      </c>
      <c r="E1562">
        <v>1</v>
      </c>
      <c r="F1562">
        <v>36</v>
      </c>
      <c r="G1562">
        <v>16</v>
      </c>
      <c r="H1562">
        <v>0</v>
      </c>
      <c r="I1562" t="s">
        <v>35</v>
      </c>
      <c r="J1562">
        <v>118</v>
      </c>
      <c r="K1562" t="s">
        <v>16</v>
      </c>
      <c r="L1562">
        <v>127</v>
      </c>
      <c r="M1562">
        <f>IF(D1562=I1562,VLOOKUP(D1562,a_win_totals_lookup,MATCH(K1562,a_wins_total_lookup_header,0)+1,0),VLOOKUP(D1562,a_win_totals_lookup,MATCH(I1562,a_wins_total_lookup_header,0)+1,0))</f>
        <v>0.54369096101297021</v>
      </c>
      <c r="N1562">
        <f t="shared" ca="1" si="24"/>
        <v>1</v>
      </c>
    </row>
    <row r="1563" spans="1:14" x14ac:dyDescent="0.25">
      <c r="A1563">
        <v>400579076</v>
      </c>
      <c r="B1563">
        <v>2015</v>
      </c>
      <c r="C1563" s="1">
        <v>42045</v>
      </c>
      <c r="D1563" t="s">
        <v>35</v>
      </c>
      <c r="E1563">
        <v>0</v>
      </c>
      <c r="F1563">
        <v>29</v>
      </c>
      <c r="G1563">
        <v>25</v>
      </c>
      <c r="H1563">
        <v>1</v>
      </c>
      <c r="I1563" t="s">
        <v>35</v>
      </c>
      <c r="J1563">
        <v>118</v>
      </c>
      <c r="K1563" t="s">
        <v>16</v>
      </c>
      <c r="L1563">
        <v>127</v>
      </c>
      <c r="M1563">
        <f>IF(D1563=I1563,VLOOKUP(D1563,a_win_totals_lookup,MATCH(K1563,a_wins_total_lookup_header,0)+1,0),VLOOKUP(D1563,a_win_totals_lookup,MATCH(I1563,a_wins_total_lookup_header,0)+1,0))</f>
        <v>0.45630903898702979</v>
      </c>
      <c r="N1563">
        <f t="shared" ca="1" si="24"/>
        <v>1</v>
      </c>
    </row>
    <row r="1564" spans="1:14" x14ac:dyDescent="0.25">
      <c r="A1564">
        <v>400579077</v>
      </c>
      <c r="B1564">
        <v>2015</v>
      </c>
      <c r="C1564" s="1">
        <v>42045</v>
      </c>
      <c r="D1564" t="s">
        <v>30</v>
      </c>
      <c r="E1564">
        <v>1</v>
      </c>
      <c r="F1564">
        <v>33</v>
      </c>
      <c r="G1564">
        <v>20</v>
      </c>
      <c r="H1564">
        <v>1</v>
      </c>
      <c r="I1564" t="s">
        <v>30</v>
      </c>
      <c r="J1564">
        <v>104</v>
      </c>
      <c r="K1564" t="s">
        <v>37</v>
      </c>
      <c r="L1564">
        <v>86</v>
      </c>
      <c r="M1564">
        <f>IF(D1564=I1564,VLOOKUP(D1564,a_win_totals_lookup,MATCH(K1564,a_wins_total_lookup_header,0)+1,0),VLOOKUP(D1564,a_win_totals_lookup,MATCH(I1564,a_wins_total_lookup_header,0)+1,0))</f>
        <v>0.70784526159162375</v>
      </c>
      <c r="N1564">
        <f t="shared" ca="1" si="24"/>
        <v>1</v>
      </c>
    </row>
    <row r="1565" spans="1:14" x14ac:dyDescent="0.25">
      <c r="A1565">
        <v>400579077</v>
      </c>
      <c r="B1565">
        <v>2015</v>
      </c>
      <c r="C1565" s="1">
        <v>42045</v>
      </c>
      <c r="D1565" t="s">
        <v>37</v>
      </c>
      <c r="E1565">
        <v>0</v>
      </c>
      <c r="F1565">
        <v>18</v>
      </c>
      <c r="G1565">
        <v>33</v>
      </c>
      <c r="H1565">
        <v>0</v>
      </c>
      <c r="I1565" t="s">
        <v>30</v>
      </c>
      <c r="J1565">
        <v>104</v>
      </c>
      <c r="K1565" t="s">
        <v>37</v>
      </c>
      <c r="L1565">
        <v>86</v>
      </c>
      <c r="M1565">
        <f>IF(D1565=I1565,VLOOKUP(D1565,a_win_totals_lookup,MATCH(K1565,a_wins_total_lookup_header,0)+1,0),VLOOKUP(D1565,a_win_totals_lookup,MATCH(I1565,a_wins_total_lookup_header,0)+1,0))</f>
        <v>0.29215473840837614</v>
      </c>
      <c r="N1565">
        <f t="shared" ca="1" si="24"/>
        <v>0</v>
      </c>
    </row>
    <row r="1566" spans="1:14" x14ac:dyDescent="0.25">
      <c r="A1566">
        <v>400579078</v>
      </c>
      <c r="B1566">
        <v>2015</v>
      </c>
      <c r="C1566" s="1">
        <v>42045</v>
      </c>
      <c r="D1566" t="s">
        <v>23</v>
      </c>
      <c r="E1566">
        <v>0</v>
      </c>
      <c r="F1566">
        <v>21</v>
      </c>
      <c r="G1566">
        <v>31</v>
      </c>
      <c r="H1566">
        <v>0</v>
      </c>
      <c r="I1566" t="s">
        <v>28</v>
      </c>
      <c r="J1566">
        <v>95</v>
      </c>
      <c r="K1566" t="s">
        <v>23</v>
      </c>
      <c r="L1566">
        <v>86</v>
      </c>
      <c r="M1566">
        <f>IF(D1566=I1566,VLOOKUP(D1566,a_win_totals_lookup,MATCH(K1566,a_wins_total_lookup_header,0)+1,0),VLOOKUP(D1566,a_win_totals_lookup,MATCH(I1566,a_wins_total_lookup_header,0)+1,0))</f>
        <v>0.39989944995796567</v>
      </c>
      <c r="N1566">
        <f t="shared" ca="1" si="24"/>
        <v>0</v>
      </c>
    </row>
    <row r="1567" spans="1:14" x14ac:dyDescent="0.25">
      <c r="A1567">
        <v>400579078</v>
      </c>
      <c r="B1567">
        <v>2015</v>
      </c>
      <c r="C1567" s="1">
        <v>42045</v>
      </c>
      <c r="D1567" t="s">
        <v>28</v>
      </c>
      <c r="E1567">
        <v>1</v>
      </c>
      <c r="F1567">
        <v>39</v>
      </c>
      <c r="G1567">
        <v>13</v>
      </c>
      <c r="H1567">
        <v>1</v>
      </c>
      <c r="I1567" t="s">
        <v>28</v>
      </c>
      <c r="J1567">
        <v>95</v>
      </c>
      <c r="K1567" t="s">
        <v>23</v>
      </c>
      <c r="L1567">
        <v>86</v>
      </c>
      <c r="M1567">
        <f>IF(D1567=I1567,VLOOKUP(D1567,a_win_totals_lookup,MATCH(K1567,a_wins_total_lookup_header,0)+1,0),VLOOKUP(D1567,a_win_totals_lookup,MATCH(I1567,a_wins_total_lookup_header,0)+1,0))</f>
        <v>0.60010055004203433</v>
      </c>
      <c r="N1567">
        <f t="shared" ca="1" si="24"/>
        <v>1</v>
      </c>
    </row>
    <row r="1568" spans="1:14" x14ac:dyDescent="0.25">
      <c r="A1568">
        <v>400579079</v>
      </c>
      <c r="B1568">
        <v>2015</v>
      </c>
      <c r="C1568" s="1">
        <v>42045</v>
      </c>
      <c r="D1568" t="s">
        <v>32</v>
      </c>
      <c r="E1568">
        <v>1</v>
      </c>
      <c r="F1568">
        <v>20</v>
      </c>
      <c r="G1568">
        <v>33</v>
      </c>
      <c r="H1568">
        <v>0</v>
      </c>
      <c r="I1568" t="s">
        <v>17</v>
      </c>
      <c r="J1568">
        <v>96</v>
      </c>
      <c r="K1568" t="s">
        <v>32</v>
      </c>
      <c r="L1568">
        <v>106</v>
      </c>
      <c r="M1568">
        <f>IF(D1568=I1568,VLOOKUP(D1568,a_win_totals_lookup,MATCH(K1568,a_wins_total_lookup_header,0)+1,0),VLOOKUP(D1568,a_win_totals_lookup,MATCH(I1568,a_wins_total_lookup_header,0)+1,0))</f>
        <v>0.57711263446281591</v>
      </c>
      <c r="N1568">
        <f t="shared" ca="1" si="24"/>
        <v>1</v>
      </c>
    </row>
    <row r="1569" spans="1:14" x14ac:dyDescent="0.25">
      <c r="A1569">
        <v>400579079</v>
      </c>
      <c r="B1569">
        <v>2015</v>
      </c>
      <c r="C1569" s="1">
        <v>42045</v>
      </c>
      <c r="D1569" t="s">
        <v>17</v>
      </c>
      <c r="E1569">
        <v>0</v>
      </c>
      <c r="F1569">
        <v>13</v>
      </c>
      <c r="G1569">
        <v>39</v>
      </c>
      <c r="H1569">
        <v>1</v>
      </c>
      <c r="I1569" t="s">
        <v>17</v>
      </c>
      <c r="J1569">
        <v>96</v>
      </c>
      <c r="K1569" t="s">
        <v>32</v>
      </c>
      <c r="L1569">
        <v>106</v>
      </c>
      <c r="M1569">
        <f>IF(D1569=I1569,VLOOKUP(D1569,a_win_totals_lookup,MATCH(K1569,a_wins_total_lookup_header,0)+1,0),VLOOKUP(D1569,a_win_totals_lookup,MATCH(I1569,a_wins_total_lookup_header,0)+1,0))</f>
        <v>0.42288736553718415</v>
      </c>
      <c r="N1569">
        <f t="shared" ca="1" si="24"/>
        <v>0</v>
      </c>
    </row>
    <row r="1570" spans="1:14" x14ac:dyDescent="0.25">
      <c r="A1570">
        <v>400579080</v>
      </c>
      <c r="B1570">
        <v>2015</v>
      </c>
      <c r="C1570" s="1">
        <v>42046</v>
      </c>
      <c r="D1570" t="s">
        <v>31</v>
      </c>
      <c r="E1570">
        <v>0</v>
      </c>
      <c r="F1570">
        <v>10</v>
      </c>
      <c r="G1570">
        <v>43</v>
      </c>
      <c r="H1570">
        <v>0</v>
      </c>
      <c r="I1570" t="s">
        <v>13</v>
      </c>
      <c r="J1570">
        <v>89</v>
      </c>
      <c r="K1570" t="s">
        <v>31</v>
      </c>
      <c r="L1570">
        <v>83</v>
      </c>
      <c r="M1570">
        <f>IF(D1570=I1570,VLOOKUP(D1570,a_win_totals_lookup,MATCH(K1570,a_wins_total_lookup_header,0)+1,0),VLOOKUP(D1570,a_win_totals_lookup,MATCH(I1570,a_wins_total_lookup_header,0)+1,0))</f>
        <v>0.61088100448941873</v>
      </c>
      <c r="N1570">
        <f t="shared" ca="1" si="24"/>
        <v>0</v>
      </c>
    </row>
    <row r="1571" spans="1:14" x14ac:dyDescent="0.25">
      <c r="A1571">
        <v>400579080</v>
      </c>
      <c r="B1571">
        <v>2015</v>
      </c>
      <c r="C1571" s="1">
        <v>42046</v>
      </c>
      <c r="D1571" t="s">
        <v>13</v>
      </c>
      <c r="E1571">
        <v>1</v>
      </c>
      <c r="F1571">
        <v>17</v>
      </c>
      <c r="G1571">
        <v>39</v>
      </c>
      <c r="H1571">
        <v>1</v>
      </c>
      <c r="I1571" t="s">
        <v>13</v>
      </c>
      <c r="J1571">
        <v>89</v>
      </c>
      <c r="K1571" t="s">
        <v>31</v>
      </c>
      <c r="L1571">
        <v>83</v>
      </c>
      <c r="M1571">
        <f>IF(D1571=I1571,VLOOKUP(D1571,a_win_totals_lookup,MATCH(K1571,a_wins_total_lookup_header,0)+1,0),VLOOKUP(D1571,a_win_totals_lookup,MATCH(I1571,a_wins_total_lookup_header,0)+1,0))</f>
        <v>0.38911899551058127</v>
      </c>
      <c r="N1571">
        <f t="shared" ca="1" si="24"/>
        <v>0</v>
      </c>
    </row>
    <row r="1572" spans="1:14" x14ac:dyDescent="0.25">
      <c r="A1572">
        <v>400579081</v>
      </c>
      <c r="B1572">
        <v>2015</v>
      </c>
      <c r="C1572" s="1">
        <v>42046</v>
      </c>
      <c r="D1572" t="s">
        <v>26</v>
      </c>
      <c r="E1572">
        <v>0</v>
      </c>
      <c r="F1572">
        <v>43</v>
      </c>
      <c r="G1572">
        <v>11</v>
      </c>
      <c r="H1572">
        <v>0</v>
      </c>
      <c r="I1572" t="s">
        <v>22</v>
      </c>
      <c r="J1572">
        <v>89</v>
      </c>
      <c r="K1572" t="s">
        <v>26</v>
      </c>
      <c r="L1572">
        <v>88</v>
      </c>
      <c r="M1572">
        <f>IF(D1572=I1572,VLOOKUP(D1572,a_win_totals_lookup,MATCH(K1572,a_wins_total_lookup_header,0)+1,0),VLOOKUP(D1572,a_win_totals_lookup,MATCH(I1572,a_wins_total_lookup_header,0)+1,0))</f>
        <v>0.69708802310993623</v>
      </c>
      <c r="N1572">
        <f t="shared" ca="1" si="24"/>
        <v>1</v>
      </c>
    </row>
    <row r="1573" spans="1:14" x14ac:dyDescent="0.25">
      <c r="A1573">
        <v>400579081</v>
      </c>
      <c r="B1573">
        <v>2015</v>
      </c>
      <c r="C1573" s="1">
        <v>42046</v>
      </c>
      <c r="D1573" t="s">
        <v>22</v>
      </c>
      <c r="E1573">
        <v>1</v>
      </c>
      <c r="F1573">
        <v>20</v>
      </c>
      <c r="G1573">
        <v>31</v>
      </c>
      <c r="H1573">
        <v>1</v>
      </c>
      <c r="I1573" t="s">
        <v>22</v>
      </c>
      <c r="J1573">
        <v>89</v>
      </c>
      <c r="K1573" t="s">
        <v>26</v>
      </c>
      <c r="L1573">
        <v>88</v>
      </c>
      <c r="M1573">
        <f>IF(D1573=I1573,VLOOKUP(D1573,a_win_totals_lookup,MATCH(K1573,a_wins_total_lookup_header,0)+1,0),VLOOKUP(D1573,a_win_totals_lookup,MATCH(I1573,a_wins_total_lookup_header,0)+1,0))</f>
        <v>0.30291197689006377</v>
      </c>
      <c r="N1573">
        <f t="shared" ca="1" si="24"/>
        <v>0</v>
      </c>
    </row>
    <row r="1574" spans="1:14" x14ac:dyDescent="0.25">
      <c r="A1574">
        <v>400579082</v>
      </c>
      <c r="B1574">
        <v>2015</v>
      </c>
      <c r="C1574" s="1">
        <v>42046</v>
      </c>
      <c r="D1574" t="s">
        <v>33</v>
      </c>
      <c r="E1574">
        <v>0</v>
      </c>
      <c r="F1574">
        <v>21</v>
      </c>
      <c r="G1574">
        <v>33</v>
      </c>
      <c r="H1574">
        <v>1</v>
      </c>
      <c r="I1574" t="s">
        <v>33</v>
      </c>
      <c r="J1574">
        <v>87</v>
      </c>
      <c r="K1574" t="s">
        <v>15</v>
      </c>
      <c r="L1574">
        <v>104</v>
      </c>
      <c r="M1574">
        <f>IF(D1574=I1574,VLOOKUP(D1574,a_win_totals_lookup,MATCH(K1574,a_wins_total_lookup_header,0)+1,0),VLOOKUP(D1574,a_win_totals_lookup,MATCH(I1574,a_wins_total_lookup_header,0)+1,0))</f>
        <v>0.32004535003245588</v>
      </c>
      <c r="N1574">
        <f t="shared" ca="1" si="24"/>
        <v>0</v>
      </c>
    </row>
    <row r="1575" spans="1:14" x14ac:dyDescent="0.25">
      <c r="A1575">
        <v>400579082</v>
      </c>
      <c r="B1575">
        <v>2015</v>
      </c>
      <c r="C1575" s="1">
        <v>42046</v>
      </c>
      <c r="D1575" t="s">
        <v>15</v>
      </c>
      <c r="E1575">
        <v>1</v>
      </c>
      <c r="F1575">
        <v>34</v>
      </c>
      <c r="G1575">
        <v>19</v>
      </c>
      <c r="H1575">
        <v>0</v>
      </c>
      <c r="I1575" t="s">
        <v>33</v>
      </c>
      <c r="J1575">
        <v>87</v>
      </c>
      <c r="K1575" t="s">
        <v>15</v>
      </c>
      <c r="L1575">
        <v>104</v>
      </c>
      <c r="M1575">
        <f>IF(D1575=I1575,VLOOKUP(D1575,a_win_totals_lookup,MATCH(K1575,a_wins_total_lookup_header,0)+1,0),VLOOKUP(D1575,a_win_totals_lookup,MATCH(I1575,a_wins_total_lookup_header,0)+1,0))</f>
        <v>0.67995464996754418</v>
      </c>
      <c r="N1575">
        <f t="shared" ca="1" si="24"/>
        <v>1</v>
      </c>
    </row>
    <row r="1576" spans="1:14" x14ac:dyDescent="0.25">
      <c r="A1576">
        <v>400579083</v>
      </c>
      <c r="B1576">
        <v>2015</v>
      </c>
      <c r="C1576" s="1">
        <v>42046</v>
      </c>
      <c r="D1576" t="s">
        <v>27</v>
      </c>
      <c r="E1576">
        <v>1</v>
      </c>
      <c r="F1576">
        <v>36</v>
      </c>
      <c r="G1576">
        <v>17</v>
      </c>
      <c r="H1576">
        <v>1</v>
      </c>
      <c r="I1576" t="s">
        <v>27</v>
      </c>
      <c r="J1576">
        <v>95</v>
      </c>
      <c r="K1576" t="s">
        <v>25</v>
      </c>
      <c r="L1576">
        <v>93</v>
      </c>
      <c r="M1576">
        <f>IF(D1576=I1576,VLOOKUP(D1576,a_win_totals_lookup,MATCH(K1576,a_wins_total_lookup_header,0)+1,0),VLOOKUP(D1576,a_win_totals_lookup,MATCH(I1576,a_wins_total_lookup_header,0)+1,0))</f>
        <v>0.53429204972678024</v>
      </c>
      <c r="N1576">
        <f t="shared" ca="1" si="24"/>
        <v>1</v>
      </c>
    </row>
    <row r="1577" spans="1:14" x14ac:dyDescent="0.25">
      <c r="A1577">
        <v>400579083</v>
      </c>
      <c r="B1577">
        <v>2015</v>
      </c>
      <c r="C1577" s="1">
        <v>42046</v>
      </c>
      <c r="D1577" t="s">
        <v>25</v>
      </c>
      <c r="E1577">
        <v>0</v>
      </c>
      <c r="F1577">
        <v>33</v>
      </c>
      <c r="G1577">
        <v>21</v>
      </c>
      <c r="H1577">
        <v>0</v>
      </c>
      <c r="I1577" t="s">
        <v>27</v>
      </c>
      <c r="J1577">
        <v>95</v>
      </c>
      <c r="K1577" t="s">
        <v>25</v>
      </c>
      <c r="L1577">
        <v>93</v>
      </c>
      <c r="M1577">
        <f>IF(D1577=I1577,VLOOKUP(D1577,a_win_totals_lookup,MATCH(K1577,a_wins_total_lookup_header,0)+1,0),VLOOKUP(D1577,a_win_totals_lookup,MATCH(I1577,a_wins_total_lookup_header,0)+1,0))</f>
        <v>0.46570795027321976</v>
      </c>
      <c r="N1577">
        <f t="shared" ca="1" si="24"/>
        <v>0</v>
      </c>
    </row>
    <row r="1578" spans="1:14" x14ac:dyDescent="0.25">
      <c r="A1578">
        <v>400579084</v>
      </c>
      <c r="B1578">
        <v>2015</v>
      </c>
      <c r="C1578" s="1">
        <v>42046</v>
      </c>
      <c r="D1578" t="s">
        <v>19</v>
      </c>
      <c r="E1578">
        <v>1</v>
      </c>
      <c r="F1578">
        <v>30</v>
      </c>
      <c r="G1578">
        <v>23</v>
      </c>
      <c r="H1578">
        <v>1</v>
      </c>
      <c r="I1578" t="s">
        <v>19</v>
      </c>
      <c r="J1578">
        <v>111</v>
      </c>
      <c r="K1578" t="s">
        <v>37</v>
      </c>
      <c r="L1578">
        <v>103</v>
      </c>
      <c r="M1578">
        <f>IF(D1578=I1578,VLOOKUP(D1578,a_win_totals_lookup,MATCH(K1578,a_wins_total_lookup_header,0)+1,0),VLOOKUP(D1578,a_win_totals_lookup,MATCH(I1578,a_wins_total_lookup_header,0)+1,0))</f>
        <v>0.42844224863695335</v>
      </c>
      <c r="N1578">
        <f t="shared" ca="1" si="24"/>
        <v>0</v>
      </c>
    </row>
    <row r="1579" spans="1:14" x14ac:dyDescent="0.25">
      <c r="A1579">
        <v>400579084</v>
      </c>
      <c r="B1579">
        <v>2015</v>
      </c>
      <c r="C1579" s="1">
        <v>42046</v>
      </c>
      <c r="D1579" t="s">
        <v>37</v>
      </c>
      <c r="E1579">
        <v>0</v>
      </c>
      <c r="F1579">
        <v>18</v>
      </c>
      <c r="G1579">
        <v>34</v>
      </c>
      <c r="H1579">
        <v>0</v>
      </c>
      <c r="I1579" t="s">
        <v>19</v>
      </c>
      <c r="J1579">
        <v>111</v>
      </c>
      <c r="K1579" t="s">
        <v>37</v>
      </c>
      <c r="L1579">
        <v>103</v>
      </c>
      <c r="M1579">
        <f>IF(D1579=I1579,VLOOKUP(D1579,a_win_totals_lookup,MATCH(K1579,a_wins_total_lookup_header,0)+1,0),VLOOKUP(D1579,a_win_totals_lookup,MATCH(I1579,a_wins_total_lookup_header,0)+1,0))</f>
        <v>0.57155775136304665</v>
      </c>
      <c r="N1579">
        <f t="shared" ca="1" si="24"/>
        <v>1</v>
      </c>
    </row>
    <row r="1580" spans="1:14" x14ac:dyDescent="0.25">
      <c r="A1580">
        <v>400579085</v>
      </c>
      <c r="B1580">
        <v>2015</v>
      </c>
      <c r="C1580" s="1">
        <v>42046</v>
      </c>
      <c r="D1580" t="s">
        <v>36</v>
      </c>
      <c r="E1580">
        <v>1</v>
      </c>
      <c r="F1580">
        <v>42</v>
      </c>
      <c r="G1580">
        <v>9</v>
      </c>
      <c r="H1580">
        <v>0</v>
      </c>
      <c r="I1580" t="s">
        <v>29</v>
      </c>
      <c r="J1580">
        <v>91</v>
      </c>
      <c r="K1580" t="s">
        <v>36</v>
      </c>
      <c r="L1580">
        <v>94</v>
      </c>
      <c r="M1580">
        <f>IF(D1580=I1580,VLOOKUP(D1580,a_win_totals_lookup,MATCH(K1580,a_wins_total_lookup_header,0)+1,0),VLOOKUP(D1580,a_win_totals_lookup,MATCH(I1580,a_wins_total_lookup_header,0)+1,0))</f>
        <v>0.7640426735507897</v>
      </c>
      <c r="N1580">
        <f t="shared" ca="1" si="24"/>
        <v>0</v>
      </c>
    </row>
    <row r="1581" spans="1:14" x14ac:dyDescent="0.25">
      <c r="A1581">
        <v>400579085</v>
      </c>
      <c r="B1581">
        <v>2015</v>
      </c>
      <c r="C1581" s="1">
        <v>42046</v>
      </c>
      <c r="D1581" t="s">
        <v>29</v>
      </c>
      <c r="E1581">
        <v>0</v>
      </c>
      <c r="F1581">
        <v>11</v>
      </c>
      <c r="G1581">
        <v>42</v>
      </c>
      <c r="H1581">
        <v>1</v>
      </c>
      <c r="I1581" t="s">
        <v>29</v>
      </c>
      <c r="J1581">
        <v>91</v>
      </c>
      <c r="K1581" t="s">
        <v>36</v>
      </c>
      <c r="L1581">
        <v>94</v>
      </c>
      <c r="M1581">
        <f>IF(D1581=I1581,VLOOKUP(D1581,a_win_totals_lookup,MATCH(K1581,a_wins_total_lookup_header,0)+1,0),VLOOKUP(D1581,a_win_totals_lookup,MATCH(I1581,a_wins_total_lookup_header,0)+1,0))</f>
        <v>0.23595732644921025</v>
      </c>
      <c r="N1581">
        <f t="shared" ca="1" si="24"/>
        <v>0</v>
      </c>
    </row>
    <row r="1582" spans="1:14" x14ac:dyDescent="0.25">
      <c r="A1582">
        <v>400579086</v>
      </c>
      <c r="B1582">
        <v>2015</v>
      </c>
      <c r="C1582" s="1">
        <v>42046</v>
      </c>
      <c r="D1582" t="s">
        <v>20</v>
      </c>
      <c r="E1582">
        <v>1</v>
      </c>
      <c r="F1582">
        <v>21</v>
      </c>
      <c r="G1582">
        <v>33</v>
      </c>
      <c r="H1582">
        <v>0</v>
      </c>
      <c r="I1582" t="s">
        <v>12</v>
      </c>
      <c r="J1582">
        <v>93</v>
      </c>
      <c r="K1582" t="s">
        <v>20</v>
      </c>
      <c r="L1582">
        <v>106</v>
      </c>
      <c r="M1582">
        <f>IF(D1582=I1582,VLOOKUP(D1582,a_win_totals_lookup,MATCH(K1582,a_wins_total_lookup_header,0)+1,0),VLOOKUP(D1582,a_win_totals_lookup,MATCH(I1582,a_wins_total_lookup_header,0)+1,0))</f>
        <v>0.42577792898536088</v>
      </c>
      <c r="N1582">
        <f t="shared" ca="1" si="24"/>
        <v>0</v>
      </c>
    </row>
    <row r="1583" spans="1:14" x14ac:dyDescent="0.25">
      <c r="A1583">
        <v>400579086</v>
      </c>
      <c r="B1583">
        <v>2015</v>
      </c>
      <c r="C1583" s="1">
        <v>42046</v>
      </c>
      <c r="D1583" t="s">
        <v>12</v>
      </c>
      <c r="E1583">
        <v>0</v>
      </c>
      <c r="F1583">
        <v>27</v>
      </c>
      <c r="G1583">
        <v>26</v>
      </c>
      <c r="H1583">
        <v>1</v>
      </c>
      <c r="I1583" t="s">
        <v>12</v>
      </c>
      <c r="J1583">
        <v>93</v>
      </c>
      <c r="K1583" t="s">
        <v>20</v>
      </c>
      <c r="L1583">
        <v>106</v>
      </c>
      <c r="M1583">
        <f>IF(D1583=I1583,VLOOKUP(D1583,a_win_totals_lookup,MATCH(K1583,a_wins_total_lookup_header,0)+1,0),VLOOKUP(D1583,a_win_totals_lookup,MATCH(I1583,a_wins_total_lookup_header,0)+1,0))</f>
        <v>0.57422207101463918</v>
      </c>
      <c r="N1583">
        <f t="shared" ca="1" si="24"/>
        <v>0</v>
      </c>
    </row>
    <row r="1584" spans="1:14" x14ac:dyDescent="0.25">
      <c r="A1584">
        <v>400579087</v>
      </c>
      <c r="B1584">
        <v>2015</v>
      </c>
      <c r="C1584" s="1">
        <v>42046</v>
      </c>
      <c r="D1584" t="s">
        <v>28</v>
      </c>
      <c r="E1584">
        <v>0</v>
      </c>
      <c r="F1584">
        <v>39</v>
      </c>
      <c r="G1584">
        <v>14</v>
      </c>
      <c r="H1584">
        <v>0</v>
      </c>
      <c r="I1584" t="s">
        <v>38</v>
      </c>
      <c r="J1584">
        <v>105</v>
      </c>
      <c r="K1584" t="s">
        <v>28</v>
      </c>
      <c r="L1584">
        <v>89</v>
      </c>
      <c r="M1584">
        <f>IF(D1584=I1584,VLOOKUP(D1584,a_win_totals_lookup,MATCH(K1584,a_wins_total_lookup_header,0)+1,0),VLOOKUP(D1584,a_win_totals_lookup,MATCH(I1584,a_wins_total_lookup_header,0)+1,0))</f>
        <v>0.47003673139148761</v>
      </c>
      <c r="N1584">
        <f t="shared" ca="1" si="24"/>
        <v>1</v>
      </c>
    </row>
    <row r="1585" spans="1:14" x14ac:dyDescent="0.25">
      <c r="A1585">
        <v>400579087</v>
      </c>
      <c r="B1585">
        <v>2015</v>
      </c>
      <c r="C1585" s="1">
        <v>42046</v>
      </c>
      <c r="D1585" t="s">
        <v>38</v>
      </c>
      <c r="E1585">
        <v>1</v>
      </c>
      <c r="F1585">
        <v>28</v>
      </c>
      <c r="G1585">
        <v>25</v>
      </c>
      <c r="H1585">
        <v>1</v>
      </c>
      <c r="I1585" t="s">
        <v>38</v>
      </c>
      <c r="J1585">
        <v>105</v>
      </c>
      <c r="K1585" t="s">
        <v>28</v>
      </c>
      <c r="L1585">
        <v>89</v>
      </c>
      <c r="M1585">
        <f>IF(D1585=I1585,VLOOKUP(D1585,a_win_totals_lookup,MATCH(K1585,a_wins_total_lookup_header,0)+1,0),VLOOKUP(D1585,a_win_totals_lookup,MATCH(I1585,a_wins_total_lookup_header,0)+1,0))</f>
        <v>0.52996326860851239</v>
      </c>
      <c r="N1585">
        <f t="shared" ca="1" si="24"/>
        <v>1</v>
      </c>
    </row>
    <row r="1586" spans="1:14" x14ac:dyDescent="0.25">
      <c r="A1586">
        <v>400579088</v>
      </c>
      <c r="B1586">
        <v>2015</v>
      </c>
      <c r="C1586" s="1">
        <v>42046</v>
      </c>
      <c r="D1586" t="s">
        <v>40</v>
      </c>
      <c r="E1586">
        <v>1</v>
      </c>
      <c r="F1586">
        <v>33</v>
      </c>
      <c r="G1586">
        <v>21</v>
      </c>
      <c r="H1586">
        <v>1</v>
      </c>
      <c r="I1586" t="s">
        <v>40</v>
      </c>
      <c r="J1586">
        <v>113</v>
      </c>
      <c r="K1586" t="s">
        <v>24</v>
      </c>
      <c r="L1586">
        <v>93</v>
      </c>
      <c r="M1586">
        <f>IF(D1586=I1586,VLOOKUP(D1586,a_win_totals_lookup,MATCH(K1586,a_wins_total_lookup_header,0)+1,0),VLOOKUP(D1586,a_win_totals_lookup,MATCH(I1586,a_wins_total_lookup_header,0)+1,0))</f>
        <v>0.60114400626087006</v>
      </c>
      <c r="N1586">
        <f t="shared" ca="1" si="24"/>
        <v>1</v>
      </c>
    </row>
    <row r="1587" spans="1:14" x14ac:dyDescent="0.25">
      <c r="A1587">
        <v>400579088</v>
      </c>
      <c r="B1587">
        <v>2015</v>
      </c>
      <c r="C1587" s="1">
        <v>42046</v>
      </c>
      <c r="D1587" t="s">
        <v>24</v>
      </c>
      <c r="E1587">
        <v>0</v>
      </c>
      <c r="F1587">
        <v>22</v>
      </c>
      <c r="G1587">
        <v>30</v>
      </c>
      <c r="H1587">
        <v>0</v>
      </c>
      <c r="I1587" t="s">
        <v>40</v>
      </c>
      <c r="J1587">
        <v>113</v>
      </c>
      <c r="K1587" t="s">
        <v>24</v>
      </c>
      <c r="L1587">
        <v>93</v>
      </c>
      <c r="M1587">
        <f>IF(D1587=I1587,VLOOKUP(D1587,a_win_totals_lookup,MATCH(K1587,a_wins_total_lookup_header,0)+1,0),VLOOKUP(D1587,a_win_totals_lookup,MATCH(I1587,a_wins_total_lookup_header,0)+1,0))</f>
        <v>0.39885599373912994</v>
      </c>
      <c r="N1587">
        <f t="shared" ca="1" si="24"/>
        <v>0</v>
      </c>
    </row>
    <row r="1588" spans="1:14" x14ac:dyDescent="0.25">
      <c r="A1588">
        <v>400579089</v>
      </c>
      <c r="B1588">
        <v>2015</v>
      </c>
      <c r="C1588" s="1">
        <v>42046</v>
      </c>
      <c r="D1588" t="s">
        <v>14</v>
      </c>
      <c r="E1588">
        <v>1</v>
      </c>
      <c r="F1588">
        <v>36</v>
      </c>
      <c r="G1588">
        <v>19</v>
      </c>
      <c r="H1588">
        <v>1</v>
      </c>
      <c r="I1588" t="s">
        <v>14</v>
      </c>
      <c r="J1588">
        <v>87</v>
      </c>
      <c r="K1588" t="s">
        <v>34</v>
      </c>
      <c r="L1588">
        <v>82</v>
      </c>
      <c r="M1588">
        <f>IF(D1588=I1588,VLOOKUP(D1588,a_win_totals_lookup,MATCH(K1588,a_wins_total_lookup_header,0)+1,0),VLOOKUP(D1588,a_win_totals_lookup,MATCH(I1588,a_wins_total_lookup_header,0)+1,0))</f>
        <v>0.71526442122822687</v>
      </c>
      <c r="N1588">
        <f t="shared" ca="1" si="24"/>
        <v>0</v>
      </c>
    </row>
    <row r="1589" spans="1:14" x14ac:dyDescent="0.25">
      <c r="A1589">
        <v>400579089</v>
      </c>
      <c r="B1589">
        <v>2015</v>
      </c>
      <c r="C1589" s="1">
        <v>42046</v>
      </c>
      <c r="D1589" t="s">
        <v>34</v>
      </c>
      <c r="E1589">
        <v>0</v>
      </c>
      <c r="F1589">
        <v>19</v>
      </c>
      <c r="G1589">
        <v>34</v>
      </c>
      <c r="H1589">
        <v>0</v>
      </c>
      <c r="I1589" t="s">
        <v>14</v>
      </c>
      <c r="J1589">
        <v>87</v>
      </c>
      <c r="K1589" t="s">
        <v>34</v>
      </c>
      <c r="L1589">
        <v>82</v>
      </c>
      <c r="M1589">
        <f>IF(D1589=I1589,VLOOKUP(D1589,a_win_totals_lookup,MATCH(K1589,a_wins_total_lookup_header,0)+1,0),VLOOKUP(D1589,a_win_totals_lookup,MATCH(I1589,a_wins_total_lookup_header,0)+1,0))</f>
        <v>0.28473557877177313</v>
      </c>
      <c r="N1589">
        <f t="shared" ca="1" si="24"/>
        <v>0</v>
      </c>
    </row>
    <row r="1590" spans="1:14" x14ac:dyDescent="0.25">
      <c r="A1590">
        <v>400579090</v>
      </c>
      <c r="B1590">
        <v>2015</v>
      </c>
      <c r="C1590" s="1">
        <v>42046</v>
      </c>
      <c r="D1590" t="s">
        <v>17</v>
      </c>
      <c r="E1590">
        <v>0</v>
      </c>
      <c r="F1590">
        <v>13</v>
      </c>
      <c r="G1590">
        <v>40</v>
      </c>
      <c r="H1590">
        <v>0</v>
      </c>
      <c r="I1590" t="s">
        <v>39</v>
      </c>
      <c r="J1590">
        <v>102</v>
      </c>
      <c r="K1590" t="s">
        <v>17</v>
      </c>
      <c r="L1590">
        <v>86</v>
      </c>
      <c r="M1590">
        <f>IF(D1590=I1590,VLOOKUP(D1590,a_win_totals_lookup,MATCH(K1590,a_wins_total_lookup_header,0)+1,0),VLOOKUP(D1590,a_win_totals_lookup,MATCH(I1590,a_wins_total_lookup_header,0)+1,0))</f>
        <v>0.3359536996565311</v>
      </c>
      <c r="N1590">
        <f t="shared" ca="1" si="24"/>
        <v>0</v>
      </c>
    </row>
    <row r="1591" spans="1:14" x14ac:dyDescent="0.25">
      <c r="A1591">
        <v>400579090</v>
      </c>
      <c r="B1591">
        <v>2015</v>
      </c>
      <c r="C1591" s="1">
        <v>42046</v>
      </c>
      <c r="D1591" t="s">
        <v>39</v>
      </c>
      <c r="E1591">
        <v>1</v>
      </c>
      <c r="F1591">
        <v>36</v>
      </c>
      <c r="G1591">
        <v>17</v>
      </c>
      <c r="H1591">
        <v>1</v>
      </c>
      <c r="I1591" t="s">
        <v>39</v>
      </c>
      <c r="J1591">
        <v>102</v>
      </c>
      <c r="K1591" t="s">
        <v>17</v>
      </c>
      <c r="L1591">
        <v>86</v>
      </c>
      <c r="M1591">
        <f>IF(D1591=I1591,VLOOKUP(D1591,a_win_totals_lookup,MATCH(K1591,a_wins_total_lookup_header,0)+1,0),VLOOKUP(D1591,a_win_totals_lookup,MATCH(I1591,a_wins_total_lookup_header,0)+1,0))</f>
        <v>0.6640463003434689</v>
      </c>
      <c r="N1591">
        <f t="shared" ca="1" si="24"/>
        <v>0</v>
      </c>
    </row>
    <row r="1592" spans="1:14" x14ac:dyDescent="0.25">
      <c r="A1592">
        <v>400579091</v>
      </c>
      <c r="B1592">
        <v>2015</v>
      </c>
      <c r="C1592" s="1">
        <v>42046</v>
      </c>
      <c r="D1592" t="s">
        <v>16</v>
      </c>
      <c r="E1592">
        <v>0</v>
      </c>
      <c r="F1592">
        <v>36</v>
      </c>
      <c r="G1592">
        <v>17</v>
      </c>
      <c r="H1592">
        <v>0</v>
      </c>
      <c r="I1592" t="s">
        <v>41</v>
      </c>
      <c r="J1592">
        <v>110</v>
      </c>
      <c r="K1592" t="s">
        <v>16</v>
      </c>
      <c r="L1592">
        <v>95</v>
      </c>
      <c r="M1592">
        <f>IF(D1592=I1592,VLOOKUP(D1592,a_win_totals_lookup,MATCH(K1592,a_wins_total_lookup_header,0)+1,0),VLOOKUP(D1592,a_win_totals_lookup,MATCH(I1592,a_wins_total_lookup_header,0)+1,0))</f>
        <v>0.42983460718544747</v>
      </c>
      <c r="N1592">
        <f t="shared" ca="1" si="24"/>
        <v>0</v>
      </c>
    </row>
    <row r="1593" spans="1:14" x14ac:dyDescent="0.25">
      <c r="A1593">
        <v>400579091</v>
      </c>
      <c r="B1593">
        <v>2015</v>
      </c>
      <c r="C1593" s="1">
        <v>42046</v>
      </c>
      <c r="D1593" t="s">
        <v>41</v>
      </c>
      <c r="E1593">
        <v>1</v>
      </c>
      <c r="F1593">
        <v>35</v>
      </c>
      <c r="G1593">
        <v>19</v>
      </c>
      <c r="H1593">
        <v>1</v>
      </c>
      <c r="I1593" t="s">
        <v>41</v>
      </c>
      <c r="J1593">
        <v>110</v>
      </c>
      <c r="K1593" t="s">
        <v>16</v>
      </c>
      <c r="L1593">
        <v>95</v>
      </c>
      <c r="M1593">
        <f>IF(D1593=I1593,VLOOKUP(D1593,a_win_totals_lookup,MATCH(K1593,a_wins_total_lookup_header,0)+1,0),VLOOKUP(D1593,a_win_totals_lookup,MATCH(I1593,a_wins_total_lookup_header,0)+1,0))</f>
        <v>0.57016539281455259</v>
      </c>
      <c r="N1593">
        <f t="shared" ca="1" si="24"/>
        <v>1</v>
      </c>
    </row>
    <row r="1594" spans="1:14" x14ac:dyDescent="0.25">
      <c r="A1594">
        <v>400579092</v>
      </c>
      <c r="B1594">
        <v>2015</v>
      </c>
      <c r="C1594" s="1">
        <v>42047</v>
      </c>
      <c r="D1594" t="s">
        <v>30</v>
      </c>
      <c r="E1594">
        <v>1</v>
      </c>
      <c r="F1594">
        <v>34</v>
      </c>
      <c r="G1594">
        <v>20</v>
      </c>
      <c r="H1594">
        <v>1</v>
      </c>
      <c r="I1594" t="s">
        <v>30</v>
      </c>
      <c r="J1594">
        <v>113</v>
      </c>
      <c r="K1594" t="s">
        <v>40</v>
      </c>
      <c r="L1594">
        <v>98</v>
      </c>
      <c r="M1594">
        <f>IF(D1594=I1594,VLOOKUP(D1594,a_win_totals_lookup,MATCH(K1594,a_wins_total_lookup_header,0)+1,0),VLOOKUP(D1594,a_win_totals_lookup,MATCH(I1594,a_wins_total_lookup_header,0)+1,0))</f>
        <v>0.48969992820199154</v>
      </c>
      <c r="N1594">
        <f t="shared" ca="1" si="24"/>
        <v>0</v>
      </c>
    </row>
    <row r="1595" spans="1:14" x14ac:dyDescent="0.25">
      <c r="A1595">
        <v>400579092</v>
      </c>
      <c r="B1595">
        <v>2015</v>
      </c>
      <c r="C1595" s="1">
        <v>42047</v>
      </c>
      <c r="D1595" t="s">
        <v>40</v>
      </c>
      <c r="E1595">
        <v>0</v>
      </c>
      <c r="F1595">
        <v>33</v>
      </c>
      <c r="G1595">
        <v>22</v>
      </c>
      <c r="H1595">
        <v>0</v>
      </c>
      <c r="I1595" t="s">
        <v>30</v>
      </c>
      <c r="J1595">
        <v>113</v>
      </c>
      <c r="K1595" t="s">
        <v>40</v>
      </c>
      <c r="L1595">
        <v>98</v>
      </c>
      <c r="M1595">
        <f>IF(D1595=I1595,VLOOKUP(D1595,a_win_totals_lookup,MATCH(K1595,a_wins_total_lookup_header,0)+1,0),VLOOKUP(D1595,a_win_totals_lookup,MATCH(I1595,a_wins_total_lookup_header,0)+1,0))</f>
        <v>0.5103000717980084</v>
      </c>
      <c r="N1595">
        <f t="shared" ca="1" si="24"/>
        <v>1</v>
      </c>
    </row>
    <row r="1596" spans="1:14" x14ac:dyDescent="0.25">
      <c r="A1596">
        <v>400579093</v>
      </c>
      <c r="B1596">
        <v>2015</v>
      </c>
      <c r="C1596" s="1">
        <v>42054</v>
      </c>
      <c r="D1596" t="s">
        <v>14</v>
      </c>
      <c r="E1596">
        <v>0</v>
      </c>
      <c r="F1596">
        <v>36</v>
      </c>
      <c r="G1596">
        <v>20</v>
      </c>
      <c r="H1596">
        <v>0</v>
      </c>
      <c r="I1596" t="s">
        <v>38</v>
      </c>
      <c r="J1596">
        <v>104</v>
      </c>
      <c r="K1596" t="s">
        <v>14</v>
      </c>
      <c r="L1596">
        <v>89</v>
      </c>
      <c r="M1596">
        <f>IF(D1596=I1596,VLOOKUP(D1596,a_win_totals_lookup,MATCH(K1596,a_wins_total_lookup_header,0)+1,0),VLOOKUP(D1596,a_win_totals_lookup,MATCH(I1596,a_wins_total_lookup_header,0)+1,0))</f>
        <v>0.48605197255538951</v>
      </c>
      <c r="N1596">
        <f t="shared" ca="1" si="24"/>
        <v>0</v>
      </c>
    </row>
    <row r="1597" spans="1:14" x14ac:dyDescent="0.25">
      <c r="A1597">
        <v>400579093</v>
      </c>
      <c r="B1597">
        <v>2015</v>
      </c>
      <c r="C1597" s="1">
        <v>42054</v>
      </c>
      <c r="D1597" t="s">
        <v>38</v>
      </c>
      <c r="E1597">
        <v>1</v>
      </c>
      <c r="F1597">
        <v>29</v>
      </c>
      <c r="G1597">
        <v>25</v>
      </c>
      <c r="H1597">
        <v>1</v>
      </c>
      <c r="I1597" t="s">
        <v>38</v>
      </c>
      <c r="J1597">
        <v>104</v>
      </c>
      <c r="K1597" t="s">
        <v>14</v>
      </c>
      <c r="L1597">
        <v>89</v>
      </c>
      <c r="M1597">
        <f>IF(D1597=I1597,VLOOKUP(D1597,a_win_totals_lookup,MATCH(K1597,a_wins_total_lookup_header,0)+1,0),VLOOKUP(D1597,a_win_totals_lookup,MATCH(I1597,a_wins_total_lookup_header,0)+1,0))</f>
        <v>0.51394802744461043</v>
      </c>
      <c r="N1597">
        <f t="shared" ca="1" si="24"/>
        <v>0</v>
      </c>
    </row>
    <row r="1598" spans="1:14" x14ac:dyDescent="0.25">
      <c r="A1598">
        <v>400579094</v>
      </c>
      <c r="B1598">
        <v>2015</v>
      </c>
      <c r="C1598" s="1">
        <v>42054</v>
      </c>
      <c r="D1598" t="s">
        <v>41</v>
      </c>
      <c r="E1598">
        <v>1</v>
      </c>
      <c r="F1598">
        <v>36</v>
      </c>
      <c r="G1598">
        <v>19</v>
      </c>
      <c r="H1598">
        <v>1</v>
      </c>
      <c r="I1598" t="s">
        <v>41</v>
      </c>
      <c r="J1598">
        <v>119</v>
      </c>
      <c r="K1598" t="s">
        <v>15</v>
      </c>
      <c r="L1598">
        <v>115</v>
      </c>
      <c r="M1598">
        <f>IF(D1598=I1598,VLOOKUP(D1598,a_win_totals_lookup,MATCH(K1598,a_wins_total_lookup_header,0)+1,0),VLOOKUP(D1598,a_win_totals_lookup,MATCH(I1598,a_wins_total_lookup_header,0)+1,0))</f>
        <v>0.5103000717980084</v>
      </c>
      <c r="N1598">
        <f t="shared" ca="1" si="24"/>
        <v>0</v>
      </c>
    </row>
    <row r="1599" spans="1:14" x14ac:dyDescent="0.25">
      <c r="A1599">
        <v>400579094</v>
      </c>
      <c r="B1599">
        <v>2015</v>
      </c>
      <c r="C1599" s="1">
        <v>42054</v>
      </c>
      <c r="D1599" t="s">
        <v>15</v>
      </c>
      <c r="E1599">
        <v>0</v>
      </c>
      <c r="F1599">
        <v>34</v>
      </c>
      <c r="G1599">
        <v>20</v>
      </c>
      <c r="H1599">
        <v>0</v>
      </c>
      <c r="I1599" t="s">
        <v>41</v>
      </c>
      <c r="J1599">
        <v>119</v>
      </c>
      <c r="K1599" t="s">
        <v>15</v>
      </c>
      <c r="L1599">
        <v>115</v>
      </c>
      <c r="M1599">
        <f>IF(D1599=I1599,VLOOKUP(D1599,a_win_totals_lookup,MATCH(K1599,a_wins_total_lookup_header,0)+1,0),VLOOKUP(D1599,a_win_totals_lookup,MATCH(I1599,a_wins_total_lookup_header,0)+1,0))</f>
        <v>0.48969992820199154</v>
      </c>
      <c r="N1599">
        <f t="shared" ca="1" si="24"/>
        <v>1</v>
      </c>
    </row>
    <row r="1600" spans="1:14" x14ac:dyDescent="0.25">
      <c r="A1600">
        <v>400579095</v>
      </c>
      <c r="B1600">
        <v>2015</v>
      </c>
      <c r="C1600" s="1">
        <v>42055</v>
      </c>
      <c r="D1600" t="s">
        <v>12</v>
      </c>
      <c r="E1600">
        <v>0</v>
      </c>
      <c r="F1600">
        <v>27</v>
      </c>
      <c r="G1600">
        <v>27</v>
      </c>
      <c r="H1600">
        <v>0</v>
      </c>
      <c r="I1600" t="s">
        <v>13</v>
      </c>
      <c r="J1600">
        <v>95</v>
      </c>
      <c r="K1600" t="s">
        <v>12</v>
      </c>
      <c r="L1600">
        <v>84</v>
      </c>
      <c r="M1600">
        <f>IF(D1600=I1600,VLOOKUP(D1600,a_win_totals_lookup,MATCH(K1600,a_wins_total_lookup_header,0)+1,0),VLOOKUP(D1600,a_win_totals_lookup,MATCH(I1600,a_wins_total_lookup_header,0)+1,0))</f>
        <v>0.62386816358907304</v>
      </c>
      <c r="N1600">
        <f t="shared" ca="1" si="24"/>
        <v>1</v>
      </c>
    </row>
    <row r="1601" spans="1:14" x14ac:dyDescent="0.25">
      <c r="A1601">
        <v>400579095</v>
      </c>
      <c r="B1601">
        <v>2015</v>
      </c>
      <c r="C1601" s="1">
        <v>42055</v>
      </c>
      <c r="D1601" t="s">
        <v>13</v>
      </c>
      <c r="E1601">
        <v>1</v>
      </c>
      <c r="F1601">
        <v>18</v>
      </c>
      <c r="G1601">
        <v>39</v>
      </c>
      <c r="H1601">
        <v>1</v>
      </c>
      <c r="I1601" t="s">
        <v>13</v>
      </c>
      <c r="J1601">
        <v>95</v>
      </c>
      <c r="K1601" t="s">
        <v>12</v>
      </c>
      <c r="L1601">
        <v>84</v>
      </c>
      <c r="M1601">
        <f>IF(D1601=I1601,VLOOKUP(D1601,a_win_totals_lookup,MATCH(K1601,a_wins_total_lookup_header,0)+1,0),VLOOKUP(D1601,a_win_totals_lookup,MATCH(I1601,a_wins_total_lookup_header,0)+1,0))</f>
        <v>0.37613183641092696</v>
      </c>
      <c r="N1601">
        <f t="shared" ca="1" si="24"/>
        <v>0</v>
      </c>
    </row>
    <row r="1602" spans="1:14" x14ac:dyDescent="0.25">
      <c r="A1602">
        <v>400579096</v>
      </c>
      <c r="B1602">
        <v>2015</v>
      </c>
      <c r="C1602" s="1">
        <v>42055</v>
      </c>
      <c r="D1602" t="s">
        <v>20</v>
      </c>
      <c r="E1602">
        <v>1</v>
      </c>
      <c r="F1602">
        <v>22</v>
      </c>
      <c r="G1602">
        <v>33</v>
      </c>
      <c r="H1602">
        <v>0</v>
      </c>
      <c r="I1602" t="s">
        <v>21</v>
      </c>
      <c r="J1602">
        <v>95</v>
      </c>
      <c r="K1602" t="s">
        <v>20</v>
      </c>
      <c r="L1602">
        <v>106</v>
      </c>
      <c r="M1602">
        <f>IF(D1602=I1602,VLOOKUP(D1602,a_win_totals_lookup,MATCH(K1602,a_wins_total_lookup_header,0)+1,0),VLOOKUP(D1602,a_win_totals_lookup,MATCH(I1602,a_wins_total_lookup_header,0)+1,0))</f>
        <v>0.64351831611443899</v>
      </c>
      <c r="N1602">
        <f t="shared" ca="1" si="24"/>
        <v>0</v>
      </c>
    </row>
    <row r="1603" spans="1:14" x14ac:dyDescent="0.25">
      <c r="A1603">
        <v>400579096</v>
      </c>
      <c r="B1603">
        <v>2015</v>
      </c>
      <c r="C1603" s="1">
        <v>42055</v>
      </c>
      <c r="D1603" t="s">
        <v>21</v>
      </c>
      <c r="E1603">
        <v>0</v>
      </c>
      <c r="F1603">
        <v>12</v>
      </c>
      <c r="G1603">
        <v>42</v>
      </c>
      <c r="H1603">
        <v>1</v>
      </c>
      <c r="I1603" t="s">
        <v>21</v>
      </c>
      <c r="J1603">
        <v>95</v>
      </c>
      <c r="K1603" t="s">
        <v>20</v>
      </c>
      <c r="L1603">
        <v>106</v>
      </c>
      <c r="M1603">
        <f>IF(D1603=I1603,VLOOKUP(D1603,a_win_totals_lookup,MATCH(K1603,a_wins_total_lookup_header,0)+1,0),VLOOKUP(D1603,a_win_totals_lookup,MATCH(I1603,a_wins_total_lookup_header,0)+1,0))</f>
        <v>0.35648168388556095</v>
      </c>
      <c r="N1603">
        <f t="shared" ref="N1603:N1666" ca="1" si="25">ROUND(0.5*RANDBETWEEN(-1,1)+M1603,0)</f>
        <v>0</v>
      </c>
    </row>
    <row r="1604" spans="1:14" x14ac:dyDescent="0.25">
      <c r="A1604">
        <v>400579097</v>
      </c>
      <c r="B1604">
        <v>2015</v>
      </c>
      <c r="C1604" s="1">
        <v>42055</v>
      </c>
      <c r="D1604" t="s">
        <v>26</v>
      </c>
      <c r="E1604">
        <v>0</v>
      </c>
      <c r="F1604">
        <v>43</v>
      </c>
      <c r="G1604">
        <v>12</v>
      </c>
      <c r="H1604">
        <v>1</v>
      </c>
      <c r="I1604" t="s">
        <v>26</v>
      </c>
      <c r="J1604">
        <v>80</v>
      </c>
      <c r="K1604" t="s">
        <v>27</v>
      </c>
      <c r="L1604">
        <v>105</v>
      </c>
      <c r="M1604">
        <f>IF(D1604=I1604,VLOOKUP(D1604,a_win_totals_lookup,MATCH(K1604,a_wins_total_lookup_header,0)+1,0),VLOOKUP(D1604,a_win_totals_lookup,MATCH(I1604,a_wins_total_lookup_header,0)+1,0))</f>
        <v>0.42248155809117843</v>
      </c>
      <c r="N1604">
        <f t="shared" ca="1" si="25"/>
        <v>1</v>
      </c>
    </row>
    <row r="1605" spans="1:14" x14ac:dyDescent="0.25">
      <c r="A1605">
        <v>400579097</v>
      </c>
      <c r="B1605">
        <v>2015</v>
      </c>
      <c r="C1605" s="1">
        <v>42055</v>
      </c>
      <c r="D1605" t="s">
        <v>27</v>
      </c>
      <c r="E1605">
        <v>1</v>
      </c>
      <c r="F1605">
        <v>37</v>
      </c>
      <c r="G1605">
        <v>17</v>
      </c>
      <c r="H1605">
        <v>0</v>
      </c>
      <c r="I1605" t="s">
        <v>26</v>
      </c>
      <c r="J1605">
        <v>80</v>
      </c>
      <c r="K1605" t="s">
        <v>27</v>
      </c>
      <c r="L1605">
        <v>105</v>
      </c>
      <c r="M1605">
        <f>IF(D1605=I1605,VLOOKUP(D1605,a_win_totals_lookup,MATCH(K1605,a_wins_total_lookup_header,0)+1,0),VLOOKUP(D1605,a_win_totals_lookup,MATCH(I1605,a_wins_total_lookup_header,0)+1,0))</f>
        <v>0.57751844190882151</v>
      </c>
      <c r="N1605">
        <f t="shared" ca="1" si="25"/>
        <v>1</v>
      </c>
    </row>
    <row r="1606" spans="1:14" x14ac:dyDescent="0.25">
      <c r="A1606">
        <v>400579098</v>
      </c>
      <c r="B1606">
        <v>2015</v>
      </c>
      <c r="C1606" s="1">
        <v>42055</v>
      </c>
      <c r="D1606" t="s">
        <v>30</v>
      </c>
      <c r="E1606">
        <v>0</v>
      </c>
      <c r="F1606">
        <v>34</v>
      </c>
      <c r="G1606">
        <v>21</v>
      </c>
      <c r="H1606">
        <v>0</v>
      </c>
      <c r="I1606" t="s">
        <v>33</v>
      </c>
      <c r="J1606">
        <v>100</v>
      </c>
      <c r="K1606" t="s">
        <v>30</v>
      </c>
      <c r="L1606">
        <v>91</v>
      </c>
      <c r="M1606">
        <f>IF(D1606=I1606,VLOOKUP(D1606,a_win_totals_lookup,MATCH(K1606,a_wins_total_lookup_header,0)+1,0),VLOOKUP(D1606,a_win_totals_lookup,MATCH(I1606,a_wins_total_lookup_header,0)+1,0))</f>
        <v>0.67995464996754418</v>
      </c>
      <c r="N1606">
        <f t="shared" ca="1" si="25"/>
        <v>1</v>
      </c>
    </row>
    <row r="1607" spans="1:14" x14ac:dyDescent="0.25">
      <c r="A1607">
        <v>400579098</v>
      </c>
      <c r="B1607">
        <v>2015</v>
      </c>
      <c r="C1607" s="1">
        <v>42055</v>
      </c>
      <c r="D1607" t="s">
        <v>33</v>
      </c>
      <c r="E1607">
        <v>1</v>
      </c>
      <c r="F1607">
        <v>22</v>
      </c>
      <c r="G1607">
        <v>33</v>
      </c>
      <c r="H1607">
        <v>1</v>
      </c>
      <c r="I1607" t="s">
        <v>33</v>
      </c>
      <c r="J1607">
        <v>100</v>
      </c>
      <c r="K1607" t="s">
        <v>30</v>
      </c>
      <c r="L1607">
        <v>91</v>
      </c>
      <c r="M1607">
        <f>IF(D1607=I1607,VLOOKUP(D1607,a_win_totals_lookup,MATCH(K1607,a_wins_total_lookup_header,0)+1,0),VLOOKUP(D1607,a_win_totals_lookup,MATCH(I1607,a_wins_total_lookup_header,0)+1,0))</f>
        <v>0.32004535003245588</v>
      </c>
      <c r="N1607">
        <f t="shared" ca="1" si="25"/>
        <v>0</v>
      </c>
    </row>
    <row r="1608" spans="1:14" x14ac:dyDescent="0.25">
      <c r="A1608">
        <v>400579099</v>
      </c>
      <c r="B1608">
        <v>2015</v>
      </c>
      <c r="C1608" s="1">
        <v>42055</v>
      </c>
      <c r="D1608" t="s">
        <v>24</v>
      </c>
      <c r="E1608">
        <v>1</v>
      </c>
      <c r="F1608">
        <v>23</v>
      </c>
      <c r="G1608">
        <v>30</v>
      </c>
      <c r="H1608">
        <v>0</v>
      </c>
      <c r="I1608" t="s">
        <v>31</v>
      </c>
      <c r="J1608">
        <v>87</v>
      </c>
      <c r="K1608" t="s">
        <v>24</v>
      </c>
      <c r="L1608">
        <v>111</v>
      </c>
      <c r="M1608">
        <f>IF(D1608=I1608,VLOOKUP(D1608,a_win_totals_lookup,MATCH(K1608,a_wins_total_lookup_header,0)+1,0),VLOOKUP(D1608,a_win_totals_lookup,MATCH(I1608,a_wins_total_lookup_header,0)+1,0))</f>
        <v>0.5510669083041746</v>
      </c>
      <c r="N1608">
        <f t="shared" ca="1" si="25"/>
        <v>0</v>
      </c>
    </row>
    <row r="1609" spans="1:14" x14ac:dyDescent="0.25">
      <c r="A1609">
        <v>400579099</v>
      </c>
      <c r="B1609">
        <v>2015</v>
      </c>
      <c r="C1609" s="1">
        <v>42055</v>
      </c>
      <c r="D1609" t="s">
        <v>31</v>
      </c>
      <c r="E1609">
        <v>0</v>
      </c>
      <c r="F1609">
        <v>10</v>
      </c>
      <c r="G1609">
        <v>44</v>
      </c>
      <c r="H1609">
        <v>1</v>
      </c>
      <c r="I1609" t="s">
        <v>31</v>
      </c>
      <c r="J1609">
        <v>87</v>
      </c>
      <c r="K1609" t="s">
        <v>24</v>
      </c>
      <c r="L1609">
        <v>111</v>
      </c>
      <c r="M1609">
        <f>IF(D1609=I1609,VLOOKUP(D1609,a_win_totals_lookup,MATCH(K1609,a_wins_total_lookup_header,0)+1,0),VLOOKUP(D1609,a_win_totals_lookup,MATCH(I1609,a_wins_total_lookup_header,0)+1,0))</f>
        <v>0.4489330916958254</v>
      </c>
      <c r="N1609">
        <f t="shared" ca="1" si="25"/>
        <v>1</v>
      </c>
    </row>
    <row r="1610" spans="1:14" x14ac:dyDescent="0.25">
      <c r="A1610">
        <v>400579100</v>
      </c>
      <c r="B1610">
        <v>2015</v>
      </c>
      <c r="C1610" s="1">
        <v>42055</v>
      </c>
      <c r="D1610" t="s">
        <v>29</v>
      </c>
      <c r="E1610">
        <v>1</v>
      </c>
      <c r="F1610">
        <v>12</v>
      </c>
      <c r="G1610">
        <v>42</v>
      </c>
      <c r="H1610">
        <v>1</v>
      </c>
      <c r="I1610" t="s">
        <v>29</v>
      </c>
      <c r="J1610">
        <v>111</v>
      </c>
      <c r="K1610" t="s">
        <v>35</v>
      </c>
      <c r="L1610">
        <v>109</v>
      </c>
      <c r="M1610">
        <f>IF(D1610=I1610,VLOOKUP(D1610,a_win_totals_lookup,MATCH(K1610,a_wins_total_lookup_header,0)+1,0),VLOOKUP(D1610,a_win_totals_lookup,MATCH(I1610,a_wins_total_lookup_header,0)+1,0))</f>
        <v>0.30291197689006377</v>
      </c>
      <c r="N1610">
        <f t="shared" ca="1" si="25"/>
        <v>0</v>
      </c>
    </row>
    <row r="1611" spans="1:14" x14ac:dyDescent="0.25">
      <c r="A1611">
        <v>400579100</v>
      </c>
      <c r="B1611">
        <v>2015</v>
      </c>
      <c r="C1611" s="1">
        <v>42055</v>
      </c>
      <c r="D1611" t="s">
        <v>35</v>
      </c>
      <c r="E1611">
        <v>0</v>
      </c>
      <c r="F1611">
        <v>29</v>
      </c>
      <c r="G1611">
        <v>26</v>
      </c>
      <c r="H1611">
        <v>0</v>
      </c>
      <c r="I1611" t="s">
        <v>29</v>
      </c>
      <c r="J1611">
        <v>111</v>
      </c>
      <c r="K1611" t="s">
        <v>35</v>
      </c>
      <c r="L1611">
        <v>109</v>
      </c>
      <c r="M1611">
        <f>IF(D1611=I1611,VLOOKUP(D1611,a_win_totals_lookup,MATCH(K1611,a_wins_total_lookup_header,0)+1,0),VLOOKUP(D1611,a_win_totals_lookup,MATCH(I1611,a_wins_total_lookup_header,0)+1,0))</f>
        <v>0.69708802310993623</v>
      </c>
      <c r="N1611">
        <f t="shared" ca="1" si="25"/>
        <v>1</v>
      </c>
    </row>
    <row r="1612" spans="1:14" x14ac:dyDescent="0.25">
      <c r="A1612">
        <v>400579101</v>
      </c>
      <c r="B1612">
        <v>2015</v>
      </c>
      <c r="C1612" s="1">
        <v>42055</v>
      </c>
      <c r="D1612" t="s">
        <v>40</v>
      </c>
      <c r="E1612">
        <v>1</v>
      </c>
      <c r="F1612">
        <v>34</v>
      </c>
      <c r="G1612">
        <v>22</v>
      </c>
      <c r="H1612">
        <v>0</v>
      </c>
      <c r="I1612" t="s">
        <v>25</v>
      </c>
      <c r="J1612">
        <v>89</v>
      </c>
      <c r="K1612" t="s">
        <v>40</v>
      </c>
      <c r="L1612">
        <v>127</v>
      </c>
      <c r="M1612">
        <f>IF(D1612=I1612,VLOOKUP(D1612,a_win_totals_lookup,MATCH(K1612,a_wins_total_lookup_header,0)+1,0),VLOOKUP(D1612,a_win_totals_lookup,MATCH(I1612,a_wins_total_lookup_header,0)+1,0))</f>
        <v>0.57016539281455259</v>
      </c>
      <c r="N1612">
        <f t="shared" ca="1" si="25"/>
        <v>1</v>
      </c>
    </row>
    <row r="1613" spans="1:14" x14ac:dyDescent="0.25">
      <c r="A1613">
        <v>400579101</v>
      </c>
      <c r="B1613">
        <v>2015</v>
      </c>
      <c r="C1613" s="1">
        <v>42055</v>
      </c>
      <c r="D1613" t="s">
        <v>25</v>
      </c>
      <c r="E1613">
        <v>0</v>
      </c>
      <c r="F1613">
        <v>33</v>
      </c>
      <c r="G1613">
        <v>22</v>
      </c>
      <c r="H1613">
        <v>1</v>
      </c>
      <c r="I1613" t="s">
        <v>25</v>
      </c>
      <c r="J1613">
        <v>89</v>
      </c>
      <c r="K1613" t="s">
        <v>40</v>
      </c>
      <c r="L1613">
        <v>127</v>
      </c>
      <c r="M1613">
        <f>IF(D1613=I1613,VLOOKUP(D1613,a_win_totals_lookup,MATCH(K1613,a_wins_total_lookup_header,0)+1,0),VLOOKUP(D1613,a_win_totals_lookup,MATCH(I1613,a_wins_total_lookup_header,0)+1,0))</f>
        <v>0.42983460718544747</v>
      </c>
      <c r="N1613">
        <f t="shared" ca="1" si="25"/>
        <v>0</v>
      </c>
    </row>
    <row r="1614" spans="1:14" x14ac:dyDescent="0.25">
      <c r="A1614">
        <v>400579102</v>
      </c>
      <c r="B1614">
        <v>2015</v>
      </c>
      <c r="C1614" s="1">
        <v>42055</v>
      </c>
      <c r="D1614" t="s">
        <v>14</v>
      </c>
      <c r="E1614">
        <v>1</v>
      </c>
      <c r="F1614">
        <v>37</v>
      </c>
      <c r="G1614">
        <v>20</v>
      </c>
      <c r="H1614">
        <v>1</v>
      </c>
      <c r="I1614" t="s">
        <v>14</v>
      </c>
      <c r="J1614">
        <v>111</v>
      </c>
      <c r="K1614" t="s">
        <v>16</v>
      </c>
      <c r="L1614">
        <v>100</v>
      </c>
      <c r="M1614">
        <f>IF(D1614=I1614,VLOOKUP(D1614,a_win_totals_lookup,MATCH(K1614,a_wins_total_lookup_header,0)+1,0),VLOOKUP(D1614,a_win_totals_lookup,MATCH(I1614,a_wins_total_lookup_header,0)+1,0))</f>
        <v>0.53429204972678024</v>
      </c>
      <c r="N1614">
        <f t="shared" ca="1" si="25"/>
        <v>1</v>
      </c>
    </row>
    <row r="1615" spans="1:14" x14ac:dyDescent="0.25">
      <c r="A1615">
        <v>400579102</v>
      </c>
      <c r="B1615">
        <v>2015</v>
      </c>
      <c r="C1615" s="1">
        <v>42055</v>
      </c>
      <c r="D1615" t="s">
        <v>16</v>
      </c>
      <c r="E1615">
        <v>0</v>
      </c>
      <c r="F1615">
        <v>36</v>
      </c>
      <c r="G1615">
        <v>18</v>
      </c>
      <c r="H1615">
        <v>0</v>
      </c>
      <c r="I1615" t="s">
        <v>14</v>
      </c>
      <c r="J1615">
        <v>111</v>
      </c>
      <c r="K1615" t="s">
        <v>16</v>
      </c>
      <c r="L1615">
        <v>100</v>
      </c>
      <c r="M1615">
        <f>IF(D1615=I1615,VLOOKUP(D1615,a_win_totals_lookup,MATCH(K1615,a_wins_total_lookup_header,0)+1,0),VLOOKUP(D1615,a_win_totals_lookup,MATCH(I1615,a_wins_total_lookup_header,0)+1,0))</f>
        <v>0.46570795027321976</v>
      </c>
      <c r="N1615">
        <f t="shared" ca="1" si="25"/>
        <v>0</v>
      </c>
    </row>
    <row r="1616" spans="1:14" x14ac:dyDescent="0.25">
      <c r="A1616">
        <v>400579103</v>
      </c>
      <c r="B1616">
        <v>2015</v>
      </c>
      <c r="C1616" s="1">
        <v>42055</v>
      </c>
      <c r="D1616" t="s">
        <v>32</v>
      </c>
      <c r="E1616">
        <v>0</v>
      </c>
      <c r="F1616">
        <v>20</v>
      </c>
      <c r="G1616">
        <v>34</v>
      </c>
      <c r="H1616">
        <v>0</v>
      </c>
      <c r="I1616" t="s">
        <v>19</v>
      </c>
      <c r="J1616">
        <v>89</v>
      </c>
      <c r="K1616" t="s">
        <v>32</v>
      </c>
      <c r="L1616">
        <v>81</v>
      </c>
      <c r="M1616">
        <f>IF(D1616=I1616,VLOOKUP(D1616,a_win_totals_lookup,MATCH(K1616,a_wins_total_lookup_header,0)+1,0),VLOOKUP(D1616,a_win_totals_lookup,MATCH(I1616,a_wins_total_lookup_header,0)+1,0))</f>
        <v>0.64545979335474335</v>
      </c>
      <c r="N1616">
        <f t="shared" ca="1" si="25"/>
        <v>1</v>
      </c>
    </row>
    <row r="1617" spans="1:14" x14ac:dyDescent="0.25">
      <c r="A1617">
        <v>400579103</v>
      </c>
      <c r="B1617">
        <v>2015</v>
      </c>
      <c r="C1617" s="1">
        <v>42055</v>
      </c>
      <c r="D1617" t="s">
        <v>19</v>
      </c>
      <c r="E1617">
        <v>1</v>
      </c>
      <c r="F1617">
        <v>31</v>
      </c>
      <c r="G1617">
        <v>23</v>
      </c>
      <c r="H1617">
        <v>1</v>
      </c>
      <c r="I1617" t="s">
        <v>19</v>
      </c>
      <c r="J1617">
        <v>89</v>
      </c>
      <c r="K1617" t="s">
        <v>32</v>
      </c>
      <c r="L1617">
        <v>81</v>
      </c>
      <c r="M1617">
        <f>IF(D1617=I1617,VLOOKUP(D1617,a_win_totals_lookup,MATCH(K1617,a_wins_total_lookup_header,0)+1,0),VLOOKUP(D1617,a_win_totals_lookup,MATCH(I1617,a_wins_total_lookup_header,0)+1,0))</f>
        <v>0.35454020664525671</v>
      </c>
      <c r="N1617">
        <f t="shared" ca="1" si="25"/>
        <v>0</v>
      </c>
    </row>
    <row r="1618" spans="1:14" x14ac:dyDescent="0.25">
      <c r="A1618">
        <v>400579104</v>
      </c>
      <c r="B1618">
        <v>2015</v>
      </c>
      <c r="C1618" s="1">
        <v>42055</v>
      </c>
      <c r="D1618" t="s">
        <v>39</v>
      </c>
      <c r="E1618">
        <v>0</v>
      </c>
      <c r="F1618">
        <v>36</v>
      </c>
      <c r="G1618">
        <v>18</v>
      </c>
      <c r="H1618">
        <v>0</v>
      </c>
      <c r="I1618" t="s">
        <v>34</v>
      </c>
      <c r="J1618">
        <v>92</v>
      </c>
      <c r="K1618" t="s">
        <v>39</v>
      </c>
      <c r="L1618">
        <v>76</v>
      </c>
      <c r="M1618">
        <f>IF(D1618=I1618,VLOOKUP(D1618,a_win_totals_lookup,MATCH(K1618,a_wins_total_lookup_header,0)+1,0),VLOOKUP(D1618,a_win_totals_lookup,MATCH(I1618,a_wins_total_lookup_header,0)+1,0))</f>
        <v>0.69454700244383094</v>
      </c>
      <c r="N1618">
        <f t="shared" ca="1" si="25"/>
        <v>1</v>
      </c>
    </row>
    <row r="1619" spans="1:14" x14ac:dyDescent="0.25">
      <c r="A1619">
        <v>400579104</v>
      </c>
      <c r="B1619">
        <v>2015</v>
      </c>
      <c r="C1619" s="1">
        <v>42055</v>
      </c>
      <c r="D1619" t="s">
        <v>34</v>
      </c>
      <c r="E1619">
        <v>1</v>
      </c>
      <c r="F1619">
        <v>20</v>
      </c>
      <c r="G1619">
        <v>34</v>
      </c>
      <c r="H1619">
        <v>1</v>
      </c>
      <c r="I1619" t="s">
        <v>34</v>
      </c>
      <c r="J1619">
        <v>92</v>
      </c>
      <c r="K1619" t="s">
        <v>39</v>
      </c>
      <c r="L1619">
        <v>76</v>
      </c>
      <c r="M1619">
        <f>IF(D1619=I1619,VLOOKUP(D1619,a_win_totals_lookup,MATCH(K1619,a_wins_total_lookup_header,0)+1,0),VLOOKUP(D1619,a_win_totals_lookup,MATCH(I1619,a_wins_total_lookup_header,0)+1,0))</f>
        <v>0.305452997556169</v>
      </c>
      <c r="N1619">
        <f t="shared" ca="1" si="25"/>
        <v>0</v>
      </c>
    </row>
    <row r="1620" spans="1:14" x14ac:dyDescent="0.25">
      <c r="A1620">
        <v>400579105</v>
      </c>
      <c r="B1620">
        <v>2015</v>
      </c>
      <c r="C1620" s="1">
        <v>42055</v>
      </c>
      <c r="D1620" t="s">
        <v>22</v>
      </c>
      <c r="E1620">
        <v>0</v>
      </c>
      <c r="F1620">
        <v>20</v>
      </c>
      <c r="G1620">
        <v>32</v>
      </c>
      <c r="H1620">
        <v>0</v>
      </c>
      <c r="I1620" t="s">
        <v>37</v>
      </c>
      <c r="J1620">
        <v>109</v>
      </c>
      <c r="K1620" t="s">
        <v>22</v>
      </c>
      <c r="L1620">
        <v>101</v>
      </c>
      <c r="M1620">
        <f>IF(D1620=I1620,VLOOKUP(D1620,a_win_totals_lookup,MATCH(K1620,a_wins_total_lookup_header,0)+1,0),VLOOKUP(D1620,a_win_totals_lookup,MATCH(I1620,a_wins_total_lookup_header,0)+1,0))</f>
        <v>0.40973570236484297</v>
      </c>
      <c r="N1620">
        <f t="shared" ca="1" si="25"/>
        <v>1</v>
      </c>
    </row>
    <row r="1621" spans="1:14" x14ac:dyDescent="0.25">
      <c r="A1621">
        <v>400579105</v>
      </c>
      <c r="B1621">
        <v>2015</v>
      </c>
      <c r="C1621" s="1">
        <v>42055</v>
      </c>
      <c r="D1621" t="s">
        <v>37</v>
      </c>
      <c r="E1621">
        <v>1</v>
      </c>
      <c r="F1621">
        <v>19</v>
      </c>
      <c r="G1621">
        <v>34</v>
      </c>
      <c r="H1621">
        <v>1</v>
      </c>
      <c r="I1621" t="s">
        <v>37</v>
      </c>
      <c r="J1621">
        <v>109</v>
      </c>
      <c r="K1621" t="s">
        <v>22</v>
      </c>
      <c r="L1621">
        <v>101</v>
      </c>
      <c r="M1621">
        <f>IF(D1621=I1621,VLOOKUP(D1621,a_win_totals_lookup,MATCH(K1621,a_wins_total_lookup_header,0)+1,0),VLOOKUP(D1621,a_win_totals_lookup,MATCH(I1621,a_wins_total_lookup_header,0)+1,0))</f>
        <v>0.59026429763515698</v>
      </c>
      <c r="N1621">
        <f t="shared" ca="1" si="25"/>
        <v>0</v>
      </c>
    </row>
    <row r="1622" spans="1:14" x14ac:dyDescent="0.25">
      <c r="A1622">
        <v>400579106</v>
      </c>
      <c r="B1622">
        <v>2015</v>
      </c>
      <c r="C1622" s="1">
        <v>42055</v>
      </c>
      <c r="D1622" t="s">
        <v>36</v>
      </c>
      <c r="E1622">
        <v>1</v>
      </c>
      <c r="F1622">
        <v>43</v>
      </c>
      <c r="G1622">
        <v>9</v>
      </c>
      <c r="H1622">
        <v>1</v>
      </c>
      <c r="I1622" t="s">
        <v>36</v>
      </c>
      <c r="J1622">
        <v>110</v>
      </c>
      <c r="K1622" t="s">
        <v>15</v>
      </c>
      <c r="L1622">
        <v>99</v>
      </c>
      <c r="M1622">
        <f>IF(D1622=I1622,VLOOKUP(D1622,a_win_totals_lookup,MATCH(K1622,a_wins_total_lookup_header,0)+1,0),VLOOKUP(D1622,a_win_totals_lookup,MATCH(I1622,a_wins_total_lookup_header,0)+1,0))</f>
        <v>0.48125196234618794</v>
      </c>
      <c r="N1622">
        <f t="shared" ca="1" si="25"/>
        <v>0</v>
      </c>
    </row>
    <row r="1623" spans="1:14" x14ac:dyDescent="0.25">
      <c r="A1623">
        <v>400579106</v>
      </c>
      <c r="B1623">
        <v>2015</v>
      </c>
      <c r="C1623" s="1">
        <v>42055</v>
      </c>
      <c r="D1623" t="s">
        <v>15</v>
      </c>
      <c r="E1623">
        <v>0</v>
      </c>
      <c r="F1623">
        <v>34</v>
      </c>
      <c r="G1623">
        <v>21</v>
      </c>
      <c r="H1623">
        <v>0</v>
      </c>
      <c r="I1623" t="s">
        <v>36</v>
      </c>
      <c r="J1623">
        <v>110</v>
      </c>
      <c r="K1623" t="s">
        <v>15</v>
      </c>
      <c r="L1623">
        <v>99</v>
      </c>
      <c r="M1623">
        <f>IF(D1623=I1623,VLOOKUP(D1623,a_win_totals_lookup,MATCH(K1623,a_wins_total_lookup_header,0)+1,0),VLOOKUP(D1623,a_win_totals_lookup,MATCH(I1623,a_wins_total_lookup_header,0)+1,0))</f>
        <v>0.51874803765381217</v>
      </c>
      <c r="N1623">
        <f t="shared" ca="1" si="25"/>
        <v>1</v>
      </c>
    </row>
    <row r="1624" spans="1:14" x14ac:dyDescent="0.25">
      <c r="A1624">
        <v>400579107</v>
      </c>
      <c r="B1624">
        <v>2015</v>
      </c>
      <c r="C1624" s="1">
        <v>42055</v>
      </c>
      <c r="D1624" t="s">
        <v>23</v>
      </c>
      <c r="E1624">
        <v>1</v>
      </c>
      <c r="F1624">
        <v>22</v>
      </c>
      <c r="G1624">
        <v>31</v>
      </c>
      <c r="H1624">
        <v>0</v>
      </c>
      <c r="I1624" t="s">
        <v>17</v>
      </c>
      <c r="J1624">
        <v>105</v>
      </c>
      <c r="K1624" t="s">
        <v>23</v>
      </c>
      <c r="L1624">
        <v>114</v>
      </c>
      <c r="M1624">
        <f>IF(D1624=I1624,VLOOKUP(D1624,a_win_totals_lookup,MATCH(K1624,a_wins_total_lookup_header,0)+1,0),VLOOKUP(D1624,a_win_totals_lookup,MATCH(I1624,a_wins_total_lookup_header,0)+1,0))</f>
        <v>0.57711263446281591</v>
      </c>
      <c r="N1624">
        <f t="shared" ca="1" si="25"/>
        <v>1</v>
      </c>
    </row>
    <row r="1625" spans="1:14" x14ac:dyDescent="0.25">
      <c r="A1625">
        <v>400579107</v>
      </c>
      <c r="B1625">
        <v>2015</v>
      </c>
      <c r="C1625" s="1">
        <v>42055</v>
      </c>
      <c r="D1625" t="s">
        <v>17</v>
      </c>
      <c r="E1625">
        <v>0</v>
      </c>
      <c r="F1625">
        <v>13</v>
      </c>
      <c r="G1625">
        <v>41</v>
      </c>
      <c r="H1625">
        <v>1</v>
      </c>
      <c r="I1625" t="s">
        <v>17</v>
      </c>
      <c r="J1625">
        <v>105</v>
      </c>
      <c r="K1625" t="s">
        <v>23</v>
      </c>
      <c r="L1625">
        <v>114</v>
      </c>
      <c r="M1625">
        <f>IF(D1625=I1625,VLOOKUP(D1625,a_win_totals_lookup,MATCH(K1625,a_wins_total_lookup_header,0)+1,0),VLOOKUP(D1625,a_win_totals_lookup,MATCH(I1625,a_wins_total_lookup_header,0)+1,0))</f>
        <v>0.42288736553718415</v>
      </c>
      <c r="N1625">
        <f t="shared" ca="1" si="25"/>
        <v>0</v>
      </c>
    </row>
    <row r="1626" spans="1:14" x14ac:dyDescent="0.25">
      <c r="A1626">
        <v>400579108</v>
      </c>
      <c r="B1626">
        <v>2015</v>
      </c>
      <c r="C1626" s="1">
        <v>42056</v>
      </c>
      <c r="D1626" t="s">
        <v>18</v>
      </c>
      <c r="E1626">
        <v>0</v>
      </c>
      <c r="F1626">
        <v>22</v>
      </c>
      <c r="G1626">
        <v>31</v>
      </c>
      <c r="H1626">
        <v>1</v>
      </c>
      <c r="I1626" t="s">
        <v>18</v>
      </c>
      <c r="J1626">
        <v>103</v>
      </c>
      <c r="K1626" t="s">
        <v>38</v>
      </c>
      <c r="L1626">
        <v>110</v>
      </c>
      <c r="M1626">
        <f>IF(D1626=I1626,VLOOKUP(D1626,a_win_totals_lookup,MATCH(K1626,a_wins_total_lookup_header,0)+1,0),VLOOKUP(D1626,a_win_totals_lookup,MATCH(I1626,a_wins_total_lookup_header,0)+1,0))</f>
        <v>0.4314639063717029</v>
      </c>
      <c r="N1626">
        <f t="shared" ca="1" si="25"/>
        <v>0</v>
      </c>
    </row>
    <row r="1627" spans="1:14" x14ac:dyDescent="0.25">
      <c r="A1627">
        <v>400579108</v>
      </c>
      <c r="B1627">
        <v>2015</v>
      </c>
      <c r="C1627" s="1">
        <v>42056</v>
      </c>
      <c r="D1627" t="s">
        <v>38</v>
      </c>
      <c r="E1627">
        <v>1</v>
      </c>
      <c r="F1627">
        <v>30</v>
      </c>
      <c r="G1627">
        <v>25</v>
      </c>
      <c r="H1627">
        <v>0</v>
      </c>
      <c r="I1627" t="s">
        <v>18</v>
      </c>
      <c r="J1627">
        <v>103</v>
      </c>
      <c r="K1627" t="s">
        <v>38</v>
      </c>
      <c r="L1627">
        <v>110</v>
      </c>
      <c r="M1627">
        <f>IF(D1627=I1627,VLOOKUP(D1627,a_win_totals_lookup,MATCH(K1627,a_wins_total_lookup_header,0)+1,0),VLOOKUP(D1627,a_win_totals_lookup,MATCH(I1627,a_wins_total_lookup_header,0)+1,0))</f>
        <v>0.56853609362829716</v>
      </c>
      <c r="N1627">
        <f t="shared" ca="1" si="25"/>
        <v>1</v>
      </c>
    </row>
    <row r="1628" spans="1:14" x14ac:dyDescent="0.25">
      <c r="A1628">
        <v>400579109</v>
      </c>
      <c r="B1628">
        <v>2015</v>
      </c>
      <c r="C1628" s="1">
        <v>42056</v>
      </c>
      <c r="D1628" t="s">
        <v>24</v>
      </c>
      <c r="E1628">
        <v>0</v>
      </c>
      <c r="F1628">
        <v>23</v>
      </c>
      <c r="G1628">
        <v>31</v>
      </c>
      <c r="H1628">
        <v>1</v>
      </c>
      <c r="I1628" t="s">
        <v>24</v>
      </c>
      <c r="J1628">
        <v>91</v>
      </c>
      <c r="K1628" t="s">
        <v>12</v>
      </c>
      <c r="L1628">
        <v>105</v>
      </c>
      <c r="M1628">
        <f>IF(D1628=I1628,VLOOKUP(D1628,a_win_totals_lookup,MATCH(K1628,a_wins_total_lookup_header,0)+1,0),VLOOKUP(D1628,a_win_totals_lookup,MATCH(I1628,a_wins_total_lookup_header,0)+1,0))</f>
        <v>0.5374298453437496</v>
      </c>
      <c r="N1628">
        <f t="shared" ca="1" si="25"/>
        <v>1</v>
      </c>
    </row>
    <row r="1629" spans="1:14" x14ac:dyDescent="0.25">
      <c r="A1629">
        <v>400579109</v>
      </c>
      <c r="B1629">
        <v>2015</v>
      </c>
      <c r="C1629" s="1">
        <v>42056</v>
      </c>
      <c r="D1629" t="s">
        <v>12</v>
      </c>
      <c r="E1629">
        <v>1</v>
      </c>
      <c r="F1629">
        <v>28</v>
      </c>
      <c r="G1629">
        <v>27</v>
      </c>
      <c r="H1629">
        <v>0</v>
      </c>
      <c r="I1629" t="s">
        <v>24</v>
      </c>
      <c r="J1629">
        <v>91</v>
      </c>
      <c r="K1629" t="s">
        <v>12</v>
      </c>
      <c r="L1629">
        <v>105</v>
      </c>
      <c r="M1629">
        <f>IF(D1629=I1629,VLOOKUP(D1629,a_win_totals_lookup,MATCH(K1629,a_wins_total_lookup_header,0)+1,0),VLOOKUP(D1629,a_win_totals_lookup,MATCH(I1629,a_wins_total_lookup_header,0)+1,0))</f>
        <v>0.4625701546562504</v>
      </c>
      <c r="N1629">
        <f t="shared" ca="1" si="25"/>
        <v>0</v>
      </c>
    </row>
    <row r="1630" spans="1:14" x14ac:dyDescent="0.25">
      <c r="A1630">
        <v>400579110</v>
      </c>
      <c r="B1630">
        <v>2015</v>
      </c>
      <c r="C1630" s="1">
        <v>42056</v>
      </c>
      <c r="D1630" t="s">
        <v>30</v>
      </c>
      <c r="E1630">
        <v>1</v>
      </c>
      <c r="F1630">
        <v>35</v>
      </c>
      <c r="G1630">
        <v>21</v>
      </c>
      <c r="H1630">
        <v>1</v>
      </c>
      <c r="I1630" t="s">
        <v>30</v>
      </c>
      <c r="J1630">
        <v>112</v>
      </c>
      <c r="K1630" t="s">
        <v>35</v>
      </c>
      <c r="L1630">
        <v>107</v>
      </c>
      <c r="M1630">
        <f>IF(D1630=I1630,VLOOKUP(D1630,a_win_totals_lookup,MATCH(K1630,a_wins_total_lookup_header,0)+1,0),VLOOKUP(D1630,a_win_totals_lookup,MATCH(I1630,a_wins_total_lookup_header,0)+1,0))</f>
        <v>0.60265274759969689</v>
      </c>
      <c r="N1630">
        <f t="shared" ca="1" si="25"/>
        <v>1</v>
      </c>
    </row>
    <row r="1631" spans="1:14" x14ac:dyDescent="0.25">
      <c r="A1631">
        <v>400579110</v>
      </c>
      <c r="B1631">
        <v>2015</v>
      </c>
      <c r="C1631" s="1">
        <v>42056</v>
      </c>
      <c r="D1631" t="s">
        <v>35</v>
      </c>
      <c r="E1631">
        <v>0</v>
      </c>
      <c r="F1631">
        <v>29</v>
      </c>
      <c r="G1631">
        <v>27</v>
      </c>
      <c r="H1631">
        <v>0</v>
      </c>
      <c r="I1631" t="s">
        <v>30</v>
      </c>
      <c r="J1631">
        <v>112</v>
      </c>
      <c r="K1631" t="s">
        <v>35</v>
      </c>
      <c r="L1631">
        <v>107</v>
      </c>
      <c r="M1631">
        <f>IF(D1631=I1631,VLOOKUP(D1631,a_win_totals_lookup,MATCH(K1631,a_wins_total_lookup_header,0)+1,0),VLOOKUP(D1631,a_win_totals_lookup,MATCH(I1631,a_wins_total_lookup_header,0)+1,0))</f>
        <v>0.39734725240030316</v>
      </c>
      <c r="N1631">
        <f t="shared" ca="1" si="25"/>
        <v>0</v>
      </c>
    </row>
    <row r="1632" spans="1:14" x14ac:dyDescent="0.25">
      <c r="A1632">
        <v>400579111</v>
      </c>
      <c r="B1632">
        <v>2015</v>
      </c>
      <c r="C1632" s="1">
        <v>42056</v>
      </c>
      <c r="D1632" t="s">
        <v>16</v>
      </c>
      <c r="E1632">
        <v>1</v>
      </c>
      <c r="F1632">
        <v>37</v>
      </c>
      <c r="G1632">
        <v>18</v>
      </c>
      <c r="H1632">
        <v>1</v>
      </c>
      <c r="I1632" t="s">
        <v>16</v>
      </c>
      <c r="J1632">
        <v>98</v>
      </c>
      <c r="K1632" t="s">
        <v>27</v>
      </c>
      <c r="L1632">
        <v>76</v>
      </c>
      <c r="M1632">
        <f>IF(D1632=I1632,VLOOKUP(D1632,a_win_totals_lookup,MATCH(K1632,a_wins_total_lookup_header,0)+1,0),VLOOKUP(D1632,a_win_totals_lookup,MATCH(I1632,a_wins_total_lookup_header,0)+1,0))</f>
        <v>0.46570795027321976</v>
      </c>
      <c r="N1632">
        <f t="shared" ca="1" si="25"/>
        <v>0</v>
      </c>
    </row>
    <row r="1633" spans="1:14" x14ac:dyDescent="0.25">
      <c r="A1633">
        <v>400579111</v>
      </c>
      <c r="B1633">
        <v>2015</v>
      </c>
      <c r="C1633" s="1">
        <v>42056</v>
      </c>
      <c r="D1633" t="s">
        <v>27</v>
      </c>
      <c r="E1633">
        <v>0</v>
      </c>
      <c r="F1633">
        <v>37</v>
      </c>
      <c r="G1633">
        <v>18</v>
      </c>
      <c r="H1633">
        <v>0</v>
      </c>
      <c r="I1633" t="s">
        <v>16</v>
      </c>
      <c r="J1633">
        <v>98</v>
      </c>
      <c r="K1633" t="s">
        <v>27</v>
      </c>
      <c r="L1633">
        <v>76</v>
      </c>
      <c r="M1633">
        <f>IF(D1633=I1633,VLOOKUP(D1633,a_win_totals_lookup,MATCH(K1633,a_wins_total_lookup_header,0)+1,0),VLOOKUP(D1633,a_win_totals_lookup,MATCH(I1633,a_wins_total_lookup_header,0)+1,0))</f>
        <v>0.53429204972678024</v>
      </c>
      <c r="N1633">
        <f t="shared" ca="1" si="25"/>
        <v>1</v>
      </c>
    </row>
    <row r="1634" spans="1:14" x14ac:dyDescent="0.25">
      <c r="A1634">
        <v>400579112</v>
      </c>
      <c r="B1634">
        <v>2015</v>
      </c>
      <c r="C1634" s="1">
        <v>42056</v>
      </c>
      <c r="D1634" t="s">
        <v>41</v>
      </c>
      <c r="E1634">
        <v>1</v>
      </c>
      <c r="F1634">
        <v>37</v>
      </c>
      <c r="G1634">
        <v>19</v>
      </c>
      <c r="H1634">
        <v>1</v>
      </c>
      <c r="I1634" t="s">
        <v>41</v>
      </c>
      <c r="J1634">
        <v>126</v>
      </c>
      <c r="K1634" t="s">
        <v>37</v>
      </c>
      <c r="L1634">
        <v>99</v>
      </c>
      <c r="M1634">
        <f>IF(D1634=I1634,VLOOKUP(D1634,a_win_totals_lookup,MATCH(K1634,a_wins_total_lookup_header,0)+1,0),VLOOKUP(D1634,a_win_totals_lookup,MATCH(I1634,a_wins_total_lookup_header,0)+1,0))</f>
        <v>0.71629315358675483</v>
      </c>
      <c r="N1634">
        <f t="shared" ca="1" si="25"/>
        <v>0</v>
      </c>
    </row>
    <row r="1635" spans="1:14" x14ac:dyDescent="0.25">
      <c r="A1635">
        <v>400579112</v>
      </c>
      <c r="B1635">
        <v>2015</v>
      </c>
      <c r="C1635" s="1">
        <v>42056</v>
      </c>
      <c r="D1635" t="s">
        <v>37</v>
      </c>
      <c r="E1635">
        <v>0</v>
      </c>
      <c r="F1635">
        <v>19</v>
      </c>
      <c r="G1635">
        <v>35</v>
      </c>
      <c r="H1635">
        <v>0</v>
      </c>
      <c r="I1635" t="s">
        <v>41</v>
      </c>
      <c r="J1635">
        <v>126</v>
      </c>
      <c r="K1635" t="s">
        <v>37</v>
      </c>
      <c r="L1635">
        <v>99</v>
      </c>
      <c r="M1635">
        <f>IF(D1635=I1635,VLOOKUP(D1635,a_win_totals_lookup,MATCH(K1635,a_wins_total_lookup_header,0)+1,0),VLOOKUP(D1635,a_win_totals_lookup,MATCH(I1635,a_wins_total_lookup_header,0)+1,0))</f>
        <v>0.28370684641324517</v>
      </c>
      <c r="N1635">
        <f t="shared" ca="1" si="25"/>
        <v>1</v>
      </c>
    </row>
    <row r="1636" spans="1:14" x14ac:dyDescent="0.25">
      <c r="A1636">
        <v>400579113</v>
      </c>
      <c r="B1636">
        <v>2015</v>
      </c>
      <c r="C1636" s="1">
        <v>42057</v>
      </c>
      <c r="D1636" t="s">
        <v>40</v>
      </c>
      <c r="E1636">
        <v>1</v>
      </c>
      <c r="F1636">
        <v>35</v>
      </c>
      <c r="G1636">
        <v>22</v>
      </c>
      <c r="H1636">
        <v>0</v>
      </c>
      <c r="I1636" t="s">
        <v>31</v>
      </c>
      <c r="J1636">
        <v>83</v>
      </c>
      <c r="K1636" t="s">
        <v>40</v>
      </c>
      <c r="L1636">
        <v>101</v>
      </c>
      <c r="M1636">
        <f>IF(D1636=I1636,VLOOKUP(D1636,a_win_totals_lookup,MATCH(K1636,a_wins_total_lookup_header,0)+1,0),VLOOKUP(D1636,a_win_totals_lookup,MATCH(I1636,a_wins_total_lookup_header,0)+1,0))</f>
        <v>0.64912982573812106</v>
      </c>
      <c r="N1636">
        <f t="shared" ca="1" si="25"/>
        <v>1</v>
      </c>
    </row>
    <row r="1637" spans="1:14" x14ac:dyDescent="0.25">
      <c r="A1637">
        <v>400579113</v>
      </c>
      <c r="B1637">
        <v>2015</v>
      </c>
      <c r="C1637" s="1">
        <v>42057</v>
      </c>
      <c r="D1637" t="s">
        <v>31</v>
      </c>
      <c r="E1637">
        <v>0</v>
      </c>
      <c r="F1637">
        <v>10</v>
      </c>
      <c r="G1637">
        <v>45</v>
      </c>
      <c r="H1637">
        <v>1</v>
      </c>
      <c r="I1637" t="s">
        <v>31</v>
      </c>
      <c r="J1637">
        <v>83</v>
      </c>
      <c r="K1637" t="s">
        <v>40</v>
      </c>
      <c r="L1637">
        <v>101</v>
      </c>
      <c r="M1637">
        <f>IF(D1637=I1637,VLOOKUP(D1637,a_win_totals_lookup,MATCH(K1637,a_wins_total_lookup_header,0)+1,0),VLOOKUP(D1637,a_win_totals_lookup,MATCH(I1637,a_wins_total_lookup_header,0)+1,0))</f>
        <v>0.35087017426187905</v>
      </c>
      <c r="N1637">
        <f t="shared" ca="1" si="25"/>
        <v>0</v>
      </c>
    </row>
    <row r="1638" spans="1:14" x14ac:dyDescent="0.25">
      <c r="A1638">
        <v>400579114</v>
      </c>
      <c r="B1638">
        <v>2015</v>
      </c>
      <c r="C1638" s="1">
        <v>42057</v>
      </c>
      <c r="D1638" t="s">
        <v>26</v>
      </c>
      <c r="E1638">
        <v>1</v>
      </c>
      <c r="F1638">
        <v>44</v>
      </c>
      <c r="G1638">
        <v>12</v>
      </c>
      <c r="H1638">
        <v>0</v>
      </c>
      <c r="I1638" t="s">
        <v>19</v>
      </c>
      <c r="J1638">
        <v>86</v>
      </c>
      <c r="K1638" t="s">
        <v>26</v>
      </c>
      <c r="L1638">
        <v>97</v>
      </c>
      <c r="M1638">
        <f>IF(D1638=I1638,VLOOKUP(D1638,a_win_totals_lookup,MATCH(K1638,a_wins_total_lookup_header,0)+1,0),VLOOKUP(D1638,a_win_totals_lookup,MATCH(I1638,a_wins_total_lookup_header,0)+1,0))</f>
        <v>0.68061965309208583</v>
      </c>
      <c r="N1638">
        <f t="shared" ca="1" si="25"/>
        <v>1</v>
      </c>
    </row>
    <row r="1639" spans="1:14" x14ac:dyDescent="0.25">
      <c r="A1639">
        <v>400579114</v>
      </c>
      <c r="B1639">
        <v>2015</v>
      </c>
      <c r="C1639" s="1">
        <v>42057</v>
      </c>
      <c r="D1639" t="s">
        <v>19</v>
      </c>
      <c r="E1639">
        <v>0</v>
      </c>
      <c r="F1639">
        <v>31</v>
      </c>
      <c r="G1639">
        <v>24</v>
      </c>
      <c r="H1639">
        <v>1</v>
      </c>
      <c r="I1639" t="s">
        <v>19</v>
      </c>
      <c r="J1639">
        <v>86</v>
      </c>
      <c r="K1639" t="s">
        <v>26</v>
      </c>
      <c r="L1639">
        <v>97</v>
      </c>
      <c r="M1639">
        <f>IF(D1639=I1639,VLOOKUP(D1639,a_win_totals_lookup,MATCH(K1639,a_wins_total_lookup_header,0)+1,0),VLOOKUP(D1639,a_win_totals_lookup,MATCH(I1639,a_wins_total_lookup_header,0)+1,0))</f>
        <v>0.31938034690791411</v>
      </c>
      <c r="N1639">
        <f t="shared" ca="1" si="25"/>
        <v>0</v>
      </c>
    </row>
    <row r="1640" spans="1:14" x14ac:dyDescent="0.25">
      <c r="A1640">
        <v>400579115</v>
      </c>
      <c r="B1640">
        <v>2015</v>
      </c>
      <c r="C1640" s="1">
        <v>42057</v>
      </c>
      <c r="D1640" t="s">
        <v>33</v>
      </c>
      <c r="E1640">
        <v>1</v>
      </c>
      <c r="F1640">
        <v>23</v>
      </c>
      <c r="G1640">
        <v>33</v>
      </c>
      <c r="H1640">
        <v>1</v>
      </c>
      <c r="I1640" t="s">
        <v>33</v>
      </c>
      <c r="J1640">
        <v>106</v>
      </c>
      <c r="K1640" t="s">
        <v>25</v>
      </c>
      <c r="L1640">
        <v>89</v>
      </c>
      <c r="M1640">
        <f>IF(D1640=I1640,VLOOKUP(D1640,a_win_totals_lookup,MATCH(K1640,a_wins_total_lookup_header,0)+1,0),VLOOKUP(D1640,a_win_totals_lookup,MATCH(I1640,a_wins_total_lookup_header,0)+1,0))</f>
        <v>0.37466773589115104</v>
      </c>
      <c r="N1640">
        <f t="shared" ca="1" si="25"/>
        <v>0</v>
      </c>
    </row>
    <row r="1641" spans="1:14" x14ac:dyDescent="0.25">
      <c r="A1641">
        <v>400579115</v>
      </c>
      <c r="B1641">
        <v>2015</v>
      </c>
      <c r="C1641" s="1">
        <v>42057</v>
      </c>
      <c r="D1641" t="s">
        <v>25</v>
      </c>
      <c r="E1641">
        <v>0</v>
      </c>
      <c r="F1641">
        <v>33</v>
      </c>
      <c r="G1641">
        <v>23</v>
      </c>
      <c r="H1641">
        <v>0</v>
      </c>
      <c r="I1641" t="s">
        <v>33</v>
      </c>
      <c r="J1641">
        <v>106</v>
      </c>
      <c r="K1641" t="s">
        <v>25</v>
      </c>
      <c r="L1641">
        <v>89</v>
      </c>
      <c r="M1641">
        <f>IF(D1641=I1641,VLOOKUP(D1641,a_win_totals_lookup,MATCH(K1641,a_wins_total_lookup_header,0)+1,0),VLOOKUP(D1641,a_win_totals_lookup,MATCH(I1641,a_wins_total_lookup_header,0)+1,0))</f>
        <v>0.6253322641088489</v>
      </c>
      <c r="N1641">
        <f t="shared" ca="1" si="25"/>
        <v>1</v>
      </c>
    </row>
    <row r="1642" spans="1:14" x14ac:dyDescent="0.25">
      <c r="A1642">
        <v>400579116</v>
      </c>
      <c r="B1642">
        <v>2015</v>
      </c>
      <c r="C1642" s="1">
        <v>42057</v>
      </c>
      <c r="D1642" t="s">
        <v>36</v>
      </c>
      <c r="E1642">
        <v>0</v>
      </c>
      <c r="F1642">
        <v>43</v>
      </c>
      <c r="G1642">
        <v>10</v>
      </c>
      <c r="H1642">
        <v>0</v>
      </c>
      <c r="I1642" t="s">
        <v>20</v>
      </c>
      <c r="J1642">
        <v>104</v>
      </c>
      <c r="K1642" t="s">
        <v>36</v>
      </c>
      <c r="L1642">
        <v>98</v>
      </c>
      <c r="M1642">
        <f>IF(D1642=I1642,VLOOKUP(D1642,a_win_totals_lookup,MATCH(K1642,a_wins_total_lookup_header,0)+1,0),VLOOKUP(D1642,a_win_totals_lookup,MATCH(I1642,a_wins_total_lookup_header,0)+1,0))</f>
        <v>0.67767313462764645</v>
      </c>
      <c r="N1642">
        <f t="shared" ca="1" si="25"/>
        <v>0</v>
      </c>
    </row>
    <row r="1643" spans="1:14" x14ac:dyDescent="0.25">
      <c r="A1643">
        <v>400579116</v>
      </c>
      <c r="B1643">
        <v>2015</v>
      </c>
      <c r="C1643" s="1">
        <v>42057</v>
      </c>
      <c r="D1643" t="s">
        <v>20</v>
      </c>
      <c r="E1643">
        <v>1</v>
      </c>
      <c r="F1643">
        <v>23</v>
      </c>
      <c r="G1643">
        <v>33</v>
      </c>
      <c r="H1643">
        <v>1</v>
      </c>
      <c r="I1643" t="s">
        <v>20</v>
      </c>
      <c r="J1643">
        <v>104</v>
      </c>
      <c r="K1643" t="s">
        <v>36</v>
      </c>
      <c r="L1643">
        <v>98</v>
      </c>
      <c r="M1643">
        <f>IF(D1643=I1643,VLOOKUP(D1643,a_win_totals_lookup,MATCH(K1643,a_wins_total_lookup_header,0)+1,0),VLOOKUP(D1643,a_win_totals_lookup,MATCH(I1643,a_wins_total_lookup_header,0)+1,0))</f>
        <v>0.32232686537235361</v>
      </c>
      <c r="N1643">
        <f t="shared" ca="1" si="25"/>
        <v>0</v>
      </c>
    </row>
    <row r="1644" spans="1:14" x14ac:dyDescent="0.25">
      <c r="A1644">
        <v>400579117</v>
      </c>
      <c r="B1644">
        <v>2015</v>
      </c>
      <c r="C1644" s="1">
        <v>42057</v>
      </c>
      <c r="D1644" t="s">
        <v>13</v>
      </c>
      <c r="E1644">
        <v>1</v>
      </c>
      <c r="F1644">
        <v>19</v>
      </c>
      <c r="G1644">
        <v>39</v>
      </c>
      <c r="H1644">
        <v>1</v>
      </c>
      <c r="I1644" t="s">
        <v>13</v>
      </c>
      <c r="J1644">
        <v>103</v>
      </c>
      <c r="K1644" t="s">
        <v>21</v>
      </c>
      <c r="L1644">
        <v>98</v>
      </c>
      <c r="M1644">
        <f>IF(D1644=I1644,VLOOKUP(D1644,a_win_totals_lookup,MATCH(K1644,a_wins_total_lookup_header,0)+1,0),VLOOKUP(D1644,a_win_totals_lookup,MATCH(I1644,a_wins_total_lookup_header,0)+1,0))</f>
        <v>0.59478122871339911</v>
      </c>
      <c r="N1644">
        <f t="shared" ca="1" si="25"/>
        <v>1</v>
      </c>
    </row>
    <row r="1645" spans="1:14" x14ac:dyDescent="0.25">
      <c r="A1645">
        <v>400579117</v>
      </c>
      <c r="B1645">
        <v>2015</v>
      </c>
      <c r="C1645" s="1">
        <v>42057</v>
      </c>
      <c r="D1645" t="s">
        <v>21</v>
      </c>
      <c r="E1645">
        <v>0</v>
      </c>
      <c r="F1645">
        <v>12</v>
      </c>
      <c r="G1645">
        <v>43</v>
      </c>
      <c r="H1645">
        <v>0</v>
      </c>
      <c r="I1645" t="s">
        <v>13</v>
      </c>
      <c r="J1645">
        <v>103</v>
      </c>
      <c r="K1645" t="s">
        <v>21</v>
      </c>
      <c r="L1645">
        <v>98</v>
      </c>
      <c r="M1645">
        <f>IF(D1645=I1645,VLOOKUP(D1645,a_win_totals_lookup,MATCH(K1645,a_wins_total_lookup_header,0)+1,0),VLOOKUP(D1645,a_win_totals_lookup,MATCH(I1645,a_wins_total_lookup_header,0)+1,0))</f>
        <v>0.40521877128660083</v>
      </c>
      <c r="N1645">
        <f t="shared" ca="1" si="25"/>
        <v>0</v>
      </c>
    </row>
    <row r="1646" spans="1:14" x14ac:dyDescent="0.25">
      <c r="A1646">
        <v>400579118</v>
      </c>
      <c r="B1646">
        <v>2015</v>
      </c>
      <c r="C1646" s="1">
        <v>42057</v>
      </c>
      <c r="D1646" t="s">
        <v>32</v>
      </c>
      <c r="E1646">
        <v>0</v>
      </c>
      <c r="F1646">
        <v>20</v>
      </c>
      <c r="G1646">
        <v>35</v>
      </c>
      <c r="H1646">
        <v>0</v>
      </c>
      <c r="I1646" t="s">
        <v>38</v>
      </c>
      <c r="J1646">
        <v>119</v>
      </c>
      <c r="K1646" t="s">
        <v>32</v>
      </c>
      <c r="L1646">
        <v>94</v>
      </c>
      <c r="M1646">
        <f>IF(D1646=I1646,VLOOKUP(D1646,a_win_totals_lookup,MATCH(K1646,a_wins_total_lookup_header,0)+1,0),VLOOKUP(D1646,a_win_totals_lookup,MATCH(I1646,a_wins_total_lookup_header,0)+1,0))</f>
        <v>0.37147810462585762</v>
      </c>
      <c r="N1646">
        <f t="shared" ca="1" si="25"/>
        <v>1</v>
      </c>
    </row>
    <row r="1647" spans="1:14" x14ac:dyDescent="0.25">
      <c r="A1647">
        <v>400579118</v>
      </c>
      <c r="B1647">
        <v>2015</v>
      </c>
      <c r="C1647" s="1">
        <v>42057</v>
      </c>
      <c r="D1647" t="s">
        <v>38</v>
      </c>
      <c r="E1647">
        <v>1</v>
      </c>
      <c r="F1647">
        <v>31</v>
      </c>
      <c r="G1647">
        <v>25</v>
      </c>
      <c r="H1647">
        <v>1</v>
      </c>
      <c r="I1647" t="s">
        <v>38</v>
      </c>
      <c r="J1647">
        <v>119</v>
      </c>
      <c r="K1647" t="s">
        <v>32</v>
      </c>
      <c r="L1647">
        <v>94</v>
      </c>
      <c r="M1647">
        <f>IF(D1647=I1647,VLOOKUP(D1647,a_win_totals_lookup,MATCH(K1647,a_wins_total_lookup_header,0)+1,0),VLOOKUP(D1647,a_win_totals_lookup,MATCH(I1647,a_wins_total_lookup_header,0)+1,0))</f>
        <v>0.62852189537414238</v>
      </c>
      <c r="N1647">
        <f t="shared" ca="1" si="25"/>
        <v>1</v>
      </c>
    </row>
    <row r="1648" spans="1:14" x14ac:dyDescent="0.25">
      <c r="A1648">
        <v>400579119</v>
      </c>
      <c r="B1648">
        <v>2015</v>
      </c>
      <c r="C1648" s="1">
        <v>42057</v>
      </c>
      <c r="D1648" t="s">
        <v>18</v>
      </c>
      <c r="E1648">
        <v>0</v>
      </c>
      <c r="F1648">
        <v>22</v>
      </c>
      <c r="G1648">
        <v>32</v>
      </c>
      <c r="H1648">
        <v>0</v>
      </c>
      <c r="I1648" t="s">
        <v>14</v>
      </c>
      <c r="J1648">
        <v>92</v>
      </c>
      <c r="K1648" t="s">
        <v>18</v>
      </c>
      <c r="L1648">
        <v>81</v>
      </c>
      <c r="M1648">
        <f>IF(D1648=I1648,VLOOKUP(D1648,a_win_totals_lookup,MATCH(K1648,a_wins_total_lookup_header,0)+1,0),VLOOKUP(D1648,a_win_totals_lookup,MATCH(I1648,a_wins_total_lookup_header,0)+1,0))</f>
        <v>0.4452024002195884</v>
      </c>
      <c r="N1648">
        <f t="shared" ca="1" si="25"/>
        <v>0</v>
      </c>
    </row>
    <row r="1649" spans="1:14" x14ac:dyDescent="0.25">
      <c r="A1649">
        <v>400579119</v>
      </c>
      <c r="B1649">
        <v>2015</v>
      </c>
      <c r="C1649" s="1">
        <v>42057</v>
      </c>
      <c r="D1649" t="s">
        <v>14</v>
      </c>
      <c r="E1649">
        <v>1</v>
      </c>
      <c r="F1649">
        <v>38</v>
      </c>
      <c r="G1649">
        <v>20</v>
      </c>
      <c r="H1649">
        <v>1</v>
      </c>
      <c r="I1649" t="s">
        <v>14</v>
      </c>
      <c r="J1649">
        <v>92</v>
      </c>
      <c r="K1649" t="s">
        <v>18</v>
      </c>
      <c r="L1649">
        <v>81</v>
      </c>
      <c r="M1649">
        <f>IF(D1649=I1649,VLOOKUP(D1649,a_win_totals_lookup,MATCH(K1649,a_wins_total_lookup_header,0)+1,0),VLOOKUP(D1649,a_win_totals_lookup,MATCH(I1649,a_wins_total_lookup_header,0)+1,0))</f>
        <v>0.55479759978041154</v>
      </c>
      <c r="N1649">
        <f t="shared" ca="1" si="25"/>
        <v>1</v>
      </c>
    </row>
    <row r="1650" spans="1:14" x14ac:dyDescent="0.25">
      <c r="A1650">
        <v>400579120</v>
      </c>
      <c r="B1650">
        <v>2015</v>
      </c>
      <c r="C1650" s="1">
        <v>42057</v>
      </c>
      <c r="D1650" t="s">
        <v>28</v>
      </c>
      <c r="E1650">
        <v>1</v>
      </c>
      <c r="F1650">
        <v>40</v>
      </c>
      <c r="G1650">
        <v>14</v>
      </c>
      <c r="H1650">
        <v>0</v>
      </c>
      <c r="I1650" t="s">
        <v>39</v>
      </c>
      <c r="J1650">
        <v>92</v>
      </c>
      <c r="K1650" t="s">
        <v>28</v>
      </c>
      <c r="L1650">
        <v>98</v>
      </c>
      <c r="M1650">
        <f>IF(D1650=I1650,VLOOKUP(D1650,a_win_totals_lookup,MATCH(K1650,a_wins_total_lookup_header,0)+1,0),VLOOKUP(D1650,a_win_totals_lookup,MATCH(I1650,a_wins_total_lookup_header,0)+1,0))</f>
        <v>0.50885835943866475</v>
      </c>
      <c r="N1650">
        <f t="shared" ca="1" si="25"/>
        <v>1</v>
      </c>
    </row>
    <row r="1651" spans="1:14" x14ac:dyDescent="0.25">
      <c r="A1651">
        <v>400579120</v>
      </c>
      <c r="B1651">
        <v>2015</v>
      </c>
      <c r="C1651" s="1">
        <v>42057</v>
      </c>
      <c r="D1651" t="s">
        <v>39</v>
      </c>
      <c r="E1651">
        <v>0</v>
      </c>
      <c r="F1651">
        <v>36</v>
      </c>
      <c r="G1651">
        <v>19</v>
      </c>
      <c r="H1651">
        <v>1</v>
      </c>
      <c r="I1651" t="s">
        <v>39</v>
      </c>
      <c r="J1651">
        <v>92</v>
      </c>
      <c r="K1651" t="s">
        <v>28</v>
      </c>
      <c r="L1651">
        <v>98</v>
      </c>
      <c r="M1651">
        <f>IF(D1651=I1651,VLOOKUP(D1651,a_win_totals_lookup,MATCH(K1651,a_wins_total_lookup_header,0)+1,0),VLOOKUP(D1651,a_win_totals_lookup,MATCH(I1651,a_wins_total_lookup_header,0)+1,0))</f>
        <v>0.49114164056133519</v>
      </c>
      <c r="N1651">
        <f t="shared" ca="1" si="25"/>
        <v>1</v>
      </c>
    </row>
    <row r="1652" spans="1:14" x14ac:dyDescent="0.25">
      <c r="A1652">
        <v>400579121</v>
      </c>
      <c r="B1652">
        <v>2015</v>
      </c>
      <c r="C1652" s="1">
        <v>42057</v>
      </c>
      <c r="D1652" t="s">
        <v>22</v>
      </c>
      <c r="E1652">
        <v>0</v>
      </c>
      <c r="F1652">
        <v>20</v>
      </c>
      <c r="G1652">
        <v>33</v>
      </c>
      <c r="H1652">
        <v>0</v>
      </c>
      <c r="I1652" t="s">
        <v>17</v>
      </c>
      <c r="J1652">
        <v>118</v>
      </c>
      <c r="K1652" t="s">
        <v>22</v>
      </c>
      <c r="L1652">
        <v>111</v>
      </c>
      <c r="M1652">
        <f>IF(D1652=I1652,VLOOKUP(D1652,a_win_totals_lookup,MATCH(K1652,a_wins_total_lookup_header,0)+1,0),VLOOKUP(D1652,a_win_totals_lookup,MATCH(I1652,a_wins_total_lookup_header,0)+1,0))</f>
        <v>0.40973570236484297</v>
      </c>
      <c r="N1652">
        <f t="shared" ca="1" si="25"/>
        <v>0</v>
      </c>
    </row>
    <row r="1653" spans="1:14" x14ac:dyDescent="0.25">
      <c r="A1653">
        <v>400579121</v>
      </c>
      <c r="B1653">
        <v>2015</v>
      </c>
      <c r="C1653" s="1">
        <v>42057</v>
      </c>
      <c r="D1653" t="s">
        <v>17</v>
      </c>
      <c r="E1653">
        <v>1</v>
      </c>
      <c r="F1653">
        <v>14</v>
      </c>
      <c r="G1653">
        <v>41</v>
      </c>
      <c r="H1653">
        <v>1</v>
      </c>
      <c r="I1653" t="s">
        <v>17</v>
      </c>
      <c r="J1653">
        <v>118</v>
      </c>
      <c r="K1653" t="s">
        <v>22</v>
      </c>
      <c r="L1653">
        <v>111</v>
      </c>
      <c r="M1653">
        <f>IF(D1653=I1653,VLOOKUP(D1653,a_win_totals_lookup,MATCH(K1653,a_wins_total_lookup_header,0)+1,0),VLOOKUP(D1653,a_win_totals_lookup,MATCH(I1653,a_wins_total_lookup_header,0)+1,0))</f>
        <v>0.59026429763515698</v>
      </c>
      <c r="N1653">
        <f t="shared" ca="1" si="25"/>
        <v>1</v>
      </c>
    </row>
    <row r="1654" spans="1:14" x14ac:dyDescent="0.25">
      <c r="A1654">
        <v>400579122</v>
      </c>
      <c r="B1654">
        <v>2015</v>
      </c>
      <c r="C1654" s="1">
        <v>42058</v>
      </c>
      <c r="D1654" t="s">
        <v>24</v>
      </c>
      <c r="E1654">
        <v>1</v>
      </c>
      <c r="F1654">
        <v>24</v>
      </c>
      <c r="G1654">
        <v>31</v>
      </c>
      <c r="H1654">
        <v>1</v>
      </c>
      <c r="I1654" t="s">
        <v>24</v>
      </c>
      <c r="J1654">
        <v>119</v>
      </c>
      <c r="K1654" t="s">
        <v>21</v>
      </c>
      <c r="L1654">
        <v>108</v>
      </c>
      <c r="M1654">
        <f>IF(D1654=I1654,VLOOKUP(D1654,a_win_totals_lookup,MATCH(K1654,a_wins_total_lookup_header,0)+1,0),VLOOKUP(D1654,a_win_totals_lookup,MATCH(I1654,a_wins_total_lookup_header,0)+1,0))</f>
        <v>0.73880483706315025</v>
      </c>
      <c r="N1654">
        <f t="shared" ca="1" si="25"/>
        <v>1</v>
      </c>
    </row>
    <row r="1655" spans="1:14" x14ac:dyDescent="0.25">
      <c r="A1655">
        <v>400579122</v>
      </c>
      <c r="B1655">
        <v>2015</v>
      </c>
      <c r="C1655" s="1">
        <v>42058</v>
      </c>
      <c r="D1655" t="s">
        <v>21</v>
      </c>
      <c r="E1655">
        <v>0</v>
      </c>
      <c r="F1655">
        <v>12</v>
      </c>
      <c r="G1655">
        <v>44</v>
      </c>
      <c r="H1655">
        <v>0</v>
      </c>
      <c r="I1655" t="s">
        <v>24</v>
      </c>
      <c r="J1655">
        <v>119</v>
      </c>
      <c r="K1655" t="s">
        <v>21</v>
      </c>
      <c r="L1655">
        <v>108</v>
      </c>
      <c r="M1655">
        <f>IF(D1655=I1655,VLOOKUP(D1655,a_win_totals_lookup,MATCH(K1655,a_wins_total_lookup_header,0)+1,0),VLOOKUP(D1655,a_win_totals_lookup,MATCH(I1655,a_wins_total_lookup_header,0)+1,0))</f>
        <v>0.26119516293684975</v>
      </c>
      <c r="N1655">
        <f t="shared" ca="1" si="25"/>
        <v>0</v>
      </c>
    </row>
    <row r="1656" spans="1:14" x14ac:dyDescent="0.25">
      <c r="A1656">
        <v>400579123</v>
      </c>
      <c r="B1656">
        <v>2015</v>
      </c>
      <c r="C1656" s="1">
        <v>42058</v>
      </c>
      <c r="D1656" t="s">
        <v>30</v>
      </c>
      <c r="E1656">
        <v>1</v>
      </c>
      <c r="F1656">
        <v>36</v>
      </c>
      <c r="G1656">
        <v>21</v>
      </c>
      <c r="H1656">
        <v>1</v>
      </c>
      <c r="I1656" t="s">
        <v>30</v>
      </c>
      <c r="J1656">
        <v>87</v>
      </c>
      <c r="K1656" t="s">
        <v>19</v>
      </c>
      <c r="L1656">
        <v>71</v>
      </c>
      <c r="M1656">
        <f>IF(D1656=I1656,VLOOKUP(D1656,a_win_totals_lookup,MATCH(K1656,a_wins_total_lookup_header,0)+1,0),VLOOKUP(D1656,a_win_totals_lookup,MATCH(I1656,a_wins_total_lookup_header,0)+1,0))</f>
        <v>0.76371419200876312</v>
      </c>
      <c r="N1656">
        <f t="shared" ca="1" si="25"/>
        <v>1</v>
      </c>
    </row>
    <row r="1657" spans="1:14" x14ac:dyDescent="0.25">
      <c r="A1657">
        <v>400579123</v>
      </c>
      <c r="B1657">
        <v>2015</v>
      </c>
      <c r="C1657" s="1">
        <v>42058</v>
      </c>
      <c r="D1657" t="s">
        <v>19</v>
      </c>
      <c r="E1657">
        <v>0</v>
      </c>
      <c r="F1657">
        <v>31</v>
      </c>
      <c r="G1657">
        <v>25</v>
      </c>
      <c r="H1657">
        <v>0</v>
      </c>
      <c r="I1657" t="s">
        <v>30</v>
      </c>
      <c r="J1657">
        <v>87</v>
      </c>
      <c r="K1657" t="s">
        <v>19</v>
      </c>
      <c r="L1657">
        <v>71</v>
      </c>
      <c r="M1657">
        <f>IF(D1657=I1657,VLOOKUP(D1657,a_win_totals_lookup,MATCH(K1657,a_wins_total_lookup_header,0)+1,0),VLOOKUP(D1657,a_win_totals_lookup,MATCH(I1657,a_wins_total_lookup_header,0)+1,0))</f>
        <v>0.23628580799123672</v>
      </c>
      <c r="N1657">
        <f t="shared" ca="1" si="25"/>
        <v>0</v>
      </c>
    </row>
    <row r="1658" spans="1:14" x14ac:dyDescent="0.25">
      <c r="A1658">
        <v>400579124</v>
      </c>
      <c r="B1658">
        <v>2015</v>
      </c>
      <c r="C1658" s="1">
        <v>42058</v>
      </c>
      <c r="D1658" t="s">
        <v>16</v>
      </c>
      <c r="E1658">
        <v>1</v>
      </c>
      <c r="F1658">
        <v>38</v>
      </c>
      <c r="G1658">
        <v>18</v>
      </c>
      <c r="H1658">
        <v>1</v>
      </c>
      <c r="I1658" t="s">
        <v>16</v>
      </c>
      <c r="J1658">
        <v>113</v>
      </c>
      <c r="K1658" t="s">
        <v>29</v>
      </c>
      <c r="L1658">
        <v>102</v>
      </c>
      <c r="M1658">
        <f>IF(D1658=I1658,VLOOKUP(D1658,a_win_totals_lookup,MATCH(K1658,a_wins_total_lookup_header,0)+1,0),VLOOKUP(D1658,a_win_totals_lookup,MATCH(I1658,a_wins_total_lookup_header,0)+1,0))</f>
        <v>0.73276177017311905</v>
      </c>
      <c r="N1658">
        <f t="shared" ca="1" si="25"/>
        <v>1</v>
      </c>
    </row>
    <row r="1659" spans="1:14" x14ac:dyDescent="0.25">
      <c r="A1659">
        <v>400579124</v>
      </c>
      <c r="B1659">
        <v>2015</v>
      </c>
      <c r="C1659" s="1">
        <v>42058</v>
      </c>
      <c r="D1659" t="s">
        <v>29</v>
      </c>
      <c r="E1659">
        <v>0</v>
      </c>
      <c r="F1659">
        <v>12</v>
      </c>
      <c r="G1659">
        <v>43</v>
      </c>
      <c r="H1659">
        <v>0</v>
      </c>
      <c r="I1659" t="s">
        <v>16</v>
      </c>
      <c r="J1659">
        <v>113</v>
      </c>
      <c r="K1659" t="s">
        <v>29</v>
      </c>
      <c r="L1659">
        <v>102</v>
      </c>
      <c r="M1659">
        <f>IF(D1659=I1659,VLOOKUP(D1659,a_win_totals_lookup,MATCH(K1659,a_wins_total_lookup_header,0)+1,0),VLOOKUP(D1659,a_win_totals_lookup,MATCH(I1659,a_wins_total_lookup_header,0)+1,0))</f>
        <v>0.267238229826881</v>
      </c>
      <c r="N1659">
        <f t="shared" ca="1" si="25"/>
        <v>0</v>
      </c>
    </row>
    <row r="1660" spans="1:14" x14ac:dyDescent="0.25">
      <c r="A1660">
        <v>400579125</v>
      </c>
      <c r="B1660">
        <v>2015</v>
      </c>
      <c r="C1660" s="1">
        <v>42058</v>
      </c>
      <c r="D1660" t="s">
        <v>12</v>
      </c>
      <c r="E1660">
        <v>1</v>
      </c>
      <c r="F1660">
        <v>29</v>
      </c>
      <c r="G1660">
        <v>27</v>
      </c>
      <c r="H1660">
        <v>1</v>
      </c>
      <c r="I1660" t="s">
        <v>12</v>
      </c>
      <c r="J1660">
        <v>100</v>
      </c>
      <c r="K1660" t="s">
        <v>27</v>
      </c>
      <c r="L1660">
        <v>97</v>
      </c>
      <c r="M1660">
        <f>IF(D1660=I1660,VLOOKUP(D1660,a_win_totals_lookup,MATCH(K1660,a_wins_total_lookup_header,0)+1,0),VLOOKUP(D1660,a_win_totals_lookup,MATCH(I1660,a_wins_total_lookup_header,0)+1,0))</f>
        <v>0.39769179081226008</v>
      </c>
      <c r="N1660">
        <f t="shared" ca="1" si="25"/>
        <v>1</v>
      </c>
    </row>
    <row r="1661" spans="1:14" x14ac:dyDescent="0.25">
      <c r="A1661">
        <v>400579125</v>
      </c>
      <c r="B1661">
        <v>2015</v>
      </c>
      <c r="C1661" s="1">
        <v>42058</v>
      </c>
      <c r="D1661" t="s">
        <v>27</v>
      </c>
      <c r="E1661">
        <v>0</v>
      </c>
      <c r="F1661">
        <v>37</v>
      </c>
      <c r="G1661">
        <v>19</v>
      </c>
      <c r="H1661">
        <v>0</v>
      </c>
      <c r="I1661" t="s">
        <v>12</v>
      </c>
      <c r="J1661">
        <v>100</v>
      </c>
      <c r="K1661" t="s">
        <v>27</v>
      </c>
      <c r="L1661">
        <v>97</v>
      </c>
      <c r="M1661">
        <f>IF(D1661=I1661,VLOOKUP(D1661,a_win_totals_lookup,MATCH(K1661,a_wins_total_lookup_header,0)+1,0),VLOOKUP(D1661,a_win_totals_lookup,MATCH(I1661,a_wins_total_lookup_header,0)+1,0))</f>
        <v>0.60230820918773997</v>
      </c>
      <c r="N1661">
        <f t="shared" ca="1" si="25"/>
        <v>1</v>
      </c>
    </row>
    <row r="1662" spans="1:14" x14ac:dyDescent="0.25">
      <c r="A1662">
        <v>400579126</v>
      </c>
      <c r="B1662">
        <v>2015</v>
      </c>
      <c r="C1662" s="1">
        <v>42058</v>
      </c>
      <c r="D1662" t="s">
        <v>23</v>
      </c>
      <c r="E1662">
        <v>1</v>
      </c>
      <c r="F1662">
        <v>23</v>
      </c>
      <c r="G1662">
        <v>31</v>
      </c>
      <c r="H1662">
        <v>0</v>
      </c>
      <c r="I1662" t="s">
        <v>32</v>
      </c>
      <c r="J1662">
        <v>82</v>
      </c>
      <c r="K1662" t="s">
        <v>23</v>
      </c>
      <c r="L1662">
        <v>110</v>
      </c>
      <c r="M1662">
        <f>IF(D1662=I1662,VLOOKUP(D1662,a_win_totals_lookup,MATCH(K1662,a_wins_total_lookup_header,0)+1,0),VLOOKUP(D1662,a_win_totals_lookup,MATCH(I1662,a_wins_total_lookup_header,0)+1,0))</f>
        <v>0.5</v>
      </c>
      <c r="N1662">
        <f t="shared" ca="1" si="25"/>
        <v>0</v>
      </c>
    </row>
    <row r="1663" spans="1:14" x14ac:dyDescent="0.25">
      <c r="A1663">
        <v>400579126</v>
      </c>
      <c r="B1663">
        <v>2015</v>
      </c>
      <c r="C1663" s="1">
        <v>42058</v>
      </c>
      <c r="D1663" t="s">
        <v>32</v>
      </c>
      <c r="E1663">
        <v>0</v>
      </c>
      <c r="F1663">
        <v>20</v>
      </c>
      <c r="G1663">
        <v>36</v>
      </c>
      <c r="H1663">
        <v>1</v>
      </c>
      <c r="I1663" t="s">
        <v>32</v>
      </c>
      <c r="J1663">
        <v>82</v>
      </c>
      <c r="K1663" t="s">
        <v>23</v>
      </c>
      <c r="L1663">
        <v>110</v>
      </c>
      <c r="M1663">
        <f>IF(D1663=I1663,VLOOKUP(D1663,a_win_totals_lookup,MATCH(K1663,a_wins_total_lookup_header,0)+1,0),VLOOKUP(D1663,a_win_totals_lookup,MATCH(I1663,a_wins_total_lookup_header,0)+1,0))</f>
        <v>0.5</v>
      </c>
      <c r="N1663">
        <f t="shared" ca="1" si="25"/>
        <v>1</v>
      </c>
    </row>
    <row r="1664" spans="1:14" x14ac:dyDescent="0.25">
      <c r="A1664">
        <v>400579127</v>
      </c>
      <c r="B1664">
        <v>2015</v>
      </c>
      <c r="C1664" s="1">
        <v>42058</v>
      </c>
      <c r="D1664" t="s">
        <v>22</v>
      </c>
      <c r="E1664">
        <v>1</v>
      </c>
      <c r="F1664">
        <v>21</v>
      </c>
      <c r="G1664">
        <v>33</v>
      </c>
      <c r="H1664">
        <v>0</v>
      </c>
      <c r="I1664" t="s">
        <v>35</v>
      </c>
      <c r="J1664">
        <v>110</v>
      </c>
      <c r="K1664" t="s">
        <v>22</v>
      </c>
      <c r="L1664">
        <v>115</v>
      </c>
      <c r="M1664">
        <f>IF(D1664=I1664,VLOOKUP(D1664,a_win_totals_lookup,MATCH(K1664,a_wins_total_lookup_header,0)+1,0),VLOOKUP(D1664,a_win_totals_lookup,MATCH(I1664,a_wins_total_lookup_header,0)+1,0))</f>
        <v>0.30291197689006377</v>
      </c>
      <c r="N1664">
        <f t="shared" ca="1" si="25"/>
        <v>0</v>
      </c>
    </row>
    <row r="1665" spans="1:14" x14ac:dyDescent="0.25">
      <c r="A1665">
        <v>400579127</v>
      </c>
      <c r="B1665">
        <v>2015</v>
      </c>
      <c r="C1665" s="1">
        <v>42058</v>
      </c>
      <c r="D1665" t="s">
        <v>35</v>
      </c>
      <c r="E1665">
        <v>0</v>
      </c>
      <c r="F1665">
        <v>29</v>
      </c>
      <c r="G1665">
        <v>28</v>
      </c>
      <c r="H1665">
        <v>1</v>
      </c>
      <c r="I1665" t="s">
        <v>35</v>
      </c>
      <c r="J1665">
        <v>110</v>
      </c>
      <c r="K1665" t="s">
        <v>22</v>
      </c>
      <c r="L1665">
        <v>115</v>
      </c>
      <c r="M1665">
        <f>IF(D1665=I1665,VLOOKUP(D1665,a_win_totals_lookup,MATCH(K1665,a_wins_total_lookup_header,0)+1,0),VLOOKUP(D1665,a_win_totals_lookup,MATCH(I1665,a_wins_total_lookup_header,0)+1,0))</f>
        <v>0.69708802310993623</v>
      </c>
      <c r="N1665">
        <f t="shared" ca="1" si="25"/>
        <v>1</v>
      </c>
    </row>
    <row r="1666" spans="1:14" x14ac:dyDescent="0.25">
      <c r="A1666">
        <v>400579128</v>
      </c>
      <c r="B1666">
        <v>2015</v>
      </c>
      <c r="C1666" s="1">
        <v>42058</v>
      </c>
      <c r="D1666" t="s">
        <v>15</v>
      </c>
      <c r="E1666">
        <v>0</v>
      </c>
      <c r="F1666">
        <v>34</v>
      </c>
      <c r="G1666">
        <v>22</v>
      </c>
      <c r="H1666">
        <v>0</v>
      </c>
      <c r="I1666" t="s">
        <v>34</v>
      </c>
      <c r="J1666">
        <v>90</v>
      </c>
      <c r="K1666" t="s">
        <v>15</v>
      </c>
      <c r="L1666">
        <v>81</v>
      </c>
      <c r="M1666">
        <f>IF(D1666=I1666,VLOOKUP(D1666,a_win_totals_lookup,MATCH(K1666,a_wins_total_lookup_header,0)+1,0),VLOOKUP(D1666,a_win_totals_lookup,MATCH(I1666,a_wins_total_lookup_header,0)+1,0))</f>
        <v>0.73595070405215601</v>
      </c>
      <c r="N1666">
        <f t="shared" ca="1" si="25"/>
        <v>1</v>
      </c>
    </row>
    <row r="1667" spans="1:14" x14ac:dyDescent="0.25">
      <c r="A1667">
        <v>400579128</v>
      </c>
      <c r="B1667">
        <v>2015</v>
      </c>
      <c r="C1667" s="1">
        <v>42058</v>
      </c>
      <c r="D1667" t="s">
        <v>34</v>
      </c>
      <c r="E1667">
        <v>1</v>
      </c>
      <c r="F1667">
        <v>21</v>
      </c>
      <c r="G1667">
        <v>34</v>
      </c>
      <c r="H1667">
        <v>1</v>
      </c>
      <c r="I1667" t="s">
        <v>34</v>
      </c>
      <c r="J1667">
        <v>90</v>
      </c>
      <c r="K1667" t="s">
        <v>15</v>
      </c>
      <c r="L1667">
        <v>81</v>
      </c>
      <c r="M1667">
        <f>IF(D1667=I1667,VLOOKUP(D1667,a_win_totals_lookup,MATCH(K1667,a_wins_total_lookup_header,0)+1,0),VLOOKUP(D1667,a_win_totals_lookup,MATCH(I1667,a_wins_total_lookup_header,0)+1,0))</f>
        <v>0.26404929594784404</v>
      </c>
      <c r="N1667">
        <f t="shared" ref="N1667:N1730" ca="1" si="26">ROUND(0.5*RANDBETWEEN(-1,1)+M1667,0)</f>
        <v>1</v>
      </c>
    </row>
    <row r="1668" spans="1:14" x14ac:dyDescent="0.25">
      <c r="A1668">
        <v>400579129</v>
      </c>
      <c r="B1668">
        <v>2015</v>
      </c>
      <c r="C1668" s="1">
        <v>42058</v>
      </c>
      <c r="D1668" t="s">
        <v>41</v>
      </c>
      <c r="E1668">
        <v>0</v>
      </c>
      <c r="F1668">
        <v>37</v>
      </c>
      <c r="G1668">
        <v>20</v>
      </c>
      <c r="H1668">
        <v>1</v>
      </c>
      <c r="I1668" t="s">
        <v>41</v>
      </c>
      <c r="J1668">
        <v>87</v>
      </c>
      <c r="K1668" t="s">
        <v>28</v>
      </c>
      <c r="L1668">
        <v>90</v>
      </c>
      <c r="M1668">
        <f>IF(D1668=I1668,VLOOKUP(D1668,a_win_totals_lookup,MATCH(K1668,a_wins_total_lookup_header,0)+1,0),VLOOKUP(D1668,a_win_totals_lookup,MATCH(I1668,a_wins_total_lookup_header,0)+1,0))</f>
        <v>0.5521428232847434</v>
      </c>
      <c r="N1668">
        <f t="shared" ca="1" si="26"/>
        <v>0</v>
      </c>
    </row>
    <row r="1669" spans="1:14" x14ac:dyDescent="0.25">
      <c r="A1669">
        <v>400579129</v>
      </c>
      <c r="B1669">
        <v>2015</v>
      </c>
      <c r="C1669" s="1">
        <v>42058</v>
      </c>
      <c r="D1669" t="s">
        <v>28</v>
      </c>
      <c r="E1669">
        <v>1</v>
      </c>
      <c r="F1669">
        <v>41</v>
      </c>
      <c r="G1669">
        <v>14</v>
      </c>
      <c r="H1669">
        <v>0</v>
      </c>
      <c r="I1669" t="s">
        <v>41</v>
      </c>
      <c r="J1669">
        <v>87</v>
      </c>
      <c r="K1669" t="s">
        <v>28</v>
      </c>
      <c r="L1669">
        <v>90</v>
      </c>
      <c r="M1669">
        <f>IF(D1669=I1669,VLOOKUP(D1669,a_win_totals_lookup,MATCH(K1669,a_wins_total_lookup_header,0)+1,0),VLOOKUP(D1669,a_win_totals_lookup,MATCH(I1669,a_wins_total_lookup_header,0)+1,0))</f>
        <v>0.44785717671525666</v>
      </c>
      <c r="N1669">
        <f t="shared" ca="1" si="26"/>
        <v>0</v>
      </c>
    </row>
    <row r="1670" spans="1:14" x14ac:dyDescent="0.25">
      <c r="A1670">
        <v>400579130</v>
      </c>
      <c r="B1670">
        <v>2015</v>
      </c>
      <c r="C1670" s="1">
        <v>42059</v>
      </c>
      <c r="D1670" t="s">
        <v>36</v>
      </c>
      <c r="E1670">
        <v>1</v>
      </c>
      <c r="F1670">
        <v>44</v>
      </c>
      <c r="G1670">
        <v>10</v>
      </c>
      <c r="H1670">
        <v>0</v>
      </c>
      <c r="I1670" t="s">
        <v>25</v>
      </c>
      <c r="J1670">
        <v>107</v>
      </c>
      <c r="K1670" t="s">
        <v>36</v>
      </c>
      <c r="L1670">
        <v>114</v>
      </c>
      <c r="M1670">
        <f>IF(D1670=I1670,VLOOKUP(D1670,a_win_totals_lookup,MATCH(K1670,a_wins_total_lookup_header,0)+1,0),VLOOKUP(D1670,a_win_totals_lookup,MATCH(I1670,a_wins_total_lookup_header,0)+1,0))</f>
        <v>0.54147759642487181</v>
      </c>
      <c r="N1670">
        <f t="shared" ca="1" si="26"/>
        <v>0</v>
      </c>
    </row>
    <row r="1671" spans="1:14" x14ac:dyDescent="0.25">
      <c r="A1671">
        <v>400579130</v>
      </c>
      <c r="B1671">
        <v>2015</v>
      </c>
      <c r="C1671" s="1">
        <v>42059</v>
      </c>
      <c r="D1671" t="s">
        <v>25</v>
      </c>
      <c r="E1671">
        <v>0</v>
      </c>
      <c r="F1671">
        <v>33</v>
      </c>
      <c r="G1671">
        <v>24</v>
      </c>
      <c r="H1671">
        <v>1</v>
      </c>
      <c r="I1671" t="s">
        <v>25</v>
      </c>
      <c r="J1671">
        <v>107</v>
      </c>
      <c r="K1671" t="s">
        <v>36</v>
      </c>
      <c r="L1671">
        <v>114</v>
      </c>
      <c r="M1671">
        <f>IF(D1671=I1671,VLOOKUP(D1671,a_win_totals_lookup,MATCH(K1671,a_wins_total_lookup_header,0)+1,0),VLOOKUP(D1671,a_win_totals_lookup,MATCH(I1671,a_wins_total_lookup_header,0)+1,0))</f>
        <v>0.45852240357512825</v>
      </c>
      <c r="N1671">
        <f t="shared" ca="1" si="26"/>
        <v>1</v>
      </c>
    </row>
    <row r="1672" spans="1:14" x14ac:dyDescent="0.25">
      <c r="A1672">
        <v>400579131</v>
      </c>
      <c r="B1672">
        <v>2015</v>
      </c>
      <c r="C1672" s="1">
        <v>42059</v>
      </c>
      <c r="D1672" t="s">
        <v>40</v>
      </c>
      <c r="E1672">
        <v>1</v>
      </c>
      <c r="F1672">
        <v>36</v>
      </c>
      <c r="G1672">
        <v>22</v>
      </c>
      <c r="H1672">
        <v>0</v>
      </c>
      <c r="I1672" t="s">
        <v>33</v>
      </c>
      <c r="J1672">
        <v>93</v>
      </c>
      <c r="K1672" t="s">
        <v>40</v>
      </c>
      <c r="L1672">
        <v>102</v>
      </c>
      <c r="M1672">
        <f>IF(D1672=I1672,VLOOKUP(D1672,a_win_totals_lookup,MATCH(K1672,a_wins_total_lookup_header,0)+1,0),VLOOKUP(D1672,a_win_totals_lookup,MATCH(I1672,a_wins_total_lookup_header,0)+1,0))</f>
        <v>0.68885451974663314</v>
      </c>
      <c r="N1672">
        <f t="shared" ca="1" si="26"/>
        <v>0</v>
      </c>
    </row>
    <row r="1673" spans="1:14" x14ac:dyDescent="0.25">
      <c r="A1673">
        <v>400579131</v>
      </c>
      <c r="B1673">
        <v>2015</v>
      </c>
      <c r="C1673" s="1">
        <v>42059</v>
      </c>
      <c r="D1673" t="s">
        <v>33</v>
      </c>
      <c r="E1673">
        <v>0</v>
      </c>
      <c r="F1673">
        <v>23</v>
      </c>
      <c r="G1673">
        <v>34</v>
      </c>
      <c r="H1673">
        <v>1</v>
      </c>
      <c r="I1673" t="s">
        <v>33</v>
      </c>
      <c r="J1673">
        <v>93</v>
      </c>
      <c r="K1673" t="s">
        <v>40</v>
      </c>
      <c r="L1673">
        <v>102</v>
      </c>
      <c r="M1673">
        <f>IF(D1673=I1673,VLOOKUP(D1673,a_win_totals_lookup,MATCH(K1673,a_wins_total_lookup_header,0)+1,0),VLOOKUP(D1673,a_win_totals_lookup,MATCH(I1673,a_wins_total_lookup_header,0)+1,0))</f>
        <v>0.31114548025336697</v>
      </c>
      <c r="N1673">
        <f t="shared" ca="1" si="26"/>
        <v>1</v>
      </c>
    </row>
    <row r="1674" spans="1:14" x14ac:dyDescent="0.25">
      <c r="A1674">
        <v>400579132</v>
      </c>
      <c r="B1674">
        <v>2015</v>
      </c>
      <c r="C1674" s="1">
        <v>42059</v>
      </c>
      <c r="D1674" t="s">
        <v>20</v>
      </c>
      <c r="E1674">
        <v>0</v>
      </c>
      <c r="F1674">
        <v>23</v>
      </c>
      <c r="G1674">
        <v>34</v>
      </c>
      <c r="H1674">
        <v>0</v>
      </c>
      <c r="I1674" t="s">
        <v>38</v>
      </c>
      <c r="J1674">
        <v>105</v>
      </c>
      <c r="K1674" t="s">
        <v>20</v>
      </c>
      <c r="L1674">
        <v>92</v>
      </c>
      <c r="M1674">
        <f>IF(D1674=I1674,VLOOKUP(D1674,a_win_totals_lookup,MATCH(K1674,a_wins_total_lookup_header,0)+1,0),VLOOKUP(D1674,a_win_totals_lookup,MATCH(I1674,a_wins_total_lookup_header,0)+1,0))</f>
        <v>0.31647978635601037</v>
      </c>
      <c r="N1674">
        <f t="shared" ca="1" si="26"/>
        <v>1</v>
      </c>
    </row>
    <row r="1675" spans="1:14" x14ac:dyDescent="0.25">
      <c r="A1675">
        <v>400579132</v>
      </c>
      <c r="B1675">
        <v>2015</v>
      </c>
      <c r="C1675" s="1">
        <v>42059</v>
      </c>
      <c r="D1675" t="s">
        <v>38</v>
      </c>
      <c r="E1675">
        <v>1</v>
      </c>
      <c r="F1675">
        <v>32</v>
      </c>
      <c r="G1675">
        <v>25</v>
      </c>
      <c r="H1675">
        <v>1</v>
      </c>
      <c r="I1675" t="s">
        <v>38</v>
      </c>
      <c r="J1675">
        <v>105</v>
      </c>
      <c r="K1675" t="s">
        <v>20</v>
      </c>
      <c r="L1675">
        <v>92</v>
      </c>
      <c r="M1675">
        <f>IF(D1675=I1675,VLOOKUP(D1675,a_win_totals_lookup,MATCH(K1675,a_wins_total_lookup_header,0)+1,0),VLOOKUP(D1675,a_win_totals_lookup,MATCH(I1675,a_wins_total_lookup_header,0)+1,0))</f>
        <v>0.68352021364398963</v>
      </c>
      <c r="N1675">
        <f t="shared" ca="1" si="26"/>
        <v>0</v>
      </c>
    </row>
    <row r="1676" spans="1:14" x14ac:dyDescent="0.25">
      <c r="A1676">
        <v>400579133</v>
      </c>
      <c r="B1676">
        <v>2015</v>
      </c>
      <c r="C1676" s="1">
        <v>42059</v>
      </c>
      <c r="D1676" t="s">
        <v>14</v>
      </c>
      <c r="E1676">
        <v>1</v>
      </c>
      <c r="F1676">
        <v>39</v>
      </c>
      <c r="G1676">
        <v>20</v>
      </c>
      <c r="H1676">
        <v>1</v>
      </c>
      <c r="I1676" t="s">
        <v>14</v>
      </c>
      <c r="J1676">
        <v>99</v>
      </c>
      <c r="K1676" t="s">
        <v>27</v>
      </c>
      <c r="L1676">
        <v>92</v>
      </c>
      <c r="M1676">
        <f>IF(D1676=I1676,VLOOKUP(D1676,a_win_totals_lookup,MATCH(K1676,a_wins_total_lookup_header,0)+1,0),VLOOKUP(D1676,a_win_totals_lookup,MATCH(I1676,a_wins_total_lookup_header,0)+1,0))</f>
        <v>0.5</v>
      </c>
      <c r="N1676">
        <f t="shared" ca="1" si="26"/>
        <v>1</v>
      </c>
    </row>
    <row r="1677" spans="1:14" x14ac:dyDescent="0.25">
      <c r="A1677">
        <v>400579133</v>
      </c>
      <c r="B1677">
        <v>2015</v>
      </c>
      <c r="C1677" s="1">
        <v>42059</v>
      </c>
      <c r="D1677" t="s">
        <v>27</v>
      </c>
      <c r="E1677">
        <v>0</v>
      </c>
      <c r="F1677">
        <v>37</v>
      </c>
      <c r="G1677">
        <v>20</v>
      </c>
      <c r="H1677">
        <v>0</v>
      </c>
      <c r="I1677" t="s">
        <v>14</v>
      </c>
      <c r="J1677">
        <v>99</v>
      </c>
      <c r="K1677" t="s">
        <v>27</v>
      </c>
      <c r="L1677">
        <v>92</v>
      </c>
      <c r="M1677">
        <f>IF(D1677=I1677,VLOOKUP(D1677,a_win_totals_lookup,MATCH(K1677,a_wins_total_lookup_header,0)+1,0),VLOOKUP(D1677,a_win_totals_lookup,MATCH(I1677,a_wins_total_lookup_header,0)+1,0))</f>
        <v>0.5</v>
      </c>
      <c r="N1677">
        <f t="shared" ca="1" si="26"/>
        <v>1</v>
      </c>
    </row>
    <row r="1678" spans="1:14" x14ac:dyDescent="0.25">
      <c r="A1678">
        <v>400579134</v>
      </c>
      <c r="B1678">
        <v>2015</v>
      </c>
      <c r="C1678" s="1">
        <v>42060</v>
      </c>
      <c r="D1678" t="s">
        <v>24</v>
      </c>
      <c r="E1678">
        <v>1</v>
      </c>
      <c r="F1678">
        <v>25</v>
      </c>
      <c r="G1678">
        <v>31</v>
      </c>
      <c r="H1678">
        <v>0</v>
      </c>
      <c r="I1678" t="s">
        <v>13</v>
      </c>
      <c r="J1678">
        <v>90</v>
      </c>
      <c r="K1678" t="s">
        <v>24</v>
      </c>
      <c r="L1678">
        <v>93</v>
      </c>
      <c r="M1678">
        <f>IF(D1678=I1678,VLOOKUP(D1678,a_win_totals_lookup,MATCH(K1678,a_wins_total_lookup_header,0)+1,0),VLOOKUP(D1678,a_win_totals_lookup,MATCH(I1678,a_wins_total_lookup_header,0)+1,0))</f>
        <v>0.65836112820019976</v>
      </c>
      <c r="N1678">
        <f t="shared" ca="1" si="26"/>
        <v>1</v>
      </c>
    </row>
    <row r="1679" spans="1:14" x14ac:dyDescent="0.25">
      <c r="A1679">
        <v>400579134</v>
      </c>
      <c r="B1679">
        <v>2015</v>
      </c>
      <c r="C1679" s="1">
        <v>42060</v>
      </c>
      <c r="D1679" t="s">
        <v>13</v>
      </c>
      <c r="E1679">
        <v>0</v>
      </c>
      <c r="F1679">
        <v>19</v>
      </c>
      <c r="G1679">
        <v>40</v>
      </c>
      <c r="H1679">
        <v>1</v>
      </c>
      <c r="I1679" t="s">
        <v>13</v>
      </c>
      <c r="J1679">
        <v>90</v>
      </c>
      <c r="K1679" t="s">
        <v>24</v>
      </c>
      <c r="L1679">
        <v>93</v>
      </c>
      <c r="M1679">
        <f>IF(D1679=I1679,VLOOKUP(D1679,a_win_totals_lookup,MATCH(K1679,a_wins_total_lookup_header,0)+1,0),VLOOKUP(D1679,a_win_totals_lookup,MATCH(I1679,a_wins_total_lookup_header,0)+1,0))</f>
        <v>0.34163887179980024</v>
      </c>
      <c r="N1679">
        <f t="shared" ca="1" si="26"/>
        <v>0</v>
      </c>
    </row>
    <row r="1680" spans="1:14" x14ac:dyDescent="0.25">
      <c r="A1680">
        <v>400579135</v>
      </c>
      <c r="B1680">
        <v>2015</v>
      </c>
      <c r="C1680" s="1">
        <v>42060</v>
      </c>
      <c r="D1680" t="s">
        <v>26</v>
      </c>
      <c r="E1680">
        <v>1</v>
      </c>
      <c r="F1680">
        <v>45</v>
      </c>
      <c r="G1680">
        <v>12</v>
      </c>
      <c r="H1680">
        <v>1</v>
      </c>
      <c r="I1680" t="s">
        <v>26</v>
      </c>
      <c r="J1680">
        <v>104</v>
      </c>
      <c r="K1680" t="s">
        <v>14</v>
      </c>
      <c r="L1680">
        <v>87</v>
      </c>
      <c r="M1680">
        <f>IF(D1680=I1680,VLOOKUP(D1680,a_win_totals_lookup,MATCH(K1680,a_wins_total_lookup_header,0)+1,0),VLOOKUP(D1680,a_win_totals_lookup,MATCH(I1680,a_wins_total_lookup_header,0)+1,0))</f>
        <v>0.42248155809117843</v>
      </c>
      <c r="N1680">
        <f t="shared" ca="1" si="26"/>
        <v>1</v>
      </c>
    </row>
    <row r="1681" spans="1:14" x14ac:dyDescent="0.25">
      <c r="A1681">
        <v>400579135</v>
      </c>
      <c r="B1681">
        <v>2015</v>
      </c>
      <c r="C1681" s="1">
        <v>42060</v>
      </c>
      <c r="D1681" t="s">
        <v>14</v>
      </c>
      <c r="E1681">
        <v>0</v>
      </c>
      <c r="F1681">
        <v>39</v>
      </c>
      <c r="G1681">
        <v>21</v>
      </c>
      <c r="H1681">
        <v>0</v>
      </c>
      <c r="I1681" t="s">
        <v>26</v>
      </c>
      <c r="J1681">
        <v>104</v>
      </c>
      <c r="K1681" t="s">
        <v>14</v>
      </c>
      <c r="L1681">
        <v>87</v>
      </c>
      <c r="M1681">
        <f>IF(D1681=I1681,VLOOKUP(D1681,a_win_totals_lookup,MATCH(K1681,a_wins_total_lookup_header,0)+1,0),VLOOKUP(D1681,a_win_totals_lookup,MATCH(I1681,a_wins_total_lookup_header,0)+1,0))</f>
        <v>0.57751844190882151</v>
      </c>
      <c r="N1681">
        <f t="shared" ca="1" si="26"/>
        <v>1</v>
      </c>
    </row>
    <row r="1682" spans="1:14" x14ac:dyDescent="0.25">
      <c r="A1682">
        <v>400579136</v>
      </c>
      <c r="B1682">
        <v>2015</v>
      </c>
      <c r="C1682" s="1">
        <v>42060</v>
      </c>
      <c r="D1682" t="s">
        <v>22</v>
      </c>
      <c r="E1682">
        <v>1</v>
      </c>
      <c r="F1682">
        <v>22</v>
      </c>
      <c r="G1682">
        <v>33</v>
      </c>
      <c r="H1682">
        <v>1</v>
      </c>
      <c r="I1682" t="s">
        <v>22</v>
      </c>
      <c r="J1682">
        <v>115</v>
      </c>
      <c r="K1682" t="s">
        <v>31</v>
      </c>
      <c r="L1682">
        <v>94</v>
      </c>
      <c r="M1682">
        <f>IF(D1682=I1682,VLOOKUP(D1682,a_win_totals_lookup,MATCH(K1682,a_wins_total_lookup_header,0)+1,0),VLOOKUP(D1682,a_win_totals_lookup,MATCH(I1682,a_wins_total_lookup_header,0)+1,0))</f>
        <v>0.33715695553306341</v>
      </c>
      <c r="N1682">
        <f t="shared" ca="1" si="26"/>
        <v>0</v>
      </c>
    </row>
    <row r="1683" spans="1:14" x14ac:dyDescent="0.25">
      <c r="A1683">
        <v>400579136</v>
      </c>
      <c r="B1683">
        <v>2015</v>
      </c>
      <c r="C1683" s="1">
        <v>42060</v>
      </c>
      <c r="D1683" t="s">
        <v>31</v>
      </c>
      <c r="E1683">
        <v>0</v>
      </c>
      <c r="F1683">
        <v>10</v>
      </c>
      <c r="G1683">
        <v>46</v>
      </c>
      <c r="H1683">
        <v>0</v>
      </c>
      <c r="I1683" t="s">
        <v>22</v>
      </c>
      <c r="J1683">
        <v>115</v>
      </c>
      <c r="K1683" t="s">
        <v>31</v>
      </c>
      <c r="L1683">
        <v>94</v>
      </c>
      <c r="M1683">
        <f>IF(D1683=I1683,VLOOKUP(D1683,a_win_totals_lookup,MATCH(K1683,a_wins_total_lookup_header,0)+1,0),VLOOKUP(D1683,a_win_totals_lookup,MATCH(I1683,a_wins_total_lookup_header,0)+1,0))</f>
        <v>0.66284304446693665</v>
      </c>
      <c r="N1683">
        <f t="shared" ca="1" si="26"/>
        <v>1</v>
      </c>
    </row>
    <row r="1684" spans="1:14" x14ac:dyDescent="0.25">
      <c r="A1684">
        <v>400579137</v>
      </c>
      <c r="B1684">
        <v>2015</v>
      </c>
      <c r="C1684" s="1">
        <v>42060</v>
      </c>
      <c r="D1684" t="s">
        <v>18</v>
      </c>
      <c r="E1684">
        <v>1</v>
      </c>
      <c r="F1684">
        <v>23</v>
      </c>
      <c r="G1684">
        <v>32</v>
      </c>
      <c r="H1684">
        <v>0</v>
      </c>
      <c r="I1684" t="s">
        <v>30</v>
      </c>
      <c r="J1684">
        <v>86</v>
      </c>
      <c r="K1684" t="s">
        <v>18</v>
      </c>
      <c r="L1684">
        <v>98</v>
      </c>
      <c r="M1684">
        <f>IF(D1684=I1684,VLOOKUP(D1684,a_win_totals_lookup,MATCH(K1684,a_wins_total_lookup_header,0)+1,0),VLOOKUP(D1684,a_win_totals_lookup,MATCH(I1684,a_wins_total_lookup_header,0)+1,0))</f>
        <v>0.41969870974133011</v>
      </c>
      <c r="N1684">
        <f t="shared" ca="1" si="26"/>
        <v>1</v>
      </c>
    </row>
    <row r="1685" spans="1:14" x14ac:dyDescent="0.25">
      <c r="A1685">
        <v>400579137</v>
      </c>
      <c r="B1685">
        <v>2015</v>
      </c>
      <c r="C1685" s="1">
        <v>42060</v>
      </c>
      <c r="D1685" t="s">
        <v>30</v>
      </c>
      <c r="E1685">
        <v>0</v>
      </c>
      <c r="F1685">
        <v>36</v>
      </c>
      <c r="G1685">
        <v>22</v>
      </c>
      <c r="H1685">
        <v>1</v>
      </c>
      <c r="I1685" t="s">
        <v>30</v>
      </c>
      <c r="J1685">
        <v>86</v>
      </c>
      <c r="K1685" t="s">
        <v>18</v>
      </c>
      <c r="L1685">
        <v>98</v>
      </c>
      <c r="M1685">
        <f>IF(D1685=I1685,VLOOKUP(D1685,a_win_totals_lookup,MATCH(K1685,a_wins_total_lookup_header,0)+1,0),VLOOKUP(D1685,a_win_totals_lookup,MATCH(I1685,a_wins_total_lookup_header,0)+1,0))</f>
        <v>0.58030129025866994</v>
      </c>
      <c r="N1685">
        <f t="shared" ca="1" si="26"/>
        <v>0</v>
      </c>
    </row>
    <row r="1686" spans="1:14" x14ac:dyDescent="0.25">
      <c r="A1686">
        <v>400579138</v>
      </c>
      <c r="B1686">
        <v>2015</v>
      </c>
      <c r="C1686" s="1">
        <v>42060</v>
      </c>
      <c r="D1686" t="s">
        <v>16</v>
      </c>
      <c r="E1686">
        <v>1</v>
      </c>
      <c r="F1686">
        <v>39</v>
      </c>
      <c r="G1686">
        <v>18</v>
      </c>
      <c r="H1686">
        <v>1</v>
      </c>
      <c r="I1686" t="s">
        <v>16</v>
      </c>
      <c r="J1686">
        <v>110</v>
      </c>
      <c r="K1686" t="s">
        <v>41</v>
      </c>
      <c r="L1686">
        <v>105</v>
      </c>
      <c r="M1686">
        <f>IF(D1686=I1686,VLOOKUP(D1686,a_win_totals_lookup,MATCH(K1686,a_wins_total_lookup_header,0)+1,0),VLOOKUP(D1686,a_win_totals_lookup,MATCH(I1686,a_wins_total_lookup_header,0)+1,0))</f>
        <v>0.42983460718544747</v>
      </c>
      <c r="N1686">
        <f t="shared" ca="1" si="26"/>
        <v>1</v>
      </c>
    </row>
    <row r="1687" spans="1:14" x14ac:dyDescent="0.25">
      <c r="A1687">
        <v>400579138</v>
      </c>
      <c r="B1687">
        <v>2015</v>
      </c>
      <c r="C1687" s="1">
        <v>42060</v>
      </c>
      <c r="D1687" t="s">
        <v>41</v>
      </c>
      <c r="E1687">
        <v>0</v>
      </c>
      <c r="F1687">
        <v>37</v>
      </c>
      <c r="G1687">
        <v>21</v>
      </c>
      <c r="H1687">
        <v>0</v>
      </c>
      <c r="I1687" t="s">
        <v>16</v>
      </c>
      <c r="J1687">
        <v>110</v>
      </c>
      <c r="K1687" t="s">
        <v>41</v>
      </c>
      <c r="L1687">
        <v>105</v>
      </c>
      <c r="M1687">
        <f>IF(D1687=I1687,VLOOKUP(D1687,a_win_totals_lookup,MATCH(K1687,a_wins_total_lookup_header,0)+1,0),VLOOKUP(D1687,a_win_totals_lookup,MATCH(I1687,a_wins_total_lookup_header,0)+1,0))</f>
        <v>0.57016539281455259</v>
      </c>
      <c r="N1687">
        <f t="shared" ca="1" si="26"/>
        <v>1</v>
      </c>
    </row>
    <row r="1688" spans="1:14" x14ac:dyDescent="0.25">
      <c r="A1688">
        <v>400579139</v>
      </c>
      <c r="B1688">
        <v>2015</v>
      </c>
      <c r="C1688" s="1">
        <v>42060</v>
      </c>
      <c r="D1688" t="s">
        <v>19</v>
      </c>
      <c r="E1688">
        <v>1</v>
      </c>
      <c r="F1688">
        <v>32</v>
      </c>
      <c r="G1688">
        <v>25</v>
      </c>
      <c r="H1688">
        <v>1</v>
      </c>
      <c r="I1688" t="s">
        <v>19</v>
      </c>
      <c r="J1688">
        <v>104</v>
      </c>
      <c r="K1688" t="s">
        <v>21</v>
      </c>
      <c r="L1688">
        <v>88</v>
      </c>
      <c r="M1688">
        <f>IF(D1688=I1688,VLOOKUP(D1688,a_win_totals_lookup,MATCH(K1688,a_wins_total_lookup_header,0)+1,0),VLOOKUP(D1688,a_win_totals_lookup,MATCH(I1688,a_wins_total_lookup_header,0)+1,0))</f>
        <v>0.5586395048824998</v>
      </c>
      <c r="N1688">
        <f t="shared" ca="1" si="26"/>
        <v>0</v>
      </c>
    </row>
    <row r="1689" spans="1:14" x14ac:dyDescent="0.25">
      <c r="A1689">
        <v>400579139</v>
      </c>
      <c r="B1689">
        <v>2015</v>
      </c>
      <c r="C1689" s="1">
        <v>42060</v>
      </c>
      <c r="D1689" t="s">
        <v>21</v>
      </c>
      <c r="E1689">
        <v>0</v>
      </c>
      <c r="F1689">
        <v>12</v>
      </c>
      <c r="G1689">
        <v>45</v>
      </c>
      <c r="H1689">
        <v>0</v>
      </c>
      <c r="I1689" t="s">
        <v>19</v>
      </c>
      <c r="J1689">
        <v>104</v>
      </c>
      <c r="K1689" t="s">
        <v>21</v>
      </c>
      <c r="L1689">
        <v>88</v>
      </c>
      <c r="M1689">
        <f>IF(D1689=I1689,VLOOKUP(D1689,a_win_totals_lookup,MATCH(K1689,a_wins_total_lookup_header,0)+1,0),VLOOKUP(D1689,a_win_totals_lookup,MATCH(I1689,a_wins_total_lookup_header,0)+1,0))</f>
        <v>0.44136049511750025</v>
      </c>
      <c r="N1689">
        <f t="shared" ca="1" si="26"/>
        <v>1</v>
      </c>
    </row>
    <row r="1690" spans="1:14" x14ac:dyDescent="0.25">
      <c r="A1690">
        <v>400579140</v>
      </c>
      <c r="B1690">
        <v>2015</v>
      </c>
      <c r="C1690" s="1">
        <v>42060</v>
      </c>
      <c r="D1690" t="s">
        <v>29</v>
      </c>
      <c r="E1690">
        <v>1</v>
      </c>
      <c r="F1690">
        <v>13</v>
      </c>
      <c r="G1690">
        <v>43</v>
      </c>
      <c r="H1690">
        <v>1</v>
      </c>
      <c r="I1690" t="s">
        <v>29</v>
      </c>
      <c r="J1690">
        <v>97</v>
      </c>
      <c r="K1690" t="s">
        <v>25</v>
      </c>
      <c r="L1690">
        <v>77</v>
      </c>
      <c r="M1690">
        <f>IF(D1690=I1690,VLOOKUP(D1690,a_win_totals_lookup,MATCH(K1690,a_wins_total_lookup_header,0)+1,0),VLOOKUP(D1690,a_win_totals_lookup,MATCH(I1690,a_wins_total_lookup_header,0)+1,0))</f>
        <v>0.267238229826881</v>
      </c>
      <c r="N1690">
        <f t="shared" ca="1" si="26"/>
        <v>0</v>
      </c>
    </row>
    <row r="1691" spans="1:14" x14ac:dyDescent="0.25">
      <c r="A1691">
        <v>400579140</v>
      </c>
      <c r="B1691">
        <v>2015</v>
      </c>
      <c r="C1691" s="1">
        <v>42060</v>
      </c>
      <c r="D1691" t="s">
        <v>25</v>
      </c>
      <c r="E1691">
        <v>0</v>
      </c>
      <c r="F1691">
        <v>33</v>
      </c>
      <c r="G1691">
        <v>25</v>
      </c>
      <c r="H1691">
        <v>0</v>
      </c>
      <c r="I1691" t="s">
        <v>29</v>
      </c>
      <c r="J1691">
        <v>97</v>
      </c>
      <c r="K1691" t="s">
        <v>25</v>
      </c>
      <c r="L1691">
        <v>77</v>
      </c>
      <c r="M1691">
        <f>IF(D1691=I1691,VLOOKUP(D1691,a_win_totals_lookup,MATCH(K1691,a_wins_total_lookup_header,0)+1,0),VLOOKUP(D1691,a_win_totals_lookup,MATCH(I1691,a_wins_total_lookup_header,0)+1,0))</f>
        <v>0.73276177017311905</v>
      </c>
      <c r="N1691">
        <f t="shared" ca="1" si="26"/>
        <v>1</v>
      </c>
    </row>
    <row r="1692" spans="1:14" x14ac:dyDescent="0.25">
      <c r="A1692">
        <v>400579141</v>
      </c>
      <c r="B1692">
        <v>2015</v>
      </c>
      <c r="C1692" s="1">
        <v>42060</v>
      </c>
      <c r="D1692" t="s">
        <v>23</v>
      </c>
      <c r="E1692">
        <v>0</v>
      </c>
      <c r="F1692">
        <v>23</v>
      </c>
      <c r="G1692">
        <v>32</v>
      </c>
      <c r="H1692">
        <v>0</v>
      </c>
      <c r="I1692" t="s">
        <v>12</v>
      </c>
      <c r="J1692">
        <v>102</v>
      </c>
      <c r="K1692" t="s">
        <v>23</v>
      </c>
      <c r="L1692">
        <v>96</v>
      </c>
      <c r="M1692">
        <f>IF(D1692=I1692,VLOOKUP(D1692,a_win_totals_lookup,MATCH(K1692,a_wins_total_lookup_header,0)+1,0),VLOOKUP(D1692,a_win_totals_lookup,MATCH(I1692,a_wins_total_lookup_header,0)+1,0))</f>
        <v>0.48625786874528693</v>
      </c>
      <c r="N1692">
        <f t="shared" ca="1" si="26"/>
        <v>1</v>
      </c>
    </row>
    <row r="1693" spans="1:14" x14ac:dyDescent="0.25">
      <c r="A1693">
        <v>400579141</v>
      </c>
      <c r="B1693">
        <v>2015</v>
      </c>
      <c r="C1693" s="1">
        <v>42060</v>
      </c>
      <c r="D1693" t="s">
        <v>12</v>
      </c>
      <c r="E1693">
        <v>1</v>
      </c>
      <c r="F1693">
        <v>30</v>
      </c>
      <c r="G1693">
        <v>27</v>
      </c>
      <c r="H1693">
        <v>1</v>
      </c>
      <c r="I1693" t="s">
        <v>12</v>
      </c>
      <c r="J1693">
        <v>102</v>
      </c>
      <c r="K1693" t="s">
        <v>23</v>
      </c>
      <c r="L1693">
        <v>96</v>
      </c>
      <c r="M1693">
        <f>IF(D1693=I1693,VLOOKUP(D1693,a_win_totals_lookup,MATCH(K1693,a_wins_total_lookup_header,0)+1,0),VLOOKUP(D1693,a_win_totals_lookup,MATCH(I1693,a_wins_total_lookup_header,0)+1,0))</f>
        <v>0.51374213125471302</v>
      </c>
      <c r="N1693">
        <f t="shared" ca="1" si="26"/>
        <v>1</v>
      </c>
    </row>
    <row r="1694" spans="1:14" x14ac:dyDescent="0.25">
      <c r="A1694">
        <v>400579142</v>
      </c>
      <c r="B1694">
        <v>2015</v>
      </c>
      <c r="C1694" s="1">
        <v>42060</v>
      </c>
      <c r="D1694" t="s">
        <v>32</v>
      </c>
      <c r="E1694">
        <v>0</v>
      </c>
      <c r="F1694">
        <v>20</v>
      </c>
      <c r="G1694">
        <v>37</v>
      </c>
      <c r="H1694">
        <v>1</v>
      </c>
      <c r="I1694" t="s">
        <v>32</v>
      </c>
      <c r="J1694">
        <v>96</v>
      </c>
      <c r="K1694" t="s">
        <v>35</v>
      </c>
      <c r="L1694">
        <v>110</v>
      </c>
      <c r="M1694">
        <f>IF(D1694=I1694,VLOOKUP(D1694,a_win_totals_lookup,MATCH(K1694,a_wins_total_lookup_header,0)+1,0),VLOOKUP(D1694,a_win_totals_lookup,MATCH(I1694,a_wins_total_lookup_header,0)+1,0))</f>
        <v>0.46071121990694175</v>
      </c>
      <c r="N1694">
        <f t="shared" ca="1" si="26"/>
        <v>0</v>
      </c>
    </row>
    <row r="1695" spans="1:14" x14ac:dyDescent="0.25">
      <c r="A1695">
        <v>400579142</v>
      </c>
      <c r="B1695">
        <v>2015</v>
      </c>
      <c r="C1695" s="1">
        <v>42060</v>
      </c>
      <c r="D1695" t="s">
        <v>35</v>
      </c>
      <c r="E1695">
        <v>1</v>
      </c>
      <c r="F1695">
        <v>30</v>
      </c>
      <c r="G1695">
        <v>28</v>
      </c>
      <c r="H1695">
        <v>0</v>
      </c>
      <c r="I1695" t="s">
        <v>32</v>
      </c>
      <c r="J1695">
        <v>96</v>
      </c>
      <c r="K1695" t="s">
        <v>35</v>
      </c>
      <c r="L1695">
        <v>110</v>
      </c>
      <c r="M1695">
        <f>IF(D1695=I1695,VLOOKUP(D1695,a_win_totals_lookup,MATCH(K1695,a_wins_total_lookup_header,0)+1,0),VLOOKUP(D1695,a_win_totals_lookup,MATCH(I1695,a_wins_total_lookup_header,0)+1,0))</f>
        <v>0.53928878009305825</v>
      </c>
      <c r="N1695">
        <f t="shared" ca="1" si="26"/>
        <v>0</v>
      </c>
    </row>
    <row r="1696" spans="1:14" x14ac:dyDescent="0.25">
      <c r="A1696">
        <v>400579143</v>
      </c>
      <c r="B1696">
        <v>2015</v>
      </c>
      <c r="C1696" s="1">
        <v>42060</v>
      </c>
      <c r="D1696" t="s">
        <v>17</v>
      </c>
      <c r="E1696">
        <v>1</v>
      </c>
      <c r="F1696">
        <v>15</v>
      </c>
      <c r="G1696">
        <v>41</v>
      </c>
      <c r="H1696">
        <v>0</v>
      </c>
      <c r="I1696" t="s">
        <v>34</v>
      </c>
      <c r="J1696">
        <v>97</v>
      </c>
      <c r="K1696" t="s">
        <v>17</v>
      </c>
      <c r="L1696">
        <v>100</v>
      </c>
      <c r="M1696">
        <f>IF(D1696=I1696,VLOOKUP(D1696,a_win_totals_lookup,MATCH(K1696,a_wins_total_lookup_header,0)+1,0),VLOOKUP(D1696,a_win_totals_lookup,MATCH(I1696,a_wins_total_lookup_header,0)+1,0))</f>
        <v>0.53496419100371084</v>
      </c>
      <c r="N1696">
        <f t="shared" ca="1" si="26"/>
        <v>0</v>
      </c>
    </row>
    <row r="1697" spans="1:14" x14ac:dyDescent="0.25">
      <c r="A1697">
        <v>400579143</v>
      </c>
      <c r="B1697">
        <v>2015</v>
      </c>
      <c r="C1697" s="1">
        <v>42060</v>
      </c>
      <c r="D1697" t="s">
        <v>34</v>
      </c>
      <c r="E1697">
        <v>0</v>
      </c>
      <c r="F1697">
        <v>21</v>
      </c>
      <c r="G1697">
        <v>35</v>
      </c>
      <c r="H1697">
        <v>1</v>
      </c>
      <c r="I1697" t="s">
        <v>34</v>
      </c>
      <c r="J1697">
        <v>97</v>
      </c>
      <c r="K1697" t="s">
        <v>17</v>
      </c>
      <c r="L1697">
        <v>100</v>
      </c>
      <c r="M1697">
        <f>IF(D1697=I1697,VLOOKUP(D1697,a_win_totals_lookup,MATCH(K1697,a_wins_total_lookup_header,0)+1,0),VLOOKUP(D1697,a_win_totals_lookup,MATCH(I1697,a_wins_total_lookup_header,0)+1,0))</f>
        <v>0.46503580899628916</v>
      </c>
      <c r="N1697">
        <f t="shared" ca="1" si="26"/>
        <v>0</v>
      </c>
    </row>
    <row r="1698" spans="1:14" x14ac:dyDescent="0.25">
      <c r="A1698">
        <v>400579144</v>
      </c>
      <c r="B1698">
        <v>2015</v>
      </c>
      <c r="C1698" s="1">
        <v>42060</v>
      </c>
      <c r="D1698" t="s">
        <v>28</v>
      </c>
      <c r="E1698">
        <v>0</v>
      </c>
      <c r="F1698">
        <v>41</v>
      </c>
      <c r="G1698">
        <v>15</v>
      </c>
      <c r="H1698">
        <v>0</v>
      </c>
      <c r="I1698" t="s">
        <v>37</v>
      </c>
      <c r="J1698">
        <v>102</v>
      </c>
      <c r="K1698" t="s">
        <v>28</v>
      </c>
      <c r="L1698">
        <v>90</v>
      </c>
      <c r="M1698">
        <f>IF(D1698=I1698,VLOOKUP(D1698,a_win_totals_lookup,MATCH(K1698,a_wins_total_lookup_header,0)+1,0),VLOOKUP(D1698,a_win_totals_lookup,MATCH(I1698,a_wins_total_lookup_header,0)+1,0))</f>
        <v>0.67190542095206907</v>
      </c>
      <c r="N1698">
        <f t="shared" ca="1" si="26"/>
        <v>1</v>
      </c>
    </row>
    <row r="1699" spans="1:14" x14ac:dyDescent="0.25">
      <c r="A1699">
        <v>400579144</v>
      </c>
      <c r="B1699">
        <v>2015</v>
      </c>
      <c r="C1699" s="1">
        <v>42060</v>
      </c>
      <c r="D1699" t="s">
        <v>37</v>
      </c>
      <c r="E1699">
        <v>1</v>
      </c>
      <c r="F1699">
        <v>20</v>
      </c>
      <c r="G1699">
        <v>35</v>
      </c>
      <c r="H1699">
        <v>1</v>
      </c>
      <c r="I1699" t="s">
        <v>37</v>
      </c>
      <c r="J1699">
        <v>102</v>
      </c>
      <c r="K1699" t="s">
        <v>28</v>
      </c>
      <c r="L1699">
        <v>90</v>
      </c>
      <c r="M1699">
        <f>IF(D1699=I1699,VLOOKUP(D1699,a_win_totals_lookup,MATCH(K1699,a_wins_total_lookup_header,0)+1,0),VLOOKUP(D1699,a_win_totals_lookup,MATCH(I1699,a_wins_total_lookup_header,0)+1,0))</f>
        <v>0.32809457904793099</v>
      </c>
      <c r="N1699">
        <f t="shared" ca="1" si="26"/>
        <v>0</v>
      </c>
    </row>
    <row r="1700" spans="1:14" x14ac:dyDescent="0.25">
      <c r="A1700">
        <v>400579145</v>
      </c>
      <c r="B1700">
        <v>2015</v>
      </c>
      <c r="C1700" s="1">
        <v>42060</v>
      </c>
      <c r="D1700" t="s">
        <v>39</v>
      </c>
      <c r="E1700">
        <v>1</v>
      </c>
      <c r="F1700">
        <v>37</v>
      </c>
      <c r="G1700">
        <v>19</v>
      </c>
      <c r="H1700">
        <v>1</v>
      </c>
      <c r="I1700" t="s">
        <v>39</v>
      </c>
      <c r="J1700">
        <v>111</v>
      </c>
      <c r="K1700" t="s">
        <v>15</v>
      </c>
      <c r="L1700">
        <v>95</v>
      </c>
      <c r="M1700">
        <f>IF(D1700=I1700,VLOOKUP(D1700,a_win_totals_lookup,MATCH(K1700,a_wins_total_lookup_header,0)+1,0),VLOOKUP(D1700,a_win_totals_lookup,MATCH(I1700,a_wins_total_lookup_header,0)+1,0))</f>
        <v>0.44928415963258811</v>
      </c>
      <c r="N1700">
        <f t="shared" ca="1" si="26"/>
        <v>0</v>
      </c>
    </row>
    <row r="1701" spans="1:14" x14ac:dyDescent="0.25">
      <c r="A1701">
        <v>400579145</v>
      </c>
      <c r="B1701">
        <v>2015</v>
      </c>
      <c r="C1701" s="1">
        <v>42060</v>
      </c>
      <c r="D1701" t="s">
        <v>15</v>
      </c>
      <c r="E1701">
        <v>0</v>
      </c>
      <c r="F1701">
        <v>34</v>
      </c>
      <c r="G1701">
        <v>23</v>
      </c>
      <c r="H1701">
        <v>0</v>
      </c>
      <c r="I1701" t="s">
        <v>39</v>
      </c>
      <c r="J1701">
        <v>111</v>
      </c>
      <c r="K1701" t="s">
        <v>15</v>
      </c>
      <c r="L1701">
        <v>95</v>
      </c>
      <c r="M1701">
        <f>IF(D1701=I1701,VLOOKUP(D1701,a_win_totals_lookup,MATCH(K1701,a_wins_total_lookup_header,0)+1,0),VLOOKUP(D1701,a_win_totals_lookup,MATCH(I1701,a_wins_total_lookup_header,0)+1,0))</f>
        <v>0.55071584036741195</v>
      </c>
      <c r="N1701">
        <f t="shared" ca="1" si="26"/>
        <v>0</v>
      </c>
    </row>
    <row r="1702" spans="1:14" x14ac:dyDescent="0.25">
      <c r="A1702">
        <v>400579146</v>
      </c>
      <c r="B1702">
        <v>2015</v>
      </c>
      <c r="C1702" s="1">
        <v>42061</v>
      </c>
      <c r="D1702" t="s">
        <v>40</v>
      </c>
      <c r="E1702">
        <v>1</v>
      </c>
      <c r="F1702">
        <v>37</v>
      </c>
      <c r="G1702">
        <v>22</v>
      </c>
      <c r="H1702">
        <v>1</v>
      </c>
      <c r="I1702" t="s">
        <v>40</v>
      </c>
      <c r="J1702">
        <v>110</v>
      </c>
      <c r="K1702" t="s">
        <v>36</v>
      </c>
      <c r="L1702">
        <v>99</v>
      </c>
      <c r="M1702">
        <f>IF(D1702=I1702,VLOOKUP(D1702,a_win_totals_lookup,MATCH(K1702,a_wins_total_lookup_header,0)+1,0),VLOOKUP(D1702,a_win_totals_lookup,MATCH(I1702,a_wins_total_lookup_header,0)+1,0))</f>
        <v>0.52902568929724392</v>
      </c>
      <c r="N1702">
        <f t="shared" ca="1" si="26"/>
        <v>1</v>
      </c>
    </row>
    <row r="1703" spans="1:14" x14ac:dyDescent="0.25">
      <c r="A1703">
        <v>400579146</v>
      </c>
      <c r="B1703">
        <v>2015</v>
      </c>
      <c r="C1703" s="1">
        <v>42061</v>
      </c>
      <c r="D1703" t="s">
        <v>36</v>
      </c>
      <c r="E1703">
        <v>0</v>
      </c>
      <c r="F1703">
        <v>44</v>
      </c>
      <c r="G1703">
        <v>11</v>
      </c>
      <c r="H1703">
        <v>0</v>
      </c>
      <c r="I1703" t="s">
        <v>40</v>
      </c>
      <c r="J1703">
        <v>110</v>
      </c>
      <c r="K1703" t="s">
        <v>36</v>
      </c>
      <c r="L1703">
        <v>99</v>
      </c>
      <c r="M1703">
        <f>IF(D1703=I1703,VLOOKUP(D1703,a_win_totals_lookup,MATCH(K1703,a_wins_total_lookup_header,0)+1,0),VLOOKUP(D1703,a_win_totals_lookup,MATCH(I1703,a_wins_total_lookup_header,0)+1,0))</f>
        <v>0.47097431070275608</v>
      </c>
      <c r="N1703">
        <f t="shared" ca="1" si="26"/>
        <v>0</v>
      </c>
    </row>
    <row r="1704" spans="1:14" x14ac:dyDescent="0.25">
      <c r="A1704">
        <v>400579147</v>
      </c>
      <c r="B1704">
        <v>2015</v>
      </c>
      <c r="C1704" s="1">
        <v>42061</v>
      </c>
      <c r="D1704" t="s">
        <v>38</v>
      </c>
      <c r="E1704">
        <v>0</v>
      </c>
      <c r="F1704">
        <v>32</v>
      </c>
      <c r="G1704">
        <v>26</v>
      </c>
      <c r="H1704">
        <v>0</v>
      </c>
      <c r="I1704" t="s">
        <v>35</v>
      </c>
      <c r="J1704">
        <v>117</v>
      </c>
      <c r="K1704" t="s">
        <v>38</v>
      </c>
      <c r="L1704">
        <v>113</v>
      </c>
      <c r="M1704">
        <f>IF(D1704=I1704,VLOOKUP(D1704,a_win_totals_lookup,MATCH(K1704,a_wins_total_lookup_header,0)+1,0),VLOOKUP(D1704,a_win_totals_lookup,MATCH(I1704,a_wins_total_lookup_header,0)+1,0))</f>
        <v>0.59107258793132766</v>
      </c>
      <c r="N1704">
        <f t="shared" ca="1" si="26"/>
        <v>1</v>
      </c>
    </row>
    <row r="1705" spans="1:14" x14ac:dyDescent="0.25">
      <c r="A1705">
        <v>400579147</v>
      </c>
      <c r="B1705">
        <v>2015</v>
      </c>
      <c r="C1705" s="1">
        <v>42061</v>
      </c>
      <c r="D1705" t="s">
        <v>35</v>
      </c>
      <c r="E1705">
        <v>1</v>
      </c>
      <c r="F1705">
        <v>31</v>
      </c>
      <c r="G1705">
        <v>28</v>
      </c>
      <c r="H1705">
        <v>1</v>
      </c>
      <c r="I1705" t="s">
        <v>35</v>
      </c>
      <c r="J1705">
        <v>117</v>
      </c>
      <c r="K1705" t="s">
        <v>38</v>
      </c>
      <c r="L1705">
        <v>113</v>
      </c>
      <c r="M1705">
        <f>IF(D1705=I1705,VLOOKUP(D1705,a_win_totals_lookup,MATCH(K1705,a_wins_total_lookup_header,0)+1,0),VLOOKUP(D1705,a_win_totals_lookup,MATCH(I1705,a_wins_total_lookup_header,0)+1,0))</f>
        <v>0.40892741206867239</v>
      </c>
      <c r="N1705">
        <f t="shared" ca="1" si="26"/>
        <v>1</v>
      </c>
    </row>
    <row r="1706" spans="1:14" x14ac:dyDescent="0.25">
      <c r="A1706">
        <v>400579148</v>
      </c>
      <c r="B1706">
        <v>2015</v>
      </c>
      <c r="C1706" s="1">
        <v>42062</v>
      </c>
      <c r="D1706" t="s">
        <v>40</v>
      </c>
      <c r="E1706">
        <v>0</v>
      </c>
      <c r="F1706">
        <v>37</v>
      </c>
      <c r="G1706">
        <v>23</v>
      </c>
      <c r="H1706">
        <v>0</v>
      </c>
      <c r="I1706" t="s">
        <v>20</v>
      </c>
      <c r="J1706">
        <v>93</v>
      </c>
      <c r="K1706" t="s">
        <v>40</v>
      </c>
      <c r="L1706">
        <v>86</v>
      </c>
      <c r="M1706">
        <f>IF(D1706=I1706,VLOOKUP(D1706,a_win_totals_lookup,MATCH(K1706,a_wins_total_lookup_header,0)+1,0),VLOOKUP(D1706,a_win_totals_lookup,MATCH(I1706,a_wins_total_lookup_header,0)+1,0))</f>
        <v>0.70252114864958182</v>
      </c>
      <c r="N1706">
        <f t="shared" ca="1" si="26"/>
        <v>1</v>
      </c>
    </row>
    <row r="1707" spans="1:14" x14ac:dyDescent="0.25">
      <c r="A1707">
        <v>400579148</v>
      </c>
      <c r="B1707">
        <v>2015</v>
      </c>
      <c r="C1707" s="1">
        <v>42062</v>
      </c>
      <c r="D1707" t="s">
        <v>20</v>
      </c>
      <c r="E1707">
        <v>1</v>
      </c>
      <c r="F1707">
        <v>24</v>
      </c>
      <c r="G1707">
        <v>34</v>
      </c>
      <c r="H1707">
        <v>1</v>
      </c>
      <c r="I1707" t="s">
        <v>20</v>
      </c>
      <c r="J1707">
        <v>93</v>
      </c>
      <c r="K1707" t="s">
        <v>40</v>
      </c>
      <c r="L1707">
        <v>86</v>
      </c>
      <c r="M1707">
        <f>IF(D1707=I1707,VLOOKUP(D1707,a_win_totals_lookup,MATCH(K1707,a_wins_total_lookup_header,0)+1,0),VLOOKUP(D1707,a_win_totals_lookup,MATCH(I1707,a_wins_total_lookup_header,0)+1,0))</f>
        <v>0.29747885135041813</v>
      </c>
      <c r="N1707">
        <f t="shared" ca="1" si="26"/>
        <v>0</v>
      </c>
    </row>
    <row r="1708" spans="1:14" x14ac:dyDescent="0.25">
      <c r="A1708">
        <v>400579149</v>
      </c>
      <c r="B1708">
        <v>2015</v>
      </c>
      <c r="C1708" s="1">
        <v>42062</v>
      </c>
      <c r="D1708" t="s">
        <v>21</v>
      </c>
      <c r="E1708">
        <v>1</v>
      </c>
      <c r="F1708">
        <v>13</v>
      </c>
      <c r="G1708">
        <v>45</v>
      </c>
      <c r="H1708">
        <v>1</v>
      </c>
      <c r="I1708" t="s">
        <v>21</v>
      </c>
      <c r="J1708">
        <v>89</v>
      </c>
      <c r="K1708" t="s">
        <v>25</v>
      </c>
      <c r="L1708">
        <v>81</v>
      </c>
      <c r="M1708">
        <f>IF(D1708=I1708,VLOOKUP(D1708,a_win_totals_lookup,MATCH(K1708,a_wins_total_lookup_header,0)+1,0),VLOOKUP(D1708,a_win_totals_lookup,MATCH(I1708,a_wins_total_lookup_header,0)+1,0))</f>
        <v>0.23731187072121385</v>
      </c>
      <c r="N1708">
        <f t="shared" ca="1" si="26"/>
        <v>0</v>
      </c>
    </row>
    <row r="1709" spans="1:14" x14ac:dyDescent="0.25">
      <c r="A1709">
        <v>400579149</v>
      </c>
      <c r="B1709">
        <v>2015</v>
      </c>
      <c r="C1709" s="1">
        <v>42062</v>
      </c>
      <c r="D1709" t="s">
        <v>25</v>
      </c>
      <c r="E1709">
        <v>0</v>
      </c>
      <c r="F1709">
        <v>33</v>
      </c>
      <c r="G1709">
        <v>26</v>
      </c>
      <c r="H1709">
        <v>0</v>
      </c>
      <c r="I1709" t="s">
        <v>21</v>
      </c>
      <c r="J1709">
        <v>89</v>
      </c>
      <c r="K1709" t="s">
        <v>25</v>
      </c>
      <c r="L1709">
        <v>81</v>
      </c>
      <c r="M1709">
        <f>IF(D1709=I1709,VLOOKUP(D1709,a_win_totals_lookup,MATCH(K1709,a_wins_total_lookup_header,0)+1,0),VLOOKUP(D1709,a_win_totals_lookup,MATCH(I1709,a_wins_total_lookup_header,0)+1,0))</f>
        <v>0.76268812927878615</v>
      </c>
      <c r="N1709">
        <f t="shared" ca="1" si="26"/>
        <v>0</v>
      </c>
    </row>
    <row r="1710" spans="1:14" x14ac:dyDescent="0.25">
      <c r="A1710">
        <v>400579150</v>
      </c>
      <c r="B1710">
        <v>2015</v>
      </c>
      <c r="C1710" s="1">
        <v>42062</v>
      </c>
      <c r="D1710" t="s">
        <v>26</v>
      </c>
      <c r="E1710">
        <v>1</v>
      </c>
      <c r="F1710">
        <v>46</v>
      </c>
      <c r="G1710">
        <v>12</v>
      </c>
      <c r="H1710">
        <v>1</v>
      </c>
      <c r="I1710" t="s">
        <v>26</v>
      </c>
      <c r="J1710">
        <v>95</v>
      </c>
      <c r="K1710" t="s">
        <v>13</v>
      </c>
      <c r="L1710">
        <v>88</v>
      </c>
      <c r="M1710">
        <f>IF(D1710=I1710,VLOOKUP(D1710,a_win_totals_lookup,MATCH(K1710,a_wins_total_lookup_header,0)+1,0),VLOOKUP(D1710,a_win_totals_lookup,MATCH(I1710,a_wins_total_lookup_header,0)+1,0))</f>
        <v>0.64759781623680968</v>
      </c>
      <c r="N1710">
        <f t="shared" ca="1" si="26"/>
        <v>1</v>
      </c>
    </row>
    <row r="1711" spans="1:14" x14ac:dyDescent="0.25">
      <c r="A1711">
        <v>400579150</v>
      </c>
      <c r="B1711">
        <v>2015</v>
      </c>
      <c r="C1711" s="1">
        <v>42062</v>
      </c>
      <c r="D1711" t="s">
        <v>13</v>
      </c>
      <c r="E1711">
        <v>0</v>
      </c>
      <c r="F1711">
        <v>19</v>
      </c>
      <c r="G1711">
        <v>41</v>
      </c>
      <c r="H1711">
        <v>0</v>
      </c>
      <c r="I1711" t="s">
        <v>26</v>
      </c>
      <c r="J1711">
        <v>95</v>
      </c>
      <c r="K1711" t="s">
        <v>13</v>
      </c>
      <c r="L1711">
        <v>88</v>
      </c>
      <c r="M1711">
        <f>IF(D1711=I1711,VLOOKUP(D1711,a_win_totals_lookup,MATCH(K1711,a_wins_total_lookup_header,0)+1,0),VLOOKUP(D1711,a_win_totals_lookup,MATCH(I1711,a_wins_total_lookup_header,0)+1,0))</f>
        <v>0.35240218376319032</v>
      </c>
      <c r="N1711">
        <f t="shared" ca="1" si="26"/>
        <v>0</v>
      </c>
    </row>
    <row r="1712" spans="1:14" x14ac:dyDescent="0.25">
      <c r="A1712">
        <v>400579151</v>
      </c>
      <c r="B1712">
        <v>2015</v>
      </c>
      <c r="C1712" s="1">
        <v>42062</v>
      </c>
      <c r="D1712" t="s">
        <v>22</v>
      </c>
      <c r="E1712">
        <v>1</v>
      </c>
      <c r="F1712">
        <v>23</v>
      </c>
      <c r="G1712">
        <v>33</v>
      </c>
      <c r="H1712">
        <v>1</v>
      </c>
      <c r="I1712" t="s">
        <v>22</v>
      </c>
      <c r="J1712">
        <v>106</v>
      </c>
      <c r="K1712" t="s">
        <v>18</v>
      </c>
      <c r="L1712">
        <v>98</v>
      </c>
      <c r="M1712">
        <f>IF(D1712=I1712,VLOOKUP(D1712,a_win_totals_lookup,MATCH(K1712,a_wins_total_lookup_header,0)+1,0),VLOOKUP(D1712,a_win_totals_lookup,MATCH(I1712,a_wins_total_lookup_header,0)+1,0))</f>
        <v>0.28373903306292714</v>
      </c>
      <c r="N1712">
        <f t="shared" ca="1" si="26"/>
        <v>0</v>
      </c>
    </row>
    <row r="1713" spans="1:14" x14ac:dyDescent="0.25">
      <c r="A1713">
        <v>400579151</v>
      </c>
      <c r="B1713">
        <v>2015</v>
      </c>
      <c r="C1713" s="1">
        <v>42062</v>
      </c>
      <c r="D1713" t="s">
        <v>18</v>
      </c>
      <c r="E1713">
        <v>0</v>
      </c>
      <c r="F1713">
        <v>23</v>
      </c>
      <c r="G1713">
        <v>33</v>
      </c>
      <c r="H1713">
        <v>0</v>
      </c>
      <c r="I1713" t="s">
        <v>22</v>
      </c>
      <c r="J1713">
        <v>106</v>
      </c>
      <c r="K1713" t="s">
        <v>18</v>
      </c>
      <c r="L1713">
        <v>98</v>
      </c>
      <c r="M1713">
        <f>IF(D1713=I1713,VLOOKUP(D1713,a_win_totals_lookup,MATCH(K1713,a_wins_total_lookup_header,0)+1,0),VLOOKUP(D1713,a_win_totals_lookup,MATCH(I1713,a_wins_total_lookup_header,0)+1,0))</f>
        <v>0.71626096693707286</v>
      </c>
      <c r="N1713">
        <f t="shared" ca="1" si="26"/>
        <v>0</v>
      </c>
    </row>
    <row r="1714" spans="1:14" x14ac:dyDescent="0.25">
      <c r="A1714">
        <v>400579152</v>
      </c>
      <c r="B1714">
        <v>2015</v>
      </c>
      <c r="C1714" s="1">
        <v>42062</v>
      </c>
      <c r="D1714" t="s">
        <v>33</v>
      </c>
      <c r="E1714">
        <v>0</v>
      </c>
      <c r="F1714">
        <v>23</v>
      </c>
      <c r="G1714">
        <v>35</v>
      </c>
      <c r="H1714">
        <v>1</v>
      </c>
      <c r="I1714" t="s">
        <v>33</v>
      </c>
      <c r="J1714">
        <v>115</v>
      </c>
      <c r="K1714" t="s">
        <v>31</v>
      </c>
      <c r="L1714">
        <v>121</v>
      </c>
      <c r="M1714">
        <f>IF(D1714=I1714,VLOOKUP(D1714,a_win_totals_lookup,MATCH(K1714,a_wins_total_lookup_header,0)+1,0),VLOOKUP(D1714,a_win_totals_lookup,MATCH(I1714,a_wins_total_lookup_header,0)+1,0))</f>
        <v>0.45523194426626579</v>
      </c>
      <c r="N1714">
        <f t="shared" ca="1" si="26"/>
        <v>1</v>
      </c>
    </row>
    <row r="1715" spans="1:14" x14ac:dyDescent="0.25">
      <c r="A1715">
        <v>400579152</v>
      </c>
      <c r="B1715">
        <v>2015</v>
      </c>
      <c r="C1715" s="1">
        <v>42062</v>
      </c>
      <c r="D1715" t="s">
        <v>31</v>
      </c>
      <c r="E1715">
        <v>1</v>
      </c>
      <c r="F1715">
        <v>11</v>
      </c>
      <c r="G1715">
        <v>46</v>
      </c>
      <c r="H1715">
        <v>0</v>
      </c>
      <c r="I1715" t="s">
        <v>33</v>
      </c>
      <c r="J1715">
        <v>115</v>
      </c>
      <c r="K1715" t="s">
        <v>31</v>
      </c>
      <c r="L1715">
        <v>121</v>
      </c>
      <c r="M1715">
        <f>IF(D1715=I1715,VLOOKUP(D1715,a_win_totals_lookup,MATCH(K1715,a_wins_total_lookup_header,0)+1,0),VLOOKUP(D1715,a_win_totals_lookup,MATCH(I1715,a_wins_total_lookup_header,0)+1,0))</f>
        <v>0.54476805573373421</v>
      </c>
      <c r="N1715">
        <f t="shared" ca="1" si="26"/>
        <v>0</v>
      </c>
    </row>
    <row r="1716" spans="1:14" x14ac:dyDescent="0.25">
      <c r="A1716">
        <v>400579153</v>
      </c>
      <c r="B1716">
        <v>2015</v>
      </c>
      <c r="C1716" s="1">
        <v>42062</v>
      </c>
      <c r="D1716" t="s">
        <v>36</v>
      </c>
      <c r="E1716">
        <v>1</v>
      </c>
      <c r="F1716">
        <v>45</v>
      </c>
      <c r="G1716">
        <v>11</v>
      </c>
      <c r="H1716">
        <v>0</v>
      </c>
      <c r="I1716" t="s">
        <v>27</v>
      </c>
      <c r="J1716">
        <v>89</v>
      </c>
      <c r="K1716" t="s">
        <v>36</v>
      </c>
      <c r="L1716">
        <v>113</v>
      </c>
      <c r="M1716">
        <f>IF(D1716=I1716,VLOOKUP(D1716,a_win_totals_lookup,MATCH(K1716,a_wins_total_lookup_header,0)+1,0),VLOOKUP(D1716,a_win_totals_lookup,MATCH(I1716,a_wins_total_lookup_header,0)+1,0))</f>
        <v>0.50722666212157341</v>
      </c>
      <c r="N1716">
        <f t="shared" ca="1" si="26"/>
        <v>1</v>
      </c>
    </row>
    <row r="1717" spans="1:14" x14ac:dyDescent="0.25">
      <c r="A1717">
        <v>400579153</v>
      </c>
      <c r="B1717">
        <v>2015</v>
      </c>
      <c r="C1717" s="1">
        <v>42062</v>
      </c>
      <c r="D1717" t="s">
        <v>27</v>
      </c>
      <c r="E1717">
        <v>0</v>
      </c>
      <c r="F1717">
        <v>37</v>
      </c>
      <c r="G1717">
        <v>21</v>
      </c>
      <c r="H1717">
        <v>1</v>
      </c>
      <c r="I1717" t="s">
        <v>27</v>
      </c>
      <c r="J1717">
        <v>89</v>
      </c>
      <c r="K1717" t="s">
        <v>36</v>
      </c>
      <c r="L1717">
        <v>113</v>
      </c>
      <c r="M1717">
        <f>IF(D1717=I1717,VLOOKUP(D1717,a_win_totals_lookup,MATCH(K1717,a_wins_total_lookup_header,0)+1,0),VLOOKUP(D1717,a_win_totals_lookup,MATCH(I1717,a_wins_total_lookup_header,0)+1,0))</f>
        <v>0.49277333787842664</v>
      </c>
      <c r="N1717">
        <f t="shared" ca="1" si="26"/>
        <v>0</v>
      </c>
    </row>
    <row r="1718" spans="1:14" x14ac:dyDescent="0.25">
      <c r="A1718">
        <v>400579154</v>
      </c>
      <c r="B1718">
        <v>2015</v>
      </c>
      <c r="C1718" s="1">
        <v>42062</v>
      </c>
      <c r="D1718" t="s">
        <v>30</v>
      </c>
      <c r="E1718">
        <v>1</v>
      </c>
      <c r="F1718">
        <v>37</v>
      </c>
      <c r="G1718">
        <v>22</v>
      </c>
      <c r="H1718">
        <v>1</v>
      </c>
      <c r="I1718" t="s">
        <v>30</v>
      </c>
      <c r="J1718">
        <v>96</v>
      </c>
      <c r="K1718" t="s">
        <v>29</v>
      </c>
      <c r="L1718">
        <v>89</v>
      </c>
      <c r="M1718">
        <f>IF(D1718=I1718,VLOOKUP(D1718,a_win_totals_lookup,MATCH(K1718,a_wins_total_lookup_header,0)+1,0),VLOOKUP(D1718,a_win_totals_lookup,MATCH(I1718,a_wins_total_lookup_header,0)+1,0))</f>
        <v>0.77729986117469119</v>
      </c>
      <c r="N1718">
        <f t="shared" ca="1" si="26"/>
        <v>1</v>
      </c>
    </row>
    <row r="1719" spans="1:14" x14ac:dyDescent="0.25">
      <c r="A1719">
        <v>400579154</v>
      </c>
      <c r="B1719">
        <v>2015</v>
      </c>
      <c r="C1719" s="1">
        <v>42062</v>
      </c>
      <c r="D1719" t="s">
        <v>29</v>
      </c>
      <c r="E1719">
        <v>0</v>
      </c>
      <c r="F1719">
        <v>13</v>
      </c>
      <c r="G1719">
        <v>44</v>
      </c>
      <c r="H1719">
        <v>0</v>
      </c>
      <c r="I1719" t="s">
        <v>30</v>
      </c>
      <c r="J1719">
        <v>96</v>
      </c>
      <c r="K1719" t="s">
        <v>29</v>
      </c>
      <c r="L1719">
        <v>89</v>
      </c>
      <c r="M1719">
        <f>IF(D1719=I1719,VLOOKUP(D1719,a_win_totals_lookup,MATCH(K1719,a_wins_total_lookup_header,0)+1,0),VLOOKUP(D1719,a_win_totals_lookup,MATCH(I1719,a_wins_total_lookup_header,0)+1,0))</f>
        <v>0.22270013882530892</v>
      </c>
      <c r="N1719">
        <f t="shared" ca="1" si="26"/>
        <v>0</v>
      </c>
    </row>
    <row r="1720" spans="1:14" x14ac:dyDescent="0.25">
      <c r="A1720">
        <v>400579155</v>
      </c>
      <c r="B1720">
        <v>2015</v>
      </c>
      <c r="C1720" s="1">
        <v>42062</v>
      </c>
      <c r="D1720" t="s">
        <v>23</v>
      </c>
      <c r="E1720">
        <v>0</v>
      </c>
      <c r="F1720">
        <v>23</v>
      </c>
      <c r="G1720">
        <v>33</v>
      </c>
      <c r="H1720">
        <v>0</v>
      </c>
      <c r="I1720" t="s">
        <v>16</v>
      </c>
      <c r="J1720">
        <v>102</v>
      </c>
      <c r="K1720" t="s">
        <v>23</v>
      </c>
      <c r="L1720">
        <v>98</v>
      </c>
      <c r="M1720">
        <f>IF(D1720=I1720,VLOOKUP(D1720,a_win_totals_lookup,MATCH(K1720,a_wins_total_lookup_header,0)+1,0),VLOOKUP(D1720,a_win_totals_lookup,MATCH(I1720,a_wins_total_lookup_header,0)+1,0))</f>
        <v>0.41758613378174975</v>
      </c>
      <c r="N1720">
        <f t="shared" ca="1" si="26"/>
        <v>0</v>
      </c>
    </row>
    <row r="1721" spans="1:14" x14ac:dyDescent="0.25">
      <c r="A1721">
        <v>400579155</v>
      </c>
      <c r="B1721">
        <v>2015</v>
      </c>
      <c r="C1721" s="1">
        <v>42062</v>
      </c>
      <c r="D1721" t="s">
        <v>16</v>
      </c>
      <c r="E1721">
        <v>1</v>
      </c>
      <c r="F1721">
        <v>40</v>
      </c>
      <c r="G1721">
        <v>18</v>
      </c>
      <c r="H1721">
        <v>1</v>
      </c>
      <c r="I1721" t="s">
        <v>16</v>
      </c>
      <c r="J1721">
        <v>102</v>
      </c>
      <c r="K1721" t="s">
        <v>23</v>
      </c>
      <c r="L1721">
        <v>98</v>
      </c>
      <c r="M1721">
        <f>IF(D1721=I1721,VLOOKUP(D1721,a_win_totals_lookup,MATCH(K1721,a_wins_total_lookup_header,0)+1,0),VLOOKUP(D1721,a_win_totals_lookup,MATCH(I1721,a_wins_total_lookup_header,0)+1,0))</f>
        <v>0.5824138662182502</v>
      </c>
      <c r="N1721">
        <f t="shared" ca="1" si="26"/>
        <v>0</v>
      </c>
    </row>
    <row r="1722" spans="1:14" x14ac:dyDescent="0.25">
      <c r="A1722">
        <v>400579156</v>
      </c>
      <c r="B1722">
        <v>2015</v>
      </c>
      <c r="C1722" s="1">
        <v>42062</v>
      </c>
      <c r="D1722" t="s">
        <v>41</v>
      </c>
      <c r="E1722">
        <v>1</v>
      </c>
      <c r="F1722">
        <v>38</v>
      </c>
      <c r="G1722">
        <v>21</v>
      </c>
      <c r="H1722">
        <v>0</v>
      </c>
      <c r="I1722" t="s">
        <v>28</v>
      </c>
      <c r="J1722">
        <v>79</v>
      </c>
      <c r="K1722" t="s">
        <v>41</v>
      </c>
      <c r="L1722">
        <v>97</v>
      </c>
      <c r="M1722">
        <f>IF(D1722=I1722,VLOOKUP(D1722,a_win_totals_lookup,MATCH(K1722,a_wins_total_lookup_header,0)+1,0),VLOOKUP(D1722,a_win_totals_lookup,MATCH(I1722,a_wins_total_lookup_header,0)+1,0))</f>
        <v>0.5521428232847434</v>
      </c>
      <c r="N1722">
        <f t="shared" ca="1" si="26"/>
        <v>1</v>
      </c>
    </row>
    <row r="1723" spans="1:14" x14ac:dyDescent="0.25">
      <c r="A1723">
        <v>400579156</v>
      </c>
      <c r="B1723">
        <v>2015</v>
      </c>
      <c r="C1723" s="1">
        <v>42062</v>
      </c>
      <c r="D1723" t="s">
        <v>28</v>
      </c>
      <c r="E1723">
        <v>0</v>
      </c>
      <c r="F1723">
        <v>41</v>
      </c>
      <c r="G1723">
        <v>16</v>
      </c>
      <c r="H1723">
        <v>1</v>
      </c>
      <c r="I1723" t="s">
        <v>28</v>
      </c>
      <c r="J1723">
        <v>79</v>
      </c>
      <c r="K1723" t="s">
        <v>41</v>
      </c>
      <c r="L1723">
        <v>97</v>
      </c>
      <c r="M1723">
        <f>IF(D1723=I1723,VLOOKUP(D1723,a_win_totals_lookup,MATCH(K1723,a_wins_total_lookup_header,0)+1,0),VLOOKUP(D1723,a_win_totals_lookup,MATCH(I1723,a_wins_total_lookup_header,0)+1,0))</f>
        <v>0.44785717671525666</v>
      </c>
      <c r="N1723">
        <f t="shared" ca="1" si="26"/>
        <v>0</v>
      </c>
    </row>
    <row r="1724" spans="1:14" x14ac:dyDescent="0.25">
      <c r="A1724">
        <v>400579157</v>
      </c>
      <c r="B1724">
        <v>2015</v>
      </c>
      <c r="C1724" s="1">
        <v>42062</v>
      </c>
      <c r="D1724" t="s">
        <v>24</v>
      </c>
      <c r="E1724">
        <v>0</v>
      </c>
      <c r="F1724">
        <v>25</v>
      </c>
      <c r="G1724">
        <v>32</v>
      </c>
      <c r="H1724">
        <v>0</v>
      </c>
      <c r="I1724" t="s">
        <v>12</v>
      </c>
      <c r="J1724">
        <v>104</v>
      </c>
      <c r="K1724" t="s">
        <v>24</v>
      </c>
      <c r="L1724">
        <v>102</v>
      </c>
      <c r="M1724">
        <f>IF(D1724=I1724,VLOOKUP(D1724,a_win_totals_lookup,MATCH(K1724,a_wins_total_lookup_header,0)+1,0),VLOOKUP(D1724,a_win_totals_lookup,MATCH(I1724,a_wins_total_lookup_header,0)+1,0))</f>
        <v>0.5374298453437496</v>
      </c>
      <c r="N1724">
        <f t="shared" ca="1" si="26"/>
        <v>1</v>
      </c>
    </row>
    <row r="1725" spans="1:14" x14ac:dyDescent="0.25">
      <c r="A1725">
        <v>400579157</v>
      </c>
      <c r="B1725">
        <v>2015</v>
      </c>
      <c r="C1725" s="1">
        <v>42062</v>
      </c>
      <c r="D1725" t="s">
        <v>12</v>
      </c>
      <c r="E1725">
        <v>1</v>
      </c>
      <c r="F1725">
        <v>31</v>
      </c>
      <c r="G1725">
        <v>27</v>
      </c>
      <c r="H1725">
        <v>1</v>
      </c>
      <c r="I1725" t="s">
        <v>12</v>
      </c>
      <c r="J1725">
        <v>104</v>
      </c>
      <c r="K1725" t="s">
        <v>24</v>
      </c>
      <c r="L1725">
        <v>102</v>
      </c>
      <c r="M1725">
        <f>IF(D1725=I1725,VLOOKUP(D1725,a_win_totals_lookup,MATCH(K1725,a_wins_total_lookup_header,0)+1,0),VLOOKUP(D1725,a_win_totals_lookup,MATCH(I1725,a_wins_total_lookup_header,0)+1,0))</f>
        <v>0.4625701546562504</v>
      </c>
      <c r="N1725">
        <f t="shared" ca="1" si="26"/>
        <v>1</v>
      </c>
    </row>
    <row r="1726" spans="1:14" x14ac:dyDescent="0.25">
      <c r="A1726">
        <v>400579158</v>
      </c>
      <c r="B1726">
        <v>2015</v>
      </c>
      <c r="C1726" s="1">
        <v>42062</v>
      </c>
      <c r="D1726" t="s">
        <v>32</v>
      </c>
      <c r="E1726">
        <v>0</v>
      </c>
      <c r="F1726">
        <v>20</v>
      </c>
      <c r="G1726">
        <v>38</v>
      </c>
      <c r="H1726">
        <v>1</v>
      </c>
      <c r="I1726" t="s">
        <v>32</v>
      </c>
      <c r="J1726">
        <v>82</v>
      </c>
      <c r="K1726" t="s">
        <v>34</v>
      </c>
      <c r="L1726">
        <v>104</v>
      </c>
      <c r="M1726">
        <f>IF(D1726=I1726,VLOOKUP(D1726,a_win_totals_lookup,MATCH(K1726,a_wins_total_lookup_header,0)+1,0),VLOOKUP(D1726,a_win_totals_lookup,MATCH(I1726,a_wins_total_lookup_header,0)+1,0))</f>
        <v>0.61088100448941873</v>
      </c>
      <c r="N1726">
        <f t="shared" ca="1" si="26"/>
        <v>0</v>
      </c>
    </row>
    <row r="1727" spans="1:14" x14ac:dyDescent="0.25">
      <c r="A1727">
        <v>400579158</v>
      </c>
      <c r="B1727">
        <v>2015</v>
      </c>
      <c r="C1727" s="1">
        <v>42062</v>
      </c>
      <c r="D1727" t="s">
        <v>34</v>
      </c>
      <c r="E1727">
        <v>1</v>
      </c>
      <c r="F1727">
        <v>22</v>
      </c>
      <c r="G1727">
        <v>35</v>
      </c>
      <c r="H1727">
        <v>0</v>
      </c>
      <c r="I1727" t="s">
        <v>32</v>
      </c>
      <c r="J1727">
        <v>82</v>
      </c>
      <c r="K1727" t="s">
        <v>34</v>
      </c>
      <c r="L1727">
        <v>104</v>
      </c>
      <c r="M1727">
        <f>IF(D1727=I1727,VLOOKUP(D1727,a_win_totals_lookup,MATCH(K1727,a_wins_total_lookup_header,0)+1,0),VLOOKUP(D1727,a_win_totals_lookup,MATCH(I1727,a_wins_total_lookup_header,0)+1,0))</f>
        <v>0.38911899551058127</v>
      </c>
      <c r="N1727">
        <f t="shared" ca="1" si="26"/>
        <v>1</v>
      </c>
    </row>
    <row r="1728" spans="1:14" x14ac:dyDescent="0.25">
      <c r="A1728">
        <v>400579159</v>
      </c>
      <c r="B1728">
        <v>2015</v>
      </c>
      <c r="C1728" s="1">
        <v>42062</v>
      </c>
      <c r="D1728" t="s">
        <v>37</v>
      </c>
      <c r="E1728">
        <v>0</v>
      </c>
      <c r="F1728">
        <v>20</v>
      </c>
      <c r="G1728">
        <v>36</v>
      </c>
      <c r="H1728">
        <v>1</v>
      </c>
      <c r="I1728" t="s">
        <v>37</v>
      </c>
      <c r="J1728">
        <v>96</v>
      </c>
      <c r="K1728" t="s">
        <v>15</v>
      </c>
      <c r="L1728">
        <v>107</v>
      </c>
      <c r="M1728">
        <f>IF(D1728=I1728,VLOOKUP(D1728,a_win_totals_lookup,MATCH(K1728,a_wins_total_lookup_header,0)+1,0),VLOOKUP(D1728,a_win_totals_lookup,MATCH(I1728,a_wins_total_lookup_header,0)+1,0))</f>
        <v>0.29215473840837614</v>
      </c>
      <c r="N1728">
        <f t="shared" ca="1" si="26"/>
        <v>1</v>
      </c>
    </row>
    <row r="1729" spans="1:14" x14ac:dyDescent="0.25">
      <c r="A1729">
        <v>400579159</v>
      </c>
      <c r="B1729">
        <v>2015</v>
      </c>
      <c r="C1729" s="1">
        <v>42062</v>
      </c>
      <c r="D1729" t="s">
        <v>15</v>
      </c>
      <c r="E1729">
        <v>1</v>
      </c>
      <c r="F1729">
        <v>35</v>
      </c>
      <c r="G1729">
        <v>23</v>
      </c>
      <c r="H1729">
        <v>0</v>
      </c>
      <c r="I1729" t="s">
        <v>37</v>
      </c>
      <c r="J1729">
        <v>96</v>
      </c>
      <c r="K1729" t="s">
        <v>15</v>
      </c>
      <c r="L1729">
        <v>107</v>
      </c>
      <c r="M1729">
        <f>IF(D1729=I1729,VLOOKUP(D1729,a_win_totals_lookup,MATCH(K1729,a_wins_total_lookup_header,0)+1,0),VLOOKUP(D1729,a_win_totals_lookup,MATCH(I1729,a_wins_total_lookup_header,0)+1,0))</f>
        <v>0.70784526159162375</v>
      </c>
      <c r="N1729">
        <f t="shared" ca="1" si="26"/>
        <v>1</v>
      </c>
    </row>
    <row r="1730" spans="1:14" x14ac:dyDescent="0.25">
      <c r="A1730">
        <v>400579160</v>
      </c>
      <c r="B1730">
        <v>2015</v>
      </c>
      <c r="C1730" s="1">
        <v>42062</v>
      </c>
      <c r="D1730" t="s">
        <v>17</v>
      </c>
      <c r="E1730">
        <v>1</v>
      </c>
      <c r="F1730">
        <v>16</v>
      </c>
      <c r="G1730">
        <v>41</v>
      </c>
      <c r="H1730">
        <v>1</v>
      </c>
      <c r="I1730" t="s">
        <v>17</v>
      </c>
      <c r="J1730">
        <v>101</v>
      </c>
      <c r="K1730" t="s">
        <v>19</v>
      </c>
      <c r="L1730">
        <v>93</v>
      </c>
      <c r="M1730">
        <f>IF(D1730=I1730,VLOOKUP(D1730,a_win_totals_lookup,MATCH(K1730,a_wins_total_lookup_header,0)+1,0),VLOOKUP(D1730,a_win_totals_lookup,MATCH(I1730,a_wins_total_lookup_header,0)+1,0))</f>
        <v>0.57155775136304665</v>
      </c>
      <c r="N1730">
        <f t="shared" ca="1" si="26"/>
        <v>1</v>
      </c>
    </row>
    <row r="1731" spans="1:14" x14ac:dyDescent="0.25">
      <c r="A1731">
        <v>400579160</v>
      </c>
      <c r="B1731">
        <v>2015</v>
      </c>
      <c r="C1731" s="1">
        <v>42062</v>
      </c>
      <c r="D1731" t="s">
        <v>19</v>
      </c>
      <c r="E1731">
        <v>0</v>
      </c>
      <c r="F1731">
        <v>32</v>
      </c>
      <c r="G1731">
        <v>26</v>
      </c>
      <c r="H1731">
        <v>0</v>
      </c>
      <c r="I1731" t="s">
        <v>17</v>
      </c>
      <c r="J1731">
        <v>101</v>
      </c>
      <c r="K1731" t="s">
        <v>19</v>
      </c>
      <c r="L1731">
        <v>93</v>
      </c>
      <c r="M1731">
        <f>IF(D1731=I1731,VLOOKUP(D1731,a_win_totals_lookup,MATCH(K1731,a_wins_total_lookup_header,0)+1,0),VLOOKUP(D1731,a_win_totals_lookup,MATCH(I1731,a_wins_total_lookup_header,0)+1,0))</f>
        <v>0.42844224863695335</v>
      </c>
      <c r="N1731">
        <f t="shared" ref="N1731:N1794" ca="1" si="27">ROUND(0.5*RANDBETWEEN(-1,1)+M1731,0)</f>
        <v>0</v>
      </c>
    </row>
    <row r="1732" spans="1:14" x14ac:dyDescent="0.25">
      <c r="A1732">
        <v>400579161</v>
      </c>
      <c r="B1732">
        <v>2015</v>
      </c>
      <c r="C1732" s="1">
        <v>42062</v>
      </c>
      <c r="D1732" t="s">
        <v>38</v>
      </c>
      <c r="E1732">
        <v>0</v>
      </c>
      <c r="F1732">
        <v>32</v>
      </c>
      <c r="G1732">
        <v>27</v>
      </c>
      <c r="H1732">
        <v>0</v>
      </c>
      <c r="I1732" t="s">
        <v>39</v>
      </c>
      <c r="J1732">
        <v>115</v>
      </c>
      <c r="K1732" t="s">
        <v>38</v>
      </c>
      <c r="L1732">
        <v>112</v>
      </c>
      <c r="M1732">
        <f>IF(D1732=I1732,VLOOKUP(D1732,a_win_totals_lookup,MATCH(K1732,a_wins_total_lookup_header,0)+1,0),VLOOKUP(D1732,a_win_totals_lookup,MATCH(I1732,a_wins_total_lookup_header,0)+1,0))</f>
        <v>0.5387804547757824</v>
      </c>
      <c r="N1732">
        <f t="shared" ca="1" si="27"/>
        <v>1</v>
      </c>
    </row>
    <row r="1733" spans="1:14" x14ac:dyDescent="0.25">
      <c r="A1733">
        <v>400579161</v>
      </c>
      <c r="B1733">
        <v>2015</v>
      </c>
      <c r="C1733" s="1">
        <v>42062</v>
      </c>
      <c r="D1733" t="s">
        <v>39</v>
      </c>
      <c r="E1733">
        <v>1</v>
      </c>
      <c r="F1733">
        <v>38</v>
      </c>
      <c r="G1733">
        <v>19</v>
      </c>
      <c r="H1733">
        <v>1</v>
      </c>
      <c r="I1733" t="s">
        <v>39</v>
      </c>
      <c r="J1733">
        <v>115</v>
      </c>
      <c r="K1733" t="s">
        <v>38</v>
      </c>
      <c r="L1733">
        <v>112</v>
      </c>
      <c r="M1733">
        <f>IF(D1733=I1733,VLOOKUP(D1733,a_win_totals_lookup,MATCH(K1733,a_wins_total_lookup_header,0)+1,0),VLOOKUP(D1733,a_win_totals_lookup,MATCH(I1733,a_wins_total_lookup_header,0)+1,0))</f>
        <v>0.46121954522421765</v>
      </c>
      <c r="N1733">
        <f t="shared" ca="1" si="27"/>
        <v>0</v>
      </c>
    </row>
    <row r="1734" spans="1:14" x14ac:dyDescent="0.25">
      <c r="A1734">
        <v>400579162</v>
      </c>
      <c r="B1734">
        <v>2015</v>
      </c>
      <c r="C1734" s="1">
        <v>42063</v>
      </c>
      <c r="D1734" t="s">
        <v>33</v>
      </c>
      <c r="E1734">
        <v>0</v>
      </c>
      <c r="F1734">
        <v>23</v>
      </c>
      <c r="G1734">
        <v>36</v>
      </c>
      <c r="H1734">
        <v>0</v>
      </c>
      <c r="I1734" t="s">
        <v>25</v>
      </c>
      <c r="J1734">
        <v>99</v>
      </c>
      <c r="K1734" t="s">
        <v>33</v>
      </c>
      <c r="L1734">
        <v>95</v>
      </c>
      <c r="M1734">
        <f>IF(D1734=I1734,VLOOKUP(D1734,a_win_totals_lookup,MATCH(K1734,a_wins_total_lookup_header,0)+1,0),VLOOKUP(D1734,a_win_totals_lookup,MATCH(I1734,a_wins_total_lookup_header,0)+1,0))</f>
        <v>0.37466773589115104</v>
      </c>
      <c r="N1734">
        <f t="shared" ca="1" si="27"/>
        <v>0</v>
      </c>
    </row>
    <row r="1735" spans="1:14" x14ac:dyDescent="0.25">
      <c r="A1735">
        <v>400579162</v>
      </c>
      <c r="B1735">
        <v>2015</v>
      </c>
      <c r="C1735" s="1">
        <v>42063</v>
      </c>
      <c r="D1735" t="s">
        <v>25</v>
      </c>
      <c r="E1735">
        <v>1</v>
      </c>
      <c r="F1735">
        <v>34</v>
      </c>
      <c r="G1735">
        <v>26</v>
      </c>
      <c r="H1735">
        <v>1</v>
      </c>
      <c r="I1735" t="s">
        <v>25</v>
      </c>
      <c r="J1735">
        <v>99</v>
      </c>
      <c r="K1735" t="s">
        <v>33</v>
      </c>
      <c r="L1735">
        <v>95</v>
      </c>
      <c r="M1735">
        <f>IF(D1735=I1735,VLOOKUP(D1735,a_win_totals_lookup,MATCH(K1735,a_wins_total_lookup_header,0)+1,0),VLOOKUP(D1735,a_win_totals_lookup,MATCH(I1735,a_wins_total_lookup_header,0)+1,0))</f>
        <v>0.6253322641088489</v>
      </c>
      <c r="N1735">
        <f t="shared" ca="1" si="27"/>
        <v>0</v>
      </c>
    </row>
    <row r="1736" spans="1:14" x14ac:dyDescent="0.25">
      <c r="A1736">
        <v>400579163</v>
      </c>
      <c r="B1736">
        <v>2015</v>
      </c>
      <c r="C1736" s="1">
        <v>42063</v>
      </c>
      <c r="D1736" t="s">
        <v>26</v>
      </c>
      <c r="E1736">
        <v>1</v>
      </c>
      <c r="F1736">
        <v>47</v>
      </c>
      <c r="G1736">
        <v>12</v>
      </c>
      <c r="H1736">
        <v>0</v>
      </c>
      <c r="I1736" t="s">
        <v>24</v>
      </c>
      <c r="J1736">
        <v>91</v>
      </c>
      <c r="K1736" t="s">
        <v>26</v>
      </c>
      <c r="L1736">
        <v>93</v>
      </c>
      <c r="M1736">
        <f>IF(D1736=I1736,VLOOKUP(D1736,a_win_totals_lookup,MATCH(K1736,a_wins_total_lookup_header,0)+1,0),VLOOKUP(D1736,a_win_totals_lookup,MATCH(I1736,a_wins_total_lookup_header,0)+1,0))</f>
        <v>0.48812658255436298</v>
      </c>
      <c r="N1736">
        <f t="shared" ca="1" si="27"/>
        <v>1</v>
      </c>
    </row>
    <row r="1737" spans="1:14" x14ac:dyDescent="0.25">
      <c r="A1737">
        <v>400579163</v>
      </c>
      <c r="B1737">
        <v>2015</v>
      </c>
      <c r="C1737" s="1">
        <v>42063</v>
      </c>
      <c r="D1737" t="s">
        <v>24</v>
      </c>
      <c r="E1737">
        <v>0</v>
      </c>
      <c r="F1737">
        <v>25</v>
      </c>
      <c r="G1737">
        <v>33</v>
      </c>
      <c r="H1737">
        <v>1</v>
      </c>
      <c r="I1737" t="s">
        <v>24</v>
      </c>
      <c r="J1737">
        <v>91</v>
      </c>
      <c r="K1737" t="s">
        <v>26</v>
      </c>
      <c r="L1737">
        <v>93</v>
      </c>
      <c r="M1737">
        <f>IF(D1737=I1737,VLOOKUP(D1737,a_win_totals_lookup,MATCH(K1737,a_wins_total_lookup_header,0)+1,0),VLOOKUP(D1737,a_win_totals_lookup,MATCH(I1737,a_wins_total_lookup_header,0)+1,0))</f>
        <v>0.51187341744563697</v>
      </c>
      <c r="N1737">
        <f t="shared" ca="1" si="27"/>
        <v>1</v>
      </c>
    </row>
    <row r="1738" spans="1:14" x14ac:dyDescent="0.25">
      <c r="A1738">
        <v>400579164</v>
      </c>
      <c r="B1738">
        <v>2015</v>
      </c>
      <c r="C1738" s="1">
        <v>42063</v>
      </c>
      <c r="D1738" t="s">
        <v>31</v>
      </c>
      <c r="E1738">
        <v>1</v>
      </c>
      <c r="F1738">
        <v>12</v>
      </c>
      <c r="G1738">
        <v>46</v>
      </c>
      <c r="H1738">
        <v>1</v>
      </c>
      <c r="I1738" t="s">
        <v>31</v>
      </c>
      <c r="J1738">
        <v>103</v>
      </c>
      <c r="K1738" t="s">
        <v>27</v>
      </c>
      <c r="L1738">
        <v>98</v>
      </c>
      <c r="M1738">
        <f>IF(D1738=I1738,VLOOKUP(D1738,a_win_totals_lookup,MATCH(K1738,a_wins_total_lookup_header,0)+1,0),VLOOKUP(D1738,a_win_totals_lookup,MATCH(I1738,a_wins_total_lookup_header,0)+1,0))</f>
        <v>0.38459864577188729</v>
      </c>
      <c r="N1738">
        <f t="shared" ca="1" si="27"/>
        <v>1</v>
      </c>
    </row>
    <row r="1739" spans="1:14" x14ac:dyDescent="0.25">
      <c r="A1739">
        <v>400579164</v>
      </c>
      <c r="B1739">
        <v>2015</v>
      </c>
      <c r="C1739" s="1">
        <v>42063</v>
      </c>
      <c r="D1739" t="s">
        <v>27</v>
      </c>
      <c r="E1739">
        <v>0</v>
      </c>
      <c r="F1739">
        <v>37</v>
      </c>
      <c r="G1739">
        <v>22</v>
      </c>
      <c r="H1739">
        <v>0</v>
      </c>
      <c r="I1739" t="s">
        <v>31</v>
      </c>
      <c r="J1739">
        <v>103</v>
      </c>
      <c r="K1739" t="s">
        <v>27</v>
      </c>
      <c r="L1739">
        <v>98</v>
      </c>
      <c r="M1739">
        <f>IF(D1739=I1739,VLOOKUP(D1739,a_win_totals_lookup,MATCH(K1739,a_wins_total_lookup_header,0)+1,0),VLOOKUP(D1739,a_win_totals_lookup,MATCH(I1739,a_wins_total_lookup_header,0)+1,0))</f>
        <v>0.61540135422811282</v>
      </c>
      <c r="N1739">
        <f t="shared" ca="1" si="27"/>
        <v>1</v>
      </c>
    </row>
    <row r="1740" spans="1:14" x14ac:dyDescent="0.25">
      <c r="A1740">
        <v>400579165</v>
      </c>
      <c r="B1740">
        <v>2015</v>
      </c>
      <c r="C1740" s="1">
        <v>42063</v>
      </c>
      <c r="D1740" t="s">
        <v>28</v>
      </c>
      <c r="E1740">
        <v>1</v>
      </c>
      <c r="F1740">
        <v>42</v>
      </c>
      <c r="G1740">
        <v>16</v>
      </c>
      <c r="H1740">
        <v>0</v>
      </c>
      <c r="I1740" t="s">
        <v>29</v>
      </c>
      <c r="J1740">
        <v>97</v>
      </c>
      <c r="K1740" t="s">
        <v>28</v>
      </c>
      <c r="L1740">
        <v>101</v>
      </c>
      <c r="M1740">
        <f>IF(D1740=I1740,VLOOKUP(D1740,a_win_totals_lookup,MATCH(K1740,a_wins_total_lookup_header,0)+1,0),VLOOKUP(D1740,a_win_totals_lookup,MATCH(I1740,a_wins_total_lookup_header,0)+1,0))</f>
        <v>0.74684840850402012</v>
      </c>
      <c r="N1740">
        <f t="shared" ca="1" si="27"/>
        <v>1</v>
      </c>
    </row>
    <row r="1741" spans="1:14" x14ac:dyDescent="0.25">
      <c r="A1741">
        <v>400579165</v>
      </c>
      <c r="B1741">
        <v>2015</v>
      </c>
      <c r="C1741" s="1">
        <v>42063</v>
      </c>
      <c r="D1741" t="s">
        <v>29</v>
      </c>
      <c r="E1741">
        <v>0</v>
      </c>
      <c r="F1741">
        <v>13</v>
      </c>
      <c r="G1741">
        <v>45</v>
      </c>
      <c r="H1741">
        <v>1</v>
      </c>
      <c r="I1741" t="s">
        <v>29</v>
      </c>
      <c r="J1741">
        <v>97</v>
      </c>
      <c r="K1741" t="s">
        <v>28</v>
      </c>
      <c r="L1741">
        <v>101</v>
      </c>
      <c r="M1741">
        <f>IF(D1741=I1741,VLOOKUP(D1741,a_win_totals_lookup,MATCH(K1741,a_wins_total_lookup_header,0)+1,0),VLOOKUP(D1741,a_win_totals_lookup,MATCH(I1741,a_wins_total_lookup_header,0)+1,0))</f>
        <v>0.25315159149597988</v>
      </c>
      <c r="N1741">
        <f t="shared" ca="1" si="27"/>
        <v>1</v>
      </c>
    </row>
    <row r="1742" spans="1:14" x14ac:dyDescent="0.25">
      <c r="A1742">
        <v>400579166</v>
      </c>
      <c r="B1742">
        <v>2015</v>
      </c>
      <c r="C1742" s="1">
        <v>42063</v>
      </c>
      <c r="D1742" t="s">
        <v>23</v>
      </c>
      <c r="E1742">
        <v>1</v>
      </c>
      <c r="F1742">
        <v>24</v>
      </c>
      <c r="G1742">
        <v>33</v>
      </c>
      <c r="H1742">
        <v>0</v>
      </c>
      <c r="I1742" t="s">
        <v>14</v>
      </c>
      <c r="J1742">
        <v>94</v>
      </c>
      <c r="K1742" t="s">
        <v>23</v>
      </c>
      <c r="L1742">
        <v>104</v>
      </c>
      <c r="M1742">
        <f>IF(D1742=I1742,VLOOKUP(D1742,a_win_totals_lookup,MATCH(K1742,a_wins_total_lookup_header,0)+1,0),VLOOKUP(D1742,a_win_totals_lookup,MATCH(I1742,a_wins_total_lookup_header,0)+1,0))</f>
        <v>0.38459864577188729</v>
      </c>
      <c r="N1742">
        <f t="shared" ca="1" si="27"/>
        <v>0</v>
      </c>
    </row>
    <row r="1743" spans="1:14" x14ac:dyDescent="0.25">
      <c r="A1743">
        <v>400579166</v>
      </c>
      <c r="B1743">
        <v>2015</v>
      </c>
      <c r="C1743" s="1">
        <v>42063</v>
      </c>
      <c r="D1743" t="s">
        <v>14</v>
      </c>
      <c r="E1743">
        <v>0</v>
      </c>
      <c r="F1743">
        <v>39</v>
      </c>
      <c r="G1743">
        <v>22</v>
      </c>
      <c r="H1743">
        <v>1</v>
      </c>
      <c r="I1743" t="s">
        <v>14</v>
      </c>
      <c r="J1743">
        <v>94</v>
      </c>
      <c r="K1743" t="s">
        <v>23</v>
      </c>
      <c r="L1743">
        <v>104</v>
      </c>
      <c r="M1743">
        <f>IF(D1743=I1743,VLOOKUP(D1743,a_win_totals_lookup,MATCH(K1743,a_wins_total_lookup_header,0)+1,0),VLOOKUP(D1743,a_win_totals_lookup,MATCH(I1743,a_wins_total_lookup_header,0)+1,0))</f>
        <v>0.61540135422811282</v>
      </c>
      <c r="N1743">
        <f t="shared" ca="1" si="27"/>
        <v>1</v>
      </c>
    </row>
    <row r="1744" spans="1:14" x14ac:dyDescent="0.25">
      <c r="A1744">
        <v>400579167</v>
      </c>
      <c r="B1744">
        <v>2015</v>
      </c>
      <c r="C1744" s="1">
        <v>42063</v>
      </c>
      <c r="D1744" t="s">
        <v>35</v>
      </c>
      <c r="E1744">
        <v>0</v>
      </c>
      <c r="F1744">
        <v>31</v>
      </c>
      <c r="G1744">
        <v>29</v>
      </c>
      <c r="H1744">
        <v>1</v>
      </c>
      <c r="I1744" t="s">
        <v>35</v>
      </c>
      <c r="J1744">
        <v>74</v>
      </c>
      <c r="K1744" t="s">
        <v>15</v>
      </c>
      <c r="L1744">
        <v>101</v>
      </c>
      <c r="M1744">
        <f>IF(D1744=I1744,VLOOKUP(D1744,a_win_totals_lookup,MATCH(K1744,a_wins_total_lookup_header,0)+1,0),VLOOKUP(D1744,a_win_totals_lookup,MATCH(I1744,a_wins_total_lookup_header,0)+1,0))</f>
        <v>0.39734725240030316</v>
      </c>
      <c r="N1744">
        <f t="shared" ca="1" si="27"/>
        <v>0</v>
      </c>
    </row>
    <row r="1745" spans="1:14" x14ac:dyDescent="0.25">
      <c r="A1745">
        <v>400579167</v>
      </c>
      <c r="B1745">
        <v>2015</v>
      </c>
      <c r="C1745" s="1">
        <v>42063</v>
      </c>
      <c r="D1745" t="s">
        <v>15</v>
      </c>
      <c r="E1745">
        <v>1</v>
      </c>
      <c r="F1745">
        <v>36</v>
      </c>
      <c r="G1745">
        <v>23</v>
      </c>
      <c r="H1745">
        <v>0</v>
      </c>
      <c r="I1745" t="s">
        <v>35</v>
      </c>
      <c r="J1745">
        <v>74</v>
      </c>
      <c r="K1745" t="s">
        <v>15</v>
      </c>
      <c r="L1745">
        <v>101</v>
      </c>
      <c r="M1745">
        <f>IF(D1745=I1745,VLOOKUP(D1745,a_win_totals_lookup,MATCH(K1745,a_wins_total_lookup_header,0)+1,0),VLOOKUP(D1745,a_win_totals_lookup,MATCH(I1745,a_wins_total_lookup_header,0)+1,0))</f>
        <v>0.60265274759969689</v>
      </c>
      <c r="N1745">
        <f t="shared" ca="1" si="27"/>
        <v>0</v>
      </c>
    </row>
    <row r="1746" spans="1:14" x14ac:dyDescent="0.25">
      <c r="A1746">
        <v>400579168</v>
      </c>
      <c r="B1746">
        <v>2015</v>
      </c>
      <c r="C1746" s="1">
        <v>42063</v>
      </c>
      <c r="D1746" t="s">
        <v>19</v>
      </c>
      <c r="E1746">
        <v>0</v>
      </c>
      <c r="F1746">
        <v>32</v>
      </c>
      <c r="G1746">
        <v>27</v>
      </c>
      <c r="H1746">
        <v>0</v>
      </c>
      <c r="I1746" t="s">
        <v>34</v>
      </c>
      <c r="J1746">
        <v>82</v>
      </c>
      <c r="K1746" t="s">
        <v>19</v>
      </c>
      <c r="L1746">
        <v>75</v>
      </c>
      <c r="M1746">
        <f>IF(D1746=I1746,VLOOKUP(D1746,a_win_totals_lookup,MATCH(K1746,a_wins_total_lookup_header,0)+1,0),VLOOKUP(D1746,a_win_totals_lookup,MATCH(I1746,a_wins_total_lookup_header,0)+1,0))</f>
        <v>0.46303651516321748</v>
      </c>
      <c r="N1746">
        <f t="shared" ca="1" si="27"/>
        <v>1</v>
      </c>
    </row>
    <row r="1747" spans="1:14" x14ac:dyDescent="0.25">
      <c r="A1747">
        <v>400579168</v>
      </c>
      <c r="B1747">
        <v>2015</v>
      </c>
      <c r="C1747" s="1">
        <v>42063</v>
      </c>
      <c r="D1747" t="s">
        <v>34</v>
      </c>
      <c r="E1747">
        <v>1</v>
      </c>
      <c r="F1747">
        <v>23</v>
      </c>
      <c r="G1747">
        <v>35</v>
      </c>
      <c r="H1747">
        <v>1</v>
      </c>
      <c r="I1747" t="s">
        <v>34</v>
      </c>
      <c r="J1747">
        <v>82</v>
      </c>
      <c r="K1747" t="s">
        <v>19</v>
      </c>
      <c r="L1747">
        <v>75</v>
      </c>
      <c r="M1747">
        <f>IF(D1747=I1747,VLOOKUP(D1747,a_win_totals_lookup,MATCH(K1747,a_wins_total_lookup_header,0)+1,0),VLOOKUP(D1747,a_win_totals_lookup,MATCH(I1747,a_wins_total_lookup_header,0)+1,0))</f>
        <v>0.53696348483678247</v>
      </c>
      <c r="N1747">
        <f t="shared" ca="1" si="27"/>
        <v>1</v>
      </c>
    </row>
    <row r="1748" spans="1:14" x14ac:dyDescent="0.25">
      <c r="A1748">
        <v>400579169</v>
      </c>
      <c r="B1748">
        <v>2015</v>
      </c>
      <c r="C1748" s="1">
        <v>42064</v>
      </c>
      <c r="D1748" t="s">
        <v>30</v>
      </c>
      <c r="E1748">
        <v>0</v>
      </c>
      <c r="F1748">
        <v>37</v>
      </c>
      <c r="G1748">
        <v>23</v>
      </c>
      <c r="H1748">
        <v>1</v>
      </c>
      <c r="I1748" t="s">
        <v>30</v>
      </c>
      <c r="J1748">
        <v>86</v>
      </c>
      <c r="K1748" t="s">
        <v>41</v>
      </c>
      <c r="L1748">
        <v>96</v>
      </c>
      <c r="M1748">
        <f>IF(D1748=I1748,VLOOKUP(D1748,a_win_totals_lookup,MATCH(K1748,a_wins_total_lookup_header,0)+1,0),VLOOKUP(D1748,a_win_totals_lookup,MATCH(I1748,a_wins_total_lookup_header,0)+1,0))</f>
        <v>0.48969992820199154</v>
      </c>
      <c r="N1748">
        <f t="shared" ca="1" si="27"/>
        <v>0</v>
      </c>
    </row>
    <row r="1749" spans="1:14" x14ac:dyDescent="0.25">
      <c r="A1749">
        <v>400579169</v>
      </c>
      <c r="B1749">
        <v>2015</v>
      </c>
      <c r="C1749" s="1">
        <v>42064</v>
      </c>
      <c r="D1749" t="s">
        <v>41</v>
      </c>
      <c r="E1749">
        <v>1</v>
      </c>
      <c r="F1749">
        <v>39</v>
      </c>
      <c r="G1749">
        <v>21</v>
      </c>
      <c r="H1749">
        <v>0</v>
      </c>
      <c r="I1749" t="s">
        <v>30</v>
      </c>
      <c r="J1749">
        <v>86</v>
      </c>
      <c r="K1749" t="s">
        <v>41</v>
      </c>
      <c r="L1749">
        <v>96</v>
      </c>
      <c r="M1749">
        <f>IF(D1749=I1749,VLOOKUP(D1749,a_win_totals_lookup,MATCH(K1749,a_wins_total_lookup_header,0)+1,0),VLOOKUP(D1749,a_win_totals_lookup,MATCH(I1749,a_wins_total_lookup_header,0)+1,0))</f>
        <v>0.5103000717980084</v>
      </c>
      <c r="N1749">
        <f t="shared" ca="1" si="27"/>
        <v>1</v>
      </c>
    </row>
    <row r="1750" spans="1:14" x14ac:dyDescent="0.25">
      <c r="A1750">
        <v>400579170</v>
      </c>
      <c r="B1750">
        <v>2015</v>
      </c>
      <c r="C1750" s="1">
        <v>42064</v>
      </c>
      <c r="D1750" t="s">
        <v>17</v>
      </c>
      <c r="E1750">
        <v>0</v>
      </c>
      <c r="F1750">
        <v>16</v>
      </c>
      <c r="G1750">
        <v>42</v>
      </c>
      <c r="H1750">
        <v>1</v>
      </c>
      <c r="I1750" t="s">
        <v>17</v>
      </c>
      <c r="J1750">
        <v>101</v>
      </c>
      <c r="K1750" t="s">
        <v>38</v>
      </c>
      <c r="L1750">
        <v>108</v>
      </c>
      <c r="M1750">
        <f>IF(D1750=I1750,VLOOKUP(D1750,a_win_totals_lookup,MATCH(K1750,a_wins_total_lookup_header,0)+1,0),VLOOKUP(D1750,a_win_totals_lookup,MATCH(I1750,a_wins_total_lookup_header,0)+1,0))</f>
        <v>0.30220652713580148</v>
      </c>
      <c r="N1750">
        <f t="shared" ca="1" si="27"/>
        <v>0</v>
      </c>
    </row>
    <row r="1751" spans="1:14" x14ac:dyDescent="0.25">
      <c r="A1751">
        <v>400579170</v>
      </c>
      <c r="B1751">
        <v>2015</v>
      </c>
      <c r="C1751" s="1">
        <v>42064</v>
      </c>
      <c r="D1751" t="s">
        <v>38</v>
      </c>
      <c r="E1751">
        <v>1</v>
      </c>
      <c r="F1751">
        <v>33</v>
      </c>
      <c r="G1751">
        <v>27</v>
      </c>
      <c r="H1751">
        <v>0</v>
      </c>
      <c r="I1751" t="s">
        <v>17</v>
      </c>
      <c r="J1751">
        <v>101</v>
      </c>
      <c r="K1751" t="s">
        <v>38</v>
      </c>
      <c r="L1751">
        <v>108</v>
      </c>
      <c r="M1751">
        <f>IF(D1751=I1751,VLOOKUP(D1751,a_win_totals_lookup,MATCH(K1751,a_wins_total_lookup_header,0)+1,0),VLOOKUP(D1751,a_win_totals_lookup,MATCH(I1751,a_wins_total_lookup_header,0)+1,0))</f>
        <v>0.69779347286419835</v>
      </c>
      <c r="N1751">
        <f t="shared" ca="1" si="27"/>
        <v>1</v>
      </c>
    </row>
    <row r="1752" spans="1:14" x14ac:dyDescent="0.25">
      <c r="A1752">
        <v>400579171</v>
      </c>
      <c r="B1752">
        <v>2015</v>
      </c>
      <c r="C1752" s="1">
        <v>42064</v>
      </c>
      <c r="D1752" t="s">
        <v>39</v>
      </c>
      <c r="E1752">
        <v>1</v>
      </c>
      <c r="F1752">
        <v>39</v>
      </c>
      <c r="G1752">
        <v>19</v>
      </c>
      <c r="H1752">
        <v>0</v>
      </c>
      <c r="I1752" t="s">
        <v>37</v>
      </c>
      <c r="J1752">
        <v>99</v>
      </c>
      <c r="K1752" t="s">
        <v>39</v>
      </c>
      <c r="L1752">
        <v>110</v>
      </c>
      <c r="M1752">
        <f>IF(D1752=I1752,VLOOKUP(D1752,a_win_totals_lookup,MATCH(K1752,a_wins_total_lookup_header,0)+1,0),VLOOKUP(D1752,a_win_totals_lookup,MATCH(I1752,a_wins_total_lookup_header,0)+1,0))</f>
        <v>0.6640463003434689</v>
      </c>
      <c r="N1752">
        <f t="shared" ca="1" si="27"/>
        <v>1</v>
      </c>
    </row>
    <row r="1753" spans="1:14" x14ac:dyDescent="0.25">
      <c r="A1753">
        <v>400579171</v>
      </c>
      <c r="B1753">
        <v>2015</v>
      </c>
      <c r="C1753" s="1">
        <v>42064</v>
      </c>
      <c r="D1753" t="s">
        <v>37</v>
      </c>
      <c r="E1753">
        <v>0</v>
      </c>
      <c r="F1753">
        <v>20</v>
      </c>
      <c r="G1753">
        <v>37</v>
      </c>
      <c r="H1753">
        <v>1</v>
      </c>
      <c r="I1753" t="s">
        <v>37</v>
      </c>
      <c r="J1753">
        <v>99</v>
      </c>
      <c r="K1753" t="s">
        <v>39</v>
      </c>
      <c r="L1753">
        <v>110</v>
      </c>
      <c r="M1753">
        <f>IF(D1753=I1753,VLOOKUP(D1753,a_win_totals_lookup,MATCH(K1753,a_wins_total_lookup_header,0)+1,0),VLOOKUP(D1753,a_win_totals_lookup,MATCH(I1753,a_wins_total_lookup_header,0)+1,0))</f>
        <v>0.3359536996565311</v>
      </c>
      <c r="N1753">
        <f t="shared" ca="1" si="27"/>
        <v>1</v>
      </c>
    </row>
    <row r="1754" spans="1:14" x14ac:dyDescent="0.25">
      <c r="A1754">
        <v>400579172</v>
      </c>
      <c r="B1754">
        <v>2015</v>
      </c>
      <c r="C1754" s="1">
        <v>42064</v>
      </c>
      <c r="D1754" t="s">
        <v>22</v>
      </c>
      <c r="E1754">
        <v>0</v>
      </c>
      <c r="F1754">
        <v>23</v>
      </c>
      <c r="G1754">
        <v>34</v>
      </c>
      <c r="H1754">
        <v>1</v>
      </c>
      <c r="I1754" t="s">
        <v>22</v>
      </c>
      <c r="J1754">
        <v>101</v>
      </c>
      <c r="K1754" t="s">
        <v>36</v>
      </c>
      <c r="L1754">
        <v>106</v>
      </c>
      <c r="M1754">
        <f>IF(D1754=I1754,VLOOKUP(D1754,a_win_totals_lookup,MATCH(K1754,a_wins_total_lookup_header,0)+1,0),VLOOKUP(D1754,a_win_totals_lookup,MATCH(I1754,a_wins_total_lookup_header,0)+1,0))</f>
        <v>0.23595732644921025</v>
      </c>
      <c r="N1754">
        <f t="shared" ca="1" si="27"/>
        <v>1</v>
      </c>
    </row>
    <row r="1755" spans="1:14" x14ac:dyDescent="0.25">
      <c r="A1755">
        <v>400579172</v>
      </c>
      <c r="B1755">
        <v>2015</v>
      </c>
      <c r="C1755" s="1">
        <v>42064</v>
      </c>
      <c r="D1755" t="s">
        <v>36</v>
      </c>
      <c r="E1755">
        <v>1</v>
      </c>
      <c r="F1755">
        <v>46</v>
      </c>
      <c r="G1755">
        <v>11</v>
      </c>
      <c r="H1755">
        <v>0</v>
      </c>
      <c r="I1755" t="s">
        <v>22</v>
      </c>
      <c r="J1755">
        <v>101</v>
      </c>
      <c r="K1755" t="s">
        <v>36</v>
      </c>
      <c r="L1755">
        <v>106</v>
      </c>
      <c r="M1755">
        <f>IF(D1755=I1755,VLOOKUP(D1755,a_win_totals_lookup,MATCH(K1755,a_wins_total_lookup_header,0)+1,0),VLOOKUP(D1755,a_win_totals_lookup,MATCH(I1755,a_wins_total_lookup_header,0)+1,0))</f>
        <v>0.7640426735507897</v>
      </c>
      <c r="N1755">
        <f t="shared" ca="1" si="27"/>
        <v>1</v>
      </c>
    </row>
    <row r="1756" spans="1:14" x14ac:dyDescent="0.25">
      <c r="A1756">
        <v>400579173</v>
      </c>
      <c r="B1756">
        <v>2015</v>
      </c>
      <c r="C1756" s="1">
        <v>42064</v>
      </c>
      <c r="D1756" t="s">
        <v>20</v>
      </c>
      <c r="E1756">
        <v>1</v>
      </c>
      <c r="F1756">
        <v>25</v>
      </c>
      <c r="G1756">
        <v>34</v>
      </c>
      <c r="H1756">
        <v>1</v>
      </c>
      <c r="I1756" t="s">
        <v>20</v>
      </c>
      <c r="J1756">
        <v>94</v>
      </c>
      <c r="K1756" t="s">
        <v>21</v>
      </c>
      <c r="L1756">
        <v>74</v>
      </c>
      <c r="M1756">
        <f>IF(D1756=I1756,VLOOKUP(D1756,a_win_totals_lookup,MATCH(K1756,a_wins_total_lookup_header,0)+1,0),VLOOKUP(D1756,a_win_totals_lookup,MATCH(I1756,a_wins_total_lookup_header,0)+1,0))</f>
        <v>0.64351831611443899</v>
      </c>
      <c r="N1756">
        <f t="shared" ca="1" si="27"/>
        <v>0</v>
      </c>
    </row>
    <row r="1757" spans="1:14" x14ac:dyDescent="0.25">
      <c r="A1757">
        <v>400579173</v>
      </c>
      <c r="B1757">
        <v>2015</v>
      </c>
      <c r="C1757" s="1">
        <v>42064</v>
      </c>
      <c r="D1757" t="s">
        <v>21</v>
      </c>
      <c r="E1757">
        <v>0</v>
      </c>
      <c r="F1757">
        <v>13</v>
      </c>
      <c r="G1757">
        <v>46</v>
      </c>
      <c r="H1757">
        <v>0</v>
      </c>
      <c r="I1757" t="s">
        <v>20</v>
      </c>
      <c r="J1757">
        <v>94</v>
      </c>
      <c r="K1757" t="s">
        <v>21</v>
      </c>
      <c r="L1757">
        <v>74</v>
      </c>
      <c r="M1757">
        <f>IF(D1757=I1757,VLOOKUP(D1757,a_win_totals_lookup,MATCH(K1757,a_wins_total_lookup_header,0)+1,0),VLOOKUP(D1757,a_win_totals_lookup,MATCH(I1757,a_wins_total_lookup_header,0)+1,0))</f>
        <v>0.35648168388556095</v>
      </c>
      <c r="N1757">
        <f t="shared" ca="1" si="27"/>
        <v>1</v>
      </c>
    </row>
    <row r="1758" spans="1:14" x14ac:dyDescent="0.25">
      <c r="A1758">
        <v>400579174</v>
      </c>
      <c r="B1758">
        <v>2015</v>
      </c>
      <c r="C1758" s="1">
        <v>42064</v>
      </c>
      <c r="D1758" t="s">
        <v>18</v>
      </c>
      <c r="E1758">
        <v>1</v>
      </c>
      <c r="F1758">
        <v>24</v>
      </c>
      <c r="G1758">
        <v>33</v>
      </c>
      <c r="H1758">
        <v>0</v>
      </c>
      <c r="I1758" t="s">
        <v>13</v>
      </c>
      <c r="J1758">
        <v>83</v>
      </c>
      <c r="K1758" t="s">
        <v>18</v>
      </c>
      <c r="L1758">
        <v>98</v>
      </c>
      <c r="M1758">
        <f>IF(D1758=I1758,VLOOKUP(D1758,a_win_totals_lookup,MATCH(K1758,a_wins_total_lookup_header,0)+1,0),VLOOKUP(D1758,a_win_totals_lookup,MATCH(I1758,a_wins_total_lookup_header,0)+1,0))</f>
        <v>0.66841321269200027</v>
      </c>
      <c r="N1758">
        <f t="shared" ca="1" si="27"/>
        <v>1</v>
      </c>
    </row>
    <row r="1759" spans="1:14" x14ac:dyDescent="0.25">
      <c r="A1759">
        <v>400579174</v>
      </c>
      <c r="B1759">
        <v>2015</v>
      </c>
      <c r="C1759" s="1">
        <v>42064</v>
      </c>
      <c r="D1759" t="s">
        <v>13</v>
      </c>
      <c r="E1759">
        <v>0</v>
      </c>
      <c r="F1759">
        <v>19</v>
      </c>
      <c r="G1759">
        <v>42</v>
      </c>
      <c r="H1759">
        <v>1</v>
      </c>
      <c r="I1759" t="s">
        <v>13</v>
      </c>
      <c r="J1759">
        <v>83</v>
      </c>
      <c r="K1759" t="s">
        <v>18</v>
      </c>
      <c r="L1759">
        <v>98</v>
      </c>
      <c r="M1759">
        <f>IF(D1759=I1759,VLOOKUP(D1759,a_win_totals_lookup,MATCH(K1759,a_wins_total_lookup_header,0)+1,0),VLOOKUP(D1759,a_win_totals_lookup,MATCH(I1759,a_wins_total_lookup_header,0)+1,0))</f>
        <v>0.33158678730799973</v>
      </c>
      <c r="N1759">
        <f t="shared" ca="1" si="27"/>
        <v>0</v>
      </c>
    </row>
    <row r="1760" spans="1:14" x14ac:dyDescent="0.25">
      <c r="A1760">
        <v>400579175</v>
      </c>
      <c r="B1760">
        <v>2015</v>
      </c>
      <c r="C1760" s="1">
        <v>42064</v>
      </c>
      <c r="D1760" t="s">
        <v>40</v>
      </c>
      <c r="E1760">
        <v>0</v>
      </c>
      <c r="F1760">
        <v>37</v>
      </c>
      <c r="G1760">
        <v>24</v>
      </c>
      <c r="H1760">
        <v>0</v>
      </c>
      <c r="I1760" t="s">
        <v>16</v>
      </c>
      <c r="J1760">
        <v>105</v>
      </c>
      <c r="K1760" t="s">
        <v>40</v>
      </c>
      <c r="L1760">
        <v>103</v>
      </c>
      <c r="M1760">
        <f>IF(D1760=I1760,VLOOKUP(D1760,a_win_totals_lookup,MATCH(K1760,a_wins_total_lookup_header,0)+1,0),VLOOKUP(D1760,a_win_totals_lookup,MATCH(I1760,a_wins_total_lookup_header,0)+1,0))</f>
        <v>0.57016539281455259</v>
      </c>
      <c r="N1760">
        <f t="shared" ca="1" si="27"/>
        <v>1</v>
      </c>
    </row>
    <row r="1761" spans="1:14" x14ac:dyDescent="0.25">
      <c r="A1761">
        <v>400579175</v>
      </c>
      <c r="B1761">
        <v>2015</v>
      </c>
      <c r="C1761" s="1">
        <v>42064</v>
      </c>
      <c r="D1761" t="s">
        <v>16</v>
      </c>
      <c r="E1761">
        <v>1</v>
      </c>
      <c r="F1761">
        <v>41</v>
      </c>
      <c r="G1761">
        <v>18</v>
      </c>
      <c r="H1761">
        <v>1</v>
      </c>
      <c r="I1761" t="s">
        <v>16</v>
      </c>
      <c r="J1761">
        <v>105</v>
      </c>
      <c r="K1761" t="s">
        <v>40</v>
      </c>
      <c r="L1761">
        <v>103</v>
      </c>
      <c r="M1761">
        <f>IF(D1761=I1761,VLOOKUP(D1761,a_win_totals_lookup,MATCH(K1761,a_wins_total_lookup_header,0)+1,0),VLOOKUP(D1761,a_win_totals_lookup,MATCH(I1761,a_wins_total_lookup_header,0)+1,0))</f>
        <v>0.42983460718544747</v>
      </c>
      <c r="N1761">
        <f t="shared" ca="1" si="27"/>
        <v>0</v>
      </c>
    </row>
    <row r="1762" spans="1:14" x14ac:dyDescent="0.25">
      <c r="A1762">
        <v>400579176</v>
      </c>
      <c r="B1762">
        <v>2015</v>
      </c>
      <c r="C1762" s="1">
        <v>42064</v>
      </c>
      <c r="D1762" t="s">
        <v>32</v>
      </c>
      <c r="E1762">
        <v>0</v>
      </c>
      <c r="F1762">
        <v>20</v>
      </c>
      <c r="G1762">
        <v>39</v>
      </c>
      <c r="H1762">
        <v>1</v>
      </c>
      <c r="I1762" t="s">
        <v>32</v>
      </c>
      <c r="J1762">
        <v>92</v>
      </c>
      <c r="K1762" t="s">
        <v>12</v>
      </c>
      <c r="L1762">
        <v>99</v>
      </c>
      <c r="M1762">
        <f>IF(D1762=I1762,VLOOKUP(D1762,a_win_totals_lookup,MATCH(K1762,a_wins_total_lookup_header,0)+1,0),VLOOKUP(D1762,a_win_totals_lookup,MATCH(I1762,a_wins_total_lookup_header,0)+1,0))</f>
        <v>0.48625786874528693</v>
      </c>
      <c r="N1762">
        <f t="shared" ca="1" si="27"/>
        <v>0</v>
      </c>
    </row>
    <row r="1763" spans="1:14" x14ac:dyDescent="0.25">
      <c r="A1763">
        <v>400579176</v>
      </c>
      <c r="B1763">
        <v>2015</v>
      </c>
      <c r="C1763" s="1">
        <v>42064</v>
      </c>
      <c r="D1763" t="s">
        <v>12</v>
      </c>
      <c r="E1763">
        <v>1</v>
      </c>
      <c r="F1763">
        <v>32</v>
      </c>
      <c r="G1763">
        <v>27</v>
      </c>
      <c r="H1763">
        <v>0</v>
      </c>
      <c r="I1763" t="s">
        <v>32</v>
      </c>
      <c r="J1763">
        <v>92</v>
      </c>
      <c r="K1763" t="s">
        <v>12</v>
      </c>
      <c r="L1763">
        <v>99</v>
      </c>
      <c r="M1763">
        <f>IF(D1763=I1763,VLOOKUP(D1763,a_win_totals_lookup,MATCH(K1763,a_wins_total_lookup_header,0)+1,0),VLOOKUP(D1763,a_win_totals_lookup,MATCH(I1763,a_wins_total_lookup_header,0)+1,0))</f>
        <v>0.51374213125471302</v>
      </c>
      <c r="N1763">
        <f t="shared" ca="1" si="27"/>
        <v>1</v>
      </c>
    </row>
    <row r="1764" spans="1:14" x14ac:dyDescent="0.25">
      <c r="A1764">
        <v>400579177</v>
      </c>
      <c r="B1764">
        <v>2015</v>
      </c>
      <c r="C1764" s="1">
        <v>42065</v>
      </c>
      <c r="D1764" t="s">
        <v>21</v>
      </c>
      <c r="E1764">
        <v>0</v>
      </c>
      <c r="F1764">
        <v>13</v>
      </c>
      <c r="G1764">
        <v>47</v>
      </c>
      <c r="H1764">
        <v>1</v>
      </c>
      <c r="I1764" t="s">
        <v>21</v>
      </c>
      <c r="J1764">
        <v>103</v>
      </c>
      <c r="K1764" t="s">
        <v>27</v>
      </c>
      <c r="L1764">
        <v>114</v>
      </c>
      <c r="M1764">
        <f>IF(D1764=I1764,VLOOKUP(D1764,a_win_totals_lookup,MATCH(K1764,a_wins_total_lookup_header,0)+1,0),VLOOKUP(D1764,a_win_totals_lookup,MATCH(I1764,a_wins_total_lookup_header,0)+1,0))</f>
        <v>0.21334857625709938</v>
      </c>
      <c r="N1764">
        <f t="shared" ca="1" si="27"/>
        <v>0</v>
      </c>
    </row>
    <row r="1765" spans="1:14" x14ac:dyDescent="0.25">
      <c r="A1765">
        <v>400579177</v>
      </c>
      <c r="B1765">
        <v>2015</v>
      </c>
      <c r="C1765" s="1">
        <v>42065</v>
      </c>
      <c r="D1765" t="s">
        <v>27</v>
      </c>
      <c r="E1765">
        <v>1</v>
      </c>
      <c r="F1765">
        <v>38</v>
      </c>
      <c r="G1765">
        <v>22</v>
      </c>
      <c r="H1765">
        <v>0</v>
      </c>
      <c r="I1765" t="s">
        <v>21</v>
      </c>
      <c r="J1765">
        <v>103</v>
      </c>
      <c r="K1765" t="s">
        <v>27</v>
      </c>
      <c r="L1765">
        <v>114</v>
      </c>
      <c r="M1765">
        <f>IF(D1765=I1765,VLOOKUP(D1765,a_win_totals_lookup,MATCH(K1765,a_wins_total_lookup_header,0)+1,0),VLOOKUP(D1765,a_win_totals_lookup,MATCH(I1765,a_wins_total_lookup_header,0)+1,0))</f>
        <v>0.78665142374290065</v>
      </c>
      <c r="N1765">
        <f t="shared" ca="1" si="27"/>
        <v>0</v>
      </c>
    </row>
    <row r="1766" spans="1:14" x14ac:dyDescent="0.25">
      <c r="A1766">
        <v>400579178</v>
      </c>
      <c r="B1766">
        <v>2015</v>
      </c>
      <c r="C1766" s="1">
        <v>42065</v>
      </c>
      <c r="D1766" t="s">
        <v>23</v>
      </c>
      <c r="E1766">
        <v>1</v>
      </c>
      <c r="F1766">
        <v>25</v>
      </c>
      <c r="G1766">
        <v>33</v>
      </c>
      <c r="H1766">
        <v>1</v>
      </c>
      <c r="I1766" t="s">
        <v>23</v>
      </c>
      <c r="J1766">
        <v>110</v>
      </c>
      <c r="K1766" t="s">
        <v>36</v>
      </c>
      <c r="L1766">
        <v>108</v>
      </c>
      <c r="M1766">
        <f>IF(D1766=I1766,VLOOKUP(D1766,a_win_totals_lookup,MATCH(K1766,a_wins_total_lookup_header,0)+1,0),VLOOKUP(D1766,a_win_totals_lookup,MATCH(I1766,a_wins_total_lookup_header,0)+1,0))</f>
        <v>0.37777969425937236</v>
      </c>
      <c r="N1766">
        <f t="shared" ca="1" si="27"/>
        <v>0</v>
      </c>
    </row>
    <row r="1767" spans="1:14" x14ac:dyDescent="0.25">
      <c r="A1767">
        <v>400579178</v>
      </c>
      <c r="B1767">
        <v>2015</v>
      </c>
      <c r="C1767" s="1">
        <v>42065</v>
      </c>
      <c r="D1767" t="s">
        <v>36</v>
      </c>
      <c r="E1767">
        <v>0</v>
      </c>
      <c r="F1767">
        <v>46</v>
      </c>
      <c r="G1767">
        <v>12</v>
      </c>
      <c r="H1767">
        <v>0</v>
      </c>
      <c r="I1767" t="s">
        <v>23</v>
      </c>
      <c r="J1767">
        <v>110</v>
      </c>
      <c r="K1767" t="s">
        <v>36</v>
      </c>
      <c r="L1767">
        <v>108</v>
      </c>
      <c r="M1767">
        <f>IF(D1767=I1767,VLOOKUP(D1767,a_win_totals_lookup,MATCH(K1767,a_wins_total_lookup_header,0)+1,0),VLOOKUP(D1767,a_win_totals_lookup,MATCH(I1767,a_wins_total_lookup_header,0)+1,0))</f>
        <v>0.62222030574062748</v>
      </c>
      <c r="N1767">
        <f t="shared" ca="1" si="27"/>
        <v>1</v>
      </c>
    </row>
    <row r="1768" spans="1:14" x14ac:dyDescent="0.25">
      <c r="A1768">
        <v>400579179</v>
      </c>
      <c r="B1768">
        <v>2015</v>
      </c>
      <c r="C1768" s="1">
        <v>42065</v>
      </c>
      <c r="D1768" t="s">
        <v>24</v>
      </c>
      <c r="E1768">
        <v>1</v>
      </c>
      <c r="F1768">
        <v>26</v>
      </c>
      <c r="G1768">
        <v>33</v>
      </c>
      <c r="H1768">
        <v>1</v>
      </c>
      <c r="I1768" t="s">
        <v>24</v>
      </c>
      <c r="J1768">
        <v>115</v>
      </c>
      <c r="K1768" t="s">
        <v>35</v>
      </c>
      <c r="L1768">
        <v>98</v>
      </c>
      <c r="M1768">
        <f>IF(D1768=I1768,VLOOKUP(D1768,a_win_totals_lookup,MATCH(K1768,a_wins_total_lookup_header,0)+1,0),VLOOKUP(D1768,a_win_totals_lookup,MATCH(I1768,a_wins_total_lookup_header,0)+1,0))</f>
        <v>0.51187341744563697</v>
      </c>
      <c r="N1768">
        <f t="shared" ca="1" si="27"/>
        <v>1</v>
      </c>
    </row>
    <row r="1769" spans="1:14" x14ac:dyDescent="0.25">
      <c r="A1769">
        <v>400579179</v>
      </c>
      <c r="B1769">
        <v>2015</v>
      </c>
      <c r="C1769" s="1">
        <v>42065</v>
      </c>
      <c r="D1769" t="s">
        <v>35</v>
      </c>
      <c r="E1769">
        <v>0</v>
      </c>
      <c r="F1769">
        <v>31</v>
      </c>
      <c r="G1769">
        <v>30</v>
      </c>
      <c r="H1769">
        <v>0</v>
      </c>
      <c r="I1769" t="s">
        <v>24</v>
      </c>
      <c r="J1769">
        <v>115</v>
      </c>
      <c r="K1769" t="s">
        <v>35</v>
      </c>
      <c r="L1769">
        <v>98</v>
      </c>
      <c r="M1769">
        <f>IF(D1769=I1769,VLOOKUP(D1769,a_win_totals_lookup,MATCH(K1769,a_wins_total_lookup_header,0)+1,0),VLOOKUP(D1769,a_win_totals_lookup,MATCH(I1769,a_wins_total_lookup_header,0)+1,0))</f>
        <v>0.48812658255436298</v>
      </c>
      <c r="N1769">
        <f t="shared" ca="1" si="27"/>
        <v>0</v>
      </c>
    </row>
    <row r="1770" spans="1:14" x14ac:dyDescent="0.25">
      <c r="A1770">
        <v>400579180</v>
      </c>
      <c r="B1770">
        <v>2015</v>
      </c>
      <c r="C1770" s="1">
        <v>42065</v>
      </c>
      <c r="D1770" t="s">
        <v>41</v>
      </c>
      <c r="E1770">
        <v>1</v>
      </c>
      <c r="F1770">
        <v>40</v>
      </c>
      <c r="G1770">
        <v>21</v>
      </c>
      <c r="H1770">
        <v>0</v>
      </c>
      <c r="I1770" t="s">
        <v>29</v>
      </c>
      <c r="J1770">
        <v>105</v>
      </c>
      <c r="K1770" t="s">
        <v>41</v>
      </c>
      <c r="L1770">
        <v>110</v>
      </c>
      <c r="M1770">
        <f>IF(D1770=I1770,VLOOKUP(D1770,a_win_totals_lookup,MATCH(K1770,a_wins_total_lookup_header,0)+1,0),VLOOKUP(D1770,a_win_totals_lookup,MATCH(I1770,a_wins_total_lookup_header,0)+1,0))</f>
        <v>0.7843512669729592</v>
      </c>
      <c r="N1770">
        <f t="shared" ca="1" si="27"/>
        <v>1</v>
      </c>
    </row>
    <row r="1771" spans="1:14" x14ac:dyDescent="0.25">
      <c r="A1771">
        <v>400579180</v>
      </c>
      <c r="B1771">
        <v>2015</v>
      </c>
      <c r="C1771" s="1">
        <v>42065</v>
      </c>
      <c r="D1771" t="s">
        <v>29</v>
      </c>
      <c r="E1771">
        <v>0</v>
      </c>
      <c r="F1771">
        <v>13</v>
      </c>
      <c r="G1771">
        <v>46</v>
      </c>
      <c r="H1771">
        <v>1</v>
      </c>
      <c r="I1771" t="s">
        <v>29</v>
      </c>
      <c r="J1771">
        <v>105</v>
      </c>
      <c r="K1771" t="s">
        <v>41</v>
      </c>
      <c r="L1771">
        <v>110</v>
      </c>
      <c r="M1771">
        <f>IF(D1771=I1771,VLOOKUP(D1771,a_win_totals_lookup,MATCH(K1771,a_wins_total_lookup_header,0)+1,0),VLOOKUP(D1771,a_win_totals_lookup,MATCH(I1771,a_wins_total_lookup_header,0)+1,0))</f>
        <v>0.21564873302704085</v>
      </c>
      <c r="N1771">
        <f t="shared" ca="1" si="27"/>
        <v>0</v>
      </c>
    </row>
    <row r="1772" spans="1:14" x14ac:dyDescent="0.25">
      <c r="A1772">
        <v>400579181</v>
      </c>
      <c r="B1772">
        <v>2015</v>
      </c>
      <c r="C1772" s="1">
        <v>42065</v>
      </c>
      <c r="D1772" t="s">
        <v>14</v>
      </c>
      <c r="E1772">
        <v>1</v>
      </c>
      <c r="F1772">
        <v>40</v>
      </c>
      <c r="G1772">
        <v>22</v>
      </c>
      <c r="H1772">
        <v>1</v>
      </c>
      <c r="I1772" t="s">
        <v>14</v>
      </c>
      <c r="J1772">
        <v>102</v>
      </c>
      <c r="K1772" t="s">
        <v>12</v>
      </c>
      <c r="L1772">
        <v>93</v>
      </c>
      <c r="M1772">
        <f>IF(D1772=I1772,VLOOKUP(D1772,a_win_totals_lookup,MATCH(K1772,a_wins_total_lookup_header,0)+1,0),VLOOKUP(D1772,a_win_totals_lookup,MATCH(I1772,a_wins_total_lookup_header,0)+1,0))</f>
        <v>0.60230820918773997</v>
      </c>
      <c r="N1772">
        <f t="shared" ca="1" si="27"/>
        <v>0</v>
      </c>
    </row>
    <row r="1773" spans="1:14" x14ac:dyDescent="0.25">
      <c r="A1773">
        <v>400579181</v>
      </c>
      <c r="B1773">
        <v>2015</v>
      </c>
      <c r="C1773" s="1">
        <v>42065</v>
      </c>
      <c r="D1773" t="s">
        <v>12</v>
      </c>
      <c r="E1773">
        <v>0</v>
      </c>
      <c r="F1773">
        <v>32</v>
      </c>
      <c r="G1773">
        <v>28</v>
      </c>
      <c r="H1773">
        <v>0</v>
      </c>
      <c r="I1773" t="s">
        <v>14</v>
      </c>
      <c r="J1773">
        <v>102</v>
      </c>
      <c r="K1773" t="s">
        <v>12</v>
      </c>
      <c r="L1773">
        <v>93</v>
      </c>
      <c r="M1773">
        <f>IF(D1773=I1773,VLOOKUP(D1773,a_win_totals_lookup,MATCH(K1773,a_wins_total_lookup_header,0)+1,0),VLOOKUP(D1773,a_win_totals_lookup,MATCH(I1773,a_wins_total_lookup_header,0)+1,0))</f>
        <v>0.39769179081226008</v>
      </c>
      <c r="N1773">
        <f t="shared" ca="1" si="27"/>
        <v>0</v>
      </c>
    </row>
    <row r="1774" spans="1:14" x14ac:dyDescent="0.25">
      <c r="A1774">
        <v>400579182</v>
      </c>
      <c r="B1774">
        <v>2015</v>
      </c>
      <c r="C1774" s="1">
        <v>42066</v>
      </c>
      <c r="D1774" t="s">
        <v>18</v>
      </c>
      <c r="E1774">
        <v>1</v>
      </c>
      <c r="F1774">
        <v>25</v>
      </c>
      <c r="G1774">
        <v>33</v>
      </c>
      <c r="H1774">
        <v>1</v>
      </c>
      <c r="I1774" t="s">
        <v>18</v>
      </c>
      <c r="J1774">
        <v>104</v>
      </c>
      <c r="K1774" t="s">
        <v>17</v>
      </c>
      <c r="L1774">
        <v>103</v>
      </c>
      <c r="M1774">
        <f>IF(D1774=I1774,VLOOKUP(D1774,a_win_totals_lookup,MATCH(K1774,a_wins_total_lookup_header,0)+1,0),VLOOKUP(D1774,a_win_totals_lookup,MATCH(I1774,a_wins_total_lookup_header,0)+1,0))</f>
        <v>0.63666806394856001</v>
      </c>
      <c r="N1774">
        <f t="shared" ca="1" si="27"/>
        <v>1</v>
      </c>
    </row>
    <row r="1775" spans="1:14" x14ac:dyDescent="0.25">
      <c r="A1775">
        <v>400579182</v>
      </c>
      <c r="B1775">
        <v>2015</v>
      </c>
      <c r="C1775" s="1">
        <v>42066</v>
      </c>
      <c r="D1775" t="s">
        <v>17</v>
      </c>
      <c r="E1775">
        <v>0</v>
      </c>
      <c r="F1775">
        <v>16</v>
      </c>
      <c r="G1775">
        <v>43</v>
      </c>
      <c r="H1775">
        <v>0</v>
      </c>
      <c r="I1775" t="s">
        <v>18</v>
      </c>
      <c r="J1775">
        <v>104</v>
      </c>
      <c r="K1775" t="s">
        <v>17</v>
      </c>
      <c r="L1775">
        <v>103</v>
      </c>
      <c r="M1775">
        <f>IF(D1775=I1775,VLOOKUP(D1775,a_win_totals_lookup,MATCH(K1775,a_wins_total_lookup_header,0)+1,0),VLOOKUP(D1775,a_win_totals_lookup,MATCH(I1775,a_wins_total_lookup_header,0)+1,0))</f>
        <v>0.36333193605144004</v>
      </c>
      <c r="N1775">
        <f t="shared" ca="1" si="27"/>
        <v>0</v>
      </c>
    </row>
    <row r="1776" spans="1:14" x14ac:dyDescent="0.25">
      <c r="A1776">
        <v>400579183</v>
      </c>
      <c r="B1776">
        <v>2015</v>
      </c>
      <c r="C1776" s="1">
        <v>42066</v>
      </c>
      <c r="D1776" t="s">
        <v>22</v>
      </c>
      <c r="E1776">
        <v>0</v>
      </c>
      <c r="F1776">
        <v>23</v>
      </c>
      <c r="G1776">
        <v>35</v>
      </c>
      <c r="H1776">
        <v>0</v>
      </c>
      <c r="I1776" t="s">
        <v>40</v>
      </c>
      <c r="J1776">
        <v>110</v>
      </c>
      <c r="K1776" t="s">
        <v>22</v>
      </c>
      <c r="L1776">
        <v>79</v>
      </c>
      <c r="M1776">
        <f>IF(D1776=I1776,VLOOKUP(D1776,a_win_totals_lookup,MATCH(K1776,a_wins_total_lookup_header,0)+1,0),VLOOKUP(D1776,a_win_totals_lookup,MATCH(I1776,a_wins_total_lookup_header,0)+1,0))</f>
        <v>0.21564873302704085</v>
      </c>
      <c r="N1776">
        <f t="shared" ca="1" si="27"/>
        <v>1</v>
      </c>
    </row>
    <row r="1777" spans="1:14" x14ac:dyDescent="0.25">
      <c r="A1777">
        <v>400579183</v>
      </c>
      <c r="B1777">
        <v>2015</v>
      </c>
      <c r="C1777" s="1">
        <v>42066</v>
      </c>
      <c r="D1777" t="s">
        <v>40</v>
      </c>
      <c r="E1777">
        <v>1</v>
      </c>
      <c r="F1777">
        <v>38</v>
      </c>
      <c r="G1777">
        <v>24</v>
      </c>
      <c r="H1777">
        <v>1</v>
      </c>
      <c r="I1777" t="s">
        <v>40</v>
      </c>
      <c r="J1777">
        <v>110</v>
      </c>
      <c r="K1777" t="s">
        <v>22</v>
      </c>
      <c r="L1777">
        <v>79</v>
      </c>
      <c r="M1777">
        <f>IF(D1777=I1777,VLOOKUP(D1777,a_win_totals_lookup,MATCH(K1777,a_wins_total_lookup_header,0)+1,0),VLOOKUP(D1777,a_win_totals_lookup,MATCH(I1777,a_wins_total_lookup_header,0)+1,0))</f>
        <v>0.7843512669729592</v>
      </c>
      <c r="N1777">
        <f t="shared" ca="1" si="27"/>
        <v>1</v>
      </c>
    </row>
    <row r="1778" spans="1:14" x14ac:dyDescent="0.25">
      <c r="A1778">
        <v>400579184</v>
      </c>
      <c r="B1778">
        <v>2015</v>
      </c>
      <c r="C1778" s="1">
        <v>42066</v>
      </c>
      <c r="D1778" t="s">
        <v>26</v>
      </c>
      <c r="E1778">
        <v>1</v>
      </c>
      <c r="F1778">
        <v>48</v>
      </c>
      <c r="G1778">
        <v>12</v>
      </c>
      <c r="H1778">
        <v>1</v>
      </c>
      <c r="I1778" t="s">
        <v>26</v>
      </c>
      <c r="J1778">
        <v>104</v>
      </c>
      <c r="K1778" t="s">
        <v>16</v>
      </c>
      <c r="L1778">
        <v>96</v>
      </c>
      <c r="M1778">
        <f>IF(D1778=I1778,VLOOKUP(D1778,a_win_totals_lookup,MATCH(K1778,a_wins_total_lookup_header,0)+1,0),VLOOKUP(D1778,a_win_totals_lookup,MATCH(I1778,a_wins_total_lookup_header,0)+1,0))</f>
        <v>0.45630903898702979</v>
      </c>
      <c r="N1778">
        <f t="shared" ca="1" si="27"/>
        <v>0</v>
      </c>
    </row>
    <row r="1779" spans="1:14" x14ac:dyDescent="0.25">
      <c r="A1779">
        <v>400579184</v>
      </c>
      <c r="B1779">
        <v>2015</v>
      </c>
      <c r="C1779" s="1">
        <v>42066</v>
      </c>
      <c r="D1779" t="s">
        <v>16</v>
      </c>
      <c r="E1779">
        <v>0</v>
      </c>
      <c r="F1779">
        <v>41</v>
      </c>
      <c r="G1779">
        <v>19</v>
      </c>
      <c r="H1779">
        <v>0</v>
      </c>
      <c r="I1779" t="s">
        <v>26</v>
      </c>
      <c r="J1779">
        <v>104</v>
      </c>
      <c r="K1779" t="s">
        <v>16</v>
      </c>
      <c r="L1779">
        <v>96</v>
      </c>
      <c r="M1779">
        <f>IF(D1779=I1779,VLOOKUP(D1779,a_win_totals_lookup,MATCH(K1779,a_wins_total_lookup_header,0)+1,0),VLOOKUP(D1779,a_win_totals_lookup,MATCH(I1779,a_wins_total_lookup_header,0)+1,0))</f>
        <v>0.54369096101297021</v>
      </c>
      <c r="N1779">
        <f t="shared" ca="1" si="27"/>
        <v>0</v>
      </c>
    </row>
    <row r="1780" spans="1:14" x14ac:dyDescent="0.25">
      <c r="A1780">
        <v>400579185</v>
      </c>
      <c r="B1780">
        <v>2015</v>
      </c>
      <c r="C1780" s="1">
        <v>42066</v>
      </c>
      <c r="D1780" t="s">
        <v>30</v>
      </c>
      <c r="E1780">
        <v>1</v>
      </c>
      <c r="F1780">
        <v>38</v>
      </c>
      <c r="G1780">
        <v>23</v>
      </c>
      <c r="H1780">
        <v>1</v>
      </c>
      <c r="I1780" t="s">
        <v>30</v>
      </c>
      <c r="J1780">
        <v>97</v>
      </c>
      <c r="K1780" t="s">
        <v>25</v>
      </c>
      <c r="L1780">
        <v>92</v>
      </c>
      <c r="M1780">
        <f>IF(D1780=I1780,VLOOKUP(D1780,a_win_totals_lookup,MATCH(K1780,a_wins_total_lookup_header,0)+1,0),VLOOKUP(D1780,a_win_totals_lookup,MATCH(I1780,a_wins_total_lookup_header,0)+1,0))</f>
        <v>0.5600388834823441</v>
      </c>
      <c r="N1780">
        <f t="shared" ca="1" si="27"/>
        <v>0</v>
      </c>
    </row>
    <row r="1781" spans="1:14" x14ac:dyDescent="0.25">
      <c r="A1781">
        <v>400579185</v>
      </c>
      <c r="B1781">
        <v>2015</v>
      </c>
      <c r="C1781" s="1">
        <v>42066</v>
      </c>
      <c r="D1781" t="s">
        <v>25</v>
      </c>
      <c r="E1781">
        <v>0</v>
      </c>
      <c r="F1781">
        <v>34</v>
      </c>
      <c r="G1781">
        <v>27</v>
      </c>
      <c r="H1781">
        <v>0</v>
      </c>
      <c r="I1781" t="s">
        <v>30</v>
      </c>
      <c r="J1781">
        <v>97</v>
      </c>
      <c r="K1781" t="s">
        <v>25</v>
      </c>
      <c r="L1781">
        <v>92</v>
      </c>
      <c r="M1781">
        <f>IF(D1781=I1781,VLOOKUP(D1781,a_win_totals_lookup,MATCH(K1781,a_wins_total_lookup_header,0)+1,0),VLOOKUP(D1781,a_win_totals_lookup,MATCH(I1781,a_wins_total_lookup_header,0)+1,0))</f>
        <v>0.43996111651765601</v>
      </c>
      <c r="N1781">
        <f t="shared" ca="1" si="27"/>
        <v>0</v>
      </c>
    </row>
    <row r="1782" spans="1:14" x14ac:dyDescent="0.25">
      <c r="A1782">
        <v>400579186</v>
      </c>
      <c r="B1782">
        <v>2015</v>
      </c>
      <c r="C1782" s="1">
        <v>42066</v>
      </c>
      <c r="D1782" t="s">
        <v>28</v>
      </c>
      <c r="E1782">
        <v>0</v>
      </c>
      <c r="F1782">
        <v>42</v>
      </c>
      <c r="G1782">
        <v>17</v>
      </c>
      <c r="H1782">
        <v>1</v>
      </c>
      <c r="I1782" t="s">
        <v>28</v>
      </c>
      <c r="J1782">
        <v>82</v>
      </c>
      <c r="K1782" t="s">
        <v>34</v>
      </c>
      <c r="L1782">
        <v>93</v>
      </c>
      <c r="M1782">
        <f>IF(D1782=I1782,VLOOKUP(D1782,a_win_totals_lookup,MATCH(K1782,a_wins_total_lookup_header,0)+1,0),VLOOKUP(D1782,a_win_totals_lookup,MATCH(I1782,a_wins_total_lookup_header,0)+1,0))</f>
        <v>0.70201279293629204</v>
      </c>
      <c r="N1782">
        <f t="shared" ca="1" si="27"/>
        <v>1</v>
      </c>
    </row>
    <row r="1783" spans="1:14" x14ac:dyDescent="0.25">
      <c r="A1783">
        <v>400579186</v>
      </c>
      <c r="B1783">
        <v>2015</v>
      </c>
      <c r="C1783" s="1">
        <v>42066</v>
      </c>
      <c r="D1783" t="s">
        <v>34</v>
      </c>
      <c r="E1783">
        <v>1</v>
      </c>
      <c r="F1783">
        <v>24</v>
      </c>
      <c r="G1783">
        <v>35</v>
      </c>
      <c r="H1783">
        <v>0</v>
      </c>
      <c r="I1783" t="s">
        <v>28</v>
      </c>
      <c r="J1783">
        <v>82</v>
      </c>
      <c r="K1783" t="s">
        <v>34</v>
      </c>
      <c r="L1783">
        <v>93</v>
      </c>
      <c r="M1783">
        <f>IF(D1783=I1783,VLOOKUP(D1783,a_win_totals_lookup,MATCH(K1783,a_wins_total_lookup_header,0)+1,0),VLOOKUP(D1783,a_win_totals_lookup,MATCH(I1783,a_wins_total_lookup_header,0)+1,0))</f>
        <v>0.29798720706370802</v>
      </c>
      <c r="N1783">
        <f t="shared" ca="1" si="27"/>
        <v>0</v>
      </c>
    </row>
    <row r="1784" spans="1:14" x14ac:dyDescent="0.25">
      <c r="A1784">
        <v>400579187</v>
      </c>
      <c r="B1784">
        <v>2015</v>
      </c>
      <c r="C1784" s="1">
        <v>42066</v>
      </c>
      <c r="D1784" t="s">
        <v>32</v>
      </c>
      <c r="E1784">
        <v>1</v>
      </c>
      <c r="F1784">
        <v>21</v>
      </c>
      <c r="G1784">
        <v>39</v>
      </c>
      <c r="H1784">
        <v>1</v>
      </c>
      <c r="I1784" t="s">
        <v>32</v>
      </c>
      <c r="J1784">
        <v>106</v>
      </c>
      <c r="K1784" t="s">
        <v>19</v>
      </c>
      <c r="L1784">
        <v>95</v>
      </c>
      <c r="M1784">
        <f>IF(D1784=I1784,VLOOKUP(D1784,a_win_totals_lookup,MATCH(K1784,a_wins_total_lookup_header,0)+1,0),VLOOKUP(D1784,a_win_totals_lookup,MATCH(I1784,a_wins_total_lookup_header,0)+1,0))</f>
        <v>0.64545979335474335</v>
      </c>
      <c r="N1784">
        <f t="shared" ca="1" si="27"/>
        <v>0</v>
      </c>
    </row>
    <row r="1785" spans="1:14" x14ac:dyDescent="0.25">
      <c r="A1785">
        <v>400579187</v>
      </c>
      <c r="B1785">
        <v>2015</v>
      </c>
      <c r="C1785" s="1">
        <v>42066</v>
      </c>
      <c r="D1785" t="s">
        <v>19</v>
      </c>
      <c r="E1785">
        <v>0</v>
      </c>
      <c r="F1785">
        <v>32</v>
      </c>
      <c r="G1785">
        <v>28</v>
      </c>
      <c r="H1785">
        <v>0</v>
      </c>
      <c r="I1785" t="s">
        <v>32</v>
      </c>
      <c r="J1785">
        <v>106</v>
      </c>
      <c r="K1785" t="s">
        <v>19</v>
      </c>
      <c r="L1785">
        <v>95</v>
      </c>
      <c r="M1785">
        <f>IF(D1785=I1785,VLOOKUP(D1785,a_win_totals_lookup,MATCH(K1785,a_wins_total_lookup_header,0)+1,0),VLOOKUP(D1785,a_win_totals_lookup,MATCH(I1785,a_wins_total_lookup_header,0)+1,0))</f>
        <v>0.35454020664525671</v>
      </c>
      <c r="N1785">
        <f t="shared" ca="1" si="27"/>
        <v>0</v>
      </c>
    </row>
    <row r="1786" spans="1:14" x14ac:dyDescent="0.25">
      <c r="A1786">
        <v>400579188</v>
      </c>
      <c r="B1786">
        <v>2015</v>
      </c>
      <c r="C1786" s="1">
        <v>42067</v>
      </c>
      <c r="D1786" t="s">
        <v>20</v>
      </c>
      <c r="E1786">
        <v>1</v>
      </c>
      <c r="F1786">
        <v>26</v>
      </c>
      <c r="G1786">
        <v>34</v>
      </c>
      <c r="H1786">
        <v>1</v>
      </c>
      <c r="I1786" t="s">
        <v>20</v>
      </c>
      <c r="J1786">
        <v>105</v>
      </c>
      <c r="K1786" t="s">
        <v>31</v>
      </c>
      <c r="L1786">
        <v>82</v>
      </c>
      <c r="M1786">
        <f>IF(D1786=I1786,VLOOKUP(D1786,a_win_totals_lookup,MATCH(K1786,a_wins_total_lookup_header,0)+1,0),VLOOKUP(D1786,a_win_totals_lookup,MATCH(I1786,a_wins_total_lookup_header,0)+1,0))</f>
        <v>0.43927229864142858</v>
      </c>
      <c r="N1786">
        <f t="shared" ca="1" si="27"/>
        <v>0</v>
      </c>
    </row>
    <row r="1787" spans="1:14" x14ac:dyDescent="0.25">
      <c r="A1787">
        <v>400579188</v>
      </c>
      <c r="B1787">
        <v>2015</v>
      </c>
      <c r="C1787" s="1">
        <v>42067</v>
      </c>
      <c r="D1787" t="s">
        <v>31</v>
      </c>
      <c r="E1787">
        <v>0</v>
      </c>
      <c r="F1787">
        <v>12</v>
      </c>
      <c r="G1787">
        <v>48</v>
      </c>
      <c r="H1787">
        <v>0</v>
      </c>
      <c r="I1787" t="s">
        <v>20</v>
      </c>
      <c r="J1787">
        <v>105</v>
      </c>
      <c r="K1787" t="s">
        <v>31</v>
      </c>
      <c r="L1787">
        <v>82</v>
      </c>
      <c r="M1787">
        <f>IF(D1787=I1787,VLOOKUP(D1787,a_win_totals_lookup,MATCH(K1787,a_wins_total_lookup_header,0)+1,0),VLOOKUP(D1787,a_win_totals_lookup,MATCH(I1787,a_wins_total_lookup_header,0)+1,0))</f>
        <v>0.56072770135857142</v>
      </c>
      <c r="N1787">
        <f t="shared" ca="1" si="27"/>
        <v>1</v>
      </c>
    </row>
    <row r="1788" spans="1:14" x14ac:dyDescent="0.25">
      <c r="A1788">
        <v>400579189</v>
      </c>
      <c r="B1788">
        <v>2015</v>
      </c>
      <c r="C1788" s="1">
        <v>42067</v>
      </c>
      <c r="D1788" t="s">
        <v>13</v>
      </c>
      <c r="E1788">
        <v>0</v>
      </c>
      <c r="F1788">
        <v>19</v>
      </c>
      <c r="G1788">
        <v>43</v>
      </c>
      <c r="H1788">
        <v>1</v>
      </c>
      <c r="I1788" t="s">
        <v>13</v>
      </c>
      <c r="J1788">
        <v>100</v>
      </c>
      <c r="K1788" t="s">
        <v>35</v>
      </c>
      <c r="L1788">
        <v>105</v>
      </c>
      <c r="M1788">
        <f>IF(D1788=I1788,VLOOKUP(D1788,a_win_totals_lookup,MATCH(K1788,a_wins_total_lookup_header,0)+1,0),VLOOKUP(D1788,a_win_totals_lookup,MATCH(I1788,a_wins_total_lookup_header,0)+1,0))</f>
        <v>0.35240218376319032</v>
      </c>
      <c r="N1788">
        <f t="shared" ca="1" si="27"/>
        <v>0</v>
      </c>
    </row>
    <row r="1789" spans="1:14" x14ac:dyDescent="0.25">
      <c r="A1789">
        <v>400579189</v>
      </c>
      <c r="B1789">
        <v>2015</v>
      </c>
      <c r="C1789" s="1">
        <v>42067</v>
      </c>
      <c r="D1789" t="s">
        <v>35</v>
      </c>
      <c r="E1789">
        <v>1</v>
      </c>
      <c r="F1789">
        <v>32</v>
      </c>
      <c r="G1789">
        <v>30</v>
      </c>
      <c r="H1789">
        <v>0</v>
      </c>
      <c r="I1789" t="s">
        <v>13</v>
      </c>
      <c r="J1789">
        <v>100</v>
      </c>
      <c r="K1789" t="s">
        <v>35</v>
      </c>
      <c r="L1789">
        <v>105</v>
      </c>
      <c r="M1789">
        <f>IF(D1789=I1789,VLOOKUP(D1789,a_win_totals_lookup,MATCH(K1789,a_wins_total_lookup_header,0)+1,0),VLOOKUP(D1789,a_win_totals_lookup,MATCH(I1789,a_wins_total_lookup_header,0)+1,0))</f>
        <v>0.64759781623680968</v>
      </c>
      <c r="N1789">
        <f t="shared" ca="1" si="27"/>
        <v>0</v>
      </c>
    </row>
    <row r="1790" spans="1:14" x14ac:dyDescent="0.25">
      <c r="A1790">
        <v>400579190</v>
      </c>
      <c r="B1790">
        <v>2015</v>
      </c>
      <c r="C1790" s="1">
        <v>42067</v>
      </c>
      <c r="D1790" t="s">
        <v>22</v>
      </c>
      <c r="E1790">
        <v>1</v>
      </c>
      <c r="F1790">
        <v>24</v>
      </c>
      <c r="G1790">
        <v>35</v>
      </c>
      <c r="H1790">
        <v>1</v>
      </c>
      <c r="I1790" t="s">
        <v>22</v>
      </c>
      <c r="J1790">
        <v>85</v>
      </c>
      <c r="K1790" t="s">
        <v>34</v>
      </c>
      <c r="L1790">
        <v>84</v>
      </c>
      <c r="M1790">
        <f>IF(D1790=I1790,VLOOKUP(D1790,a_win_totals_lookup,MATCH(K1790,a_wins_total_lookup_header,0)+1,0),VLOOKUP(D1790,a_win_totals_lookup,MATCH(I1790,a_wins_total_lookup_header,0)+1,0))</f>
        <v>0.44399285510679726</v>
      </c>
      <c r="N1790">
        <f t="shared" ca="1" si="27"/>
        <v>0</v>
      </c>
    </row>
    <row r="1791" spans="1:14" x14ac:dyDescent="0.25">
      <c r="A1791">
        <v>400579190</v>
      </c>
      <c r="B1791">
        <v>2015</v>
      </c>
      <c r="C1791" s="1">
        <v>42067</v>
      </c>
      <c r="D1791" t="s">
        <v>34</v>
      </c>
      <c r="E1791">
        <v>0</v>
      </c>
      <c r="F1791">
        <v>24</v>
      </c>
      <c r="G1791">
        <v>36</v>
      </c>
      <c r="H1791">
        <v>0</v>
      </c>
      <c r="I1791" t="s">
        <v>22</v>
      </c>
      <c r="J1791">
        <v>85</v>
      </c>
      <c r="K1791" t="s">
        <v>34</v>
      </c>
      <c r="L1791">
        <v>84</v>
      </c>
      <c r="M1791">
        <f>IF(D1791=I1791,VLOOKUP(D1791,a_win_totals_lookup,MATCH(K1791,a_wins_total_lookup_header,0)+1,0),VLOOKUP(D1791,a_win_totals_lookup,MATCH(I1791,a_wins_total_lookup_header,0)+1,0))</f>
        <v>0.5560071448932028</v>
      </c>
      <c r="N1791">
        <f t="shared" ca="1" si="27"/>
        <v>1</v>
      </c>
    </row>
    <row r="1792" spans="1:14" x14ac:dyDescent="0.25">
      <c r="A1792">
        <v>400579191</v>
      </c>
      <c r="B1792">
        <v>2015</v>
      </c>
      <c r="C1792" s="1">
        <v>42067</v>
      </c>
      <c r="D1792" t="s">
        <v>23</v>
      </c>
      <c r="E1792">
        <v>0</v>
      </c>
      <c r="F1792">
        <v>25</v>
      </c>
      <c r="G1792">
        <v>34</v>
      </c>
      <c r="H1792">
        <v>1</v>
      </c>
      <c r="I1792" t="s">
        <v>23</v>
      </c>
      <c r="J1792">
        <v>91</v>
      </c>
      <c r="K1792" t="s">
        <v>18</v>
      </c>
      <c r="L1792">
        <v>115</v>
      </c>
      <c r="M1792">
        <f>IF(D1792=I1792,VLOOKUP(D1792,a_win_totals_lookup,MATCH(K1792,a_wins_total_lookup_header,0)+1,0),VLOOKUP(D1792,a_win_totals_lookup,MATCH(I1792,a_wins_total_lookup_header,0)+1,0))</f>
        <v>0.43782349911420193</v>
      </c>
      <c r="N1792">
        <f t="shared" ca="1" si="27"/>
        <v>1</v>
      </c>
    </row>
    <row r="1793" spans="1:14" x14ac:dyDescent="0.25">
      <c r="A1793">
        <v>400579191</v>
      </c>
      <c r="B1793">
        <v>2015</v>
      </c>
      <c r="C1793" s="1">
        <v>42067</v>
      </c>
      <c r="D1793" t="s">
        <v>18</v>
      </c>
      <c r="E1793">
        <v>1</v>
      </c>
      <c r="F1793">
        <v>26</v>
      </c>
      <c r="G1793">
        <v>33</v>
      </c>
      <c r="H1793">
        <v>0</v>
      </c>
      <c r="I1793" t="s">
        <v>23</v>
      </c>
      <c r="J1793">
        <v>91</v>
      </c>
      <c r="K1793" t="s">
        <v>18</v>
      </c>
      <c r="L1793">
        <v>115</v>
      </c>
      <c r="M1793">
        <f>IF(D1793=I1793,VLOOKUP(D1793,a_win_totals_lookup,MATCH(K1793,a_wins_total_lookup_header,0)+1,0),VLOOKUP(D1793,a_win_totals_lookup,MATCH(I1793,a_wins_total_lookup_header,0)+1,0))</f>
        <v>0.56217650088579807</v>
      </c>
      <c r="N1793">
        <f t="shared" ca="1" si="27"/>
        <v>1</v>
      </c>
    </row>
    <row r="1794" spans="1:14" x14ac:dyDescent="0.25">
      <c r="A1794">
        <v>400579192</v>
      </c>
      <c r="B1794">
        <v>2015</v>
      </c>
      <c r="C1794" s="1">
        <v>42067</v>
      </c>
      <c r="D1794" t="s">
        <v>40</v>
      </c>
      <c r="E1794">
        <v>1</v>
      </c>
      <c r="F1794">
        <v>39</v>
      </c>
      <c r="G1794">
        <v>24</v>
      </c>
      <c r="H1794">
        <v>0</v>
      </c>
      <c r="I1794" t="s">
        <v>27</v>
      </c>
      <c r="J1794">
        <v>112</v>
      </c>
      <c r="K1794" t="s">
        <v>40</v>
      </c>
      <c r="L1794">
        <v>120</v>
      </c>
      <c r="M1794">
        <f>IF(D1794=I1794,VLOOKUP(D1794,a_win_totals_lookup,MATCH(K1794,a_wins_total_lookup_header,0)+1,0),VLOOKUP(D1794,a_win_totals_lookup,MATCH(I1794,a_wins_total_lookup_header,0)+1,0))</f>
        <v>0.53622195991228083</v>
      </c>
      <c r="N1794">
        <f t="shared" ca="1" si="27"/>
        <v>0</v>
      </c>
    </row>
    <row r="1795" spans="1:14" x14ac:dyDescent="0.25">
      <c r="A1795">
        <v>400579192</v>
      </c>
      <c r="B1795">
        <v>2015</v>
      </c>
      <c r="C1795" s="1">
        <v>42067</v>
      </c>
      <c r="D1795" t="s">
        <v>27</v>
      </c>
      <c r="E1795">
        <v>0</v>
      </c>
      <c r="F1795">
        <v>38</v>
      </c>
      <c r="G1795">
        <v>23</v>
      </c>
      <c r="H1795">
        <v>1</v>
      </c>
      <c r="I1795" t="s">
        <v>27</v>
      </c>
      <c r="J1795">
        <v>112</v>
      </c>
      <c r="K1795" t="s">
        <v>40</v>
      </c>
      <c r="L1795">
        <v>120</v>
      </c>
      <c r="M1795">
        <f>IF(D1795=I1795,VLOOKUP(D1795,a_win_totals_lookup,MATCH(K1795,a_wins_total_lookup_header,0)+1,0),VLOOKUP(D1795,a_win_totals_lookup,MATCH(I1795,a_wins_total_lookup_header,0)+1,0))</f>
        <v>0.46377804008771911</v>
      </c>
      <c r="N1795">
        <f t="shared" ref="N1795:N1858" ca="1" si="28">ROUND(0.5*RANDBETWEEN(-1,1)+M1795,0)</f>
        <v>1</v>
      </c>
    </row>
    <row r="1796" spans="1:14" x14ac:dyDescent="0.25">
      <c r="A1796">
        <v>400579193</v>
      </c>
      <c r="B1796">
        <v>2015</v>
      </c>
      <c r="C1796" s="1">
        <v>42067</v>
      </c>
      <c r="D1796" t="s">
        <v>16</v>
      </c>
      <c r="E1796">
        <v>0</v>
      </c>
      <c r="F1796">
        <v>41</v>
      </c>
      <c r="G1796">
        <v>20</v>
      </c>
      <c r="H1796">
        <v>1</v>
      </c>
      <c r="I1796" t="s">
        <v>16</v>
      </c>
      <c r="J1796">
        <v>100</v>
      </c>
      <c r="K1796" t="s">
        <v>28</v>
      </c>
      <c r="L1796">
        <v>102</v>
      </c>
      <c r="M1796">
        <f>IF(D1796=I1796,VLOOKUP(D1796,a_win_totals_lookup,MATCH(K1796,a_wins_total_lookup_header,0)+1,0),VLOOKUP(D1796,a_win_totals_lookup,MATCH(I1796,a_wins_total_lookup_header,0)+1,0))</f>
        <v>0.48170976222854806</v>
      </c>
      <c r="N1796">
        <f t="shared" ca="1" si="28"/>
        <v>0</v>
      </c>
    </row>
    <row r="1797" spans="1:14" x14ac:dyDescent="0.25">
      <c r="A1797">
        <v>400579193</v>
      </c>
      <c r="B1797">
        <v>2015</v>
      </c>
      <c r="C1797" s="1">
        <v>42067</v>
      </c>
      <c r="D1797" t="s">
        <v>28</v>
      </c>
      <c r="E1797">
        <v>1</v>
      </c>
      <c r="F1797">
        <v>43</v>
      </c>
      <c r="G1797">
        <v>17</v>
      </c>
      <c r="H1797">
        <v>0</v>
      </c>
      <c r="I1797" t="s">
        <v>16</v>
      </c>
      <c r="J1797">
        <v>100</v>
      </c>
      <c r="K1797" t="s">
        <v>28</v>
      </c>
      <c r="L1797">
        <v>102</v>
      </c>
      <c r="M1797">
        <f>IF(D1797=I1797,VLOOKUP(D1797,a_win_totals_lookup,MATCH(K1797,a_wins_total_lookup_header,0)+1,0),VLOOKUP(D1797,a_win_totals_lookup,MATCH(I1797,a_wins_total_lookup_header,0)+1,0))</f>
        <v>0.51829023777145189</v>
      </c>
      <c r="N1797">
        <f t="shared" ca="1" si="28"/>
        <v>1</v>
      </c>
    </row>
    <row r="1798" spans="1:14" x14ac:dyDescent="0.25">
      <c r="A1798">
        <v>400579194</v>
      </c>
      <c r="B1798">
        <v>2015</v>
      </c>
      <c r="C1798" s="1">
        <v>42067</v>
      </c>
      <c r="D1798" t="s">
        <v>32</v>
      </c>
      <c r="E1798">
        <v>1</v>
      </c>
      <c r="F1798">
        <v>22</v>
      </c>
      <c r="G1798">
        <v>39</v>
      </c>
      <c r="H1798">
        <v>0</v>
      </c>
      <c r="I1798" t="s">
        <v>29</v>
      </c>
      <c r="J1798">
        <v>85</v>
      </c>
      <c r="K1798" t="s">
        <v>32</v>
      </c>
      <c r="L1798">
        <v>100</v>
      </c>
      <c r="M1798">
        <f>IF(D1798=I1798,VLOOKUP(D1798,a_win_totals_lookup,MATCH(K1798,a_wins_total_lookup_header,0)+1,0),VLOOKUP(D1798,a_win_totals_lookup,MATCH(I1798,a_wins_total_lookup_header,0)+1,0))</f>
        <v>0.66284304446693665</v>
      </c>
      <c r="N1798">
        <f t="shared" ca="1" si="28"/>
        <v>0</v>
      </c>
    </row>
    <row r="1799" spans="1:14" x14ac:dyDescent="0.25">
      <c r="A1799">
        <v>400579194</v>
      </c>
      <c r="B1799">
        <v>2015</v>
      </c>
      <c r="C1799" s="1">
        <v>42067</v>
      </c>
      <c r="D1799" t="s">
        <v>29</v>
      </c>
      <c r="E1799">
        <v>0</v>
      </c>
      <c r="F1799">
        <v>13</v>
      </c>
      <c r="G1799">
        <v>47</v>
      </c>
      <c r="H1799">
        <v>1</v>
      </c>
      <c r="I1799" t="s">
        <v>29</v>
      </c>
      <c r="J1799">
        <v>85</v>
      </c>
      <c r="K1799" t="s">
        <v>32</v>
      </c>
      <c r="L1799">
        <v>100</v>
      </c>
      <c r="M1799">
        <f>IF(D1799=I1799,VLOOKUP(D1799,a_win_totals_lookup,MATCH(K1799,a_wins_total_lookup_header,0)+1,0),VLOOKUP(D1799,a_win_totals_lookup,MATCH(I1799,a_wins_total_lookup_header,0)+1,0))</f>
        <v>0.33715695553306341</v>
      </c>
      <c r="N1799">
        <f t="shared" ca="1" si="28"/>
        <v>1</v>
      </c>
    </row>
    <row r="1800" spans="1:14" x14ac:dyDescent="0.25">
      <c r="A1800">
        <v>400579195</v>
      </c>
      <c r="B1800">
        <v>2015</v>
      </c>
      <c r="C1800" s="1">
        <v>42067</v>
      </c>
      <c r="D1800" t="s">
        <v>33</v>
      </c>
      <c r="E1800">
        <v>0</v>
      </c>
      <c r="F1800">
        <v>23</v>
      </c>
      <c r="G1800">
        <v>37</v>
      </c>
      <c r="H1800">
        <v>0</v>
      </c>
      <c r="I1800" t="s">
        <v>12</v>
      </c>
      <c r="J1800">
        <v>88</v>
      </c>
      <c r="K1800" t="s">
        <v>33</v>
      </c>
      <c r="L1800">
        <v>85</v>
      </c>
      <c r="M1800">
        <f>IF(D1800=I1800,VLOOKUP(D1800,a_win_totals_lookup,MATCH(K1800,a_wins_total_lookup_header,0)+1,0),VLOOKUP(D1800,a_win_totals_lookup,MATCH(I1800,a_wins_total_lookup_header,0)+1,0))</f>
        <v>0.44163344341796507</v>
      </c>
      <c r="N1800">
        <f t="shared" ca="1" si="28"/>
        <v>1</v>
      </c>
    </row>
    <row r="1801" spans="1:14" x14ac:dyDescent="0.25">
      <c r="A1801">
        <v>400579195</v>
      </c>
      <c r="B1801">
        <v>2015</v>
      </c>
      <c r="C1801" s="1">
        <v>42067</v>
      </c>
      <c r="D1801" t="s">
        <v>12</v>
      </c>
      <c r="E1801">
        <v>1</v>
      </c>
      <c r="F1801">
        <v>33</v>
      </c>
      <c r="G1801">
        <v>28</v>
      </c>
      <c r="H1801">
        <v>1</v>
      </c>
      <c r="I1801" t="s">
        <v>12</v>
      </c>
      <c r="J1801">
        <v>88</v>
      </c>
      <c r="K1801" t="s">
        <v>33</v>
      </c>
      <c r="L1801">
        <v>85</v>
      </c>
      <c r="M1801">
        <f>IF(D1801=I1801,VLOOKUP(D1801,a_win_totals_lookup,MATCH(K1801,a_wins_total_lookup_header,0)+1,0),VLOOKUP(D1801,a_win_totals_lookup,MATCH(I1801,a_wins_total_lookup_header,0)+1,0))</f>
        <v>0.55836655658203493</v>
      </c>
      <c r="N1801">
        <f t="shared" ca="1" si="28"/>
        <v>0</v>
      </c>
    </row>
    <row r="1802" spans="1:14" x14ac:dyDescent="0.25">
      <c r="A1802">
        <v>400579196</v>
      </c>
      <c r="B1802">
        <v>2015</v>
      </c>
      <c r="C1802" s="1">
        <v>42067</v>
      </c>
      <c r="D1802" t="s">
        <v>38</v>
      </c>
      <c r="E1802">
        <v>1</v>
      </c>
      <c r="F1802">
        <v>34</v>
      </c>
      <c r="G1802">
        <v>27</v>
      </c>
      <c r="H1802">
        <v>1</v>
      </c>
      <c r="I1802" t="s">
        <v>38</v>
      </c>
      <c r="J1802">
        <v>123</v>
      </c>
      <c r="K1802" t="s">
        <v>21</v>
      </c>
      <c r="L1802">
        <v>118</v>
      </c>
      <c r="M1802">
        <f>IF(D1802=I1802,VLOOKUP(D1802,a_win_totals_lookup,MATCH(K1802,a_wins_total_lookup_header,0)+1,0),VLOOKUP(D1802,a_win_totals_lookup,MATCH(I1802,a_wins_total_lookup_header,0)+1,0))</f>
        <v>0.79586767272311343</v>
      </c>
      <c r="N1802">
        <f t="shared" ca="1" si="28"/>
        <v>1</v>
      </c>
    </row>
    <row r="1803" spans="1:14" x14ac:dyDescent="0.25">
      <c r="A1803">
        <v>400579196</v>
      </c>
      <c r="B1803">
        <v>2015</v>
      </c>
      <c r="C1803" s="1">
        <v>42067</v>
      </c>
      <c r="D1803" t="s">
        <v>21</v>
      </c>
      <c r="E1803">
        <v>0</v>
      </c>
      <c r="F1803">
        <v>13</v>
      </c>
      <c r="G1803">
        <v>48</v>
      </c>
      <c r="H1803">
        <v>0</v>
      </c>
      <c r="I1803" t="s">
        <v>38</v>
      </c>
      <c r="J1803">
        <v>123</v>
      </c>
      <c r="K1803" t="s">
        <v>21</v>
      </c>
      <c r="L1803">
        <v>118</v>
      </c>
      <c r="M1803">
        <f>IF(D1803=I1803,VLOOKUP(D1803,a_win_totals_lookup,MATCH(K1803,a_wins_total_lookup_header,0)+1,0),VLOOKUP(D1803,a_win_totals_lookup,MATCH(I1803,a_wins_total_lookup_header,0)+1,0))</f>
        <v>0.20413232727688654</v>
      </c>
      <c r="N1803">
        <f t="shared" ca="1" si="28"/>
        <v>0</v>
      </c>
    </row>
    <row r="1804" spans="1:14" x14ac:dyDescent="0.25">
      <c r="A1804">
        <v>400579197</v>
      </c>
      <c r="B1804">
        <v>2015</v>
      </c>
      <c r="C1804" s="1">
        <v>42067</v>
      </c>
      <c r="D1804" t="s">
        <v>17</v>
      </c>
      <c r="E1804">
        <v>0</v>
      </c>
      <c r="F1804">
        <v>16</v>
      </c>
      <c r="G1804">
        <v>44</v>
      </c>
      <c r="H1804">
        <v>0</v>
      </c>
      <c r="I1804" t="s">
        <v>24</v>
      </c>
      <c r="J1804">
        <v>100</v>
      </c>
      <c r="K1804" t="s">
        <v>17</v>
      </c>
      <c r="L1804">
        <v>94</v>
      </c>
      <c r="M1804">
        <f>IF(D1804=I1804,VLOOKUP(D1804,a_win_totals_lookup,MATCH(K1804,a_wins_total_lookup_header,0)+1,0),VLOOKUP(D1804,a_win_totals_lookup,MATCH(I1804,a_wins_total_lookup_header,0)+1,0))</f>
        <v>0.37380818220506512</v>
      </c>
      <c r="N1804">
        <f t="shared" ca="1" si="28"/>
        <v>0</v>
      </c>
    </row>
    <row r="1805" spans="1:14" x14ac:dyDescent="0.25">
      <c r="A1805">
        <v>400579197</v>
      </c>
      <c r="B1805">
        <v>2015</v>
      </c>
      <c r="C1805" s="1">
        <v>42067</v>
      </c>
      <c r="D1805" t="s">
        <v>24</v>
      </c>
      <c r="E1805">
        <v>1</v>
      </c>
      <c r="F1805">
        <v>27</v>
      </c>
      <c r="G1805">
        <v>33</v>
      </c>
      <c r="H1805">
        <v>1</v>
      </c>
      <c r="I1805" t="s">
        <v>24</v>
      </c>
      <c r="J1805">
        <v>100</v>
      </c>
      <c r="K1805" t="s">
        <v>17</v>
      </c>
      <c r="L1805">
        <v>94</v>
      </c>
      <c r="M1805">
        <f>IF(D1805=I1805,VLOOKUP(D1805,a_win_totals_lookup,MATCH(K1805,a_wins_total_lookup_header,0)+1,0),VLOOKUP(D1805,a_win_totals_lookup,MATCH(I1805,a_wins_total_lookup_header,0)+1,0))</f>
        <v>0.62619181779493494</v>
      </c>
      <c r="N1805">
        <f t="shared" ca="1" si="28"/>
        <v>0</v>
      </c>
    </row>
    <row r="1806" spans="1:14" x14ac:dyDescent="0.25">
      <c r="A1806">
        <v>400579198</v>
      </c>
      <c r="B1806">
        <v>2015</v>
      </c>
      <c r="C1806" s="1">
        <v>42067</v>
      </c>
      <c r="D1806" t="s">
        <v>37</v>
      </c>
      <c r="E1806">
        <v>0</v>
      </c>
      <c r="F1806">
        <v>21</v>
      </c>
      <c r="G1806">
        <v>38</v>
      </c>
      <c r="H1806">
        <v>0</v>
      </c>
      <c r="I1806" t="s">
        <v>15</v>
      </c>
      <c r="J1806">
        <v>112</v>
      </c>
      <c r="K1806" t="s">
        <v>37</v>
      </c>
      <c r="L1806">
        <v>85</v>
      </c>
      <c r="M1806">
        <f>IF(D1806=I1806,VLOOKUP(D1806,a_win_totals_lookup,MATCH(K1806,a_wins_total_lookup_header,0)+1,0),VLOOKUP(D1806,a_win_totals_lookup,MATCH(I1806,a_wins_total_lookup_header,0)+1,0))</f>
        <v>0.29215473840837614</v>
      </c>
      <c r="N1806">
        <f t="shared" ca="1" si="28"/>
        <v>1</v>
      </c>
    </row>
    <row r="1807" spans="1:14" x14ac:dyDescent="0.25">
      <c r="A1807">
        <v>400579198</v>
      </c>
      <c r="B1807">
        <v>2015</v>
      </c>
      <c r="C1807" s="1">
        <v>42067</v>
      </c>
      <c r="D1807" t="s">
        <v>15</v>
      </c>
      <c r="E1807">
        <v>1</v>
      </c>
      <c r="F1807">
        <v>37</v>
      </c>
      <c r="G1807">
        <v>23</v>
      </c>
      <c r="H1807">
        <v>1</v>
      </c>
      <c r="I1807" t="s">
        <v>15</v>
      </c>
      <c r="J1807">
        <v>112</v>
      </c>
      <c r="K1807" t="s">
        <v>37</v>
      </c>
      <c r="L1807">
        <v>85</v>
      </c>
      <c r="M1807">
        <f>IF(D1807=I1807,VLOOKUP(D1807,a_win_totals_lookup,MATCH(K1807,a_wins_total_lookup_header,0)+1,0),VLOOKUP(D1807,a_win_totals_lookup,MATCH(I1807,a_wins_total_lookup_header,0)+1,0))</f>
        <v>0.70784526159162375</v>
      </c>
      <c r="N1807">
        <f t="shared" ca="1" si="28"/>
        <v>1</v>
      </c>
    </row>
    <row r="1808" spans="1:14" x14ac:dyDescent="0.25">
      <c r="A1808">
        <v>400579199</v>
      </c>
      <c r="B1808">
        <v>2015</v>
      </c>
      <c r="C1808" s="1">
        <v>42067</v>
      </c>
      <c r="D1808" t="s">
        <v>36</v>
      </c>
      <c r="E1808">
        <v>1</v>
      </c>
      <c r="F1808">
        <v>47</v>
      </c>
      <c r="G1808">
        <v>12</v>
      </c>
      <c r="H1808">
        <v>1</v>
      </c>
      <c r="I1808" t="s">
        <v>36</v>
      </c>
      <c r="J1808">
        <v>102</v>
      </c>
      <c r="K1808" t="s">
        <v>19</v>
      </c>
      <c r="L1808">
        <v>93</v>
      </c>
      <c r="M1808">
        <f>IF(D1808=I1808,VLOOKUP(D1808,a_win_totals_lookup,MATCH(K1808,a_wins_total_lookup_header,0)+1,0),VLOOKUP(D1808,a_win_totals_lookup,MATCH(I1808,a_wins_total_lookup_header,0)+1,0))</f>
        <v>0.74990846776994036</v>
      </c>
      <c r="N1808">
        <f t="shared" ca="1" si="28"/>
        <v>1</v>
      </c>
    </row>
    <row r="1809" spans="1:14" x14ac:dyDescent="0.25">
      <c r="A1809">
        <v>400579199</v>
      </c>
      <c r="B1809">
        <v>2015</v>
      </c>
      <c r="C1809" s="1">
        <v>42067</v>
      </c>
      <c r="D1809" t="s">
        <v>19</v>
      </c>
      <c r="E1809">
        <v>0</v>
      </c>
      <c r="F1809">
        <v>32</v>
      </c>
      <c r="G1809">
        <v>29</v>
      </c>
      <c r="H1809">
        <v>0</v>
      </c>
      <c r="I1809" t="s">
        <v>36</v>
      </c>
      <c r="J1809">
        <v>102</v>
      </c>
      <c r="K1809" t="s">
        <v>19</v>
      </c>
      <c r="L1809">
        <v>93</v>
      </c>
      <c r="M1809">
        <f>IF(D1809=I1809,VLOOKUP(D1809,a_win_totals_lookup,MATCH(K1809,a_wins_total_lookup_header,0)+1,0),VLOOKUP(D1809,a_win_totals_lookup,MATCH(I1809,a_wins_total_lookup_header,0)+1,0))</f>
        <v>0.2500915322300597</v>
      </c>
      <c r="N1809">
        <f t="shared" ca="1" si="28"/>
        <v>0</v>
      </c>
    </row>
    <row r="1810" spans="1:14" x14ac:dyDescent="0.25">
      <c r="A1810">
        <v>400579200</v>
      </c>
      <c r="B1810">
        <v>2015</v>
      </c>
      <c r="C1810" s="1">
        <v>42067</v>
      </c>
      <c r="D1810" t="s">
        <v>41</v>
      </c>
      <c r="E1810">
        <v>0</v>
      </c>
      <c r="F1810">
        <v>40</v>
      </c>
      <c r="G1810">
        <v>22</v>
      </c>
      <c r="H1810">
        <v>1</v>
      </c>
      <c r="I1810" t="s">
        <v>41</v>
      </c>
      <c r="J1810">
        <v>93</v>
      </c>
      <c r="K1810" t="s">
        <v>39</v>
      </c>
      <c r="L1810">
        <v>98</v>
      </c>
      <c r="M1810">
        <f>IF(D1810=I1810,VLOOKUP(D1810,a_win_totals_lookup,MATCH(K1810,a_wins_total_lookup_header,0)+1,0),VLOOKUP(D1810,a_win_totals_lookup,MATCH(I1810,a_wins_total_lookup_header,0)+1,0))</f>
        <v>0.56088868482079979</v>
      </c>
      <c r="N1810">
        <f t="shared" ca="1" si="28"/>
        <v>0</v>
      </c>
    </row>
    <row r="1811" spans="1:14" x14ac:dyDescent="0.25">
      <c r="A1811">
        <v>400579200</v>
      </c>
      <c r="B1811">
        <v>2015</v>
      </c>
      <c r="C1811" s="1">
        <v>42067</v>
      </c>
      <c r="D1811" t="s">
        <v>39</v>
      </c>
      <c r="E1811">
        <v>1</v>
      </c>
      <c r="F1811">
        <v>40</v>
      </c>
      <c r="G1811">
        <v>19</v>
      </c>
      <c r="H1811">
        <v>0</v>
      </c>
      <c r="I1811" t="s">
        <v>41</v>
      </c>
      <c r="J1811">
        <v>93</v>
      </c>
      <c r="K1811" t="s">
        <v>39</v>
      </c>
      <c r="L1811">
        <v>98</v>
      </c>
      <c r="M1811">
        <f>IF(D1811=I1811,VLOOKUP(D1811,a_win_totals_lookup,MATCH(K1811,a_wins_total_lookup_header,0)+1,0),VLOOKUP(D1811,a_win_totals_lookup,MATCH(I1811,a_wins_total_lookup_header,0)+1,0))</f>
        <v>0.43911131517920021</v>
      </c>
      <c r="N1811">
        <f t="shared" ca="1" si="28"/>
        <v>1</v>
      </c>
    </row>
    <row r="1812" spans="1:14" x14ac:dyDescent="0.25">
      <c r="A1812">
        <v>400579201</v>
      </c>
      <c r="B1812">
        <v>2015</v>
      </c>
      <c r="C1812" s="1">
        <v>42068</v>
      </c>
      <c r="D1812" t="s">
        <v>30</v>
      </c>
      <c r="E1812">
        <v>1</v>
      </c>
      <c r="F1812">
        <v>39</v>
      </c>
      <c r="G1812">
        <v>23</v>
      </c>
      <c r="H1812">
        <v>1</v>
      </c>
      <c r="I1812" t="s">
        <v>30</v>
      </c>
      <c r="J1812">
        <v>108</v>
      </c>
      <c r="K1812" t="s">
        <v>38</v>
      </c>
      <c r="L1812">
        <v>105</v>
      </c>
      <c r="M1812">
        <f>IF(D1812=I1812,VLOOKUP(D1812,a_win_totals_lookup,MATCH(K1812,a_wins_total_lookup_header,0)+1,0),VLOOKUP(D1812,a_win_totals_lookup,MATCH(I1812,a_wins_total_lookup_header,0)+1,0))</f>
        <v>0.51203002742234893</v>
      </c>
      <c r="N1812">
        <f t="shared" ca="1" si="28"/>
        <v>1</v>
      </c>
    </row>
    <row r="1813" spans="1:14" x14ac:dyDescent="0.25">
      <c r="A1813">
        <v>400579201</v>
      </c>
      <c r="B1813">
        <v>2015</v>
      </c>
      <c r="C1813" s="1">
        <v>42068</v>
      </c>
      <c r="D1813" t="s">
        <v>38</v>
      </c>
      <c r="E1813">
        <v>0</v>
      </c>
      <c r="F1813">
        <v>34</v>
      </c>
      <c r="G1813">
        <v>28</v>
      </c>
      <c r="H1813">
        <v>0</v>
      </c>
      <c r="I1813" t="s">
        <v>30</v>
      </c>
      <c r="J1813">
        <v>108</v>
      </c>
      <c r="K1813" t="s">
        <v>38</v>
      </c>
      <c r="L1813">
        <v>105</v>
      </c>
      <c r="M1813">
        <f>IF(D1813=I1813,VLOOKUP(D1813,a_win_totals_lookup,MATCH(K1813,a_wins_total_lookup_header,0)+1,0),VLOOKUP(D1813,a_win_totals_lookup,MATCH(I1813,a_wins_total_lookup_header,0)+1,0))</f>
        <v>0.48796997257765107</v>
      </c>
      <c r="N1813">
        <f t="shared" ca="1" si="28"/>
        <v>0</v>
      </c>
    </row>
    <row r="1814" spans="1:14" x14ac:dyDescent="0.25">
      <c r="A1814">
        <v>400579202</v>
      </c>
      <c r="B1814">
        <v>2015</v>
      </c>
      <c r="C1814" s="1">
        <v>42068</v>
      </c>
      <c r="D1814" t="s">
        <v>14</v>
      </c>
      <c r="E1814">
        <v>0</v>
      </c>
      <c r="F1814">
        <v>40</v>
      </c>
      <c r="G1814">
        <v>23</v>
      </c>
      <c r="H1814">
        <v>0</v>
      </c>
      <c r="I1814" t="s">
        <v>39</v>
      </c>
      <c r="J1814">
        <v>94</v>
      </c>
      <c r="K1814" t="s">
        <v>14</v>
      </c>
      <c r="L1814">
        <v>75</v>
      </c>
      <c r="M1814">
        <f>IF(D1814=I1814,VLOOKUP(D1814,a_win_totals_lookup,MATCH(K1814,a_wins_total_lookup_header,0)+1,0),VLOOKUP(D1814,a_win_totals_lookup,MATCH(I1814,a_wins_total_lookup_header,0)+1,0))</f>
        <v>0.52488627234984619</v>
      </c>
      <c r="N1814">
        <f t="shared" ca="1" si="28"/>
        <v>1</v>
      </c>
    </row>
    <row r="1815" spans="1:14" x14ac:dyDescent="0.25">
      <c r="A1815">
        <v>400579202</v>
      </c>
      <c r="B1815">
        <v>2015</v>
      </c>
      <c r="C1815" s="1">
        <v>42068</v>
      </c>
      <c r="D1815" t="s">
        <v>39</v>
      </c>
      <c r="E1815">
        <v>1</v>
      </c>
      <c r="F1815">
        <v>41</v>
      </c>
      <c r="G1815">
        <v>19</v>
      </c>
      <c r="H1815">
        <v>1</v>
      </c>
      <c r="I1815" t="s">
        <v>39</v>
      </c>
      <c r="J1815">
        <v>94</v>
      </c>
      <c r="K1815" t="s">
        <v>14</v>
      </c>
      <c r="L1815">
        <v>75</v>
      </c>
      <c r="M1815">
        <f>IF(D1815=I1815,VLOOKUP(D1815,a_win_totals_lookup,MATCH(K1815,a_wins_total_lookup_header,0)+1,0),VLOOKUP(D1815,a_win_totals_lookup,MATCH(I1815,a_wins_total_lookup_header,0)+1,0))</f>
        <v>0.47511372765015386</v>
      </c>
      <c r="N1815">
        <f t="shared" ca="1" si="28"/>
        <v>1</v>
      </c>
    </row>
    <row r="1816" spans="1:14" x14ac:dyDescent="0.25">
      <c r="A1816">
        <v>400579203</v>
      </c>
      <c r="B1816">
        <v>2015</v>
      </c>
      <c r="C1816" s="1">
        <v>42069</v>
      </c>
      <c r="D1816" t="s">
        <v>18</v>
      </c>
      <c r="E1816">
        <v>1</v>
      </c>
      <c r="F1816">
        <v>27</v>
      </c>
      <c r="G1816">
        <v>33</v>
      </c>
      <c r="H1816">
        <v>1</v>
      </c>
      <c r="I1816" t="s">
        <v>18</v>
      </c>
      <c r="J1816">
        <v>103</v>
      </c>
      <c r="K1816" t="s">
        <v>27</v>
      </c>
      <c r="L1816">
        <v>94</v>
      </c>
      <c r="M1816">
        <f>IF(D1816=I1816,VLOOKUP(D1816,a_win_totals_lookup,MATCH(K1816,a_wins_total_lookup_header,0)+1,0),VLOOKUP(D1816,a_win_totals_lookup,MATCH(I1816,a_wins_total_lookup_header,0)+1,0))</f>
        <v>0.4452024002195884</v>
      </c>
      <c r="N1816">
        <f t="shared" ca="1" si="28"/>
        <v>0</v>
      </c>
    </row>
    <row r="1817" spans="1:14" x14ac:dyDescent="0.25">
      <c r="A1817">
        <v>400579203</v>
      </c>
      <c r="B1817">
        <v>2015</v>
      </c>
      <c r="C1817" s="1">
        <v>42069</v>
      </c>
      <c r="D1817" t="s">
        <v>27</v>
      </c>
      <c r="E1817">
        <v>0</v>
      </c>
      <c r="F1817">
        <v>38</v>
      </c>
      <c r="G1817">
        <v>24</v>
      </c>
      <c r="H1817">
        <v>0</v>
      </c>
      <c r="I1817" t="s">
        <v>18</v>
      </c>
      <c r="J1817">
        <v>103</v>
      </c>
      <c r="K1817" t="s">
        <v>27</v>
      </c>
      <c r="L1817">
        <v>94</v>
      </c>
      <c r="M1817">
        <f>IF(D1817=I1817,VLOOKUP(D1817,a_win_totals_lookup,MATCH(K1817,a_wins_total_lookup_header,0)+1,0),VLOOKUP(D1817,a_win_totals_lookup,MATCH(I1817,a_wins_total_lookup_header,0)+1,0))</f>
        <v>0.55479759978041154</v>
      </c>
      <c r="N1817">
        <f t="shared" ca="1" si="28"/>
        <v>0</v>
      </c>
    </row>
    <row r="1818" spans="1:14" x14ac:dyDescent="0.25">
      <c r="A1818">
        <v>400579204</v>
      </c>
      <c r="B1818">
        <v>2015</v>
      </c>
      <c r="C1818" s="1">
        <v>42069</v>
      </c>
      <c r="D1818" t="s">
        <v>30</v>
      </c>
      <c r="E1818">
        <v>0</v>
      </c>
      <c r="F1818">
        <v>39</v>
      </c>
      <c r="G1818">
        <v>24</v>
      </c>
      <c r="H1818">
        <v>0</v>
      </c>
      <c r="I1818" t="s">
        <v>20</v>
      </c>
      <c r="J1818">
        <v>98</v>
      </c>
      <c r="K1818" t="s">
        <v>30</v>
      </c>
      <c r="L1818">
        <v>84</v>
      </c>
      <c r="M1818">
        <f>IF(D1818=I1818,VLOOKUP(D1818,a_win_totals_lookup,MATCH(K1818,a_wins_total_lookup_header,0)+1,0),VLOOKUP(D1818,a_win_totals_lookup,MATCH(I1818,a_wins_total_lookup_header,0)+1,0))</f>
        <v>0.69383845122039145</v>
      </c>
      <c r="N1818">
        <f t="shared" ca="1" si="28"/>
        <v>1</v>
      </c>
    </row>
    <row r="1819" spans="1:14" x14ac:dyDescent="0.25">
      <c r="A1819">
        <v>400579204</v>
      </c>
      <c r="B1819">
        <v>2015</v>
      </c>
      <c r="C1819" s="1">
        <v>42069</v>
      </c>
      <c r="D1819" t="s">
        <v>20</v>
      </c>
      <c r="E1819">
        <v>1</v>
      </c>
      <c r="F1819">
        <v>27</v>
      </c>
      <c r="G1819">
        <v>34</v>
      </c>
      <c r="H1819">
        <v>1</v>
      </c>
      <c r="I1819" t="s">
        <v>20</v>
      </c>
      <c r="J1819">
        <v>98</v>
      </c>
      <c r="K1819" t="s">
        <v>30</v>
      </c>
      <c r="L1819">
        <v>84</v>
      </c>
      <c r="M1819">
        <f>IF(D1819=I1819,VLOOKUP(D1819,a_win_totals_lookup,MATCH(K1819,a_wins_total_lookup_header,0)+1,0),VLOOKUP(D1819,a_win_totals_lookup,MATCH(I1819,a_wins_total_lookup_header,0)+1,0))</f>
        <v>0.30616154877960861</v>
      </c>
      <c r="N1819">
        <f t="shared" ca="1" si="28"/>
        <v>0</v>
      </c>
    </row>
    <row r="1820" spans="1:14" x14ac:dyDescent="0.25">
      <c r="A1820">
        <v>400579205</v>
      </c>
      <c r="B1820">
        <v>2015</v>
      </c>
      <c r="C1820" s="1">
        <v>42069</v>
      </c>
      <c r="D1820" t="s">
        <v>13</v>
      </c>
      <c r="E1820">
        <v>1</v>
      </c>
      <c r="F1820">
        <v>20</v>
      </c>
      <c r="G1820">
        <v>43</v>
      </c>
      <c r="H1820">
        <v>1</v>
      </c>
      <c r="I1820" t="s">
        <v>13</v>
      </c>
      <c r="J1820">
        <v>119</v>
      </c>
      <c r="K1820" t="s">
        <v>37</v>
      </c>
      <c r="L1820">
        <v>114</v>
      </c>
      <c r="M1820">
        <f>IF(D1820=I1820,VLOOKUP(D1820,a_win_totals_lookup,MATCH(K1820,a_wins_total_lookup_header,0)+1,0),VLOOKUP(D1820,a_win_totals_lookup,MATCH(I1820,a_wins_total_lookup_header,0)+1,0))</f>
        <v>0.46503580899628916</v>
      </c>
      <c r="N1820">
        <f t="shared" ca="1" si="28"/>
        <v>0</v>
      </c>
    </row>
    <row r="1821" spans="1:14" x14ac:dyDescent="0.25">
      <c r="A1821">
        <v>400579205</v>
      </c>
      <c r="B1821">
        <v>2015</v>
      </c>
      <c r="C1821" s="1">
        <v>42069</v>
      </c>
      <c r="D1821" t="s">
        <v>37</v>
      </c>
      <c r="E1821">
        <v>0</v>
      </c>
      <c r="F1821">
        <v>21</v>
      </c>
      <c r="G1821">
        <v>39</v>
      </c>
      <c r="H1821">
        <v>0</v>
      </c>
      <c r="I1821" t="s">
        <v>13</v>
      </c>
      <c r="J1821">
        <v>119</v>
      </c>
      <c r="K1821" t="s">
        <v>37</v>
      </c>
      <c r="L1821">
        <v>114</v>
      </c>
      <c r="M1821">
        <f>IF(D1821=I1821,VLOOKUP(D1821,a_win_totals_lookup,MATCH(K1821,a_wins_total_lookup_header,0)+1,0),VLOOKUP(D1821,a_win_totals_lookup,MATCH(I1821,a_wins_total_lookup_header,0)+1,0))</f>
        <v>0.53496419100371084</v>
      </c>
      <c r="N1821">
        <f t="shared" ca="1" si="28"/>
        <v>1</v>
      </c>
    </row>
    <row r="1822" spans="1:14" x14ac:dyDescent="0.25">
      <c r="A1822">
        <v>400579206</v>
      </c>
      <c r="B1822">
        <v>2015</v>
      </c>
      <c r="C1822" s="1">
        <v>42069</v>
      </c>
      <c r="D1822" t="s">
        <v>21</v>
      </c>
      <c r="E1822">
        <v>0</v>
      </c>
      <c r="F1822">
        <v>13</v>
      </c>
      <c r="G1822">
        <v>49</v>
      </c>
      <c r="H1822">
        <v>1</v>
      </c>
      <c r="I1822" t="s">
        <v>21</v>
      </c>
      <c r="J1822">
        <v>83</v>
      </c>
      <c r="K1822" t="s">
        <v>34</v>
      </c>
      <c r="L1822">
        <v>89</v>
      </c>
      <c r="M1822">
        <f>IF(D1822=I1822,VLOOKUP(D1822,a_win_totals_lookup,MATCH(K1822,a_wins_total_lookup_header,0)+1,0),VLOOKUP(D1822,a_win_totals_lookup,MATCH(I1822,a_wins_total_lookup_header,0)+1,0))</f>
        <v>0.40521877128660083</v>
      </c>
      <c r="N1822">
        <f t="shared" ca="1" si="28"/>
        <v>0</v>
      </c>
    </row>
    <row r="1823" spans="1:14" x14ac:dyDescent="0.25">
      <c r="A1823">
        <v>400579206</v>
      </c>
      <c r="B1823">
        <v>2015</v>
      </c>
      <c r="C1823" s="1">
        <v>42069</v>
      </c>
      <c r="D1823" t="s">
        <v>34</v>
      </c>
      <c r="E1823">
        <v>1</v>
      </c>
      <c r="F1823">
        <v>25</v>
      </c>
      <c r="G1823">
        <v>36</v>
      </c>
      <c r="H1823">
        <v>0</v>
      </c>
      <c r="I1823" t="s">
        <v>21</v>
      </c>
      <c r="J1823">
        <v>83</v>
      </c>
      <c r="K1823" t="s">
        <v>34</v>
      </c>
      <c r="L1823">
        <v>89</v>
      </c>
      <c r="M1823">
        <f>IF(D1823=I1823,VLOOKUP(D1823,a_win_totals_lookup,MATCH(K1823,a_wins_total_lookup_header,0)+1,0),VLOOKUP(D1823,a_win_totals_lookup,MATCH(I1823,a_wins_total_lookup_header,0)+1,0))</f>
        <v>0.59478122871339911</v>
      </c>
      <c r="N1823">
        <f t="shared" ca="1" si="28"/>
        <v>1</v>
      </c>
    </row>
    <row r="1824" spans="1:14" x14ac:dyDescent="0.25">
      <c r="A1824">
        <v>400579207</v>
      </c>
      <c r="B1824">
        <v>2015</v>
      </c>
      <c r="C1824" s="1">
        <v>42069</v>
      </c>
      <c r="D1824" t="s">
        <v>26</v>
      </c>
      <c r="E1824">
        <v>1</v>
      </c>
      <c r="F1824">
        <v>49</v>
      </c>
      <c r="G1824">
        <v>12</v>
      </c>
      <c r="H1824">
        <v>1</v>
      </c>
      <c r="I1824" t="s">
        <v>26</v>
      </c>
      <c r="J1824">
        <v>106</v>
      </c>
      <c r="K1824" t="s">
        <v>40</v>
      </c>
      <c r="L1824">
        <v>97</v>
      </c>
      <c r="M1824">
        <f>IF(D1824=I1824,VLOOKUP(D1824,a_win_totals_lookup,MATCH(K1824,a_wins_total_lookup_header,0)+1,0),VLOOKUP(D1824,a_win_totals_lookup,MATCH(I1824,a_wins_total_lookup_header,0)+1,0))</f>
        <v>0.3875228826260283</v>
      </c>
      <c r="N1824">
        <f t="shared" ca="1" si="28"/>
        <v>0</v>
      </c>
    </row>
    <row r="1825" spans="1:14" x14ac:dyDescent="0.25">
      <c r="A1825">
        <v>400579207</v>
      </c>
      <c r="B1825">
        <v>2015</v>
      </c>
      <c r="C1825" s="1">
        <v>42069</v>
      </c>
      <c r="D1825" t="s">
        <v>40</v>
      </c>
      <c r="E1825">
        <v>0</v>
      </c>
      <c r="F1825">
        <v>39</v>
      </c>
      <c r="G1825">
        <v>25</v>
      </c>
      <c r="H1825">
        <v>0</v>
      </c>
      <c r="I1825" t="s">
        <v>26</v>
      </c>
      <c r="J1825">
        <v>106</v>
      </c>
      <c r="K1825" t="s">
        <v>40</v>
      </c>
      <c r="L1825">
        <v>97</v>
      </c>
      <c r="M1825">
        <f>IF(D1825=I1825,VLOOKUP(D1825,a_win_totals_lookup,MATCH(K1825,a_wins_total_lookup_header,0)+1,0),VLOOKUP(D1825,a_win_totals_lookup,MATCH(I1825,a_wins_total_lookup_header,0)+1,0))</f>
        <v>0.6124771173739717</v>
      </c>
      <c r="N1825">
        <f t="shared" ca="1" si="28"/>
        <v>0</v>
      </c>
    </row>
    <row r="1826" spans="1:14" x14ac:dyDescent="0.25">
      <c r="A1826">
        <v>400579208</v>
      </c>
      <c r="B1826">
        <v>2015</v>
      </c>
      <c r="C1826" s="1">
        <v>42069</v>
      </c>
      <c r="D1826" t="s">
        <v>23</v>
      </c>
      <c r="E1826">
        <v>0</v>
      </c>
      <c r="F1826">
        <v>25</v>
      </c>
      <c r="G1826">
        <v>35</v>
      </c>
      <c r="H1826">
        <v>1</v>
      </c>
      <c r="I1826" t="s">
        <v>23</v>
      </c>
      <c r="J1826">
        <v>100</v>
      </c>
      <c r="K1826" t="s">
        <v>35</v>
      </c>
      <c r="L1826">
        <v>108</v>
      </c>
      <c r="M1826">
        <f>IF(D1826=I1826,VLOOKUP(D1826,a_win_totals_lookup,MATCH(K1826,a_wins_total_lookup_header,0)+1,0),VLOOKUP(D1826,a_win_totals_lookup,MATCH(I1826,a_wins_total_lookup_header,0)+1,0))</f>
        <v>0.46071121990694175</v>
      </c>
      <c r="N1826">
        <f t="shared" ca="1" si="28"/>
        <v>1</v>
      </c>
    </row>
    <row r="1827" spans="1:14" x14ac:dyDescent="0.25">
      <c r="A1827">
        <v>400579208</v>
      </c>
      <c r="B1827">
        <v>2015</v>
      </c>
      <c r="C1827" s="1">
        <v>42069</v>
      </c>
      <c r="D1827" t="s">
        <v>35</v>
      </c>
      <c r="E1827">
        <v>1</v>
      </c>
      <c r="F1827">
        <v>33</v>
      </c>
      <c r="G1827">
        <v>30</v>
      </c>
      <c r="H1827">
        <v>0</v>
      </c>
      <c r="I1827" t="s">
        <v>23</v>
      </c>
      <c r="J1827">
        <v>100</v>
      </c>
      <c r="K1827" t="s">
        <v>35</v>
      </c>
      <c r="L1827">
        <v>108</v>
      </c>
      <c r="M1827">
        <f>IF(D1827=I1827,VLOOKUP(D1827,a_win_totals_lookup,MATCH(K1827,a_wins_total_lookup_header,0)+1,0),VLOOKUP(D1827,a_win_totals_lookup,MATCH(I1827,a_wins_total_lookup_header,0)+1,0))</f>
        <v>0.53928878009305825</v>
      </c>
      <c r="N1827">
        <f t="shared" ca="1" si="28"/>
        <v>1</v>
      </c>
    </row>
    <row r="1828" spans="1:14" x14ac:dyDescent="0.25">
      <c r="A1828">
        <v>400579209</v>
      </c>
      <c r="B1828">
        <v>2015</v>
      </c>
      <c r="C1828" s="1">
        <v>42069</v>
      </c>
      <c r="D1828" t="s">
        <v>33</v>
      </c>
      <c r="E1828">
        <v>0</v>
      </c>
      <c r="F1828">
        <v>23</v>
      </c>
      <c r="G1828">
        <v>38</v>
      </c>
      <c r="H1828">
        <v>0</v>
      </c>
      <c r="I1828" t="s">
        <v>16</v>
      </c>
      <c r="J1828">
        <v>103</v>
      </c>
      <c r="K1828" t="s">
        <v>33</v>
      </c>
      <c r="L1828">
        <v>93</v>
      </c>
      <c r="M1828">
        <f>IF(D1828=I1828,VLOOKUP(D1828,a_win_totals_lookup,MATCH(K1828,a_wins_total_lookup_header,0)+1,0),VLOOKUP(D1828,a_win_totals_lookup,MATCH(I1828,a_wins_total_lookup_header,0)+1,0))</f>
        <v>0.37466773589115104</v>
      </c>
      <c r="N1828">
        <f t="shared" ca="1" si="28"/>
        <v>0</v>
      </c>
    </row>
    <row r="1829" spans="1:14" x14ac:dyDescent="0.25">
      <c r="A1829">
        <v>400579209</v>
      </c>
      <c r="B1829">
        <v>2015</v>
      </c>
      <c r="C1829" s="1">
        <v>42069</v>
      </c>
      <c r="D1829" t="s">
        <v>16</v>
      </c>
      <c r="E1829">
        <v>1</v>
      </c>
      <c r="F1829">
        <v>42</v>
      </c>
      <c r="G1829">
        <v>20</v>
      </c>
      <c r="H1829">
        <v>1</v>
      </c>
      <c r="I1829" t="s">
        <v>16</v>
      </c>
      <c r="J1829">
        <v>103</v>
      </c>
      <c r="K1829" t="s">
        <v>33</v>
      </c>
      <c r="L1829">
        <v>93</v>
      </c>
      <c r="M1829">
        <f>IF(D1829=I1829,VLOOKUP(D1829,a_win_totals_lookup,MATCH(K1829,a_wins_total_lookup_header,0)+1,0),VLOOKUP(D1829,a_win_totals_lookup,MATCH(I1829,a_wins_total_lookup_header,0)+1,0))</f>
        <v>0.6253322641088489</v>
      </c>
      <c r="N1829">
        <f t="shared" ca="1" si="28"/>
        <v>0</v>
      </c>
    </row>
    <row r="1830" spans="1:14" x14ac:dyDescent="0.25">
      <c r="A1830">
        <v>400579210</v>
      </c>
      <c r="B1830">
        <v>2015</v>
      </c>
      <c r="C1830" s="1">
        <v>42069</v>
      </c>
      <c r="D1830" t="s">
        <v>17</v>
      </c>
      <c r="E1830">
        <v>0</v>
      </c>
      <c r="F1830">
        <v>16</v>
      </c>
      <c r="G1830">
        <v>45</v>
      </c>
      <c r="H1830">
        <v>0</v>
      </c>
      <c r="I1830" t="s">
        <v>28</v>
      </c>
      <c r="J1830">
        <v>97</v>
      </c>
      <c r="K1830" t="s">
        <v>17</v>
      </c>
      <c r="L1830">
        <v>90</v>
      </c>
      <c r="M1830">
        <f>IF(D1830=I1830,VLOOKUP(D1830,a_win_totals_lookup,MATCH(K1830,a_wins_total_lookup_header,0)+1,0),VLOOKUP(D1830,a_win_totals_lookup,MATCH(I1830,a_wins_total_lookup_header,0)+1,0))</f>
        <v>0.32809457904793099</v>
      </c>
      <c r="N1830">
        <f t="shared" ca="1" si="28"/>
        <v>0</v>
      </c>
    </row>
    <row r="1831" spans="1:14" x14ac:dyDescent="0.25">
      <c r="A1831">
        <v>400579210</v>
      </c>
      <c r="B1831">
        <v>2015</v>
      </c>
      <c r="C1831" s="1">
        <v>42069</v>
      </c>
      <c r="D1831" t="s">
        <v>28</v>
      </c>
      <c r="E1831">
        <v>1</v>
      </c>
      <c r="F1831">
        <v>44</v>
      </c>
      <c r="G1831">
        <v>17</v>
      </c>
      <c r="H1831">
        <v>1</v>
      </c>
      <c r="I1831" t="s">
        <v>28</v>
      </c>
      <c r="J1831">
        <v>97</v>
      </c>
      <c r="K1831" t="s">
        <v>17</v>
      </c>
      <c r="L1831">
        <v>90</v>
      </c>
      <c r="M1831">
        <f>IF(D1831=I1831,VLOOKUP(D1831,a_win_totals_lookup,MATCH(K1831,a_wins_total_lookup_header,0)+1,0),VLOOKUP(D1831,a_win_totals_lookup,MATCH(I1831,a_wins_total_lookup_header,0)+1,0))</f>
        <v>0.67190542095206907</v>
      </c>
      <c r="N1831">
        <f t="shared" ca="1" si="28"/>
        <v>1</v>
      </c>
    </row>
    <row r="1832" spans="1:14" x14ac:dyDescent="0.25">
      <c r="A1832">
        <v>400579211</v>
      </c>
      <c r="B1832">
        <v>2015</v>
      </c>
      <c r="C1832" s="1">
        <v>42069</v>
      </c>
      <c r="D1832" t="s">
        <v>22</v>
      </c>
      <c r="E1832">
        <v>1</v>
      </c>
      <c r="F1832">
        <v>25</v>
      </c>
      <c r="G1832">
        <v>35</v>
      </c>
      <c r="H1832">
        <v>0</v>
      </c>
      <c r="I1832" t="s">
        <v>12</v>
      </c>
      <c r="J1832">
        <v>98</v>
      </c>
      <c r="K1832" t="s">
        <v>22</v>
      </c>
      <c r="L1832">
        <v>104</v>
      </c>
      <c r="M1832">
        <f>IF(D1832=I1832,VLOOKUP(D1832,a_win_totals_lookup,MATCH(K1832,a_wins_total_lookup_header,0)+1,0),VLOOKUP(D1832,a_win_totals_lookup,MATCH(I1832,a_wins_total_lookup_header,0)+1,0))</f>
        <v>0.32498145759955055</v>
      </c>
      <c r="N1832">
        <f t="shared" ca="1" si="28"/>
        <v>1</v>
      </c>
    </row>
    <row r="1833" spans="1:14" x14ac:dyDescent="0.25">
      <c r="A1833">
        <v>400579211</v>
      </c>
      <c r="B1833">
        <v>2015</v>
      </c>
      <c r="C1833" s="1">
        <v>42069</v>
      </c>
      <c r="D1833" t="s">
        <v>12</v>
      </c>
      <c r="E1833">
        <v>0</v>
      </c>
      <c r="F1833">
        <v>33</v>
      </c>
      <c r="G1833">
        <v>29</v>
      </c>
      <c r="H1833">
        <v>1</v>
      </c>
      <c r="I1833" t="s">
        <v>12</v>
      </c>
      <c r="J1833">
        <v>98</v>
      </c>
      <c r="K1833" t="s">
        <v>22</v>
      </c>
      <c r="L1833">
        <v>104</v>
      </c>
      <c r="M1833">
        <f>IF(D1833=I1833,VLOOKUP(D1833,a_win_totals_lookup,MATCH(K1833,a_wins_total_lookup_header,0)+1,0),VLOOKUP(D1833,a_win_totals_lookup,MATCH(I1833,a_wins_total_lookup_header,0)+1,0))</f>
        <v>0.67501854240044945</v>
      </c>
      <c r="N1833">
        <f t="shared" ca="1" si="28"/>
        <v>1</v>
      </c>
    </row>
    <row r="1834" spans="1:14" x14ac:dyDescent="0.25">
      <c r="A1834">
        <v>400579212</v>
      </c>
      <c r="B1834">
        <v>2015</v>
      </c>
      <c r="C1834" s="1">
        <v>42069</v>
      </c>
      <c r="D1834" t="s">
        <v>24</v>
      </c>
      <c r="E1834">
        <v>0</v>
      </c>
      <c r="F1834">
        <v>27</v>
      </c>
      <c r="G1834">
        <v>34</v>
      </c>
      <c r="H1834">
        <v>0</v>
      </c>
      <c r="I1834" t="s">
        <v>25</v>
      </c>
      <c r="J1834">
        <v>99</v>
      </c>
      <c r="K1834" t="s">
        <v>24</v>
      </c>
      <c r="L1834">
        <v>97</v>
      </c>
      <c r="M1834">
        <f>IF(D1834=I1834,VLOOKUP(D1834,a_win_totals_lookup,MATCH(K1834,a_wins_total_lookup_header,0)+1,0),VLOOKUP(D1834,a_win_totals_lookup,MATCH(I1834,a_wins_total_lookup_header,0)+1,0))</f>
        <v>0.46811629634230822</v>
      </c>
      <c r="N1834">
        <f t="shared" ca="1" si="28"/>
        <v>1</v>
      </c>
    </row>
    <row r="1835" spans="1:14" x14ac:dyDescent="0.25">
      <c r="A1835">
        <v>400579212</v>
      </c>
      <c r="B1835">
        <v>2015</v>
      </c>
      <c r="C1835" s="1">
        <v>42069</v>
      </c>
      <c r="D1835" t="s">
        <v>25</v>
      </c>
      <c r="E1835">
        <v>1</v>
      </c>
      <c r="F1835">
        <v>35</v>
      </c>
      <c r="G1835">
        <v>27</v>
      </c>
      <c r="H1835">
        <v>1</v>
      </c>
      <c r="I1835" t="s">
        <v>25</v>
      </c>
      <c r="J1835">
        <v>99</v>
      </c>
      <c r="K1835" t="s">
        <v>24</v>
      </c>
      <c r="L1835">
        <v>97</v>
      </c>
      <c r="M1835">
        <f>IF(D1835=I1835,VLOOKUP(D1835,a_win_totals_lookup,MATCH(K1835,a_wins_total_lookup_header,0)+1,0),VLOOKUP(D1835,a_win_totals_lookup,MATCH(I1835,a_wins_total_lookup_header,0)+1,0))</f>
        <v>0.53188370365769178</v>
      </c>
      <c r="N1835">
        <f t="shared" ca="1" si="28"/>
        <v>1</v>
      </c>
    </row>
    <row r="1836" spans="1:14" x14ac:dyDescent="0.25">
      <c r="A1836">
        <v>400579213</v>
      </c>
      <c r="B1836">
        <v>2015</v>
      </c>
      <c r="C1836" s="1">
        <v>42069</v>
      </c>
      <c r="D1836" t="s">
        <v>32</v>
      </c>
      <c r="E1836">
        <v>0</v>
      </c>
      <c r="F1836">
        <v>22</v>
      </c>
      <c r="G1836">
        <v>40</v>
      </c>
      <c r="H1836">
        <v>0</v>
      </c>
      <c r="I1836" t="s">
        <v>15</v>
      </c>
      <c r="J1836">
        <v>120</v>
      </c>
      <c r="K1836" t="s">
        <v>32</v>
      </c>
      <c r="L1836">
        <v>111</v>
      </c>
      <c r="M1836">
        <f>IF(D1836=I1836,VLOOKUP(D1836,a_win_totals_lookup,MATCH(K1836,a_wins_total_lookup_header,0)+1,0),VLOOKUP(D1836,a_win_totals_lookup,MATCH(I1836,a_wins_total_lookup_header,0)+1,0))</f>
        <v>0.36031197606974674</v>
      </c>
      <c r="N1836">
        <f t="shared" ca="1" si="28"/>
        <v>1</v>
      </c>
    </row>
    <row r="1837" spans="1:14" x14ac:dyDescent="0.25">
      <c r="A1837">
        <v>400579213</v>
      </c>
      <c r="B1837">
        <v>2015</v>
      </c>
      <c r="C1837" s="1">
        <v>42069</v>
      </c>
      <c r="D1837" t="s">
        <v>15</v>
      </c>
      <c r="E1837">
        <v>1</v>
      </c>
      <c r="F1837">
        <v>38</v>
      </c>
      <c r="G1837">
        <v>23</v>
      </c>
      <c r="H1837">
        <v>1</v>
      </c>
      <c r="I1837" t="s">
        <v>15</v>
      </c>
      <c r="J1837">
        <v>120</v>
      </c>
      <c r="K1837" t="s">
        <v>32</v>
      </c>
      <c r="L1837">
        <v>111</v>
      </c>
      <c r="M1837">
        <f>IF(D1837=I1837,VLOOKUP(D1837,a_win_totals_lookup,MATCH(K1837,a_wins_total_lookup_header,0)+1,0),VLOOKUP(D1837,a_win_totals_lookup,MATCH(I1837,a_wins_total_lookup_header,0)+1,0))</f>
        <v>0.63968802393025326</v>
      </c>
      <c r="N1837">
        <f t="shared" ca="1" si="28"/>
        <v>0</v>
      </c>
    </row>
    <row r="1838" spans="1:14" x14ac:dyDescent="0.25">
      <c r="A1838">
        <v>400579214</v>
      </c>
      <c r="B1838">
        <v>2015</v>
      </c>
      <c r="C1838" s="1">
        <v>42069</v>
      </c>
      <c r="D1838" t="s">
        <v>14</v>
      </c>
      <c r="E1838">
        <v>0</v>
      </c>
      <c r="F1838">
        <v>40</v>
      </c>
      <c r="G1838">
        <v>24</v>
      </c>
      <c r="H1838">
        <v>0</v>
      </c>
      <c r="I1838" t="s">
        <v>36</v>
      </c>
      <c r="J1838">
        <v>104</v>
      </c>
      <c r="K1838" t="s">
        <v>14</v>
      </c>
      <c r="L1838">
        <v>89</v>
      </c>
      <c r="M1838">
        <f>IF(D1838=I1838,VLOOKUP(D1838,a_win_totals_lookup,MATCH(K1838,a_wins_total_lookup_header,0)+1,0),VLOOKUP(D1838,a_win_totals_lookup,MATCH(I1838,a_wins_total_lookup_header,0)+1,0))</f>
        <v>0.49277333787842664</v>
      </c>
      <c r="N1838">
        <f t="shared" ca="1" si="28"/>
        <v>0</v>
      </c>
    </row>
    <row r="1839" spans="1:14" x14ac:dyDescent="0.25">
      <c r="A1839">
        <v>400579214</v>
      </c>
      <c r="B1839">
        <v>2015</v>
      </c>
      <c r="C1839" s="1">
        <v>42069</v>
      </c>
      <c r="D1839" t="s">
        <v>36</v>
      </c>
      <c r="E1839">
        <v>1</v>
      </c>
      <c r="F1839">
        <v>48</v>
      </c>
      <c r="G1839">
        <v>12</v>
      </c>
      <c r="H1839">
        <v>1</v>
      </c>
      <c r="I1839" t="s">
        <v>36</v>
      </c>
      <c r="J1839">
        <v>104</v>
      </c>
      <c r="K1839" t="s">
        <v>14</v>
      </c>
      <c r="L1839">
        <v>89</v>
      </c>
      <c r="M1839">
        <f>IF(D1839=I1839,VLOOKUP(D1839,a_win_totals_lookup,MATCH(K1839,a_wins_total_lookup_header,0)+1,0),VLOOKUP(D1839,a_win_totals_lookup,MATCH(I1839,a_wins_total_lookup_header,0)+1,0))</f>
        <v>0.50722666212157341</v>
      </c>
      <c r="N1839">
        <f t="shared" ca="1" si="28"/>
        <v>1</v>
      </c>
    </row>
    <row r="1840" spans="1:14" x14ac:dyDescent="0.25">
      <c r="A1840">
        <v>400579215</v>
      </c>
      <c r="B1840">
        <v>2015</v>
      </c>
      <c r="C1840" s="1">
        <v>42070</v>
      </c>
      <c r="D1840" t="s">
        <v>28</v>
      </c>
      <c r="E1840">
        <v>0</v>
      </c>
      <c r="F1840">
        <v>44</v>
      </c>
      <c r="G1840">
        <v>18</v>
      </c>
      <c r="H1840">
        <v>0</v>
      </c>
      <c r="I1840" t="s">
        <v>12</v>
      </c>
      <c r="J1840">
        <v>95</v>
      </c>
      <c r="K1840" t="s">
        <v>28</v>
      </c>
      <c r="L1840">
        <v>89</v>
      </c>
      <c r="M1840">
        <f>IF(D1840=I1840,VLOOKUP(D1840,a_win_totals_lookup,MATCH(K1840,a_wins_total_lookup_header,0)+1,0),VLOOKUP(D1840,a_win_totals_lookup,MATCH(I1840,a_wins_total_lookup_header,0)+1,0))</f>
        <v>0.58683622465749607</v>
      </c>
      <c r="N1840">
        <f t="shared" ca="1" si="28"/>
        <v>1</v>
      </c>
    </row>
    <row r="1841" spans="1:14" x14ac:dyDescent="0.25">
      <c r="A1841">
        <v>400579215</v>
      </c>
      <c r="B1841">
        <v>2015</v>
      </c>
      <c r="C1841" s="1">
        <v>42070</v>
      </c>
      <c r="D1841" t="s">
        <v>12</v>
      </c>
      <c r="E1841">
        <v>1</v>
      </c>
      <c r="F1841">
        <v>34</v>
      </c>
      <c r="G1841">
        <v>29</v>
      </c>
      <c r="H1841">
        <v>1</v>
      </c>
      <c r="I1841" t="s">
        <v>12</v>
      </c>
      <c r="J1841">
        <v>95</v>
      </c>
      <c r="K1841" t="s">
        <v>28</v>
      </c>
      <c r="L1841">
        <v>89</v>
      </c>
      <c r="M1841">
        <f>IF(D1841=I1841,VLOOKUP(D1841,a_win_totals_lookup,MATCH(K1841,a_wins_total_lookup_header,0)+1,0),VLOOKUP(D1841,a_win_totals_lookup,MATCH(I1841,a_wins_total_lookup_header,0)+1,0))</f>
        <v>0.41316377534250398</v>
      </c>
      <c r="N1841">
        <f t="shared" ca="1" si="28"/>
        <v>0</v>
      </c>
    </row>
    <row r="1842" spans="1:14" x14ac:dyDescent="0.25">
      <c r="A1842">
        <v>400579216</v>
      </c>
      <c r="B1842">
        <v>2015</v>
      </c>
      <c r="C1842" s="1">
        <v>42070</v>
      </c>
      <c r="D1842" t="s">
        <v>40</v>
      </c>
      <c r="E1842">
        <v>1</v>
      </c>
      <c r="F1842">
        <v>40</v>
      </c>
      <c r="G1842">
        <v>25</v>
      </c>
      <c r="H1842">
        <v>1</v>
      </c>
      <c r="I1842" t="s">
        <v>40</v>
      </c>
      <c r="J1842">
        <v>89</v>
      </c>
      <c r="K1842" t="s">
        <v>35</v>
      </c>
      <c r="L1842">
        <v>79</v>
      </c>
      <c r="M1842">
        <f>IF(D1842=I1842,VLOOKUP(D1842,a_win_totals_lookup,MATCH(K1842,a_wins_total_lookup_header,0)+1,0),VLOOKUP(D1842,a_win_totals_lookup,MATCH(I1842,a_wins_total_lookup_header,0)+1,0))</f>
        <v>0.6124771173739717</v>
      </c>
      <c r="N1842">
        <f t="shared" ca="1" si="28"/>
        <v>1</v>
      </c>
    </row>
    <row r="1843" spans="1:14" x14ac:dyDescent="0.25">
      <c r="A1843">
        <v>400579216</v>
      </c>
      <c r="B1843">
        <v>2015</v>
      </c>
      <c r="C1843" s="1">
        <v>42070</v>
      </c>
      <c r="D1843" t="s">
        <v>35</v>
      </c>
      <c r="E1843">
        <v>0</v>
      </c>
      <c r="F1843">
        <v>33</v>
      </c>
      <c r="G1843">
        <v>31</v>
      </c>
      <c r="H1843">
        <v>0</v>
      </c>
      <c r="I1843" t="s">
        <v>40</v>
      </c>
      <c r="J1843">
        <v>89</v>
      </c>
      <c r="K1843" t="s">
        <v>35</v>
      </c>
      <c r="L1843">
        <v>79</v>
      </c>
      <c r="M1843">
        <f>IF(D1843=I1843,VLOOKUP(D1843,a_win_totals_lookup,MATCH(K1843,a_wins_total_lookup_header,0)+1,0),VLOOKUP(D1843,a_win_totals_lookup,MATCH(I1843,a_wins_total_lookup_header,0)+1,0))</f>
        <v>0.3875228826260283</v>
      </c>
      <c r="N1843">
        <f t="shared" ca="1" si="28"/>
        <v>0</v>
      </c>
    </row>
    <row r="1844" spans="1:14" x14ac:dyDescent="0.25">
      <c r="A1844">
        <v>400579217</v>
      </c>
      <c r="B1844">
        <v>2015</v>
      </c>
      <c r="C1844" s="1">
        <v>42070</v>
      </c>
      <c r="D1844" t="s">
        <v>24</v>
      </c>
      <c r="E1844">
        <v>1</v>
      </c>
      <c r="F1844">
        <v>28</v>
      </c>
      <c r="G1844">
        <v>34</v>
      </c>
      <c r="H1844">
        <v>1</v>
      </c>
      <c r="I1844" t="s">
        <v>24</v>
      </c>
      <c r="J1844">
        <v>114</v>
      </c>
      <c r="K1844" t="s">
        <v>37</v>
      </c>
      <c r="L1844">
        <v>109</v>
      </c>
      <c r="M1844">
        <f>IF(D1844=I1844,VLOOKUP(D1844,a_win_totals_lookup,MATCH(K1844,a_wins_total_lookup_header,0)+1,0),VLOOKUP(D1844,a_win_totals_lookup,MATCH(I1844,a_wins_total_lookup_header,0)+1,0))</f>
        <v>0.62619181779493494</v>
      </c>
      <c r="N1844">
        <f t="shared" ca="1" si="28"/>
        <v>1</v>
      </c>
    </row>
    <row r="1845" spans="1:14" x14ac:dyDescent="0.25">
      <c r="A1845">
        <v>400579217</v>
      </c>
      <c r="B1845">
        <v>2015</v>
      </c>
      <c r="C1845" s="1">
        <v>42070</v>
      </c>
      <c r="D1845" t="s">
        <v>37</v>
      </c>
      <c r="E1845">
        <v>0</v>
      </c>
      <c r="F1845">
        <v>21</v>
      </c>
      <c r="G1845">
        <v>40</v>
      </c>
      <c r="H1845">
        <v>0</v>
      </c>
      <c r="I1845" t="s">
        <v>24</v>
      </c>
      <c r="J1845">
        <v>114</v>
      </c>
      <c r="K1845" t="s">
        <v>37</v>
      </c>
      <c r="L1845">
        <v>109</v>
      </c>
      <c r="M1845">
        <f>IF(D1845=I1845,VLOOKUP(D1845,a_win_totals_lookup,MATCH(K1845,a_wins_total_lookup_header,0)+1,0),VLOOKUP(D1845,a_win_totals_lookup,MATCH(I1845,a_wins_total_lookup_header,0)+1,0))</f>
        <v>0.37380818220506512</v>
      </c>
      <c r="N1845">
        <f t="shared" ca="1" si="28"/>
        <v>0</v>
      </c>
    </row>
    <row r="1846" spans="1:14" x14ac:dyDescent="0.25">
      <c r="A1846">
        <v>400579218</v>
      </c>
      <c r="B1846">
        <v>2015</v>
      </c>
      <c r="C1846" s="1">
        <v>42070</v>
      </c>
      <c r="D1846" t="s">
        <v>20</v>
      </c>
      <c r="E1846">
        <v>1</v>
      </c>
      <c r="F1846">
        <v>28</v>
      </c>
      <c r="G1846">
        <v>34</v>
      </c>
      <c r="H1846">
        <v>0</v>
      </c>
      <c r="I1846" t="s">
        <v>31</v>
      </c>
      <c r="J1846">
        <v>86</v>
      </c>
      <c r="K1846" t="s">
        <v>20</v>
      </c>
      <c r="L1846">
        <v>92</v>
      </c>
      <c r="M1846">
        <f>IF(D1846=I1846,VLOOKUP(D1846,a_win_totals_lookup,MATCH(K1846,a_wins_total_lookup_header,0)+1,0),VLOOKUP(D1846,a_win_totals_lookup,MATCH(I1846,a_wins_total_lookup_header,0)+1,0))</f>
        <v>0.43927229864142858</v>
      </c>
      <c r="N1846">
        <f t="shared" ca="1" si="28"/>
        <v>1</v>
      </c>
    </row>
    <row r="1847" spans="1:14" x14ac:dyDescent="0.25">
      <c r="A1847">
        <v>400579218</v>
      </c>
      <c r="B1847">
        <v>2015</v>
      </c>
      <c r="C1847" s="1">
        <v>42070</v>
      </c>
      <c r="D1847" t="s">
        <v>31</v>
      </c>
      <c r="E1847">
        <v>0</v>
      </c>
      <c r="F1847">
        <v>12</v>
      </c>
      <c r="G1847">
        <v>49</v>
      </c>
      <c r="H1847">
        <v>1</v>
      </c>
      <c r="I1847" t="s">
        <v>31</v>
      </c>
      <c r="J1847">
        <v>86</v>
      </c>
      <c r="K1847" t="s">
        <v>20</v>
      </c>
      <c r="L1847">
        <v>92</v>
      </c>
      <c r="M1847">
        <f>IF(D1847=I1847,VLOOKUP(D1847,a_win_totals_lookup,MATCH(K1847,a_wins_total_lookup_header,0)+1,0),VLOOKUP(D1847,a_win_totals_lookup,MATCH(I1847,a_wins_total_lookup_header,0)+1,0))</f>
        <v>0.56072770135857142</v>
      </c>
      <c r="N1847">
        <f t="shared" ca="1" si="28"/>
        <v>1</v>
      </c>
    </row>
    <row r="1848" spans="1:14" x14ac:dyDescent="0.25">
      <c r="A1848">
        <v>400579219</v>
      </c>
      <c r="B1848">
        <v>2015</v>
      </c>
      <c r="C1848" s="1">
        <v>42070</v>
      </c>
      <c r="D1848" t="s">
        <v>26</v>
      </c>
      <c r="E1848">
        <v>0</v>
      </c>
      <c r="F1848">
        <v>49</v>
      </c>
      <c r="G1848">
        <v>13</v>
      </c>
      <c r="H1848">
        <v>0</v>
      </c>
      <c r="I1848" t="s">
        <v>21</v>
      </c>
      <c r="J1848">
        <v>92</v>
      </c>
      <c r="K1848" t="s">
        <v>26</v>
      </c>
      <c r="L1848">
        <v>84</v>
      </c>
      <c r="M1848">
        <f>IF(D1848=I1848,VLOOKUP(D1848,a_win_totals_lookup,MATCH(K1848,a_wins_total_lookup_header,0)+1,0),VLOOKUP(D1848,a_win_totals_lookup,MATCH(I1848,a_wins_total_lookup_header,0)+1,0))</f>
        <v>0.72953473790298751</v>
      </c>
      <c r="N1848">
        <f t="shared" ca="1" si="28"/>
        <v>0</v>
      </c>
    </row>
    <row r="1849" spans="1:14" x14ac:dyDescent="0.25">
      <c r="A1849">
        <v>400579219</v>
      </c>
      <c r="B1849">
        <v>2015</v>
      </c>
      <c r="C1849" s="1">
        <v>42070</v>
      </c>
      <c r="D1849" t="s">
        <v>21</v>
      </c>
      <c r="E1849">
        <v>1</v>
      </c>
      <c r="F1849">
        <v>14</v>
      </c>
      <c r="G1849">
        <v>49</v>
      </c>
      <c r="H1849">
        <v>1</v>
      </c>
      <c r="I1849" t="s">
        <v>21</v>
      </c>
      <c r="J1849">
        <v>92</v>
      </c>
      <c r="K1849" t="s">
        <v>26</v>
      </c>
      <c r="L1849">
        <v>84</v>
      </c>
      <c r="M1849">
        <f>IF(D1849=I1849,VLOOKUP(D1849,a_win_totals_lookup,MATCH(K1849,a_wins_total_lookup_header,0)+1,0),VLOOKUP(D1849,a_win_totals_lookup,MATCH(I1849,a_wins_total_lookup_header,0)+1,0))</f>
        <v>0.27046526209701249</v>
      </c>
      <c r="N1849">
        <f t="shared" ca="1" si="28"/>
        <v>1</v>
      </c>
    </row>
    <row r="1850" spans="1:14" x14ac:dyDescent="0.25">
      <c r="A1850">
        <v>400579220</v>
      </c>
      <c r="B1850">
        <v>2015</v>
      </c>
      <c r="C1850" s="1">
        <v>42070</v>
      </c>
      <c r="D1850" t="s">
        <v>29</v>
      </c>
      <c r="E1850">
        <v>1</v>
      </c>
      <c r="F1850">
        <v>14</v>
      </c>
      <c r="G1850">
        <v>47</v>
      </c>
      <c r="H1850">
        <v>1</v>
      </c>
      <c r="I1850" t="s">
        <v>29</v>
      </c>
      <c r="J1850">
        <v>121</v>
      </c>
      <c r="K1850" t="s">
        <v>39</v>
      </c>
      <c r="L1850">
        <v>113</v>
      </c>
      <c r="M1850">
        <f>IF(D1850=I1850,VLOOKUP(D1850,a_win_totals_lookup,MATCH(K1850,a_wins_total_lookup_header,0)+1,0),VLOOKUP(D1850,a_win_totals_lookup,MATCH(I1850,a_wins_total_lookup_header,0)+1,0))</f>
        <v>0.25990995831593727</v>
      </c>
      <c r="N1850">
        <f t="shared" ca="1" si="28"/>
        <v>0</v>
      </c>
    </row>
    <row r="1851" spans="1:14" x14ac:dyDescent="0.25">
      <c r="A1851">
        <v>400579220</v>
      </c>
      <c r="B1851">
        <v>2015</v>
      </c>
      <c r="C1851" s="1">
        <v>42070</v>
      </c>
      <c r="D1851" t="s">
        <v>39</v>
      </c>
      <c r="E1851">
        <v>0</v>
      </c>
      <c r="F1851">
        <v>41</v>
      </c>
      <c r="G1851">
        <v>20</v>
      </c>
      <c r="H1851">
        <v>0</v>
      </c>
      <c r="I1851" t="s">
        <v>29</v>
      </c>
      <c r="J1851">
        <v>121</v>
      </c>
      <c r="K1851" t="s">
        <v>39</v>
      </c>
      <c r="L1851">
        <v>113</v>
      </c>
      <c r="M1851">
        <f>IF(D1851=I1851,VLOOKUP(D1851,a_win_totals_lookup,MATCH(K1851,a_wins_total_lookup_header,0)+1,0),VLOOKUP(D1851,a_win_totals_lookup,MATCH(I1851,a_wins_total_lookup_header,0)+1,0))</f>
        <v>0.74009004168406278</v>
      </c>
      <c r="N1851">
        <f t="shared" ca="1" si="28"/>
        <v>1</v>
      </c>
    </row>
    <row r="1852" spans="1:14" x14ac:dyDescent="0.25">
      <c r="A1852">
        <v>400579221</v>
      </c>
      <c r="B1852">
        <v>2015</v>
      </c>
      <c r="C1852" s="1">
        <v>42070</v>
      </c>
      <c r="D1852" t="s">
        <v>19</v>
      </c>
      <c r="E1852">
        <v>1</v>
      </c>
      <c r="F1852">
        <v>33</v>
      </c>
      <c r="G1852">
        <v>29</v>
      </c>
      <c r="H1852">
        <v>1</v>
      </c>
      <c r="I1852" t="s">
        <v>19</v>
      </c>
      <c r="J1852">
        <v>91</v>
      </c>
      <c r="K1852" t="s">
        <v>25</v>
      </c>
      <c r="L1852">
        <v>85</v>
      </c>
      <c r="M1852">
        <f>IF(D1852=I1852,VLOOKUP(D1852,a_win_totals_lookup,MATCH(K1852,a_wins_total_lookup_header,0)+1,0),VLOOKUP(D1852,a_win_totals_lookup,MATCH(I1852,a_wins_total_lookup_header,0)+1,0))</f>
        <v>0.28255326282471421</v>
      </c>
      <c r="N1852">
        <f t="shared" ca="1" si="28"/>
        <v>0</v>
      </c>
    </row>
    <row r="1853" spans="1:14" x14ac:dyDescent="0.25">
      <c r="A1853">
        <v>400579221</v>
      </c>
      <c r="B1853">
        <v>2015</v>
      </c>
      <c r="C1853" s="1">
        <v>42070</v>
      </c>
      <c r="D1853" t="s">
        <v>25</v>
      </c>
      <c r="E1853">
        <v>0</v>
      </c>
      <c r="F1853">
        <v>35</v>
      </c>
      <c r="G1853">
        <v>28</v>
      </c>
      <c r="H1853">
        <v>0</v>
      </c>
      <c r="I1853" t="s">
        <v>19</v>
      </c>
      <c r="J1853">
        <v>91</v>
      </c>
      <c r="K1853" t="s">
        <v>25</v>
      </c>
      <c r="L1853">
        <v>85</v>
      </c>
      <c r="M1853">
        <f>IF(D1853=I1853,VLOOKUP(D1853,a_win_totals_lookup,MATCH(K1853,a_wins_total_lookup_header,0)+1,0),VLOOKUP(D1853,a_win_totals_lookup,MATCH(I1853,a_wins_total_lookup_header,0)+1,0))</f>
        <v>0.71744673717528584</v>
      </c>
      <c r="N1853">
        <f t="shared" ca="1" si="28"/>
        <v>1</v>
      </c>
    </row>
    <row r="1854" spans="1:14" x14ac:dyDescent="0.25">
      <c r="A1854">
        <v>400579222</v>
      </c>
      <c r="B1854">
        <v>2015</v>
      </c>
      <c r="C1854" s="1">
        <v>42070</v>
      </c>
      <c r="D1854" t="s">
        <v>32</v>
      </c>
      <c r="E1854">
        <v>0</v>
      </c>
      <c r="F1854">
        <v>22</v>
      </c>
      <c r="G1854">
        <v>41</v>
      </c>
      <c r="H1854">
        <v>1</v>
      </c>
      <c r="I1854" t="s">
        <v>32</v>
      </c>
      <c r="J1854">
        <v>100</v>
      </c>
      <c r="K1854" t="s">
        <v>16</v>
      </c>
      <c r="L1854">
        <v>114</v>
      </c>
      <c r="M1854">
        <f>IF(D1854=I1854,VLOOKUP(D1854,a_win_totals_lookup,MATCH(K1854,a_wins_total_lookup_header,0)+1,0),VLOOKUP(D1854,a_win_totals_lookup,MATCH(I1854,a_wins_total_lookup_header,0)+1,0))</f>
        <v>0.41758613378174975</v>
      </c>
      <c r="N1854">
        <f t="shared" ca="1" si="28"/>
        <v>1</v>
      </c>
    </row>
    <row r="1855" spans="1:14" x14ac:dyDescent="0.25">
      <c r="A1855">
        <v>400579222</v>
      </c>
      <c r="B1855">
        <v>2015</v>
      </c>
      <c r="C1855" s="1">
        <v>42070</v>
      </c>
      <c r="D1855" t="s">
        <v>16</v>
      </c>
      <c r="E1855">
        <v>1</v>
      </c>
      <c r="F1855">
        <v>43</v>
      </c>
      <c r="G1855">
        <v>20</v>
      </c>
      <c r="H1855">
        <v>0</v>
      </c>
      <c r="I1855" t="s">
        <v>32</v>
      </c>
      <c r="J1855">
        <v>100</v>
      </c>
      <c r="K1855" t="s">
        <v>16</v>
      </c>
      <c r="L1855">
        <v>114</v>
      </c>
      <c r="M1855">
        <f>IF(D1855=I1855,VLOOKUP(D1855,a_win_totals_lookup,MATCH(K1855,a_wins_total_lookup_header,0)+1,0),VLOOKUP(D1855,a_win_totals_lookup,MATCH(I1855,a_wins_total_lookup_header,0)+1,0))</f>
        <v>0.5824138662182502</v>
      </c>
      <c r="N1855">
        <f t="shared" ca="1" si="28"/>
        <v>1</v>
      </c>
    </row>
    <row r="1856" spans="1:14" x14ac:dyDescent="0.25">
      <c r="A1856">
        <v>400579223</v>
      </c>
      <c r="B1856">
        <v>2015</v>
      </c>
      <c r="C1856" s="1">
        <v>42071</v>
      </c>
      <c r="D1856" t="s">
        <v>30</v>
      </c>
      <c r="E1856">
        <v>0</v>
      </c>
      <c r="F1856">
        <v>39</v>
      </c>
      <c r="G1856">
        <v>25</v>
      </c>
      <c r="H1856">
        <v>0</v>
      </c>
      <c r="I1856" t="s">
        <v>15</v>
      </c>
      <c r="J1856">
        <v>116</v>
      </c>
      <c r="K1856" t="s">
        <v>30</v>
      </c>
      <c r="L1856">
        <v>105</v>
      </c>
      <c r="M1856">
        <f>IF(D1856=I1856,VLOOKUP(D1856,a_win_totals_lookup,MATCH(K1856,a_wins_total_lookup_header,0)+1,0),VLOOKUP(D1856,a_win_totals_lookup,MATCH(I1856,a_wins_total_lookup_header,0)+1,0))</f>
        <v>0.5</v>
      </c>
      <c r="N1856">
        <f t="shared" ca="1" si="28"/>
        <v>1</v>
      </c>
    </row>
    <row r="1857" spans="1:14" x14ac:dyDescent="0.25">
      <c r="A1857">
        <v>400579223</v>
      </c>
      <c r="B1857">
        <v>2015</v>
      </c>
      <c r="C1857" s="1">
        <v>42071</v>
      </c>
      <c r="D1857" t="s">
        <v>15</v>
      </c>
      <c r="E1857">
        <v>1</v>
      </c>
      <c r="F1857">
        <v>39</v>
      </c>
      <c r="G1857">
        <v>23</v>
      </c>
      <c r="H1857">
        <v>1</v>
      </c>
      <c r="I1857" t="s">
        <v>15</v>
      </c>
      <c r="J1857">
        <v>116</v>
      </c>
      <c r="K1857" t="s">
        <v>30</v>
      </c>
      <c r="L1857">
        <v>105</v>
      </c>
      <c r="M1857">
        <f>IF(D1857=I1857,VLOOKUP(D1857,a_win_totals_lookup,MATCH(K1857,a_wins_total_lookup_header,0)+1,0),VLOOKUP(D1857,a_win_totals_lookup,MATCH(I1857,a_wins_total_lookup_header,0)+1,0))</f>
        <v>0.5</v>
      </c>
      <c r="N1857">
        <f t="shared" ca="1" si="28"/>
        <v>0</v>
      </c>
    </row>
    <row r="1858" spans="1:14" x14ac:dyDescent="0.25">
      <c r="A1858">
        <v>400579224</v>
      </c>
      <c r="B1858">
        <v>2015</v>
      </c>
      <c r="C1858" s="1">
        <v>42071</v>
      </c>
      <c r="D1858" t="s">
        <v>36</v>
      </c>
      <c r="E1858">
        <v>1</v>
      </c>
      <c r="F1858">
        <v>49</v>
      </c>
      <c r="G1858">
        <v>12</v>
      </c>
      <c r="H1858">
        <v>1</v>
      </c>
      <c r="I1858" t="s">
        <v>36</v>
      </c>
      <c r="J1858">
        <v>106</v>
      </c>
      <c r="K1858" t="s">
        <v>41</v>
      </c>
      <c r="L1858">
        <v>98</v>
      </c>
      <c r="M1858">
        <f>IF(D1858=I1858,VLOOKUP(D1858,a_win_totals_lookup,MATCH(K1858,a_wins_total_lookup_header,0)+1,0),VLOOKUP(D1858,a_win_totals_lookup,MATCH(I1858,a_wins_total_lookup_header,0)+1,0))</f>
        <v>0.47097431070275608</v>
      </c>
      <c r="N1858">
        <f t="shared" ca="1" si="28"/>
        <v>0</v>
      </c>
    </row>
    <row r="1859" spans="1:14" x14ac:dyDescent="0.25">
      <c r="A1859">
        <v>400579224</v>
      </c>
      <c r="B1859">
        <v>2015</v>
      </c>
      <c r="C1859" s="1">
        <v>42071</v>
      </c>
      <c r="D1859" t="s">
        <v>41</v>
      </c>
      <c r="E1859">
        <v>0</v>
      </c>
      <c r="F1859">
        <v>40</v>
      </c>
      <c r="G1859">
        <v>23</v>
      </c>
      <c r="H1859">
        <v>0</v>
      </c>
      <c r="I1859" t="s">
        <v>36</v>
      </c>
      <c r="J1859">
        <v>106</v>
      </c>
      <c r="K1859" t="s">
        <v>41</v>
      </c>
      <c r="L1859">
        <v>98</v>
      </c>
      <c r="M1859">
        <f>IF(D1859=I1859,VLOOKUP(D1859,a_win_totals_lookup,MATCH(K1859,a_wins_total_lookup_header,0)+1,0),VLOOKUP(D1859,a_win_totals_lookup,MATCH(I1859,a_wins_total_lookup_header,0)+1,0))</f>
        <v>0.52902568929724392</v>
      </c>
      <c r="N1859">
        <f t="shared" ref="N1859:N1922" ca="1" si="29">ROUND(0.5*RANDBETWEEN(-1,1)+M1859,0)</f>
        <v>0</v>
      </c>
    </row>
    <row r="1860" spans="1:14" x14ac:dyDescent="0.25">
      <c r="A1860">
        <v>400579225</v>
      </c>
      <c r="B1860">
        <v>2015</v>
      </c>
      <c r="C1860" s="1">
        <v>42071</v>
      </c>
      <c r="D1860" t="s">
        <v>23</v>
      </c>
      <c r="E1860">
        <v>0</v>
      </c>
      <c r="F1860">
        <v>25</v>
      </c>
      <c r="G1860">
        <v>36</v>
      </c>
      <c r="H1860">
        <v>1</v>
      </c>
      <c r="I1860" t="s">
        <v>23</v>
      </c>
      <c r="J1860">
        <v>88</v>
      </c>
      <c r="K1860" t="s">
        <v>34</v>
      </c>
      <c r="L1860">
        <v>95</v>
      </c>
      <c r="M1860">
        <f>IF(D1860=I1860,VLOOKUP(D1860,a_win_totals_lookup,MATCH(K1860,a_wins_total_lookup_header,0)+1,0),VLOOKUP(D1860,a_win_totals_lookup,MATCH(I1860,a_wins_total_lookup_header,0)+1,0))</f>
        <v>0.61088100448941873</v>
      </c>
      <c r="N1860">
        <f t="shared" ca="1" si="29"/>
        <v>0</v>
      </c>
    </row>
    <row r="1861" spans="1:14" x14ac:dyDescent="0.25">
      <c r="A1861">
        <v>400579225</v>
      </c>
      <c r="B1861">
        <v>2015</v>
      </c>
      <c r="C1861" s="1">
        <v>42071</v>
      </c>
      <c r="D1861" t="s">
        <v>34</v>
      </c>
      <c r="E1861">
        <v>1</v>
      </c>
      <c r="F1861">
        <v>26</v>
      </c>
      <c r="G1861">
        <v>36</v>
      </c>
      <c r="H1861">
        <v>0</v>
      </c>
      <c r="I1861" t="s">
        <v>23</v>
      </c>
      <c r="J1861">
        <v>88</v>
      </c>
      <c r="K1861" t="s">
        <v>34</v>
      </c>
      <c r="L1861">
        <v>95</v>
      </c>
      <c r="M1861">
        <f>IF(D1861=I1861,VLOOKUP(D1861,a_win_totals_lookup,MATCH(K1861,a_wins_total_lookup_header,0)+1,0),VLOOKUP(D1861,a_win_totals_lookup,MATCH(I1861,a_wins_total_lookup_header,0)+1,0))</f>
        <v>0.38911899551058127</v>
      </c>
      <c r="N1861">
        <f t="shared" ca="1" si="29"/>
        <v>0</v>
      </c>
    </row>
    <row r="1862" spans="1:14" x14ac:dyDescent="0.25">
      <c r="A1862">
        <v>400579226</v>
      </c>
      <c r="B1862">
        <v>2015</v>
      </c>
      <c r="C1862" s="1">
        <v>42071</v>
      </c>
      <c r="D1862" t="s">
        <v>18</v>
      </c>
      <c r="E1862">
        <v>1</v>
      </c>
      <c r="F1862">
        <v>28</v>
      </c>
      <c r="G1862">
        <v>33</v>
      </c>
      <c r="H1862">
        <v>0</v>
      </c>
      <c r="I1862" t="s">
        <v>33</v>
      </c>
      <c r="J1862">
        <v>101</v>
      </c>
      <c r="K1862" t="s">
        <v>18</v>
      </c>
      <c r="L1862">
        <v>108</v>
      </c>
      <c r="M1862">
        <f>IF(D1862=I1862,VLOOKUP(D1862,a_win_totals_lookup,MATCH(K1862,a_wins_total_lookup_header,0)+1,0),VLOOKUP(D1862,a_win_totals_lookup,MATCH(I1862,a_wins_total_lookup_header,0)+1,0))</f>
        <v>0.60576693861644582</v>
      </c>
      <c r="N1862">
        <f t="shared" ca="1" si="29"/>
        <v>1</v>
      </c>
    </row>
    <row r="1863" spans="1:14" x14ac:dyDescent="0.25">
      <c r="A1863">
        <v>400579226</v>
      </c>
      <c r="B1863">
        <v>2015</v>
      </c>
      <c r="C1863" s="1">
        <v>42071</v>
      </c>
      <c r="D1863" t="s">
        <v>33</v>
      </c>
      <c r="E1863">
        <v>0</v>
      </c>
      <c r="F1863">
        <v>23</v>
      </c>
      <c r="G1863">
        <v>39</v>
      </c>
      <c r="H1863">
        <v>1</v>
      </c>
      <c r="I1863" t="s">
        <v>33</v>
      </c>
      <c r="J1863">
        <v>101</v>
      </c>
      <c r="K1863" t="s">
        <v>18</v>
      </c>
      <c r="L1863">
        <v>108</v>
      </c>
      <c r="M1863">
        <f>IF(D1863=I1863,VLOOKUP(D1863,a_win_totals_lookup,MATCH(K1863,a_wins_total_lookup_header,0)+1,0),VLOOKUP(D1863,a_win_totals_lookup,MATCH(I1863,a_wins_total_lookup_header,0)+1,0))</f>
        <v>0.39423306138355413</v>
      </c>
      <c r="N1863">
        <f t="shared" ca="1" si="29"/>
        <v>1</v>
      </c>
    </row>
    <row r="1864" spans="1:14" x14ac:dyDescent="0.25">
      <c r="A1864">
        <v>400579227</v>
      </c>
      <c r="B1864">
        <v>2015</v>
      </c>
      <c r="C1864" s="1">
        <v>42071</v>
      </c>
      <c r="D1864" t="s">
        <v>22</v>
      </c>
      <c r="E1864">
        <v>0</v>
      </c>
      <c r="F1864">
        <v>25</v>
      </c>
      <c r="G1864">
        <v>36</v>
      </c>
      <c r="H1864">
        <v>0</v>
      </c>
      <c r="I1864" t="s">
        <v>13</v>
      </c>
      <c r="J1864">
        <v>103</v>
      </c>
      <c r="K1864" t="s">
        <v>22</v>
      </c>
      <c r="L1864">
        <v>98</v>
      </c>
      <c r="M1864">
        <f>IF(D1864=I1864,VLOOKUP(D1864,a_win_totals_lookup,MATCH(K1864,a_wins_total_lookup_header,0)+1,0),VLOOKUP(D1864,a_win_totals_lookup,MATCH(I1864,a_wins_total_lookup_header,0)+1,0))</f>
        <v>0.44399285510679726</v>
      </c>
      <c r="N1864">
        <f t="shared" ca="1" si="29"/>
        <v>0</v>
      </c>
    </row>
    <row r="1865" spans="1:14" x14ac:dyDescent="0.25">
      <c r="A1865">
        <v>400579227</v>
      </c>
      <c r="B1865">
        <v>2015</v>
      </c>
      <c r="C1865" s="1">
        <v>42071</v>
      </c>
      <c r="D1865" t="s">
        <v>13</v>
      </c>
      <c r="E1865">
        <v>1</v>
      </c>
      <c r="F1865">
        <v>21</v>
      </c>
      <c r="G1865">
        <v>43</v>
      </c>
      <c r="H1865">
        <v>1</v>
      </c>
      <c r="I1865" t="s">
        <v>13</v>
      </c>
      <c r="J1865">
        <v>103</v>
      </c>
      <c r="K1865" t="s">
        <v>22</v>
      </c>
      <c r="L1865">
        <v>98</v>
      </c>
      <c r="M1865">
        <f>IF(D1865=I1865,VLOOKUP(D1865,a_win_totals_lookup,MATCH(K1865,a_wins_total_lookup_header,0)+1,0),VLOOKUP(D1865,a_win_totals_lookup,MATCH(I1865,a_wins_total_lookup_header,0)+1,0))</f>
        <v>0.5560071448932028</v>
      </c>
      <c r="N1865">
        <f t="shared" ca="1" si="29"/>
        <v>1</v>
      </c>
    </row>
    <row r="1866" spans="1:14" x14ac:dyDescent="0.25">
      <c r="A1866">
        <v>400579228</v>
      </c>
      <c r="B1866">
        <v>2015</v>
      </c>
      <c r="C1866" s="1">
        <v>42071</v>
      </c>
      <c r="D1866" t="s">
        <v>38</v>
      </c>
      <c r="E1866">
        <v>1</v>
      </c>
      <c r="F1866">
        <v>35</v>
      </c>
      <c r="G1866">
        <v>28</v>
      </c>
      <c r="H1866">
        <v>1</v>
      </c>
      <c r="I1866" t="s">
        <v>38</v>
      </c>
      <c r="J1866">
        <v>108</v>
      </c>
      <c r="K1866" t="s">
        <v>27</v>
      </c>
      <c r="L1866">
        <v>104</v>
      </c>
      <c r="M1866">
        <f>IF(D1866=I1866,VLOOKUP(D1866,a_win_totals_lookup,MATCH(K1866,a_wins_total_lookup_header,0)+1,0),VLOOKUP(D1866,a_win_totals_lookup,MATCH(I1866,a_wins_total_lookup_header,0)+1,0))</f>
        <v>0.51394802744461043</v>
      </c>
      <c r="N1866">
        <f t="shared" ca="1" si="29"/>
        <v>1</v>
      </c>
    </row>
    <row r="1867" spans="1:14" x14ac:dyDescent="0.25">
      <c r="A1867">
        <v>400579228</v>
      </c>
      <c r="B1867">
        <v>2015</v>
      </c>
      <c r="C1867" s="1">
        <v>42071</v>
      </c>
      <c r="D1867" t="s">
        <v>27</v>
      </c>
      <c r="E1867">
        <v>0</v>
      </c>
      <c r="F1867">
        <v>38</v>
      </c>
      <c r="G1867">
        <v>25</v>
      </c>
      <c r="H1867">
        <v>0</v>
      </c>
      <c r="I1867" t="s">
        <v>38</v>
      </c>
      <c r="J1867">
        <v>108</v>
      </c>
      <c r="K1867" t="s">
        <v>27</v>
      </c>
      <c r="L1867">
        <v>104</v>
      </c>
      <c r="M1867">
        <f>IF(D1867=I1867,VLOOKUP(D1867,a_win_totals_lookup,MATCH(K1867,a_wins_total_lookup_header,0)+1,0),VLOOKUP(D1867,a_win_totals_lookup,MATCH(I1867,a_wins_total_lookup_header,0)+1,0))</f>
        <v>0.48605197255538951</v>
      </c>
      <c r="N1867">
        <f t="shared" ca="1" si="29"/>
        <v>0</v>
      </c>
    </row>
    <row r="1868" spans="1:14" x14ac:dyDescent="0.25">
      <c r="A1868">
        <v>400579229</v>
      </c>
      <c r="B1868">
        <v>2015</v>
      </c>
      <c r="C1868" s="1">
        <v>42071</v>
      </c>
      <c r="D1868" t="s">
        <v>14</v>
      </c>
      <c r="E1868">
        <v>1</v>
      </c>
      <c r="F1868">
        <v>41</v>
      </c>
      <c r="G1868">
        <v>24</v>
      </c>
      <c r="H1868">
        <v>0</v>
      </c>
      <c r="I1868" t="s">
        <v>17</v>
      </c>
      <c r="J1868">
        <v>93</v>
      </c>
      <c r="K1868" t="s">
        <v>14</v>
      </c>
      <c r="L1868">
        <v>100</v>
      </c>
      <c r="M1868">
        <f>IF(D1868=I1868,VLOOKUP(D1868,a_win_totals_lookup,MATCH(K1868,a_wins_total_lookup_header,0)+1,0),VLOOKUP(D1868,a_win_totals_lookup,MATCH(I1868,a_wins_total_lookup_header,0)+1,0))</f>
        <v>0.68589687603228333</v>
      </c>
      <c r="N1868">
        <f t="shared" ca="1" si="29"/>
        <v>1</v>
      </c>
    </row>
    <row r="1869" spans="1:14" x14ac:dyDescent="0.25">
      <c r="A1869">
        <v>400579229</v>
      </c>
      <c r="B1869">
        <v>2015</v>
      </c>
      <c r="C1869" s="1">
        <v>42071</v>
      </c>
      <c r="D1869" t="s">
        <v>17</v>
      </c>
      <c r="E1869">
        <v>0</v>
      </c>
      <c r="F1869">
        <v>16</v>
      </c>
      <c r="G1869">
        <v>46</v>
      </c>
      <c r="H1869">
        <v>1</v>
      </c>
      <c r="I1869" t="s">
        <v>17</v>
      </c>
      <c r="J1869">
        <v>93</v>
      </c>
      <c r="K1869" t="s">
        <v>14</v>
      </c>
      <c r="L1869">
        <v>100</v>
      </c>
      <c r="M1869">
        <f>IF(D1869=I1869,VLOOKUP(D1869,a_win_totals_lookup,MATCH(K1869,a_wins_total_lookup_header,0)+1,0),VLOOKUP(D1869,a_win_totals_lookup,MATCH(I1869,a_wins_total_lookup_header,0)+1,0))</f>
        <v>0.31410312396771667</v>
      </c>
      <c r="N1869">
        <f t="shared" ca="1" si="29"/>
        <v>0</v>
      </c>
    </row>
    <row r="1870" spans="1:14" x14ac:dyDescent="0.25">
      <c r="A1870">
        <v>400579230</v>
      </c>
      <c r="B1870">
        <v>2015</v>
      </c>
      <c r="C1870" s="1">
        <v>42072</v>
      </c>
      <c r="D1870" t="s">
        <v>18</v>
      </c>
      <c r="E1870">
        <v>0</v>
      </c>
      <c r="F1870">
        <v>28</v>
      </c>
      <c r="G1870">
        <v>34</v>
      </c>
      <c r="H1870">
        <v>1</v>
      </c>
      <c r="I1870" t="s">
        <v>18</v>
      </c>
      <c r="J1870">
        <v>69</v>
      </c>
      <c r="K1870" t="s">
        <v>25</v>
      </c>
      <c r="L1870">
        <v>95</v>
      </c>
      <c r="M1870">
        <f>IF(D1870=I1870,VLOOKUP(D1870,a_win_totals_lookup,MATCH(K1870,a_wins_total_lookup_header,0)+1,0),VLOOKUP(D1870,a_win_totals_lookup,MATCH(I1870,a_wins_total_lookup_header,0)+1,0))</f>
        <v>0.47933915293597207</v>
      </c>
      <c r="N1870">
        <f t="shared" ca="1" si="29"/>
        <v>0</v>
      </c>
    </row>
    <row r="1871" spans="1:14" x14ac:dyDescent="0.25">
      <c r="A1871">
        <v>400579230</v>
      </c>
      <c r="B1871">
        <v>2015</v>
      </c>
      <c r="C1871" s="1">
        <v>42072</v>
      </c>
      <c r="D1871" t="s">
        <v>25</v>
      </c>
      <c r="E1871">
        <v>1</v>
      </c>
      <c r="F1871">
        <v>36</v>
      </c>
      <c r="G1871">
        <v>28</v>
      </c>
      <c r="H1871">
        <v>0</v>
      </c>
      <c r="I1871" t="s">
        <v>18</v>
      </c>
      <c r="J1871">
        <v>69</v>
      </c>
      <c r="K1871" t="s">
        <v>25</v>
      </c>
      <c r="L1871">
        <v>95</v>
      </c>
      <c r="M1871">
        <f>IF(D1871=I1871,VLOOKUP(D1871,a_win_totals_lookup,MATCH(K1871,a_wins_total_lookup_header,0)+1,0),VLOOKUP(D1871,a_win_totals_lookup,MATCH(I1871,a_wins_total_lookup_header,0)+1,0))</f>
        <v>0.52066084706402804</v>
      </c>
      <c r="N1871">
        <f t="shared" ca="1" si="29"/>
        <v>1</v>
      </c>
    </row>
    <row r="1872" spans="1:14" x14ac:dyDescent="0.25">
      <c r="A1872">
        <v>400579231</v>
      </c>
      <c r="B1872">
        <v>2015</v>
      </c>
      <c r="C1872" s="1">
        <v>42072</v>
      </c>
      <c r="D1872" t="s">
        <v>26</v>
      </c>
      <c r="E1872">
        <v>1</v>
      </c>
      <c r="F1872">
        <v>50</v>
      </c>
      <c r="G1872">
        <v>13</v>
      </c>
      <c r="H1872">
        <v>1</v>
      </c>
      <c r="I1872" t="s">
        <v>26</v>
      </c>
      <c r="J1872">
        <v>130</v>
      </c>
      <c r="K1872" t="s">
        <v>37</v>
      </c>
      <c r="L1872">
        <v>105</v>
      </c>
      <c r="M1872">
        <f>IF(D1872=I1872,VLOOKUP(D1872,a_win_totals_lookup,MATCH(K1872,a_wins_total_lookup_header,0)+1,0),VLOOKUP(D1872,a_win_totals_lookup,MATCH(I1872,a_wins_total_lookup_header,0)+1,0))</f>
        <v>0.61500767730198336</v>
      </c>
      <c r="N1872">
        <f t="shared" ca="1" si="29"/>
        <v>1</v>
      </c>
    </row>
    <row r="1873" spans="1:14" x14ac:dyDescent="0.25">
      <c r="A1873">
        <v>400579231</v>
      </c>
      <c r="B1873">
        <v>2015</v>
      </c>
      <c r="C1873" s="1">
        <v>42072</v>
      </c>
      <c r="D1873" t="s">
        <v>37</v>
      </c>
      <c r="E1873">
        <v>0</v>
      </c>
      <c r="F1873">
        <v>21</v>
      </c>
      <c r="G1873">
        <v>41</v>
      </c>
      <c r="H1873">
        <v>0</v>
      </c>
      <c r="I1873" t="s">
        <v>26</v>
      </c>
      <c r="J1873">
        <v>130</v>
      </c>
      <c r="K1873" t="s">
        <v>37</v>
      </c>
      <c r="L1873">
        <v>105</v>
      </c>
      <c r="M1873">
        <f>IF(D1873=I1873,VLOOKUP(D1873,a_win_totals_lookup,MATCH(K1873,a_wins_total_lookup_header,0)+1,0),VLOOKUP(D1873,a_win_totals_lookup,MATCH(I1873,a_wins_total_lookup_header,0)+1,0))</f>
        <v>0.38499232269801659</v>
      </c>
      <c r="N1873">
        <f t="shared" ca="1" si="29"/>
        <v>0</v>
      </c>
    </row>
    <row r="1874" spans="1:14" x14ac:dyDescent="0.25">
      <c r="A1874">
        <v>400579232</v>
      </c>
      <c r="B1874">
        <v>2015</v>
      </c>
      <c r="C1874" s="1">
        <v>42072</v>
      </c>
      <c r="D1874" t="s">
        <v>22</v>
      </c>
      <c r="E1874">
        <v>1</v>
      </c>
      <c r="F1874">
        <v>26</v>
      </c>
      <c r="G1874">
        <v>36</v>
      </c>
      <c r="H1874">
        <v>0</v>
      </c>
      <c r="I1874" t="s">
        <v>24</v>
      </c>
      <c r="J1874">
        <v>90</v>
      </c>
      <c r="K1874" t="s">
        <v>22</v>
      </c>
      <c r="L1874">
        <v>100</v>
      </c>
      <c r="M1874">
        <f>IF(D1874=I1874,VLOOKUP(D1874,a_win_totals_lookup,MATCH(K1874,a_wins_total_lookup_header,0)+1,0),VLOOKUP(D1874,a_win_totals_lookup,MATCH(I1874,a_wins_total_lookup_header,0)+1,0))</f>
        <v>0.29297639017457672</v>
      </c>
      <c r="N1874">
        <f t="shared" ca="1" si="29"/>
        <v>1</v>
      </c>
    </row>
    <row r="1875" spans="1:14" x14ac:dyDescent="0.25">
      <c r="A1875">
        <v>400579232</v>
      </c>
      <c r="B1875">
        <v>2015</v>
      </c>
      <c r="C1875" s="1">
        <v>42072</v>
      </c>
      <c r="D1875" t="s">
        <v>24</v>
      </c>
      <c r="E1875">
        <v>0</v>
      </c>
      <c r="F1875">
        <v>28</v>
      </c>
      <c r="G1875">
        <v>35</v>
      </c>
      <c r="H1875">
        <v>1</v>
      </c>
      <c r="I1875" t="s">
        <v>24</v>
      </c>
      <c r="J1875">
        <v>90</v>
      </c>
      <c r="K1875" t="s">
        <v>22</v>
      </c>
      <c r="L1875">
        <v>100</v>
      </c>
      <c r="M1875">
        <f>IF(D1875=I1875,VLOOKUP(D1875,a_win_totals_lookup,MATCH(K1875,a_wins_total_lookup_header,0)+1,0),VLOOKUP(D1875,a_win_totals_lookup,MATCH(I1875,a_wins_total_lookup_header,0)+1,0))</f>
        <v>0.70702360982542323</v>
      </c>
      <c r="N1875">
        <f t="shared" ca="1" si="29"/>
        <v>1</v>
      </c>
    </row>
    <row r="1876" spans="1:14" x14ac:dyDescent="0.25">
      <c r="A1876">
        <v>400579233</v>
      </c>
      <c r="B1876">
        <v>2015</v>
      </c>
      <c r="C1876" s="1">
        <v>42072</v>
      </c>
      <c r="D1876" t="s">
        <v>30</v>
      </c>
      <c r="E1876">
        <v>0</v>
      </c>
      <c r="F1876">
        <v>39</v>
      </c>
      <c r="G1876">
        <v>26</v>
      </c>
      <c r="H1876">
        <v>1</v>
      </c>
      <c r="I1876" t="s">
        <v>30</v>
      </c>
      <c r="J1876">
        <v>91</v>
      </c>
      <c r="K1876" t="s">
        <v>28</v>
      </c>
      <c r="L1876">
        <v>101</v>
      </c>
      <c r="M1876">
        <f>IF(D1876=I1876,VLOOKUP(D1876,a_win_totals_lookup,MATCH(K1876,a_wins_total_lookup_header,0)+1,0),VLOOKUP(D1876,a_win_totals_lookup,MATCH(I1876,a_wins_total_lookup_header,0)+1,0))</f>
        <v>0.54193283576822526</v>
      </c>
      <c r="N1876">
        <f t="shared" ca="1" si="29"/>
        <v>1</v>
      </c>
    </row>
    <row r="1877" spans="1:14" x14ac:dyDescent="0.25">
      <c r="A1877">
        <v>400579233</v>
      </c>
      <c r="B1877">
        <v>2015</v>
      </c>
      <c r="C1877" s="1">
        <v>42072</v>
      </c>
      <c r="D1877" t="s">
        <v>28</v>
      </c>
      <c r="E1877">
        <v>1</v>
      </c>
      <c r="F1877">
        <v>45</v>
      </c>
      <c r="G1877">
        <v>18</v>
      </c>
      <c r="H1877">
        <v>0</v>
      </c>
      <c r="I1877" t="s">
        <v>30</v>
      </c>
      <c r="J1877">
        <v>91</v>
      </c>
      <c r="K1877" t="s">
        <v>28</v>
      </c>
      <c r="L1877">
        <v>101</v>
      </c>
      <c r="M1877">
        <f>IF(D1877=I1877,VLOOKUP(D1877,a_win_totals_lookup,MATCH(K1877,a_wins_total_lookup_header,0)+1,0),VLOOKUP(D1877,a_win_totals_lookup,MATCH(I1877,a_wins_total_lookup_header,0)+1,0))</f>
        <v>0.45806716423177474</v>
      </c>
      <c r="N1877">
        <f t="shared" ca="1" si="29"/>
        <v>1</v>
      </c>
    </row>
    <row r="1878" spans="1:14" x14ac:dyDescent="0.25">
      <c r="A1878">
        <v>400579234</v>
      </c>
      <c r="B1878">
        <v>2015</v>
      </c>
      <c r="C1878" s="1">
        <v>42072</v>
      </c>
      <c r="D1878" t="s">
        <v>19</v>
      </c>
      <c r="E1878">
        <v>0</v>
      </c>
      <c r="F1878">
        <v>33</v>
      </c>
      <c r="G1878">
        <v>30</v>
      </c>
      <c r="H1878">
        <v>1</v>
      </c>
      <c r="I1878" t="s">
        <v>19</v>
      </c>
      <c r="J1878">
        <v>103</v>
      </c>
      <c r="K1878" t="s">
        <v>12</v>
      </c>
      <c r="L1878">
        <v>114</v>
      </c>
      <c r="M1878">
        <f>IF(D1878=I1878,VLOOKUP(D1878,a_win_totals_lookup,MATCH(K1878,a_wins_total_lookup_header,0)+1,0),VLOOKUP(D1878,a_win_totals_lookup,MATCH(I1878,a_wins_total_lookup_header,0)+1,0))</f>
        <v>0.34206091059294946</v>
      </c>
      <c r="N1878">
        <f t="shared" ca="1" si="29"/>
        <v>1</v>
      </c>
    </row>
    <row r="1879" spans="1:14" x14ac:dyDescent="0.25">
      <c r="A1879">
        <v>400579234</v>
      </c>
      <c r="B1879">
        <v>2015</v>
      </c>
      <c r="C1879" s="1">
        <v>42072</v>
      </c>
      <c r="D1879" t="s">
        <v>12</v>
      </c>
      <c r="E1879">
        <v>1</v>
      </c>
      <c r="F1879">
        <v>35</v>
      </c>
      <c r="G1879">
        <v>29</v>
      </c>
      <c r="H1879">
        <v>0</v>
      </c>
      <c r="I1879" t="s">
        <v>19</v>
      </c>
      <c r="J1879">
        <v>103</v>
      </c>
      <c r="K1879" t="s">
        <v>12</v>
      </c>
      <c r="L1879">
        <v>114</v>
      </c>
      <c r="M1879">
        <f>IF(D1879=I1879,VLOOKUP(D1879,a_win_totals_lookup,MATCH(K1879,a_wins_total_lookup_header,0)+1,0),VLOOKUP(D1879,a_win_totals_lookup,MATCH(I1879,a_wins_total_lookup_header,0)+1,0))</f>
        <v>0.65793908940705059</v>
      </c>
      <c r="N1879">
        <f t="shared" ca="1" si="29"/>
        <v>1</v>
      </c>
    </row>
    <row r="1880" spans="1:14" x14ac:dyDescent="0.25">
      <c r="A1880">
        <v>400579235</v>
      </c>
      <c r="B1880">
        <v>2015</v>
      </c>
      <c r="C1880" s="1">
        <v>42072</v>
      </c>
      <c r="D1880" t="s">
        <v>32</v>
      </c>
      <c r="E1880">
        <v>1</v>
      </c>
      <c r="F1880">
        <v>23</v>
      </c>
      <c r="G1880">
        <v>41</v>
      </c>
      <c r="H1880">
        <v>1</v>
      </c>
      <c r="I1880" t="s">
        <v>32</v>
      </c>
      <c r="J1880">
        <v>106</v>
      </c>
      <c r="K1880" t="s">
        <v>31</v>
      </c>
      <c r="L1880">
        <v>78</v>
      </c>
      <c r="M1880">
        <f>IF(D1880=I1880,VLOOKUP(D1880,a_win_totals_lookup,MATCH(K1880,a_wins_total_lookup_header,0)+1,0),VLOOKUP(D1880,a_win_totals_lookup,MATCH(I1880,a_wins_total_lookup_header,0)+1,0))</f>
        <v>0.5</v>
      </c>
      <c r="N1880">
        <f t="shared" ca="1" si="29"/>
        <v>0</v>
      </c>
    </row>
    <row r="1881" spans="1:14" x14ac:dyDescent="0.25">
      <c r="A1881">
        <v>400579235</v>
      </c>
      <c r="B1881">
        <v>2015</v>
      </c>
      <c r="C1881" s="1">
        <v>42072</v>
      </c>
      <c r="D1881" t="s">
        <v>31</v>
      </c>
      <c r="E1881">
        <v>0</v>
      </c>
      <c r="F1881">
        <v>12</v>
      </c>
      <c r="G1881">
        <v>50</v>
      </c>
      <c r="H1881">
        <v>0</v>
      </c>
      <c r="I1881" t="s">
        <v>32</v>
      </c>
      <c r="J1881">
        <v>106</v>
      </c>
      <c r="K1881" t="s">
        <v>31</v>
      </c>
      <c r="L1881">
        <v>78</v>
      </c>
      <c r="M1881">
        <f>IF(D1881=I1881,VLOOKUP(D1881,a_win_totals_lookup,MATCH(K1881,a_wins_total_lookup_header,0)+1,0),VLOOKUP(D1881,a_win_totals_lookup,MATCH(I1881,a_wins_total_lookup_header,0)+1,0))</f>
        <v>0.5</v>
      </c>
      <c r="N1881">
        <f t="shared" ca="1" si="29"/>
        <v>1</v>
      </c>
    </row>
    <row r="1882" spans="1:14" x14ac:dyDescent="0.25">
      <c r="A1882">
        <v>400579236</v>
      </c>
      <c r="B1882">
        <v>2015</v>
      </c>
      <c r="C1882" s="1">
        <v>42072</v>
      </c>
      <c r="D1882" t="s">
        <v>36</v>
      </c>
      <c r="E1882">
        <v>1</v>
      </c>
      <c r="F1882">
        <v>50</v>
      </c>
      <c r="G1882">
        <v>12</v>
      </c>
      <c r="H1882">
        <v>0</v>
      </c>
      <c r="I1882" t="s">
        <v>35</v>
      </c>
      <c r="J1882">
        <v>80</v>
      </c>
      <c r="K1882" t="s">
        <v>36</v>
      </c>
      <c r="L1882">
        <v>98</v>
      </c>
      <c r="M1882">
        <f>IF(D1882=I1882,VLOOKUP(D1882,a_win_totals_lookup,MATCH(K1882,a_wins_total_lookup_header,0)+1,0),VLOOKUP(D1882,a_win_totals_lookup,MATCH(I1882,a_wins_total_lookup_header,0)+1,0))</f>
        <v>0.58455563190980453</v>
      </c>
      <c r="N1882">
        <f t="shared" ca="1" si="29"/>
        <v>1</v>
      </c>
    </row>
    <row r="1883" spans="1:14" x14ac:dyDescent="0.25">
      <c r="A1883">
        <v>400579236</v>
      </c>
      <c r="B1883">
        <v>2015</v>
      </c>
      <c r="C1883" s="1">
        <v>42072</v>
      </c>
      <c r="D1883" t="s">
        <v>35</v>
      </c>
      <c r="E1883">
        <v>0</v>
      </c>
      <c r="F1883">
        <v>33</v>
      </c>
      <c r="G1883">
        <v>32</v>
      </c>
      <c r="H1883">
        <v>1</v>
      </c>
      <c r="I1883" t="s">
        <v>35</v>
      </c>
      <c r="J1883">
        <v>80</v>
      </c>
      <c r="K1883" t="s">
        <v>36</v>
      </c>
      <c r="L1883">
        <v>98</v>
      </c>
      <c r="M1883">
        <f>IF(D1883=I1883,VLOOKUP(D1883,a_win_totals_lookup,MATCH(K1883,a_wins_total_lookup_header,0)+1,0),VLOOKUP(D1883,a_win_totals_lookup,MATCH(I1883,a_wins_total_lookup_header,0)+1,0))</f>
        <v>0.41544436809019553</v>
      </c>
      <c r="N1883">
        <f t="shared" ca="1" si="29"/>
        <v>0</v>
      </c>
    </row>
    <row r="1884" spans="1:14" x14ac:dyDescent="0.25">
      <c r="A1884">
        <v>400579237</v>
      </c>
      <c r="B1884">
        <v>2015</v>
      </c>
      <c r="C1884" s="1">
        <v>42072</v>
      </c>
      <c r="D1884" t="s">
        <v>41</v>
      </c>
      <c r="E1884">
        <v>1</v>
      </c>
      <c r="F1884">
        <v>41</v>
      </c>
      <c r="G1884">
        <v>23</v>
      </c>
      <c r="H1884">
        <v>1</v>
      </c>
      <c r="I1884" t="s">
        <v>41</v>
      </c>
      <c r="J1884">
        <v>89</v>
      </c>
      <c r="K1884" t="s">
        <v>29</v>
      </c>
      <c r="L1884">
        <v>76</v>
      </c>
      <c r="M1884">
        <f>IF(D1884=I1884,VLOOKUP(D1884,a_win_totals_lookup,MATCH(K1884,a_wins_total_lookup_header,0)+1,0),VLOOKUP(D1884,a_win_totals_lookup,MATCH(I1884,a_wins_total_lookup_header,0)+1,0))</f>
        <v>0.7843512669729592</v>
      </c>
      <c r="N1884">
        <f t="shared" ca="1" si="29"/>
        <v>0</v>
      </c>
    </row>
    <row r="1885" spans="1:14" x14ac:dyDescent="0.25">
      <c r="A1885">
        <v>400579237</v>
      </c>
      <c r="B1885">
        <v>2015</v>
      </c>
      <c r="C1885" s="1">
        <v>42072</v>
      </c>
      <c r="D1885" t="s">
        <v>29</v>
      </c>
      <c r="E1885">
        <v>0</v>
      </c>
      <c r="F1885">
        <v>14</v>
      </c>
      <c r="G1885">
        <v>48</v>
      </c>
      <c r="H1885">
        <v>0</v>
      </c>
      <c r="I1885" t="s">
        <v>41</v>
      </c>
      <c r="J1885">
        <v>89</v>
      </c>
      <c r="K1885" t="s">
        <v>29</v>
      </c>
      <c r="L1885">
        <v>76</v>
      </c>
      <c r="M1885">
        <f>IF(D1885=I1885,VLOOKUP(D1885,a_win_totals_lookup,MATCH(K1885,a_wins_total_lookup_header,0)+1,0),VLOOKUP(D1885,a_win_totals_lookup,MATCH(I1885,a_wins_total_lookup_header,0)+1,0))</f>
        <v>0.21564873302704085</v>
      </c>
      <c r="N1885">
        <f t="shared" ca="1" si="29"/>
        <v>1</v>
      </c>
    </row>
    <row r="1886" spans="1:14" x14ac:dyDescent="0.25">
      <c r="A1886">
        <v>400579238</v>
      </c>
      <c r="B1886">
        <v>2015</v>
      </c>
      <c r="C1886" s="1">
        <v>42073</v>
      </c>
      <c r="D1886" t="s">
        <v>20</v>
      </c>
      <c r="E1886">
        <v>1</v>
      </c>
      <c r="F1886">
        <v>29</v>
      </c>
      <c r="G1886">
        <v>34</v>
      </c>
      <c r="H1886">
        <v>1</v>
      </c>
      <c r="I1886" t="s">
        <v>20</v>
      </c>
      <c r="J1886">
        <v>118</v>
      </c>
      <c r="K1886" t="s">
        <v>13</v>
      </c>
      <c r="L1886">
        <v>86</v>
      </c>
      <c r="M1886">
        <f>IF(D1886=I1886,VLOOKUP(D1886,a_win_totals_lookup,MATCH(K1886,a_wins_total_lookup_header,0)+1,0),VLOOKUP(D1886,a_win_totals_lookup,MATCH(I1886,a_wins_total_lookup_header,0)+1,0))</f>
        <v>0.55154153277934415</v>
      </c>
      <c r="N1886">
        <f t="shared" ca="1" si="29"/>
        <v>0</v>
      </c>
    </row>
    <row r="1887" spans="1:14" x14ac:dyDescent="0.25">
      <c r="A1887">
        <v>400579238</v>
      </c>
      <c r="B1887">
        <v>2015</v>
      </c>
      <c r="C1887" s="1">
        <v>42073</v>
      </c>
      <c r="D1887" t="s">
        <v>13</v>
      </c>
      <c r="E1887">
        <v>0</v>
      </c>
      <c r="F1887">
        <v>21</v>
      </c>
      <c r="G1887">
        <v>44</v>
      </c>
      <c r="H1887">
        <v>0</v>
      </c>
      <c r="I1887" t="s">
        <v>20</v>
      </c>
      <c r="J1887">
        <v>118</v>
      </c>
      <c r="K1887" t="s">
        <v>13</v>
      </c>
      <c r="L1887">
        <v>86</v>
      </c>
      <c r="M1887">
        <f>IF(D1887=I1887,VLOOKUP(D1887,a_win_totals_lookup,MATCH(K1887,a_wins_total_lookup_header,0)+1,0),VLOOKUP(D1887,a_win_totals_lookup,MATCH(I1887,a_wins_total_lookup_header,0)+1,0))</f>
        <v>0.44845846722065585</v>
      </c>
      <c r="N1887">
        <f t="shared" ca="1" si="29"/>
        <v>0</v>
      </c>
    </row>
    <row r="1888" spans="1:14" x14ac:dyDescent="0.25">
      <c r="A1888">
        <v>400579239</v>
      </c>
      <c r="B1888">
        <v>2015</v>
      </c>
      <c r="C1888" s="1">
        <v>42073</v>
      </c>
      <c r="D1888" t="s">
        <v>23</v>
      </c>
      <c r="E1888">
        <v>0</v>
      </c>
      <c r="F1888">
        <v>25</v>
      </c>
      <c r="G1888">
        <v>37</v>
      </c>
      <c r="H1888">
        <v>1</v>
      </c>
      <c r="I1888" t="s">
        <v>23</v>
      </c>
      <c r="J1888">
        <v>91</v>
      </c>
      <c r="K1888" t="s">
        <v>12</v>
      </c>
      <c r="L1888">
        <v>111</v>
      </c>
      <c r="M1888">
        <f>IF(D1888=I1888,VLOOKUP(D1888,a_win_totals_lookup,MATCH(K1888,a_wins_total_lookup_header,0)+1,0),VLOOKUP(D1888,a_win_totals_lookup,MATCH(I1888,a_wins_total_lookup_header,0)+1,0))</f>
        <v>0.48625786874528693</v>
      </c>
      <c r="N1888">
        <f t="shared" ca="1" si="29"/>
        <v>0</v>
      </c>
    </row>
    <row r="1889" spans="1:14" x14ac:dyDescent="0.25">
      <c r="A1889">
        <v>400579239</v>
      </c>
      <c r="B1889">
        <v>2015</v>
      </c>
      <c r="C1889" s="1">
        <v>42073</v>
      </c>
      <c r="D1889" t="s">
        <v>12</v>
      </c>
      <c r="E1889">
        <v>1</v>
      </c>
      <c r="F1889">
        <v>36</v>
      </c>
      <c r="G1889">
        <v>29</v>
      </c>
      <c r="H1889">
        <v>0</v>
      </c>
      <c r="I1889" t="s">
        <v>23</v>
      </c>
      <c r="J1889">
        <v>91</v>
      </c>
      <c r="K1889" t="s">
        <v>12</v>
      </c>
      <c r="L1889">
        <v>111</v>
      </c>
      <c r="M1889">
        <f>IF(D1889=I1889,VLOOKUP(D1889,a_win_totals_lookup,MATCH(K1889,a_wins_total_lookup_header,0)+1,0),VLOOKUP(D1889,a_win_totals_lookup,MATCH(I1889,a_wins_total_lookup_header,0)+1,0))</f>
        <v>0.51374213125471302</v>
      </c>
      <c r="N1889">
        <f t="shared" ca="1" si="29"/>
        <v>1</v>
      </c>
    </row>
    <row r="1890" spans="1:14" x14ac:dyDescent="0.25">
      <c r="A1890">
        <v>400579240</v>
      </c>
      <c r="B1890">
        <v>2015</v>
      </c>
      <c r="C1890" s="1">
        <v>42073</v>
      </c>
      <c r="D1890" t="s">
        <v>40</v>
      </c>
      <c r="E1890">
        <v>1</v>
      </c>
      <c r="F1890">
        <v>41</v>
      </c>
      <c r="G1890">
        <v>25</v>
      </c>
      <c r="H1890">
        <v>0</v>
      </c>
      <c r="I1890" t="s">
        <v>14</v>
      </c>
      <c r="J1890">
        <v>94</v>
      </c>
      <c r="K1890" t="s">
        <v>40</v>
      </c>
      <c r="L1890">
        <v>127</v>
      </c>
      <c r="M1890">
        <f>IF(D1890=I1890,VLOOKUP(D1890,a_win_totals_lookup,MATCH(K1890,a_wins_total_lookup_header,0)+1,0),VLOOKUP(D1890,a_win_totals_lookup,MATCH(I1890,a_wins_total_lookup_header,0)+1,0))</f>
        <v>0.53622195991228083</v>
      </c>
      <c r="N1890">
        <f t="shared" ca="1" si="29"/>
        <v>0</v>
      </c>
    </row>
    <row r="1891" spans="1:14" x14ac:dyDescent="0.25">
      <c r="A1891">
        <v>400579240</v>
      </c>
      <c r="B1891">
        <v>2015</v>
      </c>
      <c r="C1891" s="1">
        <v>42073</v>
      </c>
      <c r="D1891" t="s">
        <v>14</v>
      </c>
      <c r="E1891">
        <v>0</v>
      </c>
      <c r="F1891">
        <v>41</v>
      </c>
      <c r="G1891">
        <v>25</v>
      </c>
      <c r="H1891">
        <v>1</v>
      </c>
      <c r="I1891" t="s">
        <v>14</v>
      </c>
      <c r="J1891">
        <v>94</v>
      </c>
      <c r="K1891" t="s">
        <v>40</v>
      </c>
      <c r="L1891">
        <v>127</v>
      </c>
      <c r="M1891">
        <f>IF(D1891=I1891,VLOOKUP(D1891,a_win_totals_lookup,MATCH(K1891,a_wins_total_lookup_header,0)+1,0),VLOOKUP(D1891,a_win_totals_lookup,MATCH(I1891,a_wins_total_lookup_header,0)+1,0))</f>
        <v>0.46377804008771911</v>
      </c>
      <c r="N1891">
        <f t="shared" ca="1" si="29"/>
        <v>1</v>
      </c>
    </row>
    <row r="1892" spans="1:14" x14ac:dyDescent="0.25">
      <c r="A1892">
        <v>400579241</v>
      </c>
      <c r="B1892">
        <v>2015</v>
      </c>
      <c r="C1892" s="1">
        <v>42073</v>
      </c>
      <c r="D1892" t="s">
        <v>15</v>
      </c>
      <c r="E1892">
        <v>1</v>
      </c>
      <c r="F1892">
        <v>40</v>
      </c>
      <c r="G1892">
        <v>23</v>
      </c>
      <c r="H1892">
        <v>1</v>
      </c>
      <c r="I1892" t="s">
        <v>15</v>
      </c>
      <c r="J1892">
        <v>117</v>
      </c>
      <c r="K1892" t="s">
        <v>27</v>
      </c>
      <c r="L1892">
        <v>107</v>
      </c>
      <c r="M1892">
        <f>IF(D1892=I1892,VLOOKUP(D1892,a_win_totals_lookup,MATCH(K1892,a_wins_total_lookup_header,0)+1,0),VLOOKUP(D1892,a_win_totals_lookup,MATCH(I1892,a_wins_total_lookup_header,0)+1,0))</f>
        <v>0.52596063059506537</v>
      </c>
      <c r="N1892">
        <f t="shared" ca="1" si="29"/>
        <v>0</v>
      </c>
    </row>
    <row r="1893" spans="1:14" x14ac:dyDescent="0.25">
      <c r="A1893">
        <v>400579241</v>
      </c>
      <c r="B1893">
        <v>2015</v>
      </c>
      <c r="C1893" s="1">
        <v>42073</v>
      </c>
      <c r="D1893" t="s">
        <v>27</v>
      </c>
      <c r="E1893">
        <v>0</v>
      </c>
      <c r="F1893">
        <v>38</v>
      </c>
      <c r="G1893">
        <v>26</v>
      </c>
      <c r="H1893">
        <v>0</v>
      </c>
      <c r="I1893" t="s">
        <v>15</v>
      </c>
      <c r="J1893">
        <v>117</v>
      </c>
      <c r="K1893" t="s">
        <v>27</v>
      </c>
      <c r="L1893">
        <v>107</v>
      </c>
      <c r="M1893">
        <f>IF(D1893=I1893,VLOOKUP(D1893,a_win_totals_lookup,MATCH(K1893,a_wins_total_lookup_header,0)+1,0),VLOOKUP(D1893,a_win_totals_lookup,MATCH(I1893,a_wins_total_lookup_header,0)+1,0))</f>
        <v>0.47403936940493457</v>
      </c>
      <c r="N1893">
        <f t="shared" ca="1" si="29"/>
        <v>0</v>
      </c>
    </row>
    <row r="1894" spans="1:14" x14ac:dyDescent="0.25">
      <c r="A1894">
        <v>400579242</v>
      </c>
      <c r="B1894">
        <v>2015</v>
      </c>
      <c r="C1894" s="1">
        <v>42073</v>
      </c>
      <c r="D1894" t="s">
        <v>31</v>
      </c>
      <c r="E1894">
        <v>0</v>
      </c>
      <c r="F1894">
        <v>12</v>
      </c>
      <c r="G1894">
        <v>51</v>
      </c>
      <c r="H1894">
        <v>0</v>
      </c>
      <c r="I1894" t="s">
        <v>34</v>
      </c>
      <c r="J1894">
        <v>87</v>
      </c>
      <c r="K1894" t="s">
        <v>31</v>
      </c>
      <c r="L1894">
        <v>82</v>
      </c>
      <c r="M1894">
        <f>IF(D1894=I1894,VLOOKUP(D1894,a_win_totals_lookup,MATCH(K1894,a_wins_total_lookup_header,0)+1,0),VLOOKUP(D1894,a_win_totals_lookup,MATCH(I1894,a_wins_total_lookup_header,0)+1,0))</f>
        <v>0.61088100448941873</v>
      </c>
      <c r="N1894">
        <f t="shared" ca="1" si="29"/>
        <v>1</v>
      </c>
    </row>
    <row r="1895" spans="1:14" x14ac:dyDescent="0.25">
      <c r="A1895">
        <v>400579242</v>
      </c>
      <c r="B1895">
        <v>2015</v>
      </c>
      <c r="C1895" s="1">
        <v>42073</v>
      </c>
      <c r="D1895" t="s">
        <v>34</v>
      </c>
      <c r="E1895">
        <v>1</v>
      </c>
      <c r="F1895">
        <v>27</v>
      </c>
      <c r="G1895">
        <v>36</v>
      </c>
      <c r="H1895">
        <v>1</v>
      </c>
      <c r="I1895" t="s">
        <v>34</v>
      </c>
      <c r="J1895">
        <v>87</v>
      </c>
      <c r="K1895" t="s">
        <v>31</v>
      </c>
      <c r="L1895">
        <v>82</v>
      </c>
      <c r="M1895">
        <f>IF(D1895=I1895,VLOOKUP(D1895,a_win_totals_lookup,MATCH(K1895,a_wins_total_lookup_header,0)+1,0),VLOOKUP(D1895,a_win_totals_lookup,MATCH(I1895,a_wins_total_lookup_header,0)+1,0))</f>
        <v>0.38911899551058127</v>
      </c>
      <c r="N1895">
        <f t="shared" ca="1" si="29"/>
        <v>1</v>
      </c>
    </row>
    <row r="1896" spans="1:14" x14ac:dyDescent="0.25">
      <c r="A1896">
        <v>400579243</v>
      </c>
      <c r="B1896">
        <v>2015</v>
      </c>
      <c r="C1896" s="1">
        <v>42073</v>
      </c>
      <c r="D1896" t="s">
        <v>33</v>
      </c>
      <c r="E1896">
        <v>0</v>
      </c>
      <c r="F1896">
        <v>23</v>
      </c>
      <c r="G1896">
        <v>40</v>
      </c>
      <c r="H1896">
        <v>0</v>
      </c>
      <c r="I1896" t="s">
        <v>17</v>
      </c>
      <c r="J1896">
        <v>93</v>
      </c>
      <c r="K1896" t="s">
        <v>33</v>
      </c>
      <c r="L1896">
        <v>85</v>
      </c>
      <c r="M1896">
        <f>IF(D1896=I1896,VLOOKUP(D1896,a_win_totals_lookup,MATCH(K1896,a_wins_total_lookup_header,0)+1,0),VLOOKUP(D1896,a_win_totals_lookup,MATCH(I1896,a_wins_total_lookup_header,0)+1,0))</f>
        <v>0.53279747016783385</v>
      </c>
      <c r="N1896">
        <f t="shared" ca="1" si="29"/>
        <v>1</v>
      </c>
    </row>
    <row r="1897" spans="1:14" x14ac:dyDescent="0.25">
      <c r="A1897">
        <v>400579243</v>
      </c>
      <c r="B1897">
        <v>2015</v>
      </c>
      <c r="C1897" s="1">
        <v>42073</v>
      </c>
      <c r="D1897" t="s">
        <v>17</v>
      </c>
      <c r="E1897">
        <v>1</v>
      </c>
      <c r="F1897">
        <v>17</v>
      </c>
      <c r="G1897">
        <v>46</v>
      </c>
      <c r="H1897">
        <v>1</v>
      </c>
      <c r="I1897" t="s">
        <v>17</v>
      </c>
      <c r="J1897">
        <v>93</v>
      </c>
      <c r="K1897" t="s">
        <v>33</v>
      </c>
      <c r="L1897">
        <v>85</v>
      </c>
      <c r="M1897">
        <f>IF(D1897=I1897,VLOOKUP(D1897,a_win_totals_lookup,MATCH(K1897,a_wins_total_lookup_header,0)+1,0),VLOOKUP(D1897,a_win_totals_lookup,MATCH(I1897,a_wins_total_lookup_header,0)+1,0))</f>
        <v>0.46720252983216615</v>
      </c>
      <c r="N1897">
        <f t="shared" ca="1" si="29"/>
        <v>1</v>
      </c>
    </row>
    <row r="1898" spans="1:14" x14ac:dyDescent="0.25">
      <c r="A1898">
        <v>400579244</v>
      </c>
      <c r="B1898">
        <v>2015</v>
      </c>
      <c r="C1898" s="1">
        <v>42074</v>
      </c>
      <c r="D1898" t="s">
        <v>18</v>
      </c>
      <c r="E1898">
        <v>0</v>
      </c>
      <c r="F1898">
        <v>28</v>
      </c>
      <c r="G1898">
        <v>35</v>
      </c>
      <c r="H1898">
        <v>1</v>
      </c>
      <c r="I1898" t="s">
        <v>18</v>
      </c>
      <c r="J1898">
        <v>106</v>
      </c>
      <c r="K1898" t="s">
        <v>37</v>
      </c>
      <c r="L1898">
        <v>113</v>
      </c>
      <c r="M1898">
        <f>IF(D1898=I1898,VLOOKUP(D1898,a_win_totals_lookup,MATCH(K1898,a_wins_total_lookup_header,0)+1,0),VLOOKUP(D1898,a_win_totals_lookup,MATCH(I1898,a_wins_total_lookup_header,0)+1,0))</f>
        <v>0.63666806394856001</v>
      </c>
      <c r="N1898">
        <f t="shared" ca="1" si="29"/>
        <v>1</v>
      </c>
    </row>
    <row r="1899" spans="1:14" x14ac:dyDescent="0.25">
      <c r="A1899">
        <v>400579244</v>
      </c>
      <c r="B1899">
        <v>2015</v>
      </c>
      <c r="C1899" s="1">
        <v>42074</v>
      </c>
      <c r="D1899" t="s">
        <v>37</v>
      </c>
      <c r="E1899">
        <v>1</v>
      </c>
      <c r="F1899">
        <v>22</v>
      </c>
      <c r="G1899">
        <v>41</v>
      </c>
      <c r="H1899">
        <v>0</v>
      </c>
      <c r="I1899" t="s">
        <v>18</v>
      </c>
      <c r="J1899">
        <v>106</v>
      </c>
      <c r="K1899" t="s">
        <v>37</v>
      </c>
      <c r="L1899">
        <v>113</v>
      </c>
      <c r="M1899">
        <f>IF(D1899=I1899,VLOOKUP(D1899,a_win_totals_lookup,MATCH(K1899,a_wins_total_lookup_header,0)+1,0),VLOOKUP(D1899,a_win_totals_lookup,MATCH(I1899,a_wins_total_lookup_header,0)+1,0))</f>
        <v>0.36333193605144004</v>
      </c>
      <c r="N1899">
        <f t="shared" ca="1" si="29"/>
        <v>1</v>
      </c>
    </row>
    <row r="1900" spans="1:14" x14ac:dyDescent="0.25">
      <c r="A1900">
        <v>400579245</v>
      </c>
      <c r="B1900">
        <v>2015</v>
      </c>
      <c r="C1900" s="1">
        <v>42074</v>
      </c>
      <c r="D1900" t="s">
        <v>30</v>
      </c>
      <c r="E1900">
        <v>1</v>
      </c>
      <c r="F1900">
        <v>40</v>
      </c>
      <c r="G1900">
        <v>26</v>
      </c>
      <c r="H1900">
        <v>0</v>
      </c>
      <c r="I1900" t="s">
        <v>21</v>
      </c>
      <c r="J1900">
        <v>95</v>
      </c>
      <c r="K1900" t="s">
        <v>30</v>
      </c>
      <c r="L1900">
        <v>104</v>
      </c>
      <c r="M1900">
        <f>IF(D1900=I1900,VLOOKUP(D1900,a_win_totals_lookup,MATCH(K1900,a_wins_total_lookup_header,0)+1,0),VLOOKUP(D1900,a_win_totals_lookup,MATCH(I1900,a_wins_total_lookup_header,0)+1,0))</f>
        <v>0.80357563767142925</v>
      </c>
      <c r="N1900">
        <f t="shared" ca="1" si="29"/>
        <v>1</v>
      </c>
    </row>
    <row r="1901" spans="1:14" x14ac:dyDescent="0.25">
      <c r="A1901">
        <v>400579245</v>
      </c>
      <c r="B1901">
        <v>2015</v>
      </c>
      <c r="C1901" s="1">
        <v>42074</v>
      </c>
      <c r="D1901" t="s">
        <v>21</v>
      </c>
      <c r="E1901">
        <v>0</v>
      </c>
      <c r="F1901">
        <v>14</v>
      </c>
      <c r="G1901">
        <v>50</v>
      </c>
      <c r="H1901">
        <v>1</v>
      </c>
      <c r="I1901" t="s">
        <v>21</v>
      </c>
      <c r="J1901">
        <v>95</v>
      </c>
      <c r="K1901" t="s">
        <v>30</v>
      </c>
      <c r="L1901">
        <v>104</v>
      </c>
      <c r="M1901">
        <f>IF(D1901=I1901,VLOOKUP(D1901,a_win_totals_lookup,MATCH(K1901,a_wins_total_lookup_header,0)+1,0),VLOOKUP(D1901,a_win_totals_lookup,MATCH(I1901,a_wins_total_lookup_header,0)+1,0))</f>
        <v>0.19642436232857072</v>
      </c>
      <c r="N1901">
        <f t="shared" ca="1" si="29"/>
        <v>1</v>
      </c>
    </row>
    <row r="1902" spans="1:14" x14ac:dyDescent="0.25">
      <c r="A1902">
        <v>400579246</v>
      </c>
      <c r="B1902">
        <v>2015</v>
      </c>
      <c r="C1902" s="1">
        <v>42074</v>
      </c>
      <c r="D1902" t="s">
        <v>22</v>
      </c>
      <c r="E1902">
        <v>1</v>
      </c>
      <c r="F1902">
        <v>27</v>
      </c>
      <c r="G1902">
        <v>36</v>
      </c>
      <c r="H1902">
        <v>1</v>
      </c>
      <c r="I1902" t="s">
        <v>22</v>
      </c>
      <c r="J1902">
        <v>95</v>
      </c>
      <c r="K1902" t="s">
        <v>28</v>
      </c>
      <c r="L1902">
        <v>92</v>
      </c>
      <c r="M1902">
        <f>IF(D1902=I1902,VLOOKUP(D1902,a_win_totals_lookup,MATCH(K1902,a_wins_total_lookup_header,0)+1,0),VLOOKUP(D1902,a_win_totals_lookup,MATCH(I1902,a_wins_total_lookup_header,0)+1,0))</f>
        <v>0.25315159149597988</v>
      </c>
      <c r="N1902">
        <f t="shared" ca="1" si="29"/>
        <v>1</v>
      </c>
    </row>
    <row r="1903" spans="1:14" x14ac:dyDescent="0.25">
      <c r="A1903">
        <v>400579246</v>
      </c>
      <c r="B1903">
        <v>2015</v>
      </c>
      <c r="C1903" s="1">
        <v>42074</v>
      </c>
      <c r="D1903" t="s">
        <v>28</v>
      </c>
      <c r="E1903">
        <v>0</v>
      </c>
      <c r="F1903">
        <v>45</v>
      </c>
      <c r="G1903">
        <v>19</v>
      </c>
      <c r="H1903">
        <v>0</v>
      </c>
      <c r="I1903" t="s">
        <v>22</v>
      </c>
      <c r="J1903">
        <v>95</v>
      </c>
      <c r="K1903" t="s">
        <v>28</v>
      </c>
      <c r="L1903">
        <v>92</v>
      </c>
      <c r="M1903">
        <f>IF(D1903=I1903,VLOOKUP(D1903,a_win_totals_lookup,MATCH(K1903,a_wins_total_lookup_header,0)+1,0),VLOOKUP(D1903,a_win_totals_lookup,MATCH(I1903,a_wins_total_lookup_header,0)+1,0))</f>
        <v>0.74684840850402012</v>
      </c>
      <c r="N1903">
        <f t="shared" ca="1" si="29"/>
        <v>0</v>
      </c>
    </row>
    <row r="1904" spans="1:14" x14ac:dyDescent="0.25">
      <c r="A1904">
        <v>400579247</v>
      </c>
      <c r="B1904">
        <v>2015</v>
      </c>
      <c r="C1904" s="1">
        <v>42074</v>
      </c>
      <c r="D1904" t="s">
        <v>23</v>
      </c>
      <c r="E1904">
        <v>0</v>
      </c>
      <c r="F1904">
        <v>25</v>
      </c>
      <c r="G1904">
        <v>38</v>
      </c>
      <c r="H1904">
        <v>0</v>
      </c>
      <c r="I1904" t="s">
        <v>24</v>
      </c>
      <c r="J1904">
        <v>104</v>
      </c>
      <c r="K1904" t="s">
        <v>23</v>
      </c>
      <c r="L1904">
        <v>98</v>
      </c>
      <c r="M1904">
        <f>IF(D1904=I1904,VLOOKUP(D1904,a_win_totals_lookup,MATCH(K1904,a_wins_total_lookup_header,0)+1,0),VLOOKUP(D1904,a_win_totals_lookup,MATCH(I1904,a_wins_total_lookup_header,0)+1,0))</f>
        <v>0.4489330916958254</v>
      </c>
      <c r="N1904">
        <f t="shared" ca="1" si="29"/>
        <v>0</v>
      </c>
    </row>
    <row r="1905" spans="1:14" x14ac:dyDescent="0.25">
      <c r="A1905">
        <v>400579247</v>
      </c>
      <c r="B1905">
        <v>2015</v>
      </c>
      <c r="C1905" s="1">
        <v>42074</v>
      </c>
      <c r="D1905" t="s">
        <v>24</v>
      </c>
      <c r="E1905">
        <v>1</v>
      </c>
      <c r="F1905">
        <v>29</v>
      </c>
      <c r="G1905">
        <v>35</v>
      </c>
      <c r="H1905">
        <v>1</v>
      </c>
      <c r="I1905" t="s">
        <v>24</v>
      </c>
      <c r="J1905">
        <v>104</v>
      </c>
      <c r="K1905" t="s">
        <v>23</v>
      </c>
      <c r="L1905">
        <v>98</v>
      </c>
      <c r="M1905">
        <f>IF(D1905=I1905,VLOOKUP(D1905,a_win_totals_lookup,MATCH(K1905,a_wins_total_lookup_header,0)+1,0),VLOOKUP(D1905,a_win_totals_lookup,MATCH(I1905,a_wins_total_lookup_header,0)+1,0))</f>
        <v>0.5510669083041746</v>
      </c>
      <c r="N1905">
        <f t="shared" ca="1" si="29"/>
        <v>1</v>
      </c>
    </row>
    <row r="1906" spans="1:14" x14ac:dyDescent="0.25">
      <c r="A1906">
        <v>400579248</v>
      </c>
      <c r="B1906">
        <v>2015</v>
      </c>
      <c r="C1906" s="1">
        <v>42074</v>
      </c>
      <c r="D1906" t="s">
        <v>19</v>
      </c>
      <c r="E1906">
        <v>1</v>
      </c>
      <c r="F1906">
        <v>34</v>
      </c>
      <c r="G1906">
        <v>30</v>
      </c>
      <c r="H1906">
        <v>1</v>
      </c>
      <c r="I1906" t="s">
        <v>19</v>
      </c>
      <c r="J1906">
        <v>97</v>
      </c>
      <c r="K1906" t="s">
        <v>13</v>
      </c>
      <c r="L1906">
        <v>91</v>
      </c>
      <c r="M1906">
        <f>IF(D1906=I1906,VLOOKUP(D1906,a_win_totals_lookup,MATCH(K1906,a_wins_total_lookup_header,0)+1,0),VLOOKUP(D1906,a_win_totals_lookup,MATCH(I1906,a_wins_total_lookup_header,0)+1,0))</f>
        <v>0.46303651516321748</v>
      </c>
      <c r="N1906">
        <f t="shared" ca="1" si="29"/>
        <v>0</v>
      </c>
    </row>
    <row r="1907" spans="1:14" x14ac:dyDescent="0.25">
      <c r="A1907">
        <v>400579248</v>
      </c>
      <c r="B1907">
        <v>2015</v>
      </c>
      <c r="C1907" s="1">
        <v>42074</v>
      </c>
      <c r="D1907" t="s">
        <v>13</v>
      </c>
      <c r="E1907">
        <v>0</v>
      </c>
      <c r="F1907">
        <v>21</v>
      </c>
      <c r="G1907">
        <v>45</v>
      </c>
      <c r="H1907">
        <v>0</v>
      </c>
      <c r="I1907" t="s">
        <v>19</v>
      </c>
      <c r="J1907">
        <v>97</v>
      </c>
      <c r="K1907" t="s">
        <v>13</v>
      </c>
      <c r="L1907">
        <v>91</v>
      </c>
      <c r="M1907">
        <f>IF(D1907=I1907,VLOOKUP(D1907,a_win_totals_lookup,MATCH(K1907,a_wins_total_lookup_header,0)+1,0),VLOOKUP(D1907,a_win_totals_lookup,MATCH(I1907,a_wins_total_lookup_header,0)+1,0))</f>
        <v>0.53696348483678247</v>
      </c>
      <c r="N1907">
        <f t="shared" ca="1" si="29"/>
        <v>1</v>
      </c>
    </row>
    <row r="1908" spans="1:14" x14ac:dyDescent="0.25">
      <c r="A1908">
        <v>400579249</v>
      </c>
      <c r="B1908">
        <v>2015</v>
      </c>
      <c r="C1908" s="1">
        <v>42074</v>
      </c>
      <c r="D1908" t="s">
        <v>41</v>
      </c>
      <c r="E1908">
        <v>1</v>
      </c>
      <c r="F1908">
        <v>42</v>
      </c>
      <c r="G1908">
        <v>23</v>
      </c>
      <c r="H1908">
        <v>0</v>
      </c>
      <c r="I1908" t="s">
        <v>38</v>
      </c>
      <c r="J1908">
        <v>108</v>
      </c>
      <c r="K1908" t="s">
        <v>41</v>
      </c>
      <c r="L1908">
        <v>120</v>
      </c>
      <c r="M1908">
        <f>IF(D1908=I1908,VLOOKUP(D1908,a_win_totals_lookup,MATCH(K1908,a_wins_total_lookup_header,0)+1,0),VLOOKUP(D1908,a_win_totals_lookup,MATCH(I1908,a_wins_total_lookup_header,0)+1,0))</f>
        <v>0.52231903699980808</v>
      </c>
      <c r="N1908">
        <f t="shared" ca="1" si="29"/>
        <v>0</v>
      </c>
    </row>
    <row r="1909" spans="1:14" x14ac:dyDescent="0.25">
      <c r="A1909">
        <v>400579249</v>
      </c>
      <c r="B1909">
        <v>2015</v>
      </c>
      <c r="C1909" s="1">
        <v>42074</v>
      </c>
      <c r="D1909" t="s">
        <v>38</v>
      </c>
      <c r="E1909">
        <v>0</v>
      </c>
      <c r="F1909">
        <v>35</v>
      </c>
      <c r="G1909">
        <v>29</v>
      </c>
      <c r="H1909">
        <v>1</v>
      </c>
      <c r="I1909" t="s">
        <v>38</v>
      </c>
      <c r="J1909">
        <v>108</v>
      </c>
      <c r="K1909" t="s">
        <v>41</v>
      </c>
      <c r="L1909">
        <v>120</v>
      </c>
      <c r="M1909">
        <f>IF(D1909=I1909,VLOOKUP(D1909,a_win_totals_lookup,MATCH(K1909,a_wins_total_lookup_header,0)+1,0),VLOOKUP(D1909,a_win_totals_lookup,MATCH(I1909,a_wins_total_lookup_header,0)+1,0))</f>
        <v>0.47768096300019181</v>
      </c>
      <c r="N1909">
        <f t="shared" ca="1" si="29"/>
        <v>0</v>
      </c>
    </row>
    <row r="1910" spans="1:14" x14ac:dyDescent="0.25">
      <c r="A1910">
        <v>400579250</v>
      </c>
      <c r="B1910">
        <v>2015</v>
      </c>
      <c r="C1910" s="1">
        <v>42074</v>
      </c>
      <c r="D1910" t="s">
        <v>26</v>
      </c>
      <c r="E1910">
        <v>0</v>
      </c>
      <c r="F1910">
        <v>50</v>
      </c>
      <c r="G1910">
        <v>14</v>
      </c>
      <c r="H1910">
        <v>0</v>
      </c>
      <c r="I1910" t="s">
        <v>32</v>
      </c>
      <c r="J1910">
        <v>115</v>
      </c>
      <c r="K1910" t="s">
        <v>26</v>
      </c>
      <c r="L1910">
        <v>102</v>
      </c>
      <c r="M1910">
        <f>IF(D1910=I1910,VLOOKUP(D1910,a_win_totals_lookup,MATCH(K1910,a_wins_total_lookup_header,0)+1,0),VLOOKUP(D1910,a_win_totals_lookup,MATCH(I1910,a_wins_total_lookup_header,0)+1,0))</f>
        <v>0.53928878009305825</v>
      </c>
      <c r="N1910">
        <f t="shared" ca="1" si="29"/>
        <v>1</v>
      </c>
    </row>
    <row r="1911" spans="1:14" x14ac:dyDescent="0.25">
      <c r="A1911">
        <v>400579250</v>
      </c>
      <c r="B1911">
        <v>2015</v>
      </c>
      <c r="C1911" s="1">
        <v>42074</v>
      </c>
      <c r="D1911" t="s">
        <v>32</v>
      </c>
      <c r="E1911">
        <v>1</v>
      </c>
      <c r="F1911">
        <v>24</v>
      </c>
      <c r="G1911">
        <v>41</v>
      </c>
      <c r="H1911">
        <v>1</v>
      </c>
      <c r="I1911" t="s">
        <v>32</v>
      </c>
      <c r="J1911">
        <v>115</v>
      </c>
      <c r="K1911" t="s">
        <v>26</v>
      </c>
      <c r="L1911">
        <v>102</v>
      </c>
      <c r="M1911">
        <f>IF(D1911=I1911,VLOOKUP(D1911,a_win_totals_lookup,MATCH(K1911,a_wins_total_lookup_header,0)+1,0),VLOOKUP(D1911,a_win_totals_lookup,MATCH(I1911,a_wins_total_lookup_header,0)+1,0))</f>
        <v>0.46071121990694175</v>
      </c>
      <c r="N1911">
        <f t="shared" ca="1" si="29"/>
        <v>0</v>
      </c>
    </row>
    <row r="1912" spans="1:14" x14ac:dyDescent="0.25">
      <c r="A1912">
        <v>400579251</v>
      </c>
      <c r="B1912">
        <v>2015</v>
      </c>
      <c r="C1912" s="1">
        <v>42074</v>
      </c>
      <c r="D1912" t="s">
        <v>29</v>
      </c>
      <c r="E1912">
        <v>0</v>
      </c>
      <c r="F1912">
        <v>14</v>
      </c>
      <c r="G1912">
        <v>49</v>
      </c>
      <c r="H1912">
        <v>0</v>
      </c>
      <c r="I1912" t="s">
        <v>35</v>
      </c>
      <c r="J1912">
        <v>106</v>
      </c>
      <c r="K1912" t="s">
        <v>29</v>
      </c>
      <c r="L1912">
        <v>97</v>
      </c>
      <c r="M1912">
        <f>IF(D1912=I1912,VLOOKUP(D1912,a_win_totals_lookup,MATCH(K1912,a_wins_total_lookup_header,0)+1,0),VLOOKUP(D1912,a_win_totals_lookup,MATCH(I1912,a_wins_total_lookup_header,0)+1,0))</f>
        <v>0.30291197689006377</v>
      </c>
      <c r="N1912">
        <f t="shared" ca="1" si="29"/>
        <v>1</v>
      </c>
    </row>
    <row r="1913" spans="1:14" x14ac:dyDescent="0.25">
      <c r="A1913">
        <v>400579251</v>
      </c>
      <c r="B1913">
        <v>2015</v>
      </c>
      <c r="C1913" s="1">
        <v>42074</v>
      </c>
      <c r="D1913" t="s">
        <v>35</v>
      </c>
      <c r="E1913">
        <v>1</v>
      </c>
      <c r="F1913">
        <v>34</v>
      </c>
      <c r="G1913">
        <v>32</v>
      </c>
      <c r="H1913">
        <v>1</v>
      </c>
      <c r="I1913" t="s">
        <v>35</v>
      </c>
      <c r="J1913">
        <v>106</v>
      </c>
      <c r="K1913" t="s">
        <v>29</v>
      </c>
      <c r="L1913">
        <v>97</v>
      </c>
      <c r="M1913">
        <f>IF(D1913=I1913,VLOOKUP(D1913,a_win_totals_lookup,MATCH(K1913,a_wins_total_lookup_header,0)+1,0),VLOOKUP(D1913,a_win_totals_lookup,MATCH(I1913,a_wins_total_lookup_header,0)+1,0))</f>
        <v>0.69708802310993623</v>
      </c>
      <c r="N1913">
        <f t="shared" ca="1" si="29"/>
        <v>1</v>
      </c>
    </row>
    <row r="1914" spans="1:14" x14ac:dyDescent="0.25">
      <c r="A1914">
        <v>400579252</v>
      </c>
      <c r="B1914">
        <v>2015</v>
      </c>
      <c r="C1914" s="1">
        <v>42074</v>
      </c>
      <c r="D1914" t="s">
        <v>33</v>
      </c>
      <c r="E1914">
        <v>0</v>
      </c>
      <c r="F1914">
        <v>23</v>
      </c>
      <c r="G1914">
        <v>41</v>
      </c>
      <c r="H1914">
        <v>0</v>
      </c>
      <c r="I1914" t="s">
        <v>36</v>
      </c>
      <c r="J1914">
        <v>105</v>
      </c>
      <c r="K1914" t="s">
        <v>33</v>
      </c>
      <c r="L1914">
        <v>98</v>
      </c>
      <c r="M1914">
        <f>IF(D1914=I1914,VLOOKUP(D1914,a_win_totals_lookup,MATCH(K1914,a_wins_total_lookup_header,0)+1,0),VLOOKUP(D1914,a_win_totals_lookup,MATCH(I1914,a_wins_total_lookup_header,0)+1,0))</f>
        <v>0.33658811385308857</v>
      </c>
      <c r="N1914">
        <f t="shared" ca="1" si="29"/>
        <v>0</v>
      </c>
    </row>
    <row r="1915" spans="1:14" x14ac:dyDescent="0.25">
      <c r="A1915">
        <v>400579252</v>
      </c>
      <c r="B1915">
        <v>2015</v>
      </c>
      <c r="C1915" s="1">
        <v>42074</v>
      </c>
      <c r="D1915" t="s">
        <v>36</v>
      </c>
      <c r="E1915">
        <v>1</v>
      </c>
      <c r="F1915">
        <v>51</v>
      </c>
      <c r="G1915">
        <v>12</v>
      </c>
      <c r="H1915">
        <v>1</v>
      </c>
      <c r="I1915" t="s">
        <v>36</v>
      </c>
      <c r="J1915">
        <v>105</v>
      </c>
      <c r="K1915" t="s">
        <v>33</v>
      </c>
      <c r="L1915">
        <v>98</v>
      </c>
      <c r="M1915">
        <f>IF(D1915=I1915,VLOOKUP(D1915,a_win_totals_lookup,MATCH(K1915,a_wins_total_lookup_header,0)+1,0),VLOOKUP(D1915,a_win_totals_lookup,MATCH(I1915,a_wins_total_lookup_header,0)+1,0))</f>
        <v>0.66341188614691138</v>
      </c>
      <c r="N1915">
        <f t="shared" ca="1" si="29"/>
        <v>1</v>
      </c>
    </row>
    <row r="1916" spans="1:14" x14ac:dyDescent="0.25">
      <c r="A1916">
        <v>400579253</v>
      </c>
      <c r="B1916">
        <v>2015</v>
      </c>
      <c r="C1916" s="1">
        <v>42074</v>
      </c>
      <c r="D1916" t="s">
        <v>16</v>
      </c>
      <c r="E1916">
        <v>0</v>
      </c>
      <c r="F1916">
        <v>43</v>
      </c>
      <c r="G1916">
        <v>21</v>
      </c>
      <c r="H1916">
        <v>0</v>
      </c>
      <c r="I1916" t="s">
        <v>39</v>
      </c>
      <c r="J1916">
        <v>105</v>
      </c>
      <c r="K1916" t="s">
        <v>16</v>
      </c>
      <c r="L1916">
        <v>100</v>
      </c>
      <c r="M1916">
        <f>IF(D1916=I1916,VLOOKUP(D1916,a_win_totals_lookup,MATCH(K1916,a_wins_total_lookup_header,0)+1,0),VLOOKUP(D1916,a_win_totals_lookup,MATCH(I1916,a_wins_total_lookup_header,0)+1,0))</f>
        <v>0.4905620050347928</v>
      </c>
      <c r="N1916">
        <f t="shared" ca="1" si="29"/>
        <v>1</v>
      </c>
    </row>
    <row r="1917" spans="1:14" x14ac:dyDescent="0.25">
      <c r="A1917">
        <v>400579253</v>
      </c>
      <c r="B1917">
        <v>2015</v>
      </c>
      <c r="C1917" s="1">
        <v>42074</v>
      </c>
      <c r="D1917" t="s">
        <v>39</v>
      </c>
      <c r="E1917">
        <v>1</v>
      </c>
      <c r="F1917">
        <v>42</v>
      </c>
      <c r="G1917">
        <v>20</v>
      </c>
      <c r="H1917">
        <v>1</v>
      </c>
      <c r="I1917" t="s">
        <v>39</v>
      </c>
      <c r="J1917">
        <v>105</v>
      </c>
      <c r="K1917" t="s">
        <v>16</v>
      </c>
      <c r="L1917">
        <v>100</v>
      </c>
      <c r="M1917">
        <f>IF(D1917=I1917,VLOOKUP(D1917,a_win_totals_lookup,MATCH(K1917,a_wins_total_lookup_header,0)+1,0),VLOOKUP(D1917,a_win_totals_lookup,MATCH(I1917,a_wins_total_lookup_header,0)+1,0))</f>
        <v>0.50943799496520714</v>
      </c>
      <c r="N1917">
        <f t="shared" ca="1" si="29"/>
        <v>0</v>
      </c>
    </row>
    <row r="1918" spans="1:14" x14ac:dyDescent="0.25">
      <c r="A1918">
        <v>400579254</v>
      </c>
      <c r="B1918">
        <v>2015</v>
      </c>
      <c r="C1918" s="1">
        <v>42075</v>
      </c>
      <c r="D1918" t="s">
        <v>20</v>
      </c>
      <c r="E1918">
        <v>1</v>
      </c>
      <c r="F1918">
        <v>30</v>
      </c>
      <c r="G1918">
        <v>34</v>
      </c>
      <c r="H1918">
        <v>1</v>
      </c>
      <c r="I1918" t="s">
        <v>20</v>
      </c>
      <c r="J1918">
        <v>109</v>
      </c>
      <c r="K1918" t="s">
        <v>19</v>
      </c>
      <c r="L1918">
        <v>103</v>
      </c>
      <c r="M1918">
        <f>IF(D1918=I1918,VLOOKUP(D1918,a_win_totals_lookup,MATCH(K1918,a_wins_total_lookup_header,0)+1,0),VLOOKUP(D1918,a_win_totals_lookup,MATCH(I1918,a_wins_total_lookup_header,0)+1,0))</f>
        <v>0.58783565558007556</v>
      </c>
      <c r="N1918">
        <f t="shared" ca="1" si="29"/>
        <v>1</v>
      </c>
    </row>
    <row r="1919" spans="1:14" x14ac:dyDescent="0.25">
      <c r="A1919">
        <v>400579254</v>
      </c>
      <c r="B1919">
        <v>2015</v>
      </c>
      <c r="C1919" s="1">
        <v>42075</v>
      </c>
      <c r="D1919" t="s">
        <v>19</v>
      </c>
      <c r="E1919">
        <v>0</v>
      </c>
      <c r="F1919">
        <v>34</v>
      </c>
      <c r="G1919">
        <v>31</v>
      </c>
      <c r="H1919">
        <v>0</v>
      </c>
      <c r="I1919" t="s">
        <v>20</v>
      </c>
      <c r="J1919">
        <v>109</v>
      </c>
      <c r="K1919" t="s">
        <v>19</v>
      </c>
      <c r="L1919">
        <v>103</v>
      </c>
      <c r="M1919">
        <f>IF(D1919=I1919,VLOOKUP(D1919,a_win_totals_lookup,MATCH(K1919,a_wins_total_lookup_header,0)+1,0),VLOOKUP(D1919,a_win_totals_lookup,MATCH(I1919,a_wins_total_lookup_header,0)+1,0))</f>
        <v>0.4121643444199245</v>
      </c>
      <c r="N1919">
        <f t="shared" ca="1" si="29"/>
        <v>0</v>
      </c>
    </row>
    <row r="1920" spans="1:14" x14ac:dyDescent="0.25">
      <c r="A1920">
        <v>400579255</v>
      </c>
      <c r="B1920">
        <v>2015</v>
      </c>
      <c r="C1920" s="1">
        <v>42075</v>
      </c>
      <c r="D1920" t="s">
        <v>28</v>
      </c>
      <c r="E1920">
        <v>0</v>
      </c>
      <c r="F1920">
        <v>45</v>
      </c>
      <c r="G1920">
        <v>20</v>
      </c>
      <c r="H1920">
        <v>0</v>
      </c>
      <c r="I1920" t="s">
        <v>25</v>
      </c>
      <c r="J1920">
        <v>107</v>
      </c>
      <c r="K1920" t="s">
        <v>28</v>
      </c>
      <c r="L1920">
        <v>87</v>
      </c>
      <c r="M1920">
        <f>IF(D1920=I1920,VLOOKUP(D1920,a_win_totals_lookup,MATCH(K1920,a_wins_total_lookup_header,0)+1,0),VLOOKUP(D1920,a_win_totals_lookup,MATCH(I1920,a_wins_total_lookup_header,0)+1,0))</f>
        <v>0.51829023777145189</v>
      </c>
      <c r="N1920">
        <f t="shared" ca="1" si="29"/>
        <v>1</v>
      </c>
    </row>
    <row r="1921" spans="1:14" x14ac:dyDescent="0.25">
      <c r="A1921">
        <v>400579255</v>
      </c>
      <c r="B1921">
        <v>2015</v>
      </c>
      <c r="C1921" s="1">
        <v>42075</v>
      </c>
      <c r="D1921" t="s">
        <v>25</v>
      </c>
      <c r="E1921">
        <v>1</v>
      </c>
      <c r="F1921">
        <v>37</v>
      </c>
      <c r="G1921">
        <v>28</v>
      </c>
      <c r="H1921">
        <v>1</v>
      </c>
      <c r="I1921" t="s">
        <v>25</v>
      </c>
      <c r="J1921">
        <v>107</v>
      </c>
      <c r="K1921" t="s">
        <v>28</v>
      </c>
      <c r="L1921">
        <v>87</v>
      </c>
      <c r="M1921">
        <f>IF(D1921=I1921,VLOOKUP(D1921,a_win_totals_lookup,MATCH(K1921,a_wins_total_lookup_header,0)+1,0),VLOOKUP(D1921,a_win_totals_lookup,MATCH(I1921,a_wins_total_lookup_header,0)+1,0))</f>
        <v>0.48170976222854806</v>
      </c>
      <c r="N1921">
        <f t="shared" ca="1" si="29"/>
        <v>1</v>
      </c>
    </row>
    <row r="1922" spans="1:14" x14ac:dyDescent="0.25">
      <c r="A1922">
        <v>400579256</v>
      </c>
      <c r="B1922">
        <v>2015</v>
      </c>
      <c r="C1922" s="1">
        <v>42075</v>
      </c>
      <c r="D1922" t="s">
        <v>40</v>
      </c>
      <c r="E1922">
        <v>1</v>
      </c>
      <c r="F1922">
        <v>42</v>
      </c>
      <c r="G1922">
        <v>25</v>
      </c>
      <c r="H1922">
        <v>0</v>
      </c>
      <c r="I1922" t="s">
        <v>15</v>
      </c>
      <c r="J1922">
        <v>125</v>
      </c>
      <c r="K1922" t="s">
        <v>40</v>
      </c>
      <c r="L1922">
        <v>128</v>
      </c>
      <c r="M1922">
        <f>IF(D1922=I1922,VLOOKUP(D1922,a_win_totals_lookup,MATCH(K1922,a_wins_total_lookup_header,0)+1,0),VLOOKUP(D1922,a_win_totals_lookup,MATCH(I1922,a_wins_total_lookup_header,0)+1,0))</f>
        <v>0.5103000717980084</v>
      </c>
      <c r="N1922">
        <f t="shared" ca="1" si="29"/>
        <v>0</v>
      </c>
    </row>
    <row r="1923" spans="1:14" x14ac:dyDescent="0.25">
      <c r="A1923">
        <v>400579256</v>
      </c>
      <c r="B1923">
        <v>2015</v>
      </c>
      <c r="C1923" s="1">
        <v>42075</v>
      </c>
      <c r="D1923" t="s">
        <v>15</v>
      </c>
      <c r="E1923">
        <v>0</v>
      </c>
      <c r="F1923">
        <v>40</v>
      </c>
      <c r="G1923">
        <v>24</v>
      </c>
      <c r="H1923">
        <v>1</v>
      </c>
      <c r="I1923" t="s">
        <v>15</v>
      </c>
      <c r="J1923">
        <v>125</v>
      </c>
      <c r="K1923" t="s">
        <v>40</v>
      </c>
      <c r="L1923">
        <v>128</v>
      </c>
      <c r="M1923">
        <f>IF(D1923=I1923,VLOOKUP(D1923,a_win_totals_lookup,MATCH(K1923,a_wins_total_lookup_header,0)+1,0),VLOOKUP(D1923,a_win_totals_lookup,MATCH(I1923,a_wins_total_lookup_header,0)+1,0))</f>
        <v>0.48969992820199154</v>
      </c>
      <c r="N1923">
        <f t="shared" ref="N1923:N1986" ca="1" si="30">ROUND(0.5*RANDBETWEEN(-1,1)+M1923,0)</f>
        <v>0</v>
      </c>
    </row>
    <row r="1924" spans="1:14" x14ac:dyDescent="0.25">
      <c r="A1924">
        <v>400579257</v>
      </c>
      <c r="B1924">
        <v>2015</v>
      </c>
      <c r="C1924" s="1">
        <v>42075</v>
      </c>
      <c r="D1924" t="s">
        <v>16</v>
      </c>
      <c r="E1924">
        <v>0</v>
      </c>
      <c r="F1924">
        <v>43</v>
      </c>
      <c r="G1924">
        <v>22</v>
      </c>
      <c r="H1924">
        <v>0</v>
      </c>
      <c r="I1924" t="s">
        <v>34</v>
      </c>
      <c r="J1924">
        <v>109</v>
      </c>
      <c r="K1924" t="s">
        <v>16</v>
      </c>
      <c r="L1924">
        <v>91</v>
      </c>
      <c r="M1924">
        <f>IF(D1924=I1924,VLOOKUP(D1924,a_win_totals_lookup,MATCH(K1924,a_wins_total_lookup_header,0)+1,0),VLOOKUP(D1924,a_win_totals_lookup,MATCH(I1924,a_wins_total_lookup_header,0)+1,0))</f>
        <v>0.68647860603758082</v>
      </c>
      <c r="N1924">
        <f t="shared" ca="1" si="30"/>
        <v>1</v>
      </c>
    </row>
    <row r="1925" spans="1:14" x14ac:dyDescent="0.25">
      <c r="A1925">
        <v>400579257</v>
      </c>
      <c r="B1925">
        <v>2015</v>
      </c>
      <c r="C1925" s="1">
        <v>42075</v>
      </c>
      <c r="D1925" t="s">
        <v>34</v>
      </c>
      <c r="E1925">
        <v>1</v>
      </c>
      <c r="F1925">
        <v>28</v>
      </c>
      <c r="G1925">
        <v>36</v>
      </c>
      <c r="H1925">
        <v>1</v>
      </c>
      <c r="I1925" t="s">
        <v>34</v>
      </c>
      <c r="J1925">
        <v>109</v>
      </c>
      <c r="K1925" t="s">
        <v>16</v>
      </c>
      <c r="L1925">
        <v>91</v>
      </c>
      <c r="M1925">
        <f>IF(D1925=I1925,VLOOKUP(D1925,a_win_totals_lookup,MATCH(K1925,a_wins_total_lookup_header,0)+1,0),VLOOKUP(D1925,a_win_totals_lookup,MATCH(I1925,a_wins_total_lookup_header,0)+1,0))</f>
        <v>0.31352139396241918</v>
      </c>
      <c r="N1925">
        <f t="shared" ca="1" si="30"/>
        <v>0</v>
      </c>
    </row>
    <row r="1926" spans="1:14" x14ac:dyDescent="0.25">
      <c r="A1926">
        <v>400579258</v>
      </c>
      <c r="B1926">
        <v>2015</v>
      </c>
      <c r="C1926" s="1">
        <v>42075</v>
      </c>
      <c r="D1926" t="s">
        <v>17</v>
      </c>
      <c r="E1926">
        <v>0</v>
      </c>
      <c r="F1926">
        <v>17</v>
      </c>
      <c r="G1926">
        <v>47</v>
      </c>
      <c r="H1926">
        <v>1</v>
      </c>
      <c r="I1926" t="s">
        <v>17</v>
      </c>
      <c r="J1926">
        <v>94</v>
      </c>
      <c r="K1926" t="s">
        <v>31</v>
      </c>
      <c r="L1926">
        <v>101</v>
      </c>
      <c r="M1926">
        <f>IF(D1926=I1926,VLOOKUP(D1926,a_win_totals_lookup,MATCH(K1926,a_wins_total_lookup_header,0)+1,0),VLOOKUP(D1926,a_win_totals_lookup,MATCH(I1926,a_wins_total_lookup_header,0)+1,0))</f>
        <v>0.42288736553718415</v>
      </c>
      <c r="N1926">
        <f t="shared" ca="1" si="30"/>
        <v>0</v>
      </c>
    </row>
    <row r="1927" spans="1:14" x14ac:dyDescent="0.25">
      <c r="A1927">
        <v>400579258</v>
      </c>
      <c r="B1927">
        <v>2015</v>
      </c>
      <c r="C1927" s="1">
        <v>42075</v>
      </c>
      <c r="D1927" t="s">
        <v>31</v>
      </c>
      <c r="E1927">
        <v>1</v>
      </c>
      <c r="F1927">
        <v>13</v>
      </c>
      <c r="G1927">
        <v>51</v>
      </c>
      <c r="H1927">
        <v>0</v>
      </c>
      <c r="I1927" t="s">
        <v>17</v>
      </c>
      <c r="J1927">
        <v>94</v>
      </c>
      <c r="K1927" t="s">
        <v>31</v>
      </c>
      <c r="L1927">
        <v>101</v>
      </c>
      <c r="M1927">
        <f>IF(D1927=I1927,VLOOKUP(D1927,a_win_totals_lookup,MATCH(K1927,a_wins_total_lookup_header,0)+1,0),VLOOKUP(D1927,a_win_totals_lookup,MATCH(I1927,a_wins_total_lookup_header,0)+1,0))</f>
        <v>0.57711263446281591</v>
      </c>
      <c r="N1927">
        <f t="shared" ca="1" si="30"/>
        <v>1</v>
      </c>
    </row>
    <row r="1928" spans="1:14" x14ac:dyDescent="0.25">
      <c r="A1928">
        <v>400579259</v>
      </c>
      <c r="B1928">
        <v>2015</v>
      </c>
      <c r="C1928" s="1">
        <v>42076</v>
      </c>
      <c r="D1928" t="s">
        <v>18</v>
      </c>
      <c r="E1928">
        <v>1</v>
      </c>
      <c r="F1928">
        <v>29</v>
      </c>
      <c r="G1928">
        <v>35</v>
      </c>
      <c r="H1928">
        <v>1</v>
      </c>
      <c r="I1928" t="s">
        <v>18</v>
      </c>
      <c r="J1928">
        <v>101</v>
      </c>
      <c r="K1928" t="s">
        <v>30</v>
      </c>
      <c r="L1928">
        <v>91</v>
      </c>
      <c r="M1928">
        <f>IF(D1928=I1928,VLOOKUP(D1928,a_win_totals_lookup,MATCH(K1928,a_wins_total_lookup_header,0)+1,0),VLOOKUP(D1928,a_win_totals_lookup,MATCH(I1928,a_wins_total_lookup_header,0)+1,0))</f>
        <v>0.41969870974133011</v>
      </c>
      <c r="N1928">
        <f t="shared" ca="1" si="30"/>
        <v>1</v>
      </c>
    </row>
    <row r="1929" spans="1:14" x14ac:dyDescent="0.25">
      <c r="A1929">
        <v>400579259</v>
      </c>
      <c r="B1929">
        <v>2015</v>
      </c>
      <c r="C1929" s="1">
        <v>42076</v>
      </c>
      <c r="D1929" t="s">
        <v>30</v>
      </c>
      <c r="E1929">
        <v>0</v>
      </c>
      <c r="F1929">
        <v>40</v>
      </c>
      <c r="G1929">
        <v>27</v>
      </c>
      <c r="H1929">
        <v>0</v>
      </c>
      <c r="I1929" t="s">
        <v>18</v>
      </c>
      <c r="J1929">
        <v>101</v>
      </c>
      <c r="K1929" t="s">
        <v>30</v>
      </c>
      <c r="L1929">
        <v>91</v>
      </c>
      <c r="M1929">
        <f>IF(D1929=I1929,VLOOKUP(D1929,a_win_totals_lookup,MATCH(K1929,a_wins_total_lookup_header,0)+1,0),VLOOKUP(D1929,a_win_totals_lookup,MATCH(I1929,a_wins_total_lookup_header,0)+1,0))</f>
        <v>0.58030129025866994</v>
      </c>
      <c r="N1929">
        <f t="shared" ca="1" si="30"/>
        <v>1</v>
      </c>
    </row>
    <row r="1930" spans="1:14" x14ac:dyDescent="0.25">
      <c r="A1930">
        <v>400579260</v>
      </c>
      <c r="B1930">
        <v>2015</v>
      </c>
      <c r="C1930" s="1">
        <v>42076</v>
      </c>
      <c r="D1930" t="s">
        <v>21</v>
      </c>
      <c r="E1930">
        <v>1</v>
      </c>
      <c r="F1930">
        <v>15</v>
      </c>
      <c r="G1930">
        <v>50</v>
      </c>
      <c r="H1930">
        <v>1</v>
      </c>
      <c r="I1930" t="s">
        <v>21</v>
      </c>
      <c r="J1930">
        <v>114</v>
      </c>
      <c r="K1930" t="s">
        <v>37</v>
      </c>
      <c r="L1930">
        <v>107</v>
      </c>
      <c r="M1930">
        <f>IF(D1930=I1930,VLOOKUP(D1930,a_win_totals_lookup,MATCH(K1930,a_wins_total_lookup_header,0)+1,0),VLOOKUP(D1930,a_win_totals_lookup,MATCH(I1930,a_wins_total_lookup_header,0)+1,0))</f>
        <v>0.37195195898474726</v>
      </c>
      <c r="N1930">
        <f t="shared" ca="1" si="30"/>
        <v>1</v>
      </c>
    </row>
    <row r="1931" spans="1:14" x14ac:dyDescent="0.25">
      <c r="A1931">
        <v>400579260</v>
      </c>
      <c r="B1931">
        <v>2015</v>
      </c>
      <c r="C1931" s="1">
        <v>42076</v>
      </c>
      <c r="D1931" t="s">
        <v>37</v>
      </c>
      <c r="E1931">
        <v>0</v>
      </c>
      <c r="F1931">
        <v>22</v>
      </c>
      <c r="G1931">
        <v>42</v>
      </c>
      <c r="H1931">
        <v>0</v>
      </c>
      <c r="I1931" t="s">
        <v>21</v>
      </c>
      <c r="J1931">
        <v>114</v>
      </c>
      <c r="K1931" t="s">
        <v>37</v>
      </c>
      <c r="L1931">
        <v>107</v>
      </c>
      <c r="M1931">
        <f>IF(D1931=I1931,VLOOKUP(D1931,a_win_totals_lookup,MATCH(K1931,a_wins_total_lookup_header,0)+1,0),VLOOKUP(D1931,a_win_totals_lookup,MATCH(I1931,a_wins_total_lookup_header,0)+1,0))</f>
        <v>0.62804804101525269</v>
      </c>
      <c r="N1931">
        <f t="shared" ca="1" si="30"/>
        <v>0</v>
      </c>
    </row>
    <row r="1932" spans="1:14" x14ac:dyDescent="0.25">
      <c r="A1932">
        <v>400579261</v>
      </c>
      <c r="B1932">
        <v>2015</v>
      </c>
      <c r="C1932" s="1">
        <v>42076</v>
      </c>
      <c r="D1932" t="s">
        <v>22</v>
      </c>
      <c r="E1932">
        <v>1</v>
      </c>
      <c r="F1932">
        <v>28</v>
      </c>
      <c r="G1932">
        <v>36</v>
      </c>
      <c r="H1932">
        <v>1</v>
      </c>
      <c r="I1932" t="s">
        <v>22</v>
      </c>
      <c r="J1932">
        <v>95</v>
      </c>
      <c r="K1932" t="s">
        <v>13</v>
      </c>
      <c r="L1932">
        <v>88</v>
      </c>
      <c r="M1932">
        <f>IF(D1932=I1932,VLOOKUP(D1932,a_win_totals_lookup,MATCH(K1932,a_wins_total_lookup_header,0)+1,0),VLOOKUP(D1932,a_win_totals_lookup,MATCH(I1932,a_wins_total_lookup_header,0)+1,0))</f>
        <v>0.44399285510679726</v>
      </c>
      <c r="N1932">
        <f t="shared" ca="1" si="30"/>
        <v>0</v>
      </c>
    </row>
    <row r="1933" spans="1:14" x14ac:dyDescent="0.25">
      <c r="A1933">
        <v>400579261</v>
      </c>
      <c r="B1933">
        <v>2015</v>
      </c>
      <c r="C1933" s="1">
        <v>42076</v>
      </c>
      <c r="D1933" t="s">
        <v>13</v>
      </c>
      <c r="E1933">
        <v>0</v>
      </c>
      <c r="F1933">
        <v>21</v>
      </c>
      <c r="G1933">
        <v>46</v>
      </c>
      <c r="H1933">
        <v>0</v>
      </c>
      <c r="I1933" t="s">
        <v>22</v>
      </c>
      <c r="J1933">
        <v>95</v>
      </c>
      <c r="K1933" t="s">
        <v>13</v>
      </c>
      <c r="L1933">
        <v>88</v>
      </c>
      <c r="M1933">
        <f>IF(D1933=I1933,VLOOKUP(D1933,a_win_totals_lookup,MATCH(K1933,a_wins_total_lookup_header,0)+1,0),VLOOKUP(D1933,a_win_totals_lookup,MATCH(I1933,a_wins_total_lookup_header,0)+1,0))</f>
        <v>0.5560071448932028</v>
      </c>
      <c r="N1933">
        <f t="shared" ca="1" si="30"/>
        <v>0</v>
      </c>
    </row>
    <row r="1934" spans="1:14" x14ac:dyDescent="0.25">
      <c r="A1934">
        <v>400579262</v>
      </c>
      <c r="B1934">
        <v>2015</v>
      </c>
      <c r="C1934" s="1">
        <v>42076</v>
      </c>
      <c r="D1934" t="s">
        <v>24</v>
      </c>
      <c r="E1934">
        <v>0</v>
      </c>
      <c r="F1934">
        <v>29</v>
      </c>
      <c r="G1934">
        <v>36</v>
      </c>
      <c r="H1934">
        <v>0</v>
      </c>
      <c r="I1934" t="s">
        <v>27</v>
      </c>
      <c r="J1934">
        <v>102</v>
      </c>
      <c r="K1934" t="s">
        <v>24</v>
      </c>
      <c r="L1934">
        <v>92</v>
      </c>
      <c r="M1934">
        <f>IF(D1934=I1934,VLOOKUP(D1934,a_win_totals_lookup,MATCH(K1934,a_wins_total_lookup_header,0)+1,0),VLOOKUP(D1934,a_win_totals_lookup,MATCH(I1934,a_wins_total_lookup_header,0)+1,0))</f>
        <v>0.43411240142926621</v>
      </c>
      <c r="N1934">
        <f t="shared" ca="1" si="30"/>
        <v>1</v>
      </c>
    </row>
    <row r="1935" spans="1:14" x14ac:dyDescent="0.25">
      <c r="A1935">
        <v>400579262</v>
      </c>
      <c r="B1935">
        <v>2015</v>
      </c>
      <c r="C1935" s="1">
        <v>42076</v>
      </c>
      <c r="D1935" t="s">
        <v>27</v>
      </c>
      <c r="E1935">
        <v>1</v>
      </c>
      <c r="F1935">
        <v>39</v>
      </c>
      <c r="G1935">
        <v>26</v>
      </c>
      <c r="H1935">
        <v>1</v>
      </c>
      <c r="I1935" t="s">
        <v>27</v>
      </c>
      <c r="J1935">
        <v>102</v>
      </c>
      <c r="K1935" t="s">
        <v>24</v>
      </c>
      <c r="L1935">
        <v>92</v>
      </c>
      <c r="M1935">
        <f>IF(D1935=I1935,VLOOKUP(D1935,a_win_totals_lookup,MATCH(K1935,a_wins_total_lookup_header,0)+1,0),VLOOKUP(D1935,a_win_totals_lookup,MATCH(I1935,a_wins_total_lookup_header,0)+1,0))</f>
        <v>0.56588759857073379</v>
      </c>
      <c r="N1935">
        <f t="shared" ca="1" si="30"/>
        <v>1</v>
      </c>
    </row>
    <row r="1936" spans="1:14" x14ac:dyDescent="0.25">
      <c r="A1936">
        <v>400579263</v>
      </c>
      <c r="B1936">
        <v>2015</v>
      </c>
      <c r="C1936" s="1">
        <v>42076</v>
      </c>
      <c r="D1936" t="s">
        <v>29</v>
      </c>
      <c r="E1936">
        <v>0</v>
      </c>
      <c r="F1936">
        <v>14</v>
      </c>
      <c r="G1936">
        <v>50</v>
      </c>
      <c r="H1936">
        <v>0</v>
      </c>
      <c r="I1936" t="s">
        <v>38</v>
      </c>
      <c r="J1936">
        <v>113</v>
      </c>
      <c r="K1936" t="s">
        <v>29</v>
      </c>
      <c r="L1936">
        <v>99</v>
      </c>
      <c r="M1936">
        <f>IF(D1936=I1936,VLOOKUP(D1936,a_win_totals_lookup,MATCH(K1936,a_wins_total_lookup_header,0)+1,0),VLOOKUP(D1936,a_win_totals_lookup,MATCH(I1936,a_wins_total_lookup_header,0)+1,0))</f>
        <v>0.23114261401714065</v>
      </c>
      <c r="N1936">
        <f t="shared" ca="1" si="30"/>
        <v>0</v>
      </c>
    </row>
    <row r="1937" spans="1:14" x14ac:dyDescent="0.25">
      <c r="A1937">
        <v>400579263</v>
      </c>
      <c r="B1937">
        <v>2015</v>
      </c>
      <c r="C1937" s="1">
        <v>42076</v>
      </c>
      <c r="D1937" t="s">
        <v>38</v>
      </c>
      <c r="E1937">
        <v>1</v>
      </c>
      <c r="F1937">
        <v>36</v>
      </c>
      <c r="G1937">
        <v>29</v>
      </c>
      <c r="H1937">
        <v>1</v>
      </c>
      <c r="I1937" t="s">
        <v>38</v>
      </c>
      <c r="J1937">
        <v>113</v>
      </c>
      <c r="K1937" t="s">
        <v>29</v>
      </c>
      <c r="L1937">
        <v>99</v>
      </c>
      <c r="M1937">
        <f>IF(D1937=I1937,VLOOKUP(D1937,a_win_totals_lookup,MATCH(K1937,a_wins_total_lookup_header,0)+1,0),VLOOKUP(D1937,a_win_totals_lookup,MATCH(I1937,a_wins_total_lookup_header,0)+1,0))</f>
        <v>0.76885738598285935</v>
      </c>
      <c r="N1937">
        <f t="shared" ca="1" si="30"/>
        <v>1</v>
      </c>
    </row>
    <row r="1938" spans="1:14" x14ac:dyDescent="0.25">
      <c r="A1938">
        <v>400579264</v>
      </c>
      <c r="B1938">
        <v>2015</v>
      </c>
      <c r="C1938" s="1">
        <v>42076</v>
      </c>
      <c r="D1938" t="s">
        <v>14</v>
      </c>
      <c r="E1938">
        <v>1</v>
      </c>
      <c r="F1938">
        <v>42</v>
      </c>
      <c r="G1938">
        <v>25</v>
      </c>
      <c r="H1938">
        <v>1</v>
      </c>
      <c r="I1938" t="s">
        <v>14</v>
      </c>
      <c r="J1938">
        <v>129</v>
      </c>
      <c r="K1938" t="s">
        <v>41</v>
      </c>
      <c r="L1938">
        <v>99</v>
      </c>
      <c r="M1938">
        <f>IF(D1938=I1938,VLOOKUP(D1938,a_win_totals_lookup,MATCH(K1938,a_wins_total_lookup_header,0)+1,0),VLOOKUP(D1938,a_win_totals_lookup,MATCH(I1938,a_wins_total_lookup_header,0)+1,0))</f>
        <v>0.46377804008771911</v>
      </c>
      <c r="N1938">
        <f t="shared" ca="1" si="30"/>
        <v>0</v>
      </c>
    </row>
    <row r="1939" spans="1:14" x14ac:dyDescent="0.25">
      <c r="A1939">
        <v>400579264</v>
      </c>
      <c r="B1939">
        <v>2015</v>
      </c>
      <c r="C1939" s="1">
        <v>42076</v>
      </c>
      <c r="D1939" t="s">
        <v>41</v>
      </c>
      <c r="E1939">
        <v>0</v>
      </c>
      <c r="F1939">
        <v>42</v>
      </c>
      <c r="G1939">
        <v>24</v>
      </c>
      <c r="H1939">
        <v>0</v>
      </c>
      <c r="I1939" t="s">
        <v>14</v>
      </c>
      <c r="J1939">
        <v>129</v>
      </c>
      <c r="K1939" t="s">
        <v>41</v>
      </c>
      <c r="L1939">
        <v>99</v>
      </c>
      <c r="M1939">
        <f>IF(D1939=I1939,VLOOKUP(D1939,a_win_totals_lookup,MATCH(K1939,a_wins_total_lookup_header,0)+1,0),VLOOKUP(D1939,a_win_totals_lookup,MATCH(I1939,a_wins_total_lookup_header,0)+1,0))</f>
        <v>0.53622195991228083</v>
      </c>
      <c r="N1939">
        <f t="shared" ca="1" si="30"/>
        <v>0</v>
      </c>
    </row>
    <row r="1940" spans="1:14" x14ac:dyDescent="0.25">
      <c r="A1940">
        <v>400579265</v>
      </c>
      <c r="B1940">
        <v>2015</v>
      </c>
      <c r="C1940" s="1">
        <v>42076</v>
      </c>
      <c r="D1940" t="s">
        <v>32</v>
      </c>
      <c r="E1940">
        <v>1</v>
      </c>
      <c r="F1940">
        <v>25</v>
      </c>
      <c r="G1940">
        <v>41</v>
      </c>
      <c r="H1940">
        <v>1</v>
      </c>
      <c r="I1940" t="s">
        <v>32</v>
      </c>
      <c r="J1940">
        <v>114</v>
      </c>
      <c r="K1940" t="s">
        <v>36</v>
      </c>
      <c r="L1940">
        <v>103</v>
      </c>
      <c r="M1940">
        <f>IF(D1940=I1940,VLOOKUP(D1940,a_win_totals_lookup,MATCH(K1940,a_wins_total_lookup_header,0)+1,0),VLOOKUP(D1940,a_win_totals_lookup,MATCH(I1940,a_wins_total_lookup_header,0)+1,0))</f>
        <v>0.37777969425937236</v>
      </c>
      <c r="N1940">
        <f t="shared" ca="1" si="30"/>
        <v>0</v>
      </c>
    </row>
    <row r="1941" spans="1:14" x14ac:dyDescent="0.25">
      <c r="A1941">
        <v>400579265</v>
      </c>
      <c r="B1941">
        <v>2015</v>
      </c>
      <c r="C1941" s="1">
        <v>42076</v>
      </c>
      <c r="D1941" t="s">
        <v>36</v>
      </c>
      <c r="E1941">
        <v>0</v>
      </c>
      <c r="F1941">
        <v>51</v>
      </c>
      <c r="G1941">
        <v>13</v>
      </c>
      <c r="H1941">
        <v>0</v>
      </c>
      <c r="I1941" t="s">
        <v>32</v>
      </c>
      <c r="J1941">
        <v>114</v>
      </c>
      <c r="K1941" t="s">
        <v>36</v>
      </c>
      <c r="L1941">
        <v>103</v>
      </c>
      <c r="M1941">
        <f>IF(D1941=I1941,VLOOKUP(D1941,a_win_totals_lookup,MATCH(K1941,a_wins_total_lookup_header,0)+1,0),VLOOKUP(D1941,a_win_totals_lookup,MATCH(I1941,a_wins_total_lookup_header,0)+1,0))</f>
        <v>0.62222030574062748</v>
      </c>
      <c r="N1941">
        <f t="shared" ca="1" si="30"/>
        <v>0</v>
      </c>
    </row>
    <row r="1942" spans="1:14" x14ac:dyDescent="0.25">
      <c r="A1942">
        <v>400579266</v>
      </c>
      <c r="B1942">
        <v>2015</v>
      </c>
      <c r="C1942" s="1">
        <v>42076</v>
      </c>
      <c r="D1942" t="s">
        <v>26</v>
      </c>
      <c r="E1942">
        <v>1</v>
      </c>
      <c r="F1942">
        <v>51</v>
      </c>
      <c r="G1942">
        <v>14</v>
      </c>
      <c r="H1942">
        <v>0</v>
      </c>
      <c r="I1942" t="s">
        <v>35</v>
      </c>
      <c r="J1942">
        <v>87</v>
      </c>
      <c r="K1942" t="s">
        <v>26</v>
      </c>
      <c r="L1942">
        <v>96</v>
      </c>
      <c r="M1942">
        <f>IF(D1942=I1942,VLOOKUP(D1942,a_win_totals_lookup,MATCH(K1942,a_wins_total_lookup_header,0)+1,0),VLOOKUP(D1942,a_win_totals_lookup,MATCH(I1942,a_wins_total_lookup_header,0)+1,0))</f>
        <v>0.5</v>
      </c>
      <c r="N1942">
        <f t="shared" ca="1" si="30"/>
        <v>0</v>
      </c>
    </row>
    <row r="1943" spans="1:14" x14ac:dyDescent="0.25">
      <c r="A1943">
        <v>400579266</v>
      </c>
      <c r="B1943">
        <v>2015</v>
      </c>
      <c r="C1943" s="1">
        <v>42076</v>
      </c>
      <c r="D1943" t="s">
        <v>35</v>
      </c>
      <c r="E1943">
        <v>0</v>
      </c>
      <c r="F1943">
        <v>34</v>
      </c>
      <c r="G1943">
        <v>33</v>
      </c>
      <c r="H1943">
        <v>1</v>
      </c>
      <c r="I1943" t="s">
        <v>35</v>
      </c>
      <c r="J1943">
        <v>87</v>
      </c>
      <c r="K1943" t="s">
        <v>26</v>
      </c>
      <c r="L1943">
        <v>96</v>
      </c>
      <c r="M1943">
        <f>IF(D1943=I1943,VLOOKUP(D1943,a_win_totals_lookup,MATCH(K1943,a_wins_total_lookup_header,0)+1,0),VLOOKUP(D1943,a_win_totals_lookup,MATCH(I1943,a_wins_total_lookup_header,0)+1,0))</f>
        <v>0.5</v>
      </c>
      <c r="N1943">
        <f t="shared" ca="1" si="30"/>
        <v>1</v>
      </c>
    </row>
    <row r="1944" spans="1:14" x14ac:dyDescent="0.25">
      <c r="A1944">
        <v>400579267</v>
      </c>
      <c r="B1944">
        <v>2015</v>
      </c>
      <c r="C1944" s="1">
        <v>42076</v>
      </c>
      <c r="D1944" t="s">
        <v>33</v>
      </c>
      <c r="E1944">
        <v>0</v>
      </c>
      <c r="F1944">
        <v>23</v>
      </c>
      <c r="G1944">
        <v>42</v>
      </c>
      <c r="H1944">
        <v>0</v>
      </c>
      <c r="I1944" t="s">
        <v>39</v>
      </c>
      <c r="J1944">
        <v>118</v>
      </c>
      <c r="K1944" t="s">
        <v>33</v>
      </c>
      <c r="L1944">
        <v>99</v>
      </c>
      <c r="M1944">
        <f>IF(D1944=I1944,VLOOKUP(D1944,a_win_totals_lookup,MATCH(K1944,a_wins_total_lookup_header,0)+1,0),VLOOKUP(D1944,a_win_totals_lookup,MATCH(I1944,a_wins_total_lookup_header,0)+1,0))</f>
        <v>0.36586440898919931</v>
      </c>
      <c r="N1944">
        <f t="shared" ca="1" si="30"/>
        <v>1</v>
      </c>
    </row>
    <row r="1945" spans="1:14" x14ac:dyDescent="0.25">
      <c r="A1945">
        <v>400579267</v>
      </c>
      <c r="B1945">
        <v>2015</v>
      </c>
      <c r="C1945" s="1">
        <v>42076</v>
      </c>
      <c r="D1945" t="s">
        <v>39</v>
      </c>
      <c r="E1945">
        <v>1</v>
      </c>
      <c r="F1945">
        <v>43</v>
      </c>
      <c r="G1945">
        <v>20</v>
      </c>
      <c r="H1945">
        <v>1</v>
      </c>
      <c r="I1945" t="s">
        <v>39</v>
      </c>
      <c r="J1945">
        <v>118</v>
      </c>
      <c r="K1945" t="s">
        <v>33</v>
      </c>
      <c r="L1945">
        <v>99</v>
      </c>
      <c r="M1945">
        <f>IF(D1945=I1945,VLOOKUP(D1945,a_win_totals_lookup,MATCH(K1945,a_wins_total_lookup_header,0)+1,0),VLOOKUP(D1945,a_win_totals_lookup,MATCH(I1945,a_wins_total_lookup_header,0)+1,0))</f>
        <v>0.63413559101080075</v>
      </c>
      <c r="N1945">
        <f t="shared" ca="1" si="30"/>
        <v>0</v>
      </c>
    </row>
    <row r="1946" spans="1:14" x14ac:dyDescent="0.25">
      <c r="A1946">
        <v>400579268</v>
      </c>
      <c r="B1946">
        <v>2015</v>
      </c>
      <c r="C1946" s="1">
        <v>42077</v>
      </c>
      <c r="D1946" t="s">
        <v>22</v>
      </c>
      <c r="E1946">
        <v>1</v>
      </c>
      <c r="F1946">
        <v>29</v>
      </c>
      <c r="G1946">
        <v>36</v>
      </c>
      <c r="H1946">
        <v>0</v>
      </c>
      <c r="I1946" t="s">
        <v>20</v>
      </c>
      <c r="J1946">
        <v>89</v>
      </c>
      <c r="K1946" t="s">
        <v>22</v>
      </c>
      <c r="L1946">
        <v>93</v>
      </c>
      <c r="M1946">
        <f>IF(D1946=I1946,VLOOKUP(D1946,a_win_totals_lookup,MATCH(K1946,a_wins_total_lookup_header,0)+1,0),VLOOKUP(D1946,a_win_totals_lookup,MATCH(I1946,a_wins_total_lookup_header,0)+1,0))</f>
        <v>0.39367898728550332</v>
      </c>
      <c r="N1946">
        <f t="shared" ca="1" si="30"/>
        <v>0</v>
      </c>
    </row>
    <row r="1947" spans="1:14" x14ac:dyDescent="0.25">
      <c r="A1947">
        <v>400579268</v>
      </c>
      <c r="B1947">
        <v>2015</v>
      </c>
      <c r="C1947" s="1">
        <v>42077</v>
      </c>
      <c r="D1947" t="s">
        <v>20</v>
      </c>
      <c r="E1947">
        <v>0</v>
      </c>
      <c r="F1947">
        <v>30</v>
      </c>
      <c r="G1947">
        <v>35</v>
      </c>
      <c r="H1947">
        <v>1</v>
      </c>
      <c r="I1947" t="s">
        <v>20</v>
      </c>
      <c r="J1947">
        <v>89</v>
      </c>
      <c r="K1947" t="s">
        <v>22</v>
      </c>
      <c r="L1947">
        <v>93</v>
      </c>
      <c r="M1947">
        <f>IF(D1947=I1947,VLOOKUP(D1947,a_win_totals_lookup,MATCH(K1947,a_wins_total_lookup_header,0)+1,0),VLOOKUP(D1947,a_win_totals_lookup,MATCH(I1947,a_wins_total_lookup_header,0)+1,0))</f>
        <v>0.60632101271449668</v>
      </c>
      <c r="N1947">
        <f t="shared" ca="1" si="30"/>
        <v>1</v>
      </c>
    </row>
    <row r="1948" spans="1:14" x14ac:dyDescent="0.25">
      <c r="A1948">
        <v>400579269</v>
      </c>
      <c r="B1948">
        <v>2015</v>
      </c>
      <c r="C1948" s="1">
        <v>42077</v>
      </c>
      <c r="D1948" t="s">
        <v>37</v>
      </c>
      <c r="E1948">
        <v>0</v>
      </c>
      <c r="F1948">
        <v>22</v>
      </c>
      <c r="G1948">
        <v>43</v>
      </c>
      <c r="H1948">
        <v>0</v>
      </c>
      <c r="I1948" t="s">
        <v>25</v>
      </c>
      <c r="J1948">
        <v>113</v>
      </c>
      <c r="K1948" t="s">
        <v>37</v>
      </c>
      <c r="L1948">
        <v>97</v>
      </c>
      <c r="M1948">
        <f>IF(D1948=I1948,VLOOKUP(D1948,a_win_totals_lookup,MATCH(K1948,a_wins_total_lookup_header,0)+1,0),VLOOKUP(D1948,a_win_totals_lookup,MATCH(I1948,a_wins_total_lookup_header,0)+1,0))</f>
        <v>0.34442822733494199</v>
      </c>
      <c r="N1948">
        <f t="shared" ca="1" si="30"/>
        <v>0</v>
      </c>
    </row>
    <row r="1949" spans="1:14" x14ac:dyDescent="0.25">
      <c r="A1949">
        <v>400579269</v>
      </c>
      <c r="B1949">
        <v>2015</v>
      </c>
      <c r="C1949" s="1">
        <v>42077</v>
      </c>
      <c r="D1949" t="s">
        <v>25</v>
      </c>
      <c r="E1949">
        <v>1</v>
      </c>
      <c r="F1949">
        <v>38</v>
      </c>
      <c r="G1949">
        <v>28</v>
      </c>
      <c r="H1949">
        <v>1</v>
      </c>
      <c r="I1949" t="s">
        <v>25</v>
      </c>
      <c r="J1949">
        <v>113</v>
      </c>
      <c r="K1949" t="s">
        <v>37</v>
      </c>
      <c r="L1949">
        <v>97</v>
      </c>
      <c r="M1949">
        <f>IF(D1949=I1949,VLOOKUP(D1949,a_win_totals_lookup,MATCH(K1949,a_wins_total_lookup_header,0)+1,0),VLOOKUP(D1949,a_win_totals_lookup,MATCH(I1949,a_wins_total_lookup_header,0)+1,0))</f>
        <v>0.65557177266505795</v>
      </c>
      <c r="N1949">
        <f t="shared" ca="1" si="30"/>
        <v>1</v>
      </c>
    </row>
    <row r="1950" spans="1:14" x14ac:dyDescent="0.25">
      <c r="A1950">
        <v>400579270</v>
      </c>
      <c r="B1950">
        <v>2015</v>
      </c>
      <c r="C1950" s="1">
        <v>42077</v>
      </c>
      <c r="D1950" t="s">
        <v>23</v>
      </c>
      <c r="E1950">
        <v>1</v>
      </c>
      <c r="F1950">
        <v>26</v>
      </c>
      <c r="G1950">
        <v>38</v>
      </c>
      <c r="H1950">
        <v>0</v>
      </c>
      <c r="I1950" t="s">
        <v>21</v>
      </c>
      <c r="J1950">
        <v>87</v>
      </c>
      <c r="K1950" t="s">
        <v>23</v>
      </c>
      <c r="L1950">
        <v>94</v>
      </c>
      <c r="M1950">
        <f>IF(D1950=I1950,VLOOKUP(D1950,a_win_totals_lookup,MATCH(K1950,a_wins_total_lookup_header,0)+1,0),VLOOKUP(D1950,a_win_totals_lookup,MATCH(I1950,a_wins_total_lookup_header,0)+1,0))</f>
        <v>0.69736543414984997</v>
      </c>
      <c r="N1950">
        <f t="shared" ca="1" si="30"/>
        <v>1</v>
      </c>
    </row>
    <row r="1951" spans="1:14" x14ac:dyDescent="0.25">
      <c r="A1951">
        <v>400579270</v>
      </c>
      <c r="B1951">
        <v>2015</v>
      </c>
      <c r="C1951" s="1">
        <v>42077</v>
      </c>
      <c r="D1951" t="s">
        <v>21</v>
      </c>
      <c r="E1951">
        <v>0</v>
      </c>
      <c r="F1951">
        <v>15</v>
      </c>
      <c r="G1951">
        <v>51</v>
      </c>
      <c r="H1951">
        <v>1</v>
      </c>
      <c r="I1951" t="s">
        <v>21</v>
      </c>
      <c r="J1951">
        <v>87</v>
      </c>
      <c r="K1951" t="s">
        <v>23</v>
      </c>
      <c r="L1951">
        <v>94</v>
      </c>
      <c r="M1951">
        <f>IF(D1951=I1951,VLOOKUP(D1951,a_win_totals_lookup,MATCH(K1951,a_wins_total_lookup_header,0)+1,0),VLOOKUP(D1951,a_win_totals_lookup,MATCH(I1951,a_wins_total_lookup_header,0)+1,0))</f>
        <v>0.30263456585015008</v>
      </c>
      <c r="N1951">
        <f t="shared" ca="1" si="30"/>
        <v>0</v>
      </c>
    </row>
    <row r="1952" spans="1:14" x14ac:dyDescent="0.25">
      <c r="A1952">
        <v>400579271</v>
      </c>
      <c r="B1952">
        <v>2015</v>
      </c>
      <c r="C1952" s="1">
        <v>42077</v>
      </c>
      <c r="D1952" t="s">
        <v>28</v>
      </c>
      <c r="E1952">
        <v>1</v>
      </c>
      <c r="F1952">
        <v>46</v>
      </c>
      <c r="G1952">
        <v>20</v>
      </c>
      <c r="H1952">
        <v>1</v>
      </c>
      <c r="I1952" t="s">
        <v>28</v>
      </c>
      <c r="J1952">
        <v>96</v>
      </c>
      <c r="K1952" t="s">
        <v>19</v>
      </c>
      <c r="L1952">
        <v>83</v>
      </c>
      <c r="M1952">
        <f>IF(D1952=I1952,VLOOKUP(D1952,a_win_totals_lookup,MATCH(K1952,a_wins_total_lookup_header,0)+1,0),VLOOKUP(D1952,a_win_totals_lookup,MATCH(I1952,a_wins_total_lookup_header,0)+1,0))</f>
        <v>0.73204545428846324</v>
      </c>
      <c r="N1952">
        <f t="shared" ca="1" si="30"/>
        <v>1</v>
      </c>
    </row>
    <row r="1953" spans="1:14" x14ac:dyDescent="0.25">
      <c r="A1953">
        <v>400579271</v>
      </c>
      <c r="B1953">
        <v>2015</v>
      </c>
      <c r="C1953" s="1">
        <v>42077</v>
      </c>
      <c r="D1953" t="s">
        <v>19</v>
      </c>
      <c r="E1953">
        <v>0</v>
      </c>
      <c r="F1953">
        <v>34</v>
      </c>
      <c r="G1953">
        <v>32</v>
      </c>
      <c r="H1953">
        <v>0</v>
      </c>
      <c r="I1953" t="s">
        <v>28</v>
      </c>
      <c r="J1953">
        <v>96</v>
      </c>
      <c r="K1953" t="s">
        <v>19</v>
      </c>
      <c r="L1953">
        <v>83</v>
      </c>
      <c r="M1953">
        <f>IF(D1953=I1953,VLOOKUP(D1953,a_win_totals_lookup,MATCH(K1953,a_wins_total_lookup_header,0)+1,0),VLOOKUP(D1953,a_win_totals_lookup,MATCH(I1953,a_wins_total_lookup_header,0)+1,0))</f>
        <v>0.26795454571153682</v>
      </c>
      <c r="N1953">
        <f t="shared" ca="1" si="30"/>
        <v>0</v>
      </c>
    </row>
    <row r="1954" spans="1:14" x14ac:dyDescent="0.25">
      <c r="A1954">
        <v>400579272</v>
      </c>
      <c r="B1954">
        <v>2015</v>
      </c>
      <c r="C1954" s="1">
        <v>42077</v>
      </c>
      <c r="D1954" t="s">
        <v>33</v>
      </c>
      <c r="E1954">
        <v>0</v>
      </c>
      <c r="F1954">
        <v>23</v>
      </c>
      <c r="G1954">
        <v>43</v>
      </c>
      <c r="H1954">
        <v>0</v>
      </c>
      <c r="I1954" t="s">
        <v>34</v>
      </c>
      <c r="J1954">
        <v>88</v>
      </c>
      <c r="K1954" t="s">
        <v>33</v>
      </c>
      <c r="L1954">
        <v>85</v>
      </c>
      <c r="M1954">
        <f>IF(D1954=I1954,VLOOKUP(D1954,a_win_totals_lookup,MATCH(K1954,a_wins_total_lookup_header,0)+1,0),VLOOKUP(D1954,a_win_totals_lookup,MATCH(I1954,a_wins_total_lookup_header,0)+1,0))</f>
        <v>0.56745226115407632</v>
      </c>
      <c r="N1954">
        <f t="shared" ca="1" si="30"/>
        <v>0</v>
      </c>
    </row>
    <row r="1955" spans="1:14" x14ac:dyDescent="0.25">
      <c r="A1955">
        <v>400579272</v>
      </c>
      <c r="B1955">
        <v>2015</v>
      </c>
      <c r="C1955" s="1">
        <v>42077</v>
      </c>
      <c r="D1955" t="s">
        <v>34</v>
      </c>
      <c r="E1955">
        <v>1</v>
      </c>
      <c r="F1955">
        <v>29</v>
      </c>
      <c r="G1955">
        <v>36</v>
      </c>
      <c r="H1955">
        <v>1</v>
      </c>
      <c r="I1955" t="s">
        <v>34</v>
      </c>
      <c r="J1955">
        <v>88</v>
      </c>
      <c r="K1955" t="s">
        <v>33</v>
      </c>
      <c r="L1955">
        <v>85</v>
      </c>
      <c r="M1955">
        <f>IF(D1955=I1955,VLOOKUP(D1955,a_win_totals_lookup,MATCH(K1955,a_wins_total_lookup_header,0)+1,0),VLOOKUP(D1955,a_win_totals_lookup,MATCH(I1955,a_wins_total_lookup_header,0)+1,0))</f>
        <v>0.43254773884592373</v>
      </c>
      <c r="N1955">
        <f t="shared" ca="1" si="30"/>
        <v>1</v>
      </c>
    </row>
    <row r="1956" spans="1:14" x14ac:dyDescent="0.25">
      <c r="A1956">
        <v>400579273</v>
      </c>
      <c r="B1956">
        <v>2015</v>
      </c>
      <c r="C1956" s="1">
        <v>42077</v>
      </c>
      <c r="D1956" t="s">
        <v>36</v>
      </c>
      <c r="E1956">
        <v>1</v>
      </c>
      <c r="F1956">
        <v>52</v>
      </c>
      <c r="G1956">
        <v>13</v>
      </c>
      <c r="H1956">
        <v>1</v>
      </c>
      <c r="I1956" t="s">
        <v>36</v>
      </c>
      <c r="J1956">
        <v>125</v>
      </c>
      <c r="K1956" t="s">
        <v>31</v>
      </c>
      <c r="L1956">
        <v>94</v>
      </c>
      <c r="M1956">
        <f>IF(D1956=I1956,VLOOKUP(D1956,a_win_totals_lookup,MATCH(K1956,a_wins_total_lookup_header,0)+1,0),VLOOKUP(D1956,a_win_totals_lookup,MATCH(I1956,a_wins_total_lookup_header,0)+1,0))</f>
        <v>0.62222030574062748</v>
      </c>
      <c r="N1956">
        <f t="shared" ca="1" si="30"/>
        <v>1</v>
      </c>
    </row>
    <row r="1957" spans="1:14" x14ac:dyDescent="0.25">
      <c r="A1957">
        <v>400579273</v>
      </c>
      <c r="B1957">
        <v>2015</v>
      </c>
      <c r="C1957" s="1">
        <v>42077</v>
      </c>
      <c r="D1957" t="s">
        <v>31</v>
      </c>
      <c r="E1957">
        <v>0</v>
      </c>
      <c r="F1957">
        <v>13</v>
      </c>
      <c r="G1957">
        <v>52</v>
      </c>
      <c r="H1957">
        <v>0</v>
      </c>
      <c r="I1957" t="s">
        <v>36</v>
      </c>
      <c r="J1957">
        <v>125</v>
      </c>
      <c r="K1957" t="s">
        <v>31</v>
      </c>
      <c r="L1957">
        <v>94</v>
      </c>
      <c r="M1957">
        <f>IF(D1957=I1957,VLOOKUP(D1957,a_win_totals_lookup,MATCH(K1957,a_wins_total_lookup_header,0)+1,0),VLOOKUP(D1957,a_win_totals_lookup,MATCH(I1957,a_wins_total_lookup_header,0)+1,0))</f>
        <v>0.37777969425937236</v>
      </c>
      <c r="N1957">
        <f t="shared" ca="1" si="30"/>
        <v>1</v>
      </c>
    </row>
    <row r="1958" spans="1:14" x14ac:dyDescent="0.25">
      <c r="A1958">
        <v>400579274</v>
      </c>
      <c r="B1958">
        <v>2015</v>
      </c>
      <c r="C1958" s="1">
        <v>42078</v>
      </c>
      <c r="D1958" t="s">
        <v>30</v>
      </c>
      <c r="E1958">
        <v>0</v>
      </c>
      <c r="F1958">
        <v>40</v>
      </c>
      <c r="G1958">
        <v>28</v>
      </c>
      <c r="H1958">
        <v>0</v>
      </c>
      <c r="I1958" t="s">
        <v>38</v>
      </c>
      <c r="J1958">
        <v>109</v>
      </c>
      <c r="K1958" t="s">
        <v>30</v>
      </c>
      <c r="L1958">
        <v>100</v>
      </c>
      <c r="M1958">
        <f>IF(D1958=I1958,VLOOKUP(D1958,a_win_totals_lookup,MATCH(K1958,a_wins_total_lookup_header,0)+1,0),VLOOKUP(D1958,a_win_totals_lookup,MATCH(I1958,a_wins_total_lookup_header,0)+1,0))</f>
        <v>0.51203002742234893</v>
      </c>
      <c r="N1958">
        <f t="shared" ca="1" si="30"/>
        <v>1</v>
      </c>
    </row>
    <row r="1959" spans="1:14" x14ac:dyDescent="0.25">
      <c r="A1959">
        <v>400579274</v>
      </c>
      <c r="B1959">
        <v>2015</v>
      </c>
      <c r="C1959" s="1">
        <v>42078</v>
      </c>
      <c r="D1959" t="s">
        <v>38</v>
      </c>
      <c r="E1959">
        <v>1</v>
      </c>
      <c r="F1959">
        <v>37</v>
      </c>
      <c r="G1959">
        <v>29</v>
      </c>
      <c r="H1959">
        <v>1</v>
      </c>
      <c r="I1959" t="s">
        <v>38</v>
      </c>
      <c r="J1959">
        <v>109</v>
      </c>
      <c r="K1959" t="s">
        <v>30</v>
      </c>
      <c r="L1959">
        <v>100</v>
      </c>
      <c r="M1959">
        <f>IF(D1959=I1959,VLOOKUP(D1959,a_win_totals_lookup,MATCH(K1959,a_wins_total_lookup_header,0)+1,0),VLOOKUP(D1959,a_win_totals_lookup,MATCH(I1959,a_wins_total_lookup_header,0)+1,0))</f>
        <v>0.48796997257765107</v>
      </c>
      <c r="N1959">
        <f t="shared" ca="1" si="30"/>
        <v>0</v>
      </c>
    </row>
    <row r="1960" spans="1:14" x14ac:dyDescent="0.25">
      <c r="A1960">
        <v>400579275</v>
      </c>
      <c r="B1960">
        <v>2015</v>
      </c>
      <c r="C1960" s="1">
        <v>42078</v>
      </c>
      <c r="D1960" t="s">
        <v>16</v>
      </c>
      <c r="E1960">
        <v>1</v>
      </c>
      <c r="F1960">
        <v>44</v>
      </c>
      <c r="G1960">
        <v>22</v>
      </c>
      <c r="H1960">
        <v>0</v>
      </c>
      <c r="I1960" t="s">
        <v>41</v>
      </c>
      <c r="J1960">
        <v>98</v>
      </c>
      <c r="K1960" t="s">
        <v>16</v>
      </c>
      <c r="L1960">
        <v>100</v>
      </c>
      <c r="M1960">
        <f>IF(D1960=I1960,VLOOKUP(D1960,a_win_totals_lookup,MATCH(K1960,a_wins_total_lookup_header,0)+1,0),VLOOKUP(D1960,a_win_totals_lookup,MATCH(I1960,a_wins_total_lookup_header,0)+1,0))</f>
        <v>0.42983460718544747</v>
      </c>
      <c r="N1960">
        <f t="shared" ca="1" si="30"/>
        <v>0</v>
      </c>
    </row>
    <row r="1961" spans="1:14" x14ac:dyDescent="0.25">
      <c r="A1961">
        <v>400579275</v>
      </c>
      <c r="B1961">
        <v>2015</v>
      </c>
      <c r="C1961" s="1">
        <v>42078</v>
      </c>
      <c r="D1961" t="s">
        <v>41</v>
      </c>
      <c r="E1961">
        <v>0</v>
      </c>
      <c r="F1961">
        <v>42</v>
      </c>
      <c r="G1961">
        <v>25</v>
      </c>
      <c r="H1961">
        <v>1</v>
      </c>
      <c r="I1961" t="s">
        <v>41</v>
      </c>
      <c r="J1961">
        <v>98</v>
      </c>
      <c r="K1961" t="s">
        <v>16</v>
      </c>
      <c r="L1961">
        <v>100</v>
      </c>
      <c r="M1961">
        <f>IF(D1961=I1961,VLOOKUP(D1961,a_win_totals_lookup,MATCH(K1961,a_wins_total_lookup_header,0)+1,0),VLOOKUP(D1961,a_win_totals_lookup,MATCH(I1961,a_wins_total_lookup_header,0)+1,0))</f>
        <v>0.57016539281455259</v>
      </c>
      <c r="N1961">
        <f t="shared" ca="1" si="30"/>
        <v>1</v>
      </c>
    </row>
    <row r="1962" spans="1:14" x14ac:dyDescent="0.25">
      <c r="A1962">
        <v>400579276</v>
      </c>
      <c r="B1962">
        <v>2015</v>
      </c>
      <c r="C1962" s="1">
        <v>42078</v>
      </c>
      <c r="D1962" t="s">
        <v>32</v>
      </c>
      <c r="E1962">
        <v>1</v>
      </c>
      <c r="F1962">
        <v>26</v>
      </c>
      <c r="G1962">
        <v>41</v>
      </c>
      <c r="H1962">
        <v>0</v>
      </c>
      <c r="I1962" t="s">
        <v>12</v>
      </c>
      <c r="J1962">
        <v>111</v>
      </c>
      <c r="K1962" t="s">
        <v>32</v>
      </c>
      <c r="L1962">
        <v>118</v>
      </c>
      <c r="M1962">
        <f>IF(D1962=I1962,VLOOKUP(D1962,a_win_totals_lookup,MATCH(K1962,a_wins_total_lookup_header,0)+1,0),VLOOKUP(D1962,a_win_totals_lookup,MATCH(I1962,a_wins_total_lookup_header,0)+1,0))</f>
        <v>0.48625786874528693</v>
      </c>
      <c r="N1962">
        <f t="shared" ca="1" si="30"/>
        <v>0</v>
      </c>
    </row>
    <row r="1963" spans="1:14" x14ac:dyDescent="0.25">
      <c r="A1963">
        <v>400579276</v>
      </c>
      <c r="B1963">
        <v>2015</v>
      </c>
      <c r="C1963" s="1">
        <v>42078</v>
      </c>
      <c r="D1963" t="s">
        <v>12</v>
      </c>
      <c r="E1963">
        <v>0</v>
      </c>
      <c r="F1963">
        <v>36</v>
      </c>
      <c r="G1963">
        <v>30</v>
      </c>
      <c r="H1963">
        <v>1</v>
      </c>
      <c r="I1963" t="s">
        <v>12</v>
      </c>
      <c r="J1963">
        <v>111</v>
      </c>
      <c r="K1963" t="s">
        <v>32</v>
      </c>
      <c r="L1963">
        <v>118</v>
      </c>
      <c r="M1963">
        <f>IF(D1963=I1963,VLOOKUP(D1963,a_win_totals_lookup,MATCH(K1963,a_wins_total_lookup_header,0)+1,0),VLOOKUP(D1963,a_win_totals_lookup,MATCH(I1963,a_wins_total_lookup_header,0)+1,0))</f>
        <v>0.51374213125471302</v>
      </c>
      <c r="N1963">
        <f t="shared" ca="1" si="30"/>
        <v>1</v>
      </c>
    </row>
    <row r="1964" spans="1:14" x14ac:dyDescent="0.25">
      <c r="A1964">
        <v>400579277</v>
      </c>
      <c r="B1964">
        <v>2015</v>
      </c>
      <c r="C1964" s="1">
        <v>42078</v>
      </c>
      <c r="D1964" t="s">
        <v>40</v>
      </c>
      <c r="E1964">
        <v>1</v>
      </c>
      <c r="F1964">
        <v>43</v>
      </c>
      <c r="G1964">
        <v>25</v>
      </c>
      <c r="H1964">
        <v>0</v>
      </c>
      <c r="I1964" t="s">
        <v>13</v>
      </c>
      <c r="J1964">
        <v>108</v>
      </c>
      <c r="K1964" t="s">
        <v>40</v>
      </c>
      <c r="L1964">
        <v>123</v>
      </c>
      <c r="M1964">
        <f>IF(D1964=I1964,VLOOKUP(D1964,a_win_totals_lookup,MATCH(K1964,a_wins_total_lookup_header,0)+1,0),VLOOKUP(D1964,a_win_totals_lookup,MATCH(I1964,a_wins_total_lookup_header,0)+1,0))</f>
        <v>0.74387996100574205</v>
      </c>
      <c r="N1964">
        <f t="shared" ca="1" si="30"/>
        <v>1</v>
      </c>
    </row>
    <row r="1965" spans="1:14" x14ac:dyDescent="0.25">
      <c r="A1965">
        <v>400579277</v>
      </c>
      <c r="B1965">
        <v>2015</v>
      </c>
      <c r="C1965" s="1">
        <v>42078</v>
      </c>
      <c r="D1965" t="s">
        <v>13</v>
      </c>
      <c r="E1965">
        <v>0</v>
      </c>
      <c r="F1965">
        <v>21</v>
      </c>
      <c r="G1965">
        <v>47</v>
      </c>
      <c r="H1965">
        <v>1</v>
      </c>
      <c r="I1965" t="s">
        <v>13</v>
      </c>
      <c r="J1965">
        <v>108</v>
      </c>
      <c r="K1965" t="s">
        <v>40</v>
      </c>
      <c r="L1965">
        <v>123</v>
      </c>
      <c r="M1965">
        <f>IF(D1965=I1965,VLOOKUP(D1965,a_win_totals_lookup,MATCH(K1965,a_wins_total_lookup_header,0)+1,0),VLOOKUP(D1965,a_win_totals_lookup,MATCH(I1965,a_wins_total_lookup_header,0)+1,0))</f>
        <v>0.25612003899425795</v>
      </c>
      <c r="N1965">
        <f t="shared" ca="1" si="30"/>
        <v>0</v>
      </c>
    </row>
    <row r="1966" spans="1:14" x14ac:dyDescent="0.25">
      <c r="A1966">
        <v>400579278</v>
      </c>
      <c r="B1966">
        <v>2015</v>
      </c>
      <c r="C1966" s="1">
        <v>42078</v>
      </c>
      <c r="D1966" t="s">
        <v>29</v>
      </c>
      <c r="E1966">
        <v>0</v>
      </c>
      <c r="F1966">
        <v>14</v>
      </c>
      <c r="G1966">
        <v>51</v>
      </c>
      <c r="H1966">
        <v>0</v>
      </c>
      <c r="I1966" t="s">
        <v>15</v>
      </c>
      <c r="J1966">
        <v>123</v>
      </c>
      <c r="K1966" t="s">
        <v>29</v>
      </c>
      <c r="L1966">
        <v>97</v>
      </c>
      <c r="M1966">
        <f>IF(D1966=I1966,VLOOKUP(D1966,a_win_totals_lookup,MATCH(K1966,a_wins_total_lookup_header,0)+1,0),VLOOKUP(D1966,a_win_totals_lookup,MATCH(I1966,a_wins_total_lookup_header,0)+1,0))</f>
        <v>0.22270013882530892</v>
      </c>
      <c r="N1966">
        <f t="shared" ca="1" si="30"/>
        <v>1</v>
      </c>
    </row>
    <row r="1967" spans="1:14" x14ac:dyDescent="0.25">
      <c r="A1967">
        <v>400579278</v>
      </c>
      <c r="B1967">
        <v>2015</v>
      </c>
      <c r="C1967" s="1">
        <v>42078</v>
      </c>
      <c r="D1967" t="s">
        <v>15</v>
      </c>
      <c r="E1967">
        <v>1</v>
      </c>
      <c r="F1967">
        <v>41</v>
      </c>
      <c r="G1967">
        <v>24</v>
      </c>
      <c r="H1967">
        <v>1</v>
      </c>
      <c r="I1967" t="s">
        <v>15</v>
      </c>
      <c r="J1967">
        <v>123</v>
      </c>
      <c r="K1967" t="s">
        <v>29</v>
      </c>
      <c r="L1967">
        <v>97</v>
      </c>
      <c r="M1967">
        <f>IF(D1967=I1967,VLOOKUP(D1967,a_win_totals_lookup,MATCH(K1967,a_wins_total_lookup_header,0)+1,0),VLOOKUP(D1967,a_win_totals_lookup,MATCH(I1967,a_wins_total_lookup_header,0)+1,0))</f>
        <v>0.77729986117469119</v>
      </c>
      <c r="N1967">
        <f t="shared" ca="1" si="30"/>
        <v>1</v>
      </c>
    </row>
    <row r="1968" spans="1:14" x14ac:dyDescent="0.25">
      <c r="A1968">
        <v>400579279</v>
      </c>
      <c r="B1968">
        <v>2015</v>
      </c>
      <c r="C1968" s="1">
        <v>42078</v>
      </c>
      <c r="D1968" t="s">
        <v>39</v>
      </c>
      <c r="E1968">
        <v>1</v>
      </c>
      <c r="F1968">
        <v>44</v>
      </c>
      <c r="G1968">
        <v>20</v>
      </c>
      <c r="H1968">
        <v>0</v>
      </c>
      <c r="I1968" t="s">
        <v>27</v>
      </c>
      <c r="J1968">
        <v>97</v>
      </c>
      <c r="K1968" t="s">
        <v>39</v>
      </c>
      <c r="L1968">
        <v>113</v>
      </c>
      <c r="M1968">
        <f>IF(D1968=I1968,VLOOKUP(D1968,a_win_totals_lookup,MATCH(K1968,a_wins_total_lookup_header,0)+1,0),VLOOKUP(D1968,a_win_totals_lookup,MATCH(I1968,a_wins_total_lookup_header,0)+1,0))</f>
        <v>0.47511372765015386</v>
      </c>
      <c r="N1968">
        <f t="shared" ca="1" si="30"/>
        <v>1</v>
      </c>
    </row>
    <row r="1969" spans="1:14" x14ac:dyDescent="0.25">
      <c r="A1969">
        <v>400579279</v>
      </c>
      <c r="B1969">
        <v>2015</v>
      </c>
      <c r="C1969" s="1">
        <v>42078</v>
      </c>
      <c r="D1969" t="s">
        <v>27</v>
      </c>
      <c r="E1969">
        <v>0</v>
      </c>
      <c r="F1969">
        <v>39</v>
      </c>
      <c r="G1969">
        <v>27</v>
      </c>
      <c r="H1969">
        <v>1</v>
      </c>
      <c r="I1969" t="s">
        <v>27</v>
      </c>
      <c r="J1969">
        <v>97</v>
      </c>
      <c r="K1969" t="s">
        <v>39</v>
      </c>
      <c r="L1969">
        <v>113</v>
      </c>
      <c r="M1969">
        <f>IF(D1969=I1969,VLOOKUP(D1969,a_win_totals_lookup,MATCH(K1969,a_wins_total_lookup_header,0)+1,0),VLOOKUP(D1969,a_win_totals_lookup,MATCH(I1969,a_wins_total_lookup_header,0)+1,0))</f>
        <v>0.52488627234984619</v>
      </c>
      <c r="N1969">
        <f t="shared" ca="1" si="30"/>
        <v>0</v>
      </c>
    </row>
    <row r="1970" spans="1:14" x14ac:dyDescent="0.25">
      <c r="A1970">
        <v>400579280</v>
      </c>
      <c r="B1970">
        <v>2015</v>
      </c>
      <c r="C1970" s="1">
        <v>42078</v>
      </c>
      <c r="D1970" t="s">
        <v>31</v>
      </c>
      <c r="E1970">
        <v>0</v>
      </c>
      <c r="F1970">
        <v>13</v>
      </c>
      <c r="G1970">
        <v>53</v>
      </c>
      <c r="H1970">
        <v>0</v>
      </c>
      <c r="I1970" t="s">
        <v>35</v>
      </c>
      <c r="J1970">
        <v>102</v>
      </c>
      <c r="K1970" t="s">
        <v>31</v>
      </c>
      <c r="L1970">
        <v>89</v>
      </c>
      <c r="M1970">
        <f>IF(D1970=I1970,VLOOKUP(D1970,a_win_totals_lookup,MATCH(K1970,a_wins_total_lookup_header,0)+1,0),VLOOKUP(D1970,a_win_totals_lookup,MATCH(I1970,a_wins_total_lookup_header,0)+1,0))</f>
        <v>0.46071121990694175</v>
      </c>
      <c r="N1970">
        <f t="shared" ca="1" si="30"/>
        <v>0</v>
      </c>
    </row>
    <row r="1971" spans="1:14" x14ac:dyDescent="0.25">
      <c r="A1971">
        <v>400579280</v>
      </c>
      <c r="B1971">
        <v>2015</v>
      </c>
      <c r="C1971" s="1">
        <v>42078</v>
      </c>
      <c r="D1971" t="s">
        <v>35</v>
      </c>
      <c r="E1971">
        <v>1</v>
      </c>
      <c r="F1971">
        <v>35</v>
      </c>
      <c r="G1971">
        <v>33</v>
      </c>
      <c r="H1971">
        <v>1</v>
      </c>
      <c r="I1971" t="s">
        <v>35</v>
      </c>
      <c r="J1971">
        <v>102</v>
      </c>
      <c r="K1971" t="s">
        <v>31</v>
      </c>
      <c r="L1971">
        <v>89</v>
      </c>
      <c r="M1971">
        <f>IF(D1971=I1971,VLOOKUP(D1971,a_win_totals_lookup,MATCH(K1971,a_wins_total_lookup_header,0)+1,0),VLOOKUP(D1971,a_win_totals_lookup,MATCH(I1971,a_wins_total_lookup_header,0)+1,0))</f>
        <v>0.53928878009305825</v>
      </c>
      <c r="N1971">
        <f t="shared" ca="1" si="30"/>
        <v>1</v>
      </c>
    </row>
    <row r="1972" spans="1:14" x14ac:dyDescent="0.25">
      <c r="A1972">
        <v>400579281</v>
      </c>
      <c r="B1972">
        <v>2015</v>
      </c>
      <c r="C1972" s="1">
        <v>42078</v>
      </c>
      <c r="D1972" t="s">
        <v>26</v>
      </c>
      <c r="E1972">
        <v>1</v>
      </c>
      <c r="F1972">
        <v>52</v>
      </c>
      <c r="G1972">
        <v>14</v>
      </c>
      <c r="H1972">
        <v>0</v>
      </c>
      <c r="I1972" t="s">
        <v>17</v>
      </c>
      <c r="J1972">
        <v>86</v>
      </c>
      <c r="K1972" t="s">
        <v>26</v>
      </c>
      <c r="L1972">
        <v>91</v>
      </c>
      <c r="M1972">
        <f>IF(D1972=I1972,VLOOKUP(D1972,a_win_totals_lookup,MATCH(K1972,a_wins_total_lookup_header,0)+1,0),VLOOKUP(D1972,a_win_totals_lookup,MATCH(I1972,a_wins_total_lookup_header,0)+1,0))</f>
        <v>0.61500767730198336</v>
      </c>
      <c r="N1972">
        <f t="shared" ca="1" si="30"/>
        <v>0</v>
      </c>
    </row>
    <row r="1973" spans="1:14" x14ac:dyDescent="0.25">
      <c r="A1973">
        <v>400579281</v>
      </c>
      <c r="B1973">
        <v>2015</v>
      </c>
      <c r="C1973" s="1">
        <v>42078</v>
      </c>
      <c r="D1973" t="s">
        <v>17</v>
      </c>
      <c r="E1973">
        <v>0</v>
      </c>
      <c r="F1973">
        <v>17</v>
      </c>
      <c r="G1973">
        <v>48</v>
      </c>
      <c r="H1973">
        <v>1</v>
      </c>
      <c r="I1973" t="s">
        <v>17</v>
      </c>
      <c r="J1973">
        <v>86</v>
      </c>
      <c r="K1973" t="s">
        <v>26</v>
      </c>
      <c r="L1973">
        <v>91</v>
      </c>
      <c r="M1973">
        <f>IF(D1973=I1973,VLOOKUP(D1973,a_win_totals_lookup,MATCH(K1973,a_wins_total_lookup_header,0)+1,0),VLOOKUP(D1973,a_win_totals_lookup,MATCH(I1973,a_wins_total_lookup_header,0)+1,0))</f>
        <v>0.38499232269801659</v>
      </c>
      <c r="N1973">
        <f t="shared" ca="1" si="30"/>
        <v>0</v>
      </c>
    </row>
    <row r="1974" spans="1:14" x14ac:dyDescent="0.25">
      <c r="A1974">
        <v>400579282</v>
      </c>
      <c r="B1974">
        <v>2015</v>
      </c>
      <c r="C1974" s="1">
        <v>42079</v>
      </c>
      <c r="D1974" t="s">
        <v>20</v>
      </c>
      <c r="E1974">
        <v>0</v>
      </c>
      <c r="F1974">
        <v>30</v>
      </c>
      <c r="G1974">
        <v>36</v>
      </c>
      <c r="H1974">
        <v>1</v>
      </c>
      <c r="I1974" t="s">
        <v>20</v>
      </c>
      <c r="J1974">
        <v>98</v>
      </c>
      <c r="K1974" t="s">
        <v>27</v>
      </c>
      <c r="L1974">
        <v>117</v>
      </c>
      <c r="M1974">
        <f>IF(D1974=I1974,VLOOKUP(D1974,a_win_totals_lookup,MATCH(K1974,a_wins_total_lookup_header,0)+1,0),VLOOKUP(D1974,a_win_totals_lookup,MATCH(I1974,a_wins_total_lookup_header,0)+1,0))</f>
        <v>0.32867360629810738</v>
      </c>
      <c r="N1974">
        <f t="shared" ca="1" si="30"/>
        <v>0</v>
      </c>
    </row>
    <row r="1975" spans="1:14" x14ac:dyDescent="0.25">
      <c r="A1975">
        <v>400579282</v>
      </c>
      <c r="B1975">
        <v>2015</v>
      </c>
      <c r="C1975" s="1">
        <v>42079</v>
      </c>
      <c r="D1975" t="s">
        <v>27</v>
      </c>
      <c r="E1975">
        <v>1</v>
      </c>
      <c r="F1975">
        <v>40</v>
      </c>
      <c r="G1975">
        <v>27</v>
      </c>
      <c r="H1975">
        <v>0</v>
      </c>
      <c r="I1975" t="s">
        <v>20</v>
      </c>
      <c r="J1975">
        <v>98</v>
      </c>
      <c r="K1975" t="s">
        <v>27</v>
      </c>
      <c r="L1975">
        <v>117</v>
      </c>
      <c r="M1975">
        <f>IF(D1975=I1975,VLOOKUP(D1975,a_win_totals_lookup,MATCH(K1975,a_wins_total_lookup_header,0)+1,0),VLOOKUP(D1975,a_win_totals_lookup,MATCH(I1975,a_wins_total_lookup_header,0)+1,0))</f>
        <v>0.67132639370189251</v>
      </c>
      <c r="N1975">
        <f t="shared" ca="1" si="30"/>
        <v>0</v>
      </c>
    </row>
    <row r="1976" spans="1:14" x14ac:dyDescent="0.25">
      <c r="A1976">
        <v>400579283</v>
      </c>
      <c r="B1976">
        <v>2015</v>
      </c>
      <c r="C1976" s="1">
        <v>42079</v>
      </c>
      <c r="D1976" t="s">
        <v>39</v>
      </c>
      <c r="E1976">
        <v>0</v>
      </c>
      <c r="F1976">
        <v>44</v>
      </c>
      <c r="G1976">
        <v>21</v>
      </c>
      <c r="H1976">
        <v>0</v>
      </c>
      <c r="I1976" t="s">
        <v>25</v>
      </c>
      <c r="J1976">
        <v>105</v>
      </c>
      <c r="K1976" t="s">
        <v>39</v>
      </c>
      <c r="L1976">
        <v>97</v>
      </c>
      <c r="M1976">
        <f>IF(D1976=I1976,VLOOKUP(D1976,a_win_totals_lookup,MATCH(K1976,a_wins_total_lookup_header,0)+1,0),VLOOKUP(D1976,a_win_totals_lookup,MATCH(I1976,a_wins_total_lookup_header,0)+1,0))</f>
        <v>0.50943799496520714</v>
      </c>
      <c r="N1976">
        <f t="shared" ca="1" si="30"/>
        <v>1</v>
      </c>
    </row>
    <row r="1977" spans="1:14" x14ac:dyDescent="0.25">
      <c r="A1977">
        <v>400579283</v>
      </c>
      <c r="B1977">
        <v>2015</v>
      </c>
      <c r="C1977" s="1">
        <v>42079</v>
      </c>
      <c r="D1977" t="s">
        <v>25</v>
      </c>
      <c r="E1977">
        <v>1</v>
      </c>
      <c r="F1977">
        <v>39</v>
      </c>
      <c r="G1977">
        <v>28</v>
      </c>
      <c r="H1977">
        <v>1</v>
      </c>
      <c r="I1977" t="s">
        <v>25</v>
      </c>
      <c r="J1977">
        <v>105</v>
      </c>
      <c r="K1977" t="s">
        <v>39</v>
      </c>
      <c r="L1977">
        <v>97</v>
      </c>
      <c r="M1977">
        <f>IF(D1977=I1977,VLOOKUP(D1977,a_win_totals_lookup,MATCH(K1977,a_wins_total_lookup_header,0)+1,0),VLOOKUP(D1977,a_win_totals_lookup,MATCH(I1977,a_wins_total_lookup_header,0)+1,0))</f>
        <v>0.4905620050347928</v>
      </c>
      <c r="N1977">
        <f t="shared" ca="1" si="30"/>
        <v>1</v>
      </c>
    </row>
    <row r="1978" spans="1:14" x14ac:dyDescent="0.25">
      <c r="A1978">
        <v>400579284</v>
      </c>
      <c r="B1978">
        <v>2015</v>
      </c>
      <c r="C1978" s="1">
        <v>42079</v>
      </c>
      <c r="D1978" t="s">
        <v>22</v>
      </c>
      <c r="E1978">
        <v>1</v>
      </c>
      <c r="F1978">
        <v>30</v>
      </c>
      <c r="G1978">
        <v>36</v>
      </c>
      <c r="H1978">
        <v>1</v>
      </c>
      <c r="I1978" t="s">
        <v>22</v>
      </c>
      <c r="J1978">
        <v>108</v>
      </c>
      <c r="K1978" t="s">
        <v>21</v>
      </c>
      <c r="L1978">
        <v>89</v>
      </c>
      <c r="M1978">
        <f>IF(D1978=I1978,VLOOKUP(D1978,a_win_totals_lookup,MATCH(K1978,a_wins_total_lookup_header,0)+1,0),VLOOKUP(D1978,a_win_totals_lookup,MATCH(I1978,a_wins_total_lookup_header,0)+1,0))</f>
        <v>0.53961526258126746</v>
      </c>
      <c r="N1978">
        <f t="shared" ca="1" si="30"/>
        <v>0</v>
      </c>
    </row>
    <row r="1979" spans="1:14" x14ac:dyDescent="0.25">
      <c r="A1979">
        <v>400579284</v>
      </c>
      <c r="B1979">
        <v>2015</v>
      </c>
      <c r="C1979" s="1">
        <v>42079</v>
      </c>
      <c r="D1979" t="s">
        <v>21</v>
      </c>
      <c r="E1979">
        <v>0</v>
      </c>
      <c r="F1979">
        <v>15</v>
      </c>
      <c r="G1979">
        <v>52</v>
      </c>
      <c r="H1979">
        <v>0</v>
      </c>
      <c r="I1979" t="s">
        <v>22</v>
      </c>
      <c r="J1979">
        <v>108</v>
      </c>
      <c r="K1979" t="s">
        <v>21</v>
      </c>
      <c r="L1979">
        <v>89</v>
      </c>
      <c r="M1979">
        <f>IF(D1979=I1979,VLOOKUP(D1979,a_win_totals_lookup,MATCH(K1979,a_wins_total_lookup_header,0)+1,0),VLOOKUP(D1979,a_win_totals_lookup,MATCH(I1979,a_wins_total_lookup_header,0)+1,0))</f>
        <v>0.46038473741873248</v>
      </c>
      <c r="N1979">
        <f t="shared" ca="1" si="30"/>
        <v>0</v>
      </c>
    </row>
    <row r="1980" spans="1:14" x14ac:dyDescent="0.25">
      <c r="A1980">
        <v>400579285</v>
      </c>
      <c r="B1980">
        <v>2015</v>
      </c>
      <c r="C1980" s="1">
        <v>42079</v>
      </c>
      <c r="D1980" t="s">
        <v>32</v>
      </c>
      <c r="E1980">
        <v>0</v>
      </c>
      <c r="F1980">
        <v>26</v>
      </c>
      <c r="G1980">
        <v>42</v>
      </c>
      <c r="H1980">
        <v>0</v>
      </c>
      <c r="I1980" t="s">
        <v>28</v>
      </c>
      <c r="J1980">
        <v>92</v>
      </c>
      <c r="K1980" t="s">
        <v>32</v>
      </c>
      <c r="L1980">
        <v>81</v>
      </c>
      <c r="M1980">
        <f>IF(D1980=I1980,VLOOKUP(D1980,a_win_totals_lookup,MATCH(K1980,a_wins_total_lookup_header,0)+1,0),VLOOKUP(D1980,a_win_totals_lookup,MATCH(I1980,a_wins_total_lookup_header,0)+1,0))</f>
        <v>0.39989944995796567</v>
      </c>
      <c r="N1980">
        <f t="shared" ca="1" si="30"/>
        <v>0</v>
      </c>
    </row>
    <row r="1981" spans="1:14" x14ac:dyDescent="0.25">
      <c r="A1981">
        <v>400579285</v>
      </c>
      <c r="B1981">
        <v>2015</v>
      </c>
      <c r="C1981" s="1">
        <v>42079</v>
      </c>
      <c r="D1981" t="s">
        <v>28</v>
      </c>
      <c r="E1981">
        <v>1</v>
      </c>
      <c r="F1981">
        <v>47</v>
      </c>
      <c r="G1981">
        <v>20</v>
      </c>
      <c r="H1981">
        <v>1</v>
      </c>
      <c r="I1981" t="s">
        <v>28</v>
      </c>
      <c r="J1981">
        <v>92</v>
      </c>
      <c r="K1981" t="s">
        <v>32</v>
      </c>
      <c r="L1981">
        <v>81</v>
      </c>
      <c r="M1981">
        <f>IF(D1981=I1981,VLOOKUP(D1981,a_win_totals_lookup,MATCH(K1981,a_wins_total_lookup_header,0)+1,0),VLOOKUP(D1981,a_win_totals_lookup,MATCH(I1981,a_wins_total_lookup_header,0)+1,0))</f>
        <v>0.60010055004203433</v>
      </c>
      <c r="N1981">
        <f t="shared" ca="1" si="30"/>
        <v>0</v>
      </c>
    </row>
    <row r="1982" spans="1:14" x14ac:dyDescent="0.25">
      <c r="A1982">
        <v>400579286</v>
      </c>
      <c r="B1982">
        <v>2015</v>
      </c>
      <c r="C1982" s="1">
        <v>42079</v>
      </c>
      <c r="D1982" t="s">
        <v>23</v>
      </c>
      <c r="E1982">
        <v>1</v>
      </c>
      <c r="F1982">
        <v>27</v>
      </c>
      <c r="G1982">
        <v>38</v>
      </c>
      <c r="H1982">
        <v>0</v>
      </c>
      <c r="I1982" t="s">
        <v>29</v>
      </c>
      <c r="J1982">
        <v>106</v>
      </c>
      <c r="K1982" t="s">
        <v>23</v>
      </c>
      <c r="L1982">
        <v>122</v>
      </c>
      <c r="M1982">
        <f>IF(D1982=I1982,VLOOKUP(D1982,a_win_totals_lookup,MATCH(K1982,a_wins_total_lookup_header,0)+1,0),VLOOKUP(D1982,a_win_totals_lookup,MATCH(I1982,a_wins_total_lookup_header,0)+1,0))</f>
        <v>0.66284304446693665</v>
      </c>
      <c r="N1982">
        <f t="shared" ca="1" si="30"/>
        <v>1</v>
      </c>
    </row>
    <row r="1983" spans="1:14" x14ac:dyDescent="0.25">
      <c r="A1983">
        <v>400579286</v>
      </c>
      <c r="B1983">
        <v>2015</v>
      </c>
      <c r="C1983" s="1">
        <v>42079</v>
      </c>
      <c r="D1983" t="s">
        <v>29</v>
      </c>
      <c r="E1983">
        <v>0</v>
      </c>
      <c r="F1983">
        <v>14</v>
      </c>
      <c r="G1983">
        <v>52</v>
      </c>
      <c r="H1983">
        <v>1</v>
      </c>
      <c r="I1983" t="s">
        <v>29</v>
      </c>
      <c r="J1983">
        <v>106</v>
      </c>
      <c r="K1983" t="s">
        <v>23</v>
      </c>
      <c r="L1983">
        <v>122</v>
      </c>
      <c r="M1983">
        <f>IF(D1983=I1983,VLOOKUP(D1983,a_win_totals_lookup,MATCH(K1983,a_wins_total_lookup_header,0)+1,0),VLOOKUP(D1983,a_win_totals_lookup,MATCH(I1983,a_wins_total_lookup_header,0)+1,0))</f>
        <v>0.33715695553306341</v>
      </c>
      <c r="N1983">
        <f t="shared" ca="1" si="30"/>
        <v>0</v>
      </c>
    </row>
    <row r="1984" spans="1:14" x14ac:dyDescent="0.25">
      <c r="A1984">
        <v>400579287</v>
      </c>
      <c r="B1984">
        <v>2015</v>
      </c>
      <c r="C1984" s="1">
        <v>42079</v>
      </c>
      <c r="D1984" t="s">
        <v>40</v>
      </c>
      <c r="E1984">
        <v>0</v>
      </c>
      <c r="F1984">
        <v>43</v>
      </c>
      <c r="G1984">
        <v>26</v>
      </c>
      <c r="H1984">
        <v>0</v>
      </c>
      <c r="I1984" t="s">
        <v>24</v>
      </c>
      <c r="J1984">
        <v>106</v>
      </c>
      <c r="K1984" t="s">
        <v>40</v>
      </c>
      <c r="L1984">
        <v>92</v>
      </c>
      <c r="M1984">
        <f>IF(D1984=I1984,VLOOKUP(D1984,a_win_totals_lookup,MATCH(K1984,a_wins_total_lookup_header,0)+1,0),VLOOKUP(D1984,a_win_totals_lookup,MATCH(I1984,a_wins_total_lookup_header,0)+1,0))</f>
        <v>0.60114400626087006</v>
      </c>
      <c r="N1984">
        <f t="shared" ca="1" si="30"/>
        <v>1</v>
      </c>
    </row>
    <row r="1985" spans="1:14" x14ac:dyDescent="0.25">
      <c r="A1985">
        <v>400579287</v>
      </c>
      <c r="B1985">
        <v>2015</v>
      </c>
      <c r="C1985" s="1">
        <v>42079</v>
      </c>
      <c r="D1985" t="s">
        <v>24</v>
      </c>
      <c r="E1985">
        <v>1</v>
      </c>
      <c r="F1985">
        <v>30</v>
      </c>
      <c r="G1985">
        <v>36</v>
      </c>
      <c r="H1985">
        <v>1</v>
      </c>
      <c r="I1985" t="s">
        <v>24</v>
      </c>
      <c r="J1985">
        <v>106</v>
      </c>
      <c r="K1985" t="s">
        <v>40</v>
      </c>
      <c r="L1985">
        <v>92</v>
      </c>
      <c r="M1985">
        <f>IF(D1985=I1985,VLOOKUP(D1985,a_win_totals_lookup,MATCH(K1985,a_wins_total_lookup_header,0)+1,0),VLOOKUP(D1985,a_win_totals_lookup,MATCH(I1985,a_wins_total_lookup_header,0)+1,0))</f>
        <v>0.39885599373912994</v>
      </c>
      <c r="N1985">
        <f t="shared" ca="1" si="30"/>
        <v>1</v>
      </c>
    </row>
    <row r="1986" spans="1:14" x14ac:dyDescent="0.25">
      <c r="A1986">
        <v>400579288</v>
      </c>
      <c r="B1986">
        <v>2015</v>
      </c>
      <c r="C1986" s="1">
        <v>42079</v>
      </c>
      <c r="D1986" t="s">
        <v>14</v>
      </c>
      <c r="E1986">
        <v>1</v>
      </c>
      <c r="F1986">
        <v>43</v>
      </c>
      <c r="G1986">
        <v>25</v>
      </c>
      <c r="H1986">
        <v>1</v>
      </c>
      <c r="I1986" t="s">
        <v>14</v>
      </c>
      <c r="J1986">
        <v>119</v>
      </c>
      <c r="K1986" t="s">
        <v>38</v>
      </c>
      <c r="L1986">
        <v>115</v>
      </c>
      <c r="M1986">
        <f>IF(D1986=I1986,VLOOKUP(D1986,a_win_totals_lookup,MATCH(K1986,a_wins_total_lookup_header,0)+1,0),VLOOKUP(D1986,a_win_totals_lookup,MATCH(I1986,a_wins_total_lookup_header,0)+1,0))</f>
        <v>0.48605197255538951</v>
      </c>
      <c r="N1986">
        <f t="shared" ca="1" si="30"/>
        <v>0</v>
      </c>
    </row>
    <row r="1987" spans="1:14" x14ac:dyDescent="0.25">
      <c r="A1987">
        <v>400579288</v>
      </c>
      <c r="B1987">
        <v>2015</v>
      </c>
      <c r="C1987" s="1">
        <v>42079</v>
      </c>
      <c r="D1987" t="s">
        <v>38</v>
      </c>
      <c r="E1987">
        <v>0</v>
      </c>
      <c r="F1987">
        <v>37</v>
      </c>
      <c r="G1987">
        <v>30</v>
      </c>
      <c r="H1987">
        <v>0</v>
      </c>
      <c r="I1987" t="s">
        <v>14</v>
      </c>
      <c r="J1987">
        <v>119</v>
      </c>
      <c r="K1987" t="s">
        <v>38</v>
      </c>
      <c r="L1987">
        <v>115</v>
      </c>
      <c r="M1987">
        <f>IF(D1987=I1987,VLOOKUP(D1987,a_win_totals_lookup,MATCH(K1987,a_wins_total_lookup_header,0)+1,0),VLOOKUP(D1987,a_win_totals_lookup,MATCH(I1987,a_wins_total_lookup_header,0)+1,0))</f>
        <v>0.51394802744461043</v>
      </c>
      <c r="N1987">
        <f t="shared" ref="N1987:N2050" ca="1" si="31">ROUND(0.5*RANDBETWEEN(-1,1)+M1987,0)</f>
        <v>1</v>
      </c>
    </row>
    <row r="1988" spans="1:14" x14ac:dyDescent="0.25">
      <c r="A1988">
        <v>400579289</v>
      </c>
      <c r="B1988">
        <v>2015</v>
      </c>
      <c r="C1988" s="1">
        <v>42079</v>
      </c>
      <c r="D1988" t="s">
        <v>18</v>
      </c>
      <c r="E1988">
        <v>0</v>
      </c>
      <c r="F1988">
        <v>29</v>
      </c>
      <c r="G1988">
        <v>36</v>
      </c>
      <c r="H1988">
        <v>0</v>
      </c>
      <c r="I1988" t="s">
        <v>34</v>
      </c>
      <c r="J1988">
        <v>94</v>
      </c>
      <c r="K1988" t="s">
        <v>18</v>
      </c>
      <c r="L1988">
        <v>66</v>
      </c>
      <c r="M1988">
        <f>IF(D1988=I1988,VLOOKUP(D1988,a_win_totals_lookup,MATCH(K1988,a_wins_total_lookup_header,0)+1,0),VLOOKUP(D1988,a_win_totals_lookup,MATCH(I1988,a_wins_total_lookup_header,0)+1,0))</f>
        <v>0.66841321269200027</v>
      </c>
      <c r="N1988">
        <f t="shared" ca="1" si="31"/>
        <v>1</v>
      </c>
    </row>
    <row r="1989" spans="1:14" x14ac:dyDescent="0.25">
      <c r="A1989">
        <v>400579289</v>
      </c>
      <c r="B1989">
        <v>2015</v>
      </c>
      <c r="C1989" s="1">
        <v>42079</v>
      </c>
      <c r="D1989" t="s">
        <v>34</v>
      </c>
      <c r="E1989">
        <v>1</v>
      </c>
      <c r="F1989">
        <v>30</v>
      </c>
      <c r="G1989">
        <v>36</v>
      </c>
      <c r="H1989">
        <v>1</v>
      </c>
      <c r="I1989" t="s">
        <v>34</v>
      </c>
      <c r="J1989">
        <v>94</v>
      </c>
      <c r="K1989" t="s">
        <v>18</v>
      </c>
      <c r="L1989">
        <v>66</v>
      </c>
      <c r="M1989">
        <f>IF(D1989=I1989,VLOOKUP(D1989,a_win_totals_lookup,MATCH(K1989,a_wins_total_lookup_header,0)+1,0),VLOOKUP(D1989,a_win_totals_lookup,MATCH(I1989,a_wins_total_lookup_header,0)+1,0))</f>
        <v>0.33158678730799973</v>
      </c>
      <c r="N1989">
        <f t="shared" ca="1" si="31"/>
        <v>0</v>
      </c>
    </row>
    <row r="1990" spans="1:14" x14ac:dyDescent="0.25">
      <c r="A1990">
        <v>400579290</v>
      </c>
      <c r="B1990">
        <v>2015</v>
      </c>
      <c r="C1990" s="1">
        <v>42079</v>
      </c>
      <c r="D1990" t="s">
        <v>26</v>
      </c>
      <c r="E1990">
        <v>1</v>
      </c>
      <c r="F1990">
        <v>53</v>
      </c>
      <c r="G1990">
        <v>14</v>
      </c>
      <c r="H1990">
        <v>0</v>
      </c>
      <c r="I1990" t="s">
        <v>37</v>
      </c>
      <c r="J1990">
        <v>103</v>
      </c>
      <c r="K1990" t="s">
        <v>26</v>
      </c>
      <c r="L1990">
        <v>110</v>
      </c>
      <c r="M1990">
        <f>IF(D1990=I1990,VLOOKUP(D1990,a_win_totals_lookup,MATCH(K1990,a_wins_total_lookup_header,0)+1,0),VLOOKUP(D1990,a_win_totals_lookup,MATCH(I1990,a_wins_total_lookup_header,0)+1,0))</f>
        <v>0.61500767730198336</v>
      </c>
      <c r="N1990">
        <f t="shared" ca="1" si="31"/>
        <v>1</v>
      </c>
    </row>
    <row r="1991" spans="1:14" x14ac:dyDescent="0.25">
      <c r="A1991">
        <v>400579290</v>
      </c>
      <c r="B1991">
        <v>2015</v>
      </c>
      <c r="C1991" s="1">
        <v>42079</v>
      </c>
      <c r="D1991" t="s">
        <v>37</v>
      </c>
      <c r="E1991">
        <v>0</v>
      </c>
      <c r="F1991">
        <v>22</v>
      </c>
      <c r="G1991">
        <v>44</v>
      </c>
      <c r="H1991">
        <v>1</v>
      </c>
      <c r="I1991" t="s">
        <v>37</v>
      </c>
      <c r="J1991">
        <v>103</v>
      </c>
      <c r="K1991" t="s">
        <v>26</v>
      </c>
      <c r="L1991">
        <v>110</v>
      </c>
      <c r="M1991">
        <f>IF(D1991=I1991,VLOOKUP(D1991,a_win_totals_lookup,MATCH(K1991,a_wins_total_lookup_header,0)+1,0),VLOOKUP(D1991,a_win_totals_lookup,MATCH(I1991,a_wins_total_lookup_header,0)+1,0))</f>
        <v>0.38499232269801659</v>
      </c>
      <c r="N1991">
        <f t="shared" ca="1" si="31"/>
        <v>0</v>
      </c>
    </row>
    <row r="1992" spans="1:14" x14ac:dyDescent="0.25">
      <c r="A1992">
        <v>400579291</v>
      </c>
      <c r="B1992">
        <v>2015</v>
      </c>
      <c r="C1992" s="1">
        <v>42079</v>
      </c>
      <c r="D1992" t="s">
        <v>36</v>
      </c>
      <c r="E1992">
        <v>1</v>
      </c>
      <c r="F1992">
        <v>53</v>
      </c>
      <c r="G1992">
        <v>13</v>
      </c>
      <c r="H1992">
        <v>1</v>
      </c>
      <c r="I1992" t="s">
        <v>36</v>
      </c>
      <c r="J1992">
        <v>108</v>
      </c>
      <c r="K1992" t="s">
        <v>17</v>
      </c>
      <c r="L1992">
        <v>105</v>
      </c>
      <c r="M1992">
        <f>IF(D1992=I1992,VLOOKUP(D1992,a_win_totals_lookup,MATCH(K1992,a_wins_total_lookup_header,0)+1,0),VLOOKUP(D1992,a_win_totals_lookup,MATCH(I1992,a_wins_total_lookup_header,0)+1,0))</f>
        <v>0.69209130562404242</v>
      </c>
      <c r="N1992">
        <f t="shared" ca="1" si="31"/>
        <v>1</v>
      </c>
    </row>
    <row r="1993" spans="1:14" x14ac:dyDescent="0.25">
      <c r="A1993">
        <v>400579291</v>
      </c>
      <c r="B1993">
        <v>2015</v>
      </c>
      <c r="C1993" s="1">
        <v>42079</v>
      </c>
      <c r="D1993" t="s">
        <v>17</v>
      </c>
      <c r="E1993">
        <v>0</v>
      </c>
      <c r="F1993">
        <v>17</v>
      </c>
      <c r="G1993">
        <v>49</v>
      </c>
      <c r="H1993">
        <v>0</v>
      </c>
      <c r="I1993" t="s">
        <v>36</v>
      </c>
      <c r="J1993">
        <v>108</v>
      </c>
      <c r="K1993" t="s">
        <v>17</v>
      </c>
      <c r="L1993">
        <v>105</v>
      </c>
      <c r="M1993">
        <f>IF(D1993=I1993,VLOOKUP(D1993,a_win_totals_lookup,MATCH(K1993,a_wins_total_lookup_header,0)+1,0),VLOOKUP(D1993,a_win_totals_lookup,MATCH(I1993,a_wins_total_lookup_header,0)+1,0))</f>
        <v>0.30790869437595753</v>
      </c>
      <c r="N1993">
        <f t="shared" ca="1" si="31"/>
        <v>1</v>
      </c>
    </row>
    <row r="1994" spans="1:14" x14ac:dyDescent="0.25">
      <c r="A1994">
        <v>400579292</v>
      </c>
      <c r="B1994">
        <v>2015</v>
      </c>
      <c r="C1994" s="1">
        <v>42080</v>
      </c>
      <c r="D1994" t="s">
        <v>33</v>
      </c>
      <c r="E1994">
        <v>1</v>
      </c>
      <c r="F1994">
        <v>24</v>
      </c>
      <c r="G1994">
        <v>43</v>
      </c>
      <c r="H1994">
        <v>1</v>
      </c>
      <c r="I1994" t="s">
        <v>33</v>
      </c>
      <c r="J1994">
        <v>105</v>
      </c>
      <c r="K1994" t="s">
        <v>28</v>
      </c>
      <c r="L1994">
        <v>95</v>
      </c>
      <c r="M1994">
        <f>IF(D1994=I1994,VLOOKUP(D1994,a_win_totals_lookup,MATCH(K1994,a_wins_total_lookup_header,0)+1,0),VLOOKUP(D1994,a_win_totals_lookup,MATCH(I1994,a_wins_total_lookup_header,0)+1,0))</f>
        <v>0.35768246842791368</v>
      </c>
      <c r="N1994">
        <f t="shared" ca="1" si="31"/>
        <v>0</v>
      </c>
    </row>
    <row r="1995" spans="1:14" x14ac:dyDescent="0.25">
      <c r="A1995">
        <v>400579292</v>
      </c>
      <c r="B1995">
        <v>2015</v>
      </c>
      <c r="C1995" s="1">
        <v>42080</v>
      </c>
      <c r="D1995" t="s">
        <v>28</v>
      </c>
      <c r="E1995">
        <v>0</v>
      </c>
      <c r="F1995">
        <v>47</v>
      </c>
      <c r="G1995">
        <v>21</v>
      </c>
      <c r="H1995">
        <v>0</v>
      </c>
      <c r="I1995" t="s">
        <v>33</v>
      </c>
      <c r="J1995">
        <v>105</v>
      </c>
      <c r="K1995" t="s">
        <v>28</v>
      </c>
      <c r="L1995">
        <v>95</v>
      </c>
      <c r="M1995">
        <f>IF(D1995=I1995,VLOOKUP(D1995,a_win_totals_lookup,MATCH(K1995,a_wins_total_lookup_header,0)+1,0),VLOOKUP(D1995,a_win_totals_lookup,MATCH(I1995,a_wins_total_lookup_header,0)+1,0))</f>
        <v>0.64231753157208638</v>
      </c>
      <c r="N1995">
        <f t="shared" ca="1" si="31"/>
        <v>0</v>
      </c>
    </row>
    <row r="1996" spans="1:14" x14ac:dyDescent="0.25">
      <c r="A1996">
        <v>400579293</v>
      </c>
      <c r="B1996">
        <v>2015</v>
      </c>
      <c r="C1996" s="1">
        <v>42080</v>
      </c>
      <c r="D1996" t="s">
        <v>31</v>
      </c>
      <c r="E1996">
        <v>1</v>
      </c>
      <c r="F1996">
        <v>14</v>
      </c>
      <c r="G1996">
        <v>53</v>
      </c>
      <c r="H1996">
        <v>1</v>
      </c>
      <c r="I1996" t="s">
        <v>31</v>
      </c>
      <c r="J1996">
        <v>104</v>
      </c>
      <c r="K1996" t="s">
        <v>15</v>
      </c>
      <c r="L1996">
        <v>100</v>
      </c>
      <c r="M1996">
        <f>IF(D1996=I1996,VLOOKUP(D1996,a_win_totals_lookup,MATCH(K1996,a_wins_total_lookup_header,0)+1,0),VLOOKUP(D1996,a_win_totals_lookup,MATCH(I1996,a_wins_total_lookup_header,0)+1,0))</f>
        <v>0.36031197606974674</v>
      </c>
      <c r="N1996">
        <f t="shared" ca="1" si="31"/>
        <v>0</v>
      </c>
    </row>
    <row r="1997" spans="1:14" x14ac:dyDescent="0.25">
      <c r="A1997">
        <v>400579293</v>
      </c>
      <c r="B1997">
        <v>2015</v>
      </c>
      <c r="C1997" s="1">
        <v>42080</v>
      </c>
      <c r="D1997" t="s">
        <v>15</v>
      </c>
      <c r="E1997">
        <v>0</v>
      </c>
      <c r="F1997">
        <v>41</v>
      </c>
      <c r="G1997">
        <v>25</v>
      </c>
      <c r="H1997">
        <v>0</v>
      </c>
      <c r="I1997" t="s">
        <v>31</v>
      </c>
      <c r="J1997">
        <v>104</v>
      </c>
      <c r="K1997" t="s">
        <v>15</v>
      </c>
      <c r="L1997">
        <v>100</v>
      </c>
      <c r="M1997">
        <f>IF(D1997=I1997,VLOOKUP(D1997,a_win_totals_lookup,MATCH(K1997,a_wins_total_lookup_header,0)+1,0),VLOOKUP(D1997,a_win_totals_lookup,MATCH(I1997,a_wins_total_lookup_header,0)+1,0))</f>
        <v>0.63968802393025326</v>
      </c>
      <c r="N1997">
        <f t="shared" ca="1" si="31"/>
        <v>0</v>
      </c>
    </row>
    <row r="1998" spans="1:14" x14ac:dyDescent="0.25">
      <c r="A1998">
        <v>400579294</v>
      </c>
      <c r="B1998">
        <v>2015</v>
      </c>
      <c r="C1998" s="1">
        <v>42080</v>
      </c>
      <c r="D1998" t="s">
        <v>16</v>
      </c>
      <c r="E1998">
        <v>1</v>
      </c>
      <c r="F1998">
        <v>45</v>
      </c>
      <c r="G1998">
        <v>22</v>
      </c>
      <c r="H1998">
        <v>1</v>
      </c>
      <c r="I1998" t="s">
        <v>16</v>
      </c>
      <c r="J1998">
        <v>107</v>
      </c>
      <c r="K1998" t="s">
        <v>13</v>
      </c>
      <c r="L1998">
        <v>94</v>
      </c>
      <c r="M1998">
        <f>IF(D1998=I1998,VLOOKUP(D1998,a_win_totals_lookup,MATCH(K1998,a_wins_total_lookup_header,0)+1,0),VLOOKUP(D1998,a_win_totals_lookup,MATCH(I1998,a_wins_total_lookup_header,0)+1,0))</f>
        <v>0.68647860603758082</v>
      </c>
      <c r="N1998">
        <f t="shared" ca="1" si="31"/>
        <v>1</v>
      </c>
    </row>
    <row r="1999" spans="1:14" x14ac:dyDescent="0.25">
      <c r="A1999">
        <v>400579294</v>
      </c>
      <c r="B1999">
        <v>2015</v>
      </c>
      <c r="C1999" s="1">
        <v>42080</v>
      </c>
      <c r="D1999" t="s">
        <v>13</v>
      </c>
      <c r="E1999">
        <v>0</v>
      </c>
      <c r="F1999">
        <v>21</v>
      </c>
      <c r="G1999">
        <v>48</v>
      </c>
      <c r="H1999">
        <v>0</v>
      </c>
      <c r="I1999" t="s">
        <v>16</v>
      </c>
      <c r="J1999">
        <v>107</v>
      </c>
      <c r="K1999" t="s">
        <v>13</v>
      </c>
      <c r="L1999">
        <v>94</v>
      </c>
      <c r="M1999">
        <f>IF(D1999=I1999,VLOOKUP(D1999,a_win_totals_lookup,MATCH(K1999,a_wins_total_lookup_header,0)+1,0),VLOOKUP(D1999,a_win_totals_lookup,MATCH(I1999,a_wins_total_lookup_header,0)+1,0))</f>
        <v>0.31352139396241918</v>
      </c>
      <c r="N1999">
        <f t="shared" ca="1" si="31"/>
        <v>0</v>
      </c>
    </row>
    <row r="2000" spans="1:14" x14ac:dyDescent="0.25">
      <c r="A2000">
        <v>400579295</v>
      </c>
      <c r="B2000">
        <v>2015</v>
      </c>
      <c r="C2000" s="1">
        <v>42080</v>
      </c>
      <c r="D2000" t="s">
        <v>19</v>
      </c>
      <c r="E2000">
        <v>0</v>
      </c>
      <c r="F2000">
        <v>34</v>
      </c>
      <c r="G2000">
        <v>33</v>
      </c>
      <c r="H2000">
        <v>0</v>
      </c>
      <c r="I2000" t="s">
        <v>12</v>
      </c>
      <c r="J2000">
        <v>85</v>
      </c>
      <c r="K2000" t="s">
        <v>19</v>
      </c>
      <c r="L2000">
        <v>84</v>
      </c>
      <c r="M2000">
        <f>IF(D2000=I2000,VLOOKUP(D2000,a_win_totals_lookup,MATCH(K2000,a_wins_total_lookup_header,0)+1,0),VLOOKUP(D2000,a_win_totals_lookup,MATCH(I2000,a_wins_total_lookup_header,0)+1,0))</f>
        <v>0.34206091059294946</v>
      </c>
      <c r="N2000">
        <f t="shared" ca="1" si="31"/>
        <v>0</v>
      </c>
    </row>
    <row r="2001" spans="1:14" x14ac:dyDescent="0.25">
      <c r="A2001">
        <v>400579295</v>
      </c>
      <c r="B2001">
        <v>2015</v>
      </c>
      <c r="C2001" s="1">
        <v>42080</v>
      </c>
      <c r="D2001" t="s">
        <v>12</v>
      </c>
      <c r="E2001">
        <v>1</v>
      </c>
      <c r="F2001">
        <v>37</v>
      </c>
      <c r="G2001">
        <v>30</v>
      </c>
      <c r="H2001">
        <v>1</v>
      </c>
      <c r="I2001" t="s">
        <v>12</v>
      </c>
      <c r="J2001">
        <v>85</v>
      </c>
      <c r="K2001" t="s">
        <v>19</v>
      </c>
      <c r="L2001">
        <v>84</v>
      </c>
      <c r="M2001">
        <f>IF(D2001=I2001,VLOOKUP(D2001,a_win_totals_lookup,MATCH(K2001,a_wins_total_lookup_header,0)+1,0),VLOOKUP(D2001,a_win_totals_lookup,MATCH(I2001,a_wins_total_lookup_header,0)+1,0))</f>
        <v>0.65793908940705059</v>
      </c>
      <c r="N2001">
        <f t="shared" ca="1" si="31"/>
        <v>0</v>
      </c>
    </row>
    <row r="2002" spans="1:14" x14ac:dyDescent="0.25">
      <c r="A2002">
        <v>400579296</v>
      </c>
      <c r="B2002">
        <v>2015</v>
      </c>
      <c r="C2002" s="1">
        <v>42080</v>
      </c>
      <c r="D2002" t="s">
        <v>18</v>
      </c>
      <c r="E2002">
        <v>0</v>
      </c>
      <c r="F2002">
        <v>29</v>
      </c>
      <c r="G2002">
        <v>37</v>
      </c>
      <c r="H2002">
        <v>0</v>
      </c>
      <c r="I2002" t="s">
        <v>41</v>
      </c>
      <c r="J2002">
        <v>99</v>
      </c>
      <c r="K2002" t="s">
        <v>18</v>
      </c>
      <c r="L2002">
        <v>92</v>
      </c>
      <c r="M2002">
        <f>IF(D2002=I2002,VLOOKUP(D2002,a_win_totals_lookup,MATCH(K2002,a_wins_total_lookup_header,0)+1,0),VLOOKUP(D2002,a_win_totals_lookup,MATCH(I2002,a_wins_total_lookup_header,0)+1,0))</f>
        <v>0.40969739834145852</v>
      </c>
      <c r="N2002">
        <f t="shared" ca="1" si="31"/>
        <v>0</v>
      </c>
    </row>
    <row r="2003" spans="1:14" x14ac:dyDescent="0.25">
      <c r="A2003">
        <v>400579296</v>
      </c>
      <c r="B2003">
        <v>2015</v>
      </c>
      <c r="C2003" s="1">
        <v>42080</v>
      </c>
      <c r="D2003" t="s">
        <v>41</v>
      </c>
      <c r="E2003">
        <v>1</v>
      </c>
      <c r="F2003">
        <v>43</v>
      </c>
      <c r="G2003">
        <v>25</v>
      </c>
      <c r="H2003">
        <v>1</v>
      </c>
      <c r="I2003" t="s">
        <v>41</v>
      </c>
      <c r="J2003">
        <v>99</v>
      </c>
      <c r="K2003" t="s">
        <v>18</v>
      </c>
      <c r="L2003">
        <v>92</v>
      </c>
      <c r="M2003">
        <f>IF(D2003=I2003,VLOOKUP(D2003,a_win_totals_lookup,MATCH(K2003,a_wins_total_lookup_header,0)+1,0),VLOOKUP(D2003,a_win_totals_lookup,MATCH(I2003,a_wins_total_lookup_header,0)+1,0))</f>
        <v>0.59030260165854143</v>
      </c>
      <c r="N2003">
        <f t="shared" ca="1" si="31"/>
        <v>1</v>
      </c>
    </row>
    <row r="2004" spans="1:14" x14ac:dyDescent="0.25">
      <c r="A2004">
        <v>400579297</v>
      </c>
      <c r="B2004">
        <v>2015</v>
      </c>
      <c r="C2004" s="1">
        <v>42081</v>
      </c>
      <c r="D2004" t="s">
        <v>23</v>
      </c>
      <c r="E2004">
        <v>0</v>
      </c>
      <c r="F2004">
        <v>27</v>
      </c>
      <c r="G2004">
        <v>39</v>
      </c>
      <c r="H2004">
        <v>0</v>
      </c>
      <c r="I2004" t="s">
        <v>40</v>
      </c>
      <c r="J2004">
        <v>117</v>
      </c>
      <c r="K2004" t="s">
        <v>23</v>
      </c>
      <c r="L2004">
        <v>92</v>
      </c>
      <c r="M2004">
        <f>IF(D2004=I2004,VLOOKUP(D2004,a_win_totals_lookup,MATCH(K2004,a_wins_total_lookup_header,0)+1,0),VLOOKUP(D2004,a_win_totals_lookup,MATCH(I2004,a_wins_total_lookup_header,0)+1,0))</f>
        <v>0.35087017426187905</v>
      </c>
      <c r="N2004">
        <f t="shared" ca="1" si="31"/>
        <v>1</v>
      </c>
    </row>
    <row r="2005" spans="1:14" x14ac:dyDescent="0.25">
      <c r="A2005">
        <v>400579297</v>
      </c>
      <c r="B2005">
        <v>2015</v>
      </c>
      <c r="C2005" s="1">
        <v>42081</v>
      </c>
      <c r="D2005" t="s">
        <v>40</v>
      </c>
      <c r="E2005">
        <v>1</v>
      </c>
      <c r="F2005">
        <v>44</v>
      </c>
      <c r="G2005">
        <v>26</v>
      </c>
      <c r="H2005">
        <v>1</v>
      </c>
      <c r="I2005" t="s">
        <v>40</v>
      </c>
      <c r="J2005">
        <v>117</v>
      </c>
      <c r="K2005" t="s">
        <v>23</v>
      </c>
      <c r="L2005">
        <v>92</v>
      </c>
      <c r="M2005">
        <f>IF(D2005=I2005,VLOOKUP(D2005,a_win_totals_lookup,MATCH(K2005,a_wins_total_lookup_header,0)+1,0),VLOOKUP(D2005,a_win_totals_lookup,MATCH(I2005,a_wins_total_lookup_header,0)+1,0))</f>
        <v>0.64912982573812106</v>
      </c>
      <c r="N2005">
        <f t="shared" ca="1" si="31"/>
        <v>1</v>
      </c>
    </row>
    <row r="2006" spans="1:14" x14ac:dyDescent="0.25">
      <c r="A2006">
        <v>400579298</v>
      </c>
      <c r="B2006">
        <v>2015</v>
      </c>
      <c r="C2006" s="1">
        <v>42081</v>
      </c>
      <c r="D2006" t="s">
        <v>33</v>
      </c>
      <c r="E2006">
        <v>0</v>
      </c>
      <c r="F2006">
        <v>24</v>
      </c>
      <c r="G2006">
        <v>44</v>
      </c>
      <c r="H2006">
        <v>0</v>
      </c>
      <c r="I2006" t="s">
        <v>21</v>
      </c>
      <c r="J2006">
        <v>94</v>
      </c>
      <c r="K2006" t="s">
        <v>33</v>
      </c>
      <c r="L2006">
        <v>83</v>
      </c>
      <c r="M2006">
        <f>IF(D2006=I2006,VLOOKUP(D2006,a_win_totals_lookup,MATCH(K2006,a_wins_total_lookup_header,0)+1,0),VLOOKUP(D2006,a_win_totals_lookup,MATCH(I2006,a_wins_total_lookup_header,0)+1,0))</f>
        <v>0.65818817024414811</v>
      </c>
      <c r="N2006">
        <f t="shared" ca="1" si="31"/>
        <v>1</v>
      </c>
    </row>
    <row r="2007" spans="1:14" x14ac:dyDescent="0.25">
      <c r="A2007">
        <v>400579298</v>
      </c>
      <c r="B2007">
        <v>2015</v>
      </c>
      <c r="C2007" s="1">
        <v>42081</v>
      </c>
      <c r="D2007" t="s">
        <v>21</v>
      </c>
      <c r="E2007">
        <v>1</v>
      </c>
      <c r="F2007">
        <v>16</v>
      </c>
      <c r="G2007">
        <v>52</v>
      </c>
      <c r="H2007">
        <v>1</v>
      </c>
      <c r="I2007" t="s">
        <v>21</v>
      </c>
      <c r="J2007">
        <v>94</v>
      </c>
      <c r="K2007" t="s">
        <v>33</v>
      </c>
      <c r="L2007">
        <v>83</v>
      </c>
      <c r="M2007">
        <f>IF(D2007=I2007,VLOOKUP(D2007,a_win_totals_lookup,MATCH(K2007,a_wins_total_lookup_header,0)+1,0),VLOOKUP(D2007,a_win_totals_lookup,MATCH(I2007,a_wins_total_lookup_header,0)+1,0))</f>
        <v>0.34181182975585189</v>
      </c>
      <c r="N2007">
        <f t="shared" ca="1" si="31"/>
        <v>1</v>
      </c>
    </row>
    <row r="2008" spans="1:14" x14ac:dyDescent="0.25">
      <c r="A2008">
        <v>400579299</v>
      </c>
      <c r="B2008">
        <v>2015</v>
      </c>
      <c r="C2008" s="1">
        <v>42081</v>
      </c>
      <c r="D2008" t="s">
        <v>24</v>
      </c>
      <c r="E2008">
        <v>1</v>
      </c>
      <c r="F2008">
        <v>31</v>
      </c>
      <c r="G2008">
        <v>36</v>
      </c>
      <c r="H2008">
        <v>1</v>
      </c>
      <c r="I2008" t="s">
        <v>24</v>
      </c>
      <c r="J2008">
        <v>108</v>
      </c>
      <c r="K2008" t="s">
        <v>39</v>
      </c>
      <c r="L2008">
        <v>104</v>
      </c>
      <c r="M2008">
        <f>IF(D2008=I2008,VLOOKUP(D2008,a_win_totals_lookup,MATCH(K2008,a_wins_total_lookup_header,0)+1,0),VLOOKUP(D2008,a_win_totals_lookup,MATCH(I2008,a_wins_total_lookup_header,0)+1,0))</f>
        <v>0.45872797939141957</v>
      </c>
      <c r="N2008">
        <f t="shared" ca="1" si="31"/>
        <v>1</v>
      </c>
    </row>
    <row r="2009" spans="1:14" x14ac:dyDescent="0.25">
      <c r="A2009">
        <v>400579299</v>
      </c>
      <c r="B2009">
        <v>2015</v>
      </c>
      <c r="C2009" s="1">
        <v>42081</v>
      </c>
      <c r="D2009" t="s">
        <v>39</v>
      </c>
      <c r="E2009">
        <v>0</v>
      </c>
      <c r="F2009">
        <v>44</v>
      </c>
      <c r="G2009">
        <v>22</v>
      </c>
      <c r="H2009">
        <v>0</v>
      </c>
      <c r="I2009" t="s">
        <v>24</v>
      </c>
      <c r="J2009">
        <v>108</v>
      </c>
      <c r="K2009" t="s">
        <v>39</v>
      </c>
      <c r="L2009">
        <v>104</v>
      </c>
      <c r="M2009">
        <f>IF(D2009=I2009,VLOOKUP(D2009,a_win_totals_lookup,MATCH(K2009,a_wins_total_lookup_header,0)+1,0),VLOOKUP(D2009,a_win_totals_lookup,MATCH(I2009,a_wins_total_lookup_header,0)+1,0))</f>
        <v>0.54127202060858037</v>
      </c>
      <c r="N2009">
        <f t="shared" ca="1" si="31"/>
        <v>1</v>
      </c>
    </row>
    <row r="2010" spans="1:14" x14ac:dyDescent="0.25">
      <c r="A2010">
        <v>400579300</v>
      </c>
      <c r="B2010">
        <v>2015</v>
      </c>
      <c r="C2010" s="1">
        <v>42081</v>
      </c>
      <c r="D2010" t="s">
        <v>29</v>
      </c>
      <c r="E2010">
        <v>0</v>
      </c>
      <c r="F2010">
        <v>14</v>
      </c>
      <c r="G2010">
        <v>53</v>
      </c>
      <c r="H2010">
        <v>0</v>
      </c>
      <c r="I2010" t="s">
        <v>27</v>
      </c>
      <c r="J2010">
        <v>105</v>
      </c>
      <c r="K2010" t="s">
        <v>29</v>
      </c>
      <c r="L2010">
        <v>100</v>
      </c>
      <c r="M2010">
        <f>IF(D2010=I2010,VLOOKUP(D2010,a_win_totals_lookup,MATCH(K2010,a_wins_total_lookup_header,0)+1,0),VLOOKUP(D2010,a_win_totals_lookup,MATCH(I2010,a_wins_total_lookup_header,0)+1,0))</f>
        <v>0.24120874132126804</v>
      </c>
      <c r="N2010">
        <f t="shared" ca="1" si="31"/>
        <v>0</v>
      </c>
    </row>
    <row r="2011" spans="1:14" x14ac:dyDescent="0.25">
      <c r="A2011">
        <v>400579300</v>
      </c>
      <c r="B2011">
        <v>2015</v>
      </c>
      <c r="C2011" s="1">
        <v>42081</v>
      </c>
      <c r="D2011" t="s">
        <v>27</v>
      </c>
      <c r="E2011">
        <v>1</v>
      </c>
      <c r="F2011">
        <v>41</v>
      </c>
      <c r="G2011">
        <v>27</v>
      </c>
      <c r="H2011">
        <v>1</v>
      </c>
      <c r="I2011" t="s">
        <v>27</v>
      </c>
      <c r="J2011">
        <v>105</v>
      </c>
      <c r="K2011" t="s">
        <v>29</v>
      </c>
      <c r="L2011">
        <v>100</v>
      </c>
      <c r="M2011">
        <f>IF(D2011=I2011,VLOOKUP(D2011,a_win_totals_lookup,MATCH(K2011,a_wins_total_lookup_header,0)+1,0),VLOOKUP(D2011,a_win_totals_lookup,MATCH(I2011,a_wins_total_lookup_header,0)+1,0))</f>
        <v>0.75879125867873198</v>
      </c>
      <c r="N2011">
        <f t="shared" ca="1" si="31"/>
        <v>0</v>
      </c>
    </row>
    <row r="2012" spans="1:14" x14ac:dyDescent="0.25">
      <c r="A2012">
        <v>400579301</v>
      </c>
      <c r="B2012">
        <v>2015</v>
      </c>
      <c r="C2012" s="1">
        <v>42081</v>
      </c>
      <c r="D2012" t="s">
        <v>30</v>
      </c>
      <c r="E2012">
        <v>1</v>
      </c>
      <c r="F2012">
        <v>41</v>
      </c>
      <c r="G2012">
        <v>28</v>
      </c>
      <c r="H2012">
        <v>1</v>
      </c>
      <c r="I2012" t="s">
        <v>30</v>
      </c>
      <c r="J2012">
        <v>103</v>
      </c>
      <c r="K2012" t="s">
        <v>20</v>
      </c>
      <c r="L2012">
        <v>86</v>
      </c>
      <c r="M2012">
        <f>IF(D2012=I2012,VLOOKUP(D2012,a_win_totals_lookup,MATCH(K2012,a_wins_total_lookup_header,0)+1,0),VLOOKUP(D2012,a_win_totals_lookup,MATCH(I2012,a_wins_total_lookup_header,0)+1,0))</f>
        <v>0.69383845122039145</v>
      </c>
      <c r="N2012">
        <f t="shared" ca="1" si="31"/>
        <v>0</v>
      </c>
    </row>
    <row r="2013" spans="1:14" x14ac:dyDescent="0.25">
      <c r="A2013">
        <v>400579301</v>
      </c>
      <c r="B2013">
        <v>2015</v>
      </c>
      <c r="C2013" s="1">
        <v>42081</v>
      </c>
      <c r="D2013" t="s">
        <v>20</v>
      </c>
      <c r="E2013">
        <v>0</v>
      </c>
      <c r="F2013">
        <v>30</v>
      </c>
      <c r="G2013">
        <v>37</v>
      </c>
      <c r="H2013">
        <v>0</v>
      </c>
      <c r="I2013" t="s">
        <v>30</v>
      </c>
      <c r="J2013">
        <v>103</v>
      </c>
      <c r="K2013" t="s">
        <v>20</v>
      </c>
      <c r="L2013">
        <v>86</v>
      </c>
      <c r="M2013">
        <f>IF(D2013=I2013,VLOOKUP(D2013,a_win_totals_lookup,MATCH(K2013,a_wins_total_lookup_header,0)+1,0),VLOOKUP(D2013,a_win_totals_lookup,MATCH(I2013,a_wins_total_lookup_header,0)+1,0))</f>
        <v>0.30616154877960861</v>
      </c>
      <c r="N2013">
        <f t="shared" ca="1" si="31"/>
        <v>0</v>
      </c>
    </row>
    <row r="2014" spans="1:14" x14ac:dyDescent="0.25">
      <c r="A2014">
        <v>400579302</v>
      </c>
      <c r="B2014">
        <v>2015</v>
      </c>
      <c r="C2014" s="1">
        <v>42081</v>
      </c>
      <c r="D2014" t="s">
        <v>19</v>
      </c>
      <c r="E2014">
        <v>0</v>
      </c>
      <c r="F2014">
        <v>34</v>
      </c>
      <c r="G2014">
        <v>34</v>
      </c>
      <c r="H2014">
        <v>1</v>
      </c>
      <c r="I2014" t="s">
        <v>19</v>
      </c>
      <c r="J2014">
        <v>103</v>
      </c>
      <c r="K2014" t="s">
        <v>15</v>
      </c>
      <c r="L2014">
        <v>114</v>
      </c>
      <c r="M2014">
        <f>IF(D2014=I2014,VLOOKUP(D2014,a_win_totals_lookup,MATCH(K2014,a_wins_total_lookup_header,0)+1,0),VLOOKUP(D2014,a_win_totals_lookup,MATCH(I2014,a_wins_total_lookup_header,0)+1,0))</f>
        <v>0.23628580799123672</v>
      </c>
      <c r="N2014">
        <f t="shared" ca="1" si="31"/>
        <v>0</v>
      </c>
    </row>
    <row r="2015" spans="1:14" x14ac:dyDescent="0.25">
      <c r="A2015">
        <v>400579302</v>
      </c>
      <c r="B2015">
        <v>2015</v>
      </c>
      <c r="C2015" s="1">
        <v>42081</v>
      </c>
      <c r="D2015" t="s">
        <v>15</v>
      </c>
      <c r="E2015">
        <v>1</v>
      </c>
      <c r="F2015">
        <v>42</v>
      </c>
      <c r="G2015">
        <v>25</v>
      </c>
      <c r="H2015">
        <v>0</v>
      </c>
      <c r="I2015" t="s">
        <v>19</v>
      </c>
      <c r="J2015">
        <v>103</v>
      </c>
      <c r="K2015" t="s">
        <v>15</v>
      </c>
      <c r="L2015">
        <v>114</v>
      </c>
      <c r="M2015">
        <f>IF(D2015=I2015,VLOOKUP(D2015,a_win_totals_lookup,MATCH(K2015,a_wins_total_lookup_header,0)+1,0),VLOOKUP(D2015,a_win_totals_lookup,MATCH(I2015,a_wins_total_lookup_header,0)+1,0))</f>
        <v>0.76371419200876312</v>
      </c>
      <c r="N2015">
        <f t="shared" ca="1" si="31"/>
        <v>1</v>
      </c>
    </row>
    <row r="2016" spans="1:14" x14ac:dyDescent="0.25">
      <c r="A2016">
        <v>400579303</v>
      </c>
      <c r="B2016">
        <v>2015</v>
      </c>
      <c r="C2016" s="1">
        <v>42081</v>
      </c>
      <c r="D2016" t="s">
        <v>22</v>
      </c>
      <c r="E2016">
        <v>0</v>
      </c>
      <c r="F2016">
        <v>30</v>
      </c>
      <c r="G2016">
        <v>37</v>
      </c>
      <c r="H2016">
        <v>0</v>
      </c>
      <c r="I2016" t="s">
        <v>38</v>
      </c>
      <c r="J2016">
        <v>122</v>
      </c>
      <c r="K2016" t="s">
        <v>22</v>
      </c>
      <c r="L2016">
        <v>118</v>
      </c>
      <c r="M2016">
        <f>IF(D2016=I2016,VLOOKUP(D2016,a_win_totals_lookup,MATCH(K2016,a_wins_total_lookup_header,0)+1,0),VLOOKUP(D2016,a_win_totals_lookup,MATCH(I2016,a_wins_total_lookup_header,0)+1,0))</f>
        <v>0.23114261401714065</v>
      </c>
      <c r="N2016">
        <f t="shared" ca="1" si="31"/>
        <v>0</v>
      </c>
    </row>
    <row r="2017" spans="1:14" x14ac:dyDescent="0.25">
      <c r="A2017">
        <v>400579303</v>
      </c>
      <c r="B2017">
        <v>2015</v>
      </c>
      <c r="C2017" s="1">
        <v>42081</v>
      </c>
      <c r="D2017" t="s">
        <v>38</v>
      </c>
      <c r="E2017">
        <v>1</v>
      </c>
      <c r="F2017">
        <v>38</v>
      </c>
      <c r="G2017">
        <v>30</v>
      </c>
      <c r="H2017">
        <v>1</v>
      </c>
      <c r="I2017" t="s">
        <v>38</v>
      </c>
      <c r="J2017">
        <v>122</v>
      </c>
      <c r="K2017" t="s">
        <v>22</v>
      </c>
      <c r="L2017">
        <v>118</v>
      </c>
      <c r="M2017">
        <f>IF(D2017=I2017,VLOOKUP(D2017,a_win_totals_lookup,MATCH(K2017,a_wins_total_lookup_header,0)+1,0),VLOOKUP(D2017,a_win_totals_lookup,MATCH(I2017,a_wins_total_lookup_header,0)+1,0))</f>
        <v>0.76885738598285935</v>
      </c>
      <c r="N2017">
        <f t="shared" ca="1" si="31"/>
        <v>1</v>
      </c>
    </row>
    <row r="2018" spans="1:14" x14ac:dyDescent="0.25">
      <c r="A2018">
        <v>400579304</v>
      </c>
      <c r="B2018">
        <v>2015</v>
      </c>
      <c r="C2018" s="1">
        <v>42081</v>
      </c>
      <c r="D2018" t="s">
        <v>14</v>
      </c>
      <c r="E2018">
        <v>1</v>
      </c>
      <c r="F2018">
        <v>44</v>
      </c>
      <c r="G2018">
        <v>25</v>
      </c>
      <c r="H2018">
        <v>1</v>
      </c>
      <c r="I2018" t="s">
        <v>14</v>
      </c>
      <c r="J2018">
        <v>107</v>
      </c>
      <c r="K2018" t="s">
        <v>13</v>
      </c>
      <c r="L2018">
        <v>102</v>
      </c>
      <c r="M2018">
        <f>IF(D2018=I2018,VLOOKUP(D2018,a_win_totals_lookup,MATCH(K2018,a_wins_total_lookup_header,0)+1,0),VLOOKUP(D2018,a_win_totals_lookup,MATCH(I2018,a_wins_total_lookup_header,0)+1,0))</f>
        <v>0.71526442122822687</v>
      </c>
      <c r="N2018">
        <f t="shared" ca="1" si="31"/>
        <v>0</v>
      </c>
    </row>
    <row r="2019" spans="1:14" x14ac:dyDescent="0.25">
      <c r="A2019">
        <v>400579304</v>
      </c>
      <c r="B2019">
        <v>2015</v>
      </c>
      <c r="C2019" s="1">
        <v>42081</v>
      </c>
      <c r="D2019" t="s">
        <v>13</v>
      </c>
      <c r="E2019">
        <v>0</v>
      </c>
      <c r="F2019">
        <v>21</v>
      </c>
      <c r="G2019">
        <v>49</v>
      </c>
      <c r="H2019">
        <v>0</v>
      </c>
      <c r="I2019" t="s">
        <v>14</v>
      </c>
      <c r="J2019">
        <v>107</v>
      </c>
      <c r="K2019" t="s">
        <v>13</v>
      </c>
      <c r="L2019">
        <v>102</v>
      </c>
      <c r="M2019">
        <f>IF(D2019=I2019,VLOOKUP(D2019,a_win_totals_lookup,MATCH(K2019,a_wins_total_lookup_header,0)+1,0),VLOOKUP(D2019,a_win_totals_lookup,MATCH(I2019,a_wins_total_lookup_header,0)+1,0))</f>
        <v>0.28473557877177313</v>
      </c>
      <c r="N2019">
        <f t="shared" ca="1" si="31"/>
        <v>1</v>
      </c>
    </row>
    <row r="2020" spans="1:14" x14ac:dyDescent="0.25">
      <c r="A2020">
        <v>400579305</v>
      </c>
      <c r="B2020">
        <v>2015</v>
      </c>
      <c r="C2020" s="1">
        <v>42081</v>
      </c>
      <c r="D2020" t="s">
        <v>41</v>
      </c>
      <c r="E2020">
        <v>1</v>
      </c>
      <c r="F2020">
        <v>44</v>
      </c>
      <c r="G2020">
        <v>25</v>
      </c>
      <c r="H2020">
        <v>0</v>
      </c>
      <c r="I2020" t="s">
        <v>37</v>
      </c>
      <c r="J2020">
        <v>105</v>
      </c>
      <c r="K2020" t="s">
        <v>41</v>
      </c>
      <c r="L2020">
        <v>116</v>
      </c>
      <c r="M2020">
        <f>IF(D2020=I2020,VLOOKUP(D2020,a_win_totals_lookup,MATCH(K2020,a_wins_total_lookup_header,0)+1,0),VLOOKUP(D2020,a_win_totals_lookup,MATCH(I2020,a_wins_total_lookup_header,0)+1,0))</f>
        <v>0.71629315358675483</v>
      </c>
      <c r="N2020">
        <f t="shared" ca="1" si="31"/>
        <v>0</v>
      </c>
    </row>
    <row r="2021" spans="1:14" x14ac:dyDescent="0.25">
      <c r="A2021">
        <v>400579305</v>
      </c>
      <c r="B2021">
        <v>2015</v>
      </c>
      <c r="C2021" s="1">
        <v>42081</v>
      </c>
      <c r="D2021" t="s">
        <v>37</v>
      </c>
      <c r="E2021">
        <v>0</v>
      </c>
      <c r="F2021">
        <v>22</v>
      </c>
      <c r="G2021">
        <v>45</v>
      </c>
      <c r="H2021">
        <v>1</v>
      </c>
      <c r="I2021" t="s">
        <v>37</v>
      </c>
      <c r="J2021">
        <v>105</v>
      </c>
      <c r="K2021" t="s">
        <v>41</v>
      </c>
      <c r="L2021">
        <v>116</v>
      </c>
      <c r="M2021">
        <f>IF(D2021=I2021,VLOOKUP(D2021,a_win_totals_lookup,MATCH(K2021,a_wins_total_lookup_header,0)+1,0),VLOOKUP(D2021,a_win_totals_lookup,MATCH(I2021,a_wins_total_lookup_header,0)+1,0))</f>
        <v>0.28370684641324517</v>
      </c>
      <c r="N2021">
        <f t="shared" ca="1" si="31"/>
        <v>0</v>
      </c>
    </row>
    <row r="2022" spans="1:14" x14ac:dyDescent="0.25">
      <c r="A2022">
        <v>400579306</v>
      </c>
      <c r="B2022">
        <v>2015</v>
      </c>
      <c r="C2022" s="1">
        <v>42081</v>
      </c>
      <c r="D2022" t="s">
        <v>26</v>
      </c>
      <c r="E2022">
        <v>0</v>
      </c>
      <c r="F2022">
        <v>53</v>
      </c>
      <c r="G2022">
        <v>15</v>
      </c>
      <c r="H2022">
        <v>0</v>
      </c>
      <c r="I2022" t="s">
        <v>36</v>
      </c>
      <c r="J2022">
        <v>114</v>
      </c>
      <c r="K2022" t="s">
        <v>26</v>
      </c>
      <c r="L2022">
        <v>95</v>
      </c>
      <c r="M2022">
        <f>IF(D2022=I2022,VLOOKUP(D2022,a_win_totals_lookup,MATCH(K2022,a_wins_total_lookup_header,0)+1,0),VLOOKUP(D2022,a_win_totals_lookup,MATCH(I2022,a_wins_total_lookup_header,0)+1,0))</f>
        <v>0.41544436809019553</v>
      </c>
      <c r="N2022">
        <f t="shared" ca="1" si="31"/>
        <v>0</v>
      </c>
    </row>
    <row r="2023" spans="1:14" x14ac:dyDescent="0.25">
      <c r="A2023">
        <v>400579306</v>
      </c>
      <c r="B2023">
        <v>2015</v>
      </c>
      <c r="C2023" s="1">
        <v>42081</v>
      </c>
      <c r="D2023" t="s">
        <v>36</v>
      </c>
      <c r="E2023">
        <v>1</v>
      </c>
      <c r="F2023">
        <v>54</v>
      </c>
      <c r="G2023">
        <v>13</v>
      </c>
      <c r="H2023">
        <v>1</v>
      </c>
      <c r="I2023" t="s">
        <v>36</v>
      </c>
      <c r="J2023">
        <v>114</v>
      </c>
      <c r="K2023" t="s">
        <v>26</v>
      </c>
      <c r="L2023">
        <v>95</v>
      </c>
      <c r="M2023">
        <f>IF(D2023=I2023,VLOOKUP(D2023,a_win_totals_lookup,MATCH(K2023,a_wins_total_lookup_header,0)+1,0),VLOOKUP(D2023,a_win_totals_lookup,MATCH(I2023,a_wins_total_lookup_header,0)+1,0))</f>
        <v>0.58455563190980453</v>
      </c>
      <c r="N2023">
        <f t="shared" ca="1" si="31"/>
        <v>0</v>
      </c>
    </row>
    <row r="2024" spans="1:14" x14ac:dyDescent="0.25">
      <c r="A2024">
        <v>400579307</v>
      </c>
      <c r="B2024">
        <v>2015</v>
      </c>
      <c r="C2024" s="1">
        <v>42081</v>
      </c>
      <c r="D2024" t="s">
        <v>34</v>
      </c>
      <c r="E2024">
        <v>0</v>
      </c>
      <c r="F2024">
        <v>30</v>
      </c>
      <c r="G2024">
        <v>37</v>
      </c>
      <c r="H2024">
        <v>1</v>
      </c>
      <c r="I2024" t="s">
        <v>34</v>
      </c>
      <c r="J2024">
        <v>84</v>
      </c>
      <c r="K2024" t="s">
        <v>25</v>
      </c>
      <c r="L2024">
        <v>88</v>
      </c>
      <c r="M2024">
        <f>IF(D2024=I2024,VLOOKUP(D2024,a_win_totals_lookup,MATCH(K2024,a_wins_total_lookup_header,0)+1,0),VLOOKUP(D2024,a_win_totals_lookup,MATCH(I2024,a_wins_total_lookup_header,0)+1,0))</f>
        <v>0.31352139396241918</v>
      </c>
      <c r="N2024">
        <f t="shared" ca="1" si="31"/>
        <v>0</v>
      </c>
    </row>
    <row r="2025" spans="1:14" x14ac:dyDescent="0.25">
      <c r="A2025">
        <v>400579307</v>
      </c>
      <c r="B2025">
        <v>2015</v>
      </c>
      <c r="C2025" s="1">
        <v>42081</v>
      </c>
      <c r="D2025" t="s">
        <v>25</v>
      </c>
      <c r="E2025">
        <v>1</v>
      </c>
      <c r="F2025">
        <v>40</v>
      </c>
      <c r="G2025">
        <v>28</v>
      </c>
      <c r="H2025">
        <v>0</v>
      </c>
      <c r="I2025" t="s">
        <v>34</v>
      </c>
      <c r="J2025">
        <v>84</v>
      </c>
      <c r="K2025" t="s">
        <v>25</v>
      </c>
      <c r="L2025">
        <v>88</v>
      </c>
      <c r="M2025">
        <f>IF(D2025=I2025,VLOOKUP(D2025,a_win_totals_lookup,MATCH(K2025,a_wins_total_lookup_header,0)+1,0),VLOOKUP(D2025,a_win_totals_lookup,MATCH(I2025,a_wins_total_lookup_header,0)+1,0))</f>
        <v>0.68647860603758082</v>
      </c>
      <c r="N2025">
        <f t="shared" ca="1" si="31"/>
        <v>0</v>
      </c>
    </row>
    <row r="2026" spans="1:14" x14ac:dyDescent="0.25">
      <c r="A2026">
        <v>400579308</v>
      </c>
      <c r="B2026">
        <v>2015</v>
      </c>
      <c r="C2026" s="1">
        <v>42082</v>
      </c>
      <c r="D2026" t="s">
        <v>29</v>
      </c>
      <c r="E2026">
        <v>1</v>
      </c>
      <c r="F2026">
        <v>15</v>
      </c>
      <c r="G2026">
        <v>53</v>
      </c>
      <c r="H2026">
        <v>0</v>
      </c>
      <c r="I2026" t="s">
        <v>31</v>
      </c>
      <c r="J2026">
        <v>92</v>
      </c>
      <c r="K2026" t="s">
        <v>29</v>
      </c>
      <c r="L2026">
        <v>95</v>
      </c>
      <c r="M2026">
        <f>IF(D2026=I2026,VLOOKUP(D2026,a_win_totals_lookup,MATCH(K2026,a_wins_total_lookup_header,0)+1,0),VLOOKUP(D2026,a_win_totals_lookup,MATCH(I2026,a_wins_total_lookup_header,0)+1,0))</f>
        <v>0.33715695553306341</v>
      </c>
      <c r="N2026">
        <f t="shared" ca="1" si="31"/>
        <v>1</v>
      </c>
    </row>
    <row r="2027" spans="1:14" x14ac:dyDescent="0.25">
      <c r="A2027">
        <v>400579308</v>
      </c>
      <c r="B2027">
        <v>2015</v>
      </c>
      <c r="C2027" s="1">
        <v>42082</v>
      </c>
      <c r="D2027" t="s">
        <v>31</v>
      </c>
      <c r="E2027">
        <v>0</v>
      </c>
      <c r="F2027">
        <v>14</v>
      </c>
      <c r="G2027">
        <v>54</v>
      </c>
      <c r="H2027">
        <v>1</v>
      </c>
      <c r="I2027" t="s">
        <v>31</v>
      </c>
      <c r="J2027">
        <v>92</v>
      </c>
      <c r="K2027" t="s">
        <v>29</v>
      </c>
      <c r="L2027">
        <v>95</v>
      </c>
      <c r="M2027">
        <f>IF(D2027=I2027,VLOOKUP(D2027,a_win_totals_lookup,MATCH(K2027,a_wins_total_lookup_header,0)+1,0),VLOOKUP(D2027,a_win_totals_lookup,MATCH(I2027,a_wins_total_lookup_header,0)+1,0))</f>
        <v>0.66284304446693665</v>
      </c>
      <c r="N2027">
        <f t="shared" ca="1" si="31"/>
        <v>1</v>
      </c>
    </row>
    <row r="2028" spans="1:14" x14ac:dyDescent="0.25">
      <c r="A2028">
        <v>400579309</v>
      </c>
      <c r="B2028">
        <v>2015</v>
      </c>
      <c r="C2028" s="1">
        <v>42082</v>
      </c>
      <c r="D2028" t="s">
        <v>32</v>
      </c>
      <c r="E2028">
        <v>0</v>
      </c>
      <c r="F2028">
        <v>26</v>
      </c>
      <c r="G2028">
        <v>43</v>
      </c>
      <c r="H2028">
        <v>0</v>
      </c>
      <c r="I2028" t="s">
        <v>16</v>
      </c>
      <c r="J2028">
        <v>118</v>
      </c>
      <c r="K2028" t="s">
        <v>32</v>
      </c>
      <c r="L2028">
        <v>108</v>
      </c>
      <c r="M2028">
        <f>IF(D2028=I2028,VLOOKUP(D2028,a_win_totals_lookup,MATCH(K2028,a_wins_total_lookup_header,0)+1,0),VLOOKUP(D2028,a_win_totals_lookup,MATCH(I2028,a_wins_total_lookup_header,0)+1,0))</f>
        <v>0.41758613378174975</v>
      </c>
      <c r="N2028">
        <f t="shared" ca="1" si="31"/>
        <v>0</v>
      </c>
    </row>
    <row r="2029" spans="1:14" x14ac:dyDescent="0.25">
      <c r="A2029">
        <v>400579309</v>
      </c>
      <c r="B2029">
        <v>2015</v>
      </c>
      <c r="C2029" s="1">
        <v>42082</v>
      </c>
      <c r="D2029" t="s">
        <v>16</v>
      </c>
      <c r="E2029">
        <v>1</v>
      </c>
      <c r="F2029">
        <v>46</v>
      </c>
      <c r="G2029">
        <v>22</v>
      </c>
      <c r="H2029">
        <v>1</v>
      </c>
      <c r="I2029" t="s">
        <v>16</v>
      </c>
      <c r="J2029">
        <v>118</v>
      </c>
      <c r="K2029" t="s">
        <v>32</v>
      </c>
      <c r="L2029">
        <v>108</v>
      </c>
      <c r="M2029">
        <f>IF(D2029=I2029,VLOOKUP(D2029,a_win_totals_lookup,MATCH(K2029,a_wins_total_lookup_header,0)+1,0),VLOOKUP(D2029,a_win_totals_lookup,MATCH(I2029,a_wins_total_lookup_header,0)+1,0))</f>
        <v>0.5824138662182502</v>
      </c>
      <c r="N2029">
        <f t="shared" ca="1" si="31"/>
        <v>1</v>
      </c>
    </row>
    <row r="2030" spans="1:14" x14ac:dyDescent="0.25">
      <c r="A2030">
        <v>400579310</v>
      </c>
      <c r="B2030">
        <v>2015</v>
      </c>
      <c r="C2030" s="1">
        <v>42082</v>
      </c>
      <c r="D2030" t="s">
        <v>12</v>
      </c>
      <c r="E2030">
        <v>0</v>
      </c>
      <c r="F2030">
        <v>37</v>
      </c>
      <c r="G2030">
        <v>31</v>
      </c>
      <c r="H2030">
        <v>0</v>
      </c>
      <c r="I2030" t="s">
        <v>35</v>
      </c>
      <c r="J2030">
        <v>74</v>
      </c>
      <c r="K2030" t="s">
        <v>12</v>
      </c>
      <c r="L2030">
        <v>72</v>
      </c>
      <c r="M2030">
        <f>IF(D2030=I2030,VLOOKUP(D2030,a_win_totals_lookup,MATCH(K2030,a_wins_total_lookup_header,0)+1,0),VLOOKUP(D2030,a_win_totals_lookup,MATCH(I2030,a_wins_total_lookup_header,0)+1,0))</f>
        <v>0.47439806002693663</v>
      </c>
      <c r="N2030">
        <f t="shared" ca="1" si="31"/>
        <v>1</v>
      </c>
    </row>
    <row r="2031" spans="1:14" x14ac:dyDescent="0.25">
      <c r="A2031">
        <v>400579310</v>
      </c>
      <c r="B2031">
        <v>2015</v>
      </c>
      <c r="C2031" s="1">
        <v>42082</v>
      </c>
      <c r="D2031" t="s">
        <v>35</v>
      </c>
      <c r="E2031">
        <v>1</v>
      </c>
      <c r="F2031">
        <v>36</v>
      </c>
      <c r="G2031">
        <v>33</v>
      </c>
      <c r="H2031">
        <v>1</v>
      </c>
      <c r="I2031" t="s">
        <v>35</v>
      </c>
      <c r="J2031">
        <v>74</v>
      </c>
      <c r="K2031" t="s">
        <v>12</v>
      </c>
      <c r="L2031">
        <v>72</v>
      </c>
      <c r="M2031">
        <f>IF(D2031=I2031,VLOOKUP(D2031,a_win_totals_lookup,MATCH(K2031,a_wins_total_lookup_header,0)+1,0),VLOOKUP(D2031,a_win_totals_lookup,MATCH(I2031,a_wins_total_lookup_header,0)+1,0))</f>
        <v>0.52560193997306337</v>
      </c>
      <c r="N2031">
        <f t="shared" ca="1" si="31"/>
        <v>1</v>
      </c>
    </row>
    <row r="2032" spans="1:14" x14ac:dyDescent="0.25">
      <c r="A2032">
        <v>400579311</v>
      </c>
      <c r="B2032">
        <v>2015</v>
      </c>
      <c r="C2032" s="1">
        <v>42082</v>
      </c>
      <c r="D2032" t="s">
        <v>17</v>
      </c>
      <c r="E2032">
        <v>0</v>
      </c>
      <c r="F2032">
        <v>17</v>
      </c>
      <c r="G2032">
        <v>50</v>
      </c>
      <c r="H2032">
        <v>1</v>
      </c>
      <c r="I2032" t="s">
        <v>17</v>
      </c>
      <c r="J2032">
        <v>73</v>
      </c>
      <c r="K2032" t="s">
        <v>34</v>
      </c>
      <c r="L2032">
        <v>80</v>
      </c>
      <c r="M2032">
        <f>IF(D2032=I2032,VLOOKUP(D2032,a_win_totals_lookup,MATCH(K2032,a_wins_total_lookup_header,0)+1,0),VLOOKUP(D2032,a_win_totals_lookup,MATCH(I2032,a_wins_total_lookup_header,0)+1,0))</f>
        <v>0.53496419100371084</v>
      </c>
      <c r="N2032">
        <f t="shared" ca="1" si="31"/>
        <v>1</v>
      </c>
    </row>
    <row r="2033" spans="1:14" x14ac:dyDescent="0.25">
      <c r="A2033">
        <v>400579311</v>
      </c>
      <c r="B2033">
        <v>2015</v>
      </c>
      <c r="C2033" s="1">
        <v>42082</v>
      </c>
      <c r="D2033" t="s">
        <v>34</v>
      </c>
      <c r="E2033">
        <v>1</v>
      </c>
      <c r="F2033">
        <v>31</v>
      </c>
      <c r="G2033">
        <v>37</v>
      </c>
      <c r="H2033">
        <v>0</v>
      </c>
      <c r="I2033" t="s">
        <v>17</v>
      </c>
      <c r="J2033">
        <v>73</v>
      </c>
      <c r="K2033" t="s">
        <v>34</v>
      </c>
      <c r="L2033">
        <v>80</v>
      </c>
      <c r="M2033">
        <f>IF(D2033=I2033,VLOOKUP(D2033,a_win_totals_lookup,MATCH(K2033,a_wins_total_lookup_header,0)+1,0),VLOOKUP(D2033,a_win_totals_lookup,MATCH(I2033,a_wins_total_lookup_header,0)+1,0))</f>
        <v>0.46503580899628916</v>
      </c>
      <c r="N2033">
        <f t="shared" ca="1" si="31"/>
        <v>0</v>
      </c>
    </row>
    <row r="2034" spans="1:14" x14ac:dyDescent="0.25">
      <c r="A2034">
        <v>400579312</v>
      </c>
      <c r="B2034">
        <v>2015</v>
      </c>
      <c r="C2034" s="1">
        <v>42083</v>
      </c>
      <c r="D2034" t="s">
        <v>13</v>
      </c>
      <c r="E2034">
        <v>1</v>
      </c>
      <c r="F2034">
        <v>22</v>
      </c>
      <c r="G2034">
        <v>49</v>
      </c>
      <c r="H2034">
        <v>1</v>
      </c>
      <c r="I2034" t="s">
        <v>13</v>
      </c>
      <c r="J2034">
        <v>111</v>
      </c>
      <c r="K2034" t="s">
        <v>39</v>
      </c>
      <c r="L2034">
        <v>104</v>
      </c>
      <c r="M2034">
        <f>IF(D2034=I2034,VLOOKUP(D2034,a_win_totals_lookup,MATCH(K2034,a_wins_total_lookup_header,0)+1,0),VLOOKUP(D2034,a_win_totals_lookup,MATCH(I2034,a_wins_total_lookup_header,0)+1,0))</f>
        <v>0.305452997556169</v>
      </c>
      <c r="N2034">
        <f t="shared" ca="1" si="31"/>
        <v>1</v>
      </c>
    </row>
    <row r="2035" spans="1:14" x14ac:dyDescent="0.25">
      <c r="A2035">
        <v>400579312</v>
      </c>
      <c r="B2035">
        <v>2015</v>
      </c>
      <c r="C2035" s="1">
        <v>42083</v>
      </c>
      <c r="D2035" t="s">
        <v>39</v>
      </c>
      <c r="E2035">
        <v>0</v>
      </c>
      <c r="F2035">
        <v>44</v>
      </c>
      <c r="G2035">
        <v>23</v>
      </c>
      <c r="H2035">
        <v>0</v>
      </c>
      <c r="I2035" t="s">
        <v>13</v>
      </c>
      <c r="J2035">
        <v>111</v>
      </c>
      <c r="K2035" t="s">
        <v>39</v>
      </c>
      <c r="L2035">
        <v>104</v>
      </c>
      <c r="M2035">
        <f>IF(D2035=I2035,VLOOKUP(D2035,a_win_totals_lookup,MATCH(K2035,a_wins_total_lookup_header,0)+1,0),VLOOKUP(D2035,a_win_totals_lookup,MATCH(I2035,a_wins_total_lookup_header,0)+1,0))</f>
        <v>0.69454700244383094</v>
      </c>
      <c r="N2035">
        <f t="shared" ca="1" si="31"/>
        <v>1</v>
      </c>
    </row>
    <row r="2036" spans="1:14" x14ac:dyDescent="0.25">
      <c r="A2036">
        <v>400579313</v>
      </c>
      <c r="B2036">
        <v>2015</v>
      </c>
      <c r="C2036" s="1">
        <v>42083</v>
      </c>
      <c r="D2036" t="s">
        <v>31</v>
      </c>
      <c r="E2036">
        <v>0</v>
      </c>
      <c r="F2036">
        <v>14</v>
      </c>
      <c r="G2036">
        <v>55</v>
      </c>
      <c r="H2036">
        <v>0</v>
      </c>
      <c r="I2036" t="s">
        <v>21</v>
      </c>
      <c r="J2036">
        <v>97</v>
      </c>
      <c r="K2036" t="s">
        <v>31</v>
      </c>
      <c r="L2036">
        <v>81</v>
      </c>
      <c r="M2036">
        <f>IF(D2036=I2036,VLOOKUP(D2036,a_win_totals_lookup,MATCH(K2036,a_wins_total_lookup_header,0)+1,0),VLOOKUP(D2036,a_win_totals_lookup,MATCH(I2036,a_wins_total_lookup_header,0)+1,0))</f>
        <v>0.69736543414984997</v>
      </c>
      <c r="N2036">
        <f t="shared" ca="1" si="31"/>
        <v>1</v>
      </c>
    </row>
    <row r="2037" spans="1:14" x14ac:dyDescent="0.25">
      <c r="A2037">
        <v>400579313</v>
      </c>
      <c r="B2037">
        <v>2015</v>
      </c>
      <c r="C2037" s="1">
        <v>42083</v>
      </c>
      <c r="D2037" t="s">
        <v>21</v>
      </c>
      <c r="E2037">
        <v>1</v>
      </c>
      <c r="F2037">
        <v>17</v>
      </c>
      <c r="G2037">
        <v>52</v>
      </c>
      <c r="H2037">
        <v>1</v>
      </c>
      <c r="I2037" t="s">
        <v>21</v>
      </c>
      <c r="J2037">
        <v>97</v>
      </c>
      <c r="K2037" t="s">
        <v>31</v>
      </c>
      <c r="L2037">
        <v>81</v>
      </c>
      <c r="M2037">
        <f>IF(D2037=I2037,VLOOKUP(D2037,a_win_totals_lookup,MATCH(K2037,a_wins_total_lookup_header,0)+1,0),VLOOKUP(D2037,a_win_totals_lookup,MATCH(I2037,a_wins_total_lookup_header,0)+1,0))</f>
        <v>0.30263456585015008</v>
      </c>
      <c r="N2037">
        <f t="shared" ca="1" si="31"/>
        <v>0</v>
      </c>
    </row>
    <row r="2038" spans="1:14" x14ac:dyDescent="0.25">
      <c r="A2038">
        <v>400579314</v>
      </c>
      <c r="B2038">
        <v>2015</v>
      </c>
      <c r="C2038" s="1">
        <v>42083</v>
      </c>
      <c r="D2038" t="s">
        <v>23</v>
      </c>
      <c r="E2038">
        <v>1</v>
      </c>
      <c r="F2038">
        <v>28</v>
      </c>
      <c r="G2038">
        <v>39</v>
      </c>
      <c r="H2038">
        <v>1</v>
      </c>
      <c r="I2038" t="s">
        <v>23</v>
      </c>
      <c r="J2038">
        <v>129</v>
      </c>
      <c r="K2038" t="s">
        <v>19</v>
      </c>
      <c r="L2038">
        <v>127</v>
      </c>
      <c r="M2038">
        <f>IF(D2038=I2038,VLOOKUP(D2038,a_win_totals_lookup,MATCH(K2038,a_wins_total_lookup_header,0)+1,0),VLOOKUP(D2038,a_win_totals_lookup,MATCH(I2038,a_wins_total_lookup_header,0)+1,0))</f>
        <v>0.64545979335474335</v>
      </c>
      <c r="N2038">
        <f t="shared" ca="1" si="31"/>
        <v>0</v>
      </c>
    </row>
    <row r="2039" spans="1:14" x14ac:dyDescent="0.25">
      <c r="A2039">
        <v>400579314</v>
      </c>
      <c r="B2039">
        <v>2015</v>
      </c>
      <c r="C2039" s="1">
        <v>42083</v>
      </c>
      <c r="D2039" t="s">
        <v>19</v>
      </c>
      <c r="E2039">
        <v>0</v>
      </c>
      <c r="F2039">
        <v>34</v>
      </c>
      <c r="G2039">
        <v>35</v>
      </c>
      <c r="H2039">
        <v>0</v>
      </c>
      <c r="I2039" t="s">
        <v>23</v>
      </c>
      <c r="J2039">
        <v>129</v>
      </c>
      <c r="K2039" t="s">
        <v>19</v>
      </c>
      <c r="L2039">
        <v>127</v>
      </c>
      <c r="M2039">
        <f>IF(D2039=I2039,VLOOKUP(D2039,a_win_totals_lookup,MATCH(K2039,a_wins_total_lookup_header,0)+1,0),VLOOKUP(D2039,a_win_totals_lookup,MATCH(I2039,a_wins_total_lookup_header,0)+1,0))</f>
        <v>0.35454020664525671</v>
      </c>
      <c r="N2039">
        <f t="shared" ca="1" si="31"/>
        <v>0</v>
      </c>
    </row>
    <row r="2040" spans="1:14" x14ac:dyDescent="0.25">
      <c r="A2040">
        <v>400579315</v>
      </c>
      <c r="B2040">
        <v>2015</v>
      </c>
      <c r="C2040" s="1">
        <v>42083</v>
      </c>
      <c r="D2040" t="s">
        <v>40</v>
      </c>
      <c r="E2040">
        <v>1</v>
      </c>
      <c r="F2040">
        <v>45</v>
      </c>
      <c r="G2040">
        <v>26</v>
      </c>
      <c r="H2040">
        <v>1</v>
      </c>
      <c r="I2040" t="s">
        <v>40</v>
      </c>
      <c r="J2040">
        <v>95</v>
      </c>
      <c r="K2040" t="s">
        <v>20</v>
      </c>
      <c r="L2040">
        <v>92</v>
      </c>
      <c r="M2040">
        <f>IF(D2040=I2040,VLOOKUP(D2040,a_win_totals_lookup,MATCH(K2040,a_wins_total_lookup_header,0)+1,0),VLOOKUP(D2040,a_win_totals_lookup,MATCH(I2040,a_wins_total_lookup_header,0)+1,0))</f>
        <v>0.70252114864958182</v>
      </c>
      <c r="N2040">
        <f t="shared" ca="1" si="31"/>
        <v>1</v>
      </c>
    </row>
    <row r="2041" spans="1:14" x14ac:dyDescent="0.25">
      <c r="A2041">
        <v>400579315</v>
      </c>
      <c r="B2041">
        <v>2015</v>
      </c>
      <c r="C2041" s="1">
        <v>42083</v>
      </c>
      <c r="D2041" t="s">
        <v>20</v>
      </c>
      <c r="E2041">
        <v>0</v>
      </c>
      <c r="F2041">
        <v>30</v>
      </c>
      <c r="G2041">
        <v>38</v>
      </c>
      <c r="H2041">
        <v>0</v>
      </c>
      <c r="I2041" t="s">
        <v>40</v>
      </c>
      <c r="J2041">
        <v>95</v>
      </c>
      <c r="K2041" t="s">
        <v>20</v>
      </c>
      <c r="L2041">
        <v>92</v>
      </c>
      <c r="M2041">
        <f>IF(D2041=I2041,VLOOKUP(D2041,a_win_totals_lookup,MATCH(K2041,a_wins_total_lookup_header,0)+1,0),VLOOKUP(D2041,a_win_totals_lookup,MATCH(I2041,a_wins_total_lookup_header,0)+1,0))</f>
        <v>0.29747885135041813</v>
      </c>
      <c r="N2041">
        <f t="shared" ca="1" si="31"/>
        <v>0</v>
      </c>
    </row>
    <row r="2042" spans="1:14" x14ac:dyDescent="0.25">
      <c r="A2042">
        <v>400579316</v>
      </c>
      <c r="B2042">
        <v>2015</v>
      </c>
      <c r="C2042" s="1">
        <v>42083</v>
      </c>
      <c r="D2042" t="s">
        <v>32</v>
      </c>
      <c r="E2042">
        <v>0</v>
      </c>
      <c r="F2042">
        <v>26</v>
      </c>
      <c r="G2042">
        <v>44</v>
      </c>
      <c r="H2042">
        <v>0</v>
      </c>
      <c r="I2042" t="s">
        <v>24</v>
      </c>
      <c r="J2042">
        <v>108</v>
      </c>
      <c r="K2042" t="s">
        <v>32</v>
      </c>
      <c r="L2042">
        <v>91</v>
      </c>
      <c r="M2042">
        <f>IF(D2042=I2042,VLOOKUP(D2042,a_win_totals_lookup,MATCH(K2042,a_wins_total_lookup_header,0)+1,0),VLOOKUP(D2042,a_win_totals_lookup,MATCH(I2042,a_wins_total_lookup_header,0)+1,0))</f>
        <v>0.4489330916958254</v>
      </c>
      <c r="N2042">
        <f t="shared" ca="1" si="31"/>
        <v>0</v>
      </c>
    </row>
    <row r="2043" spans="1:14" x14ac:dyDescent="0.25">
      <c r="A2043">
        <v>400579316</v>
      </c>
      <c r="B2043">
        <v>2015</v>
      </c>
      <c r="C2043" s="1">
        <v>42083</v>
      </c>
      <c r="D2043" t="s">
        <v>24</v>
      </c>
      <c r="E2043">
        <v>1</v>
      </c>
      <c r="F2043">
        <v>32</v>
      </c>
      <c r="G2043">
        <v>36</v>
      </c>
      <c r="H2043">
        <v>1</v>
      </c>
      <c r="I2043" t="s">
        <v>24</v>
      </c>
      <c r="J2043">
        <v>108</v>
      </c>
      <c r="K2043" t="s">
        <v>32</v>
      </c>
      <c r="L2043">
        <v>91</v>
      </c>
      <c r="M2043">
        <f>IF(D2043=I2043,VLOOKUP(D2043,a_win_totals_lookup,MATCH(K2043,a_wins_total_lookup_header,0)+1,0),VLOOKUP(D2043,a_win_totals_lookup,MATCH(I2043,a_wins_total_lookup_header,0)+1,0))</f>
        <v>0.5510669083041746</v>
      </c>
      <c r="N2043">
        <f t="shared" ca="1" si="31"/>
        <v>1</v>
      </c>
    </row>
    <row r="2044" spans="1:14" x14ac:dyDescent="0.25">
      <c r="A2044">
        <v>400579317</v>
      </c>
      <c r="B2044">
        <v>2015</v>
      </c>
      <c r="C2044" s="1">
        <v>42083</v>
      </c>
      <c r="D2044" t="s">
        <v>30</v>
      </c>
      <c r="E2044">
        <v>1</v>
      </c>
      <c r="F2044">
        <v>42</v>
      </c>
      <c r="G2044">
        <v>28</v>
      </c>
      <c r="H2044">
        <v>1</v>
      </c>
      <c r="I2044" t="s">
        <v>30</v>
      </c>
      <c r="J2044">
        <v>108</v>
      </c>
      <c r="K2044" t="s">
        <v>27</v>
      </c>
      <c r="L2044">
        <v>92</v>
      </c>
      <c r="M2044">
        <f>IF(D2044=I2044,VLOOKUP(D2044,a_win_totals_lookup,MATCH(K2044,a_wins_total_lookup_header,0)+1,0),VLOOKUP(D2044,a_win_totals_lookup,MATCH(I2044,a_wins_total_lookup_header,0)+1,0))</f>
        <v>0.52596063059506537</v>
      </c>
      <c r="N2044">
        <f t="shared" ca="1" si="31"/>
        <v>1</v>
      </c>
    </row>
    <row r="2045" spans="1:14" x14ac:dyDescent="0.25">
      <c r="A2045">
        <v>400579317</v>
      </c>
      <c r="B2045">
        <v>2015</v>
      </c>
      <c r="C2045" s="1">
        <v>42083</v>
      </c>
      <c r="D2045" t="s">
        <v>27</v>
      </c>
      <c r="E2045">
        <v>0</v>
      </c>
      <c r="F2045">
        <v>41</v>
      </c>
      <c r="G2045">
        <v>28</v>
      </c>
      <c r="H2045">
        <v>0</v>
      </c>
      <c r="I2045" t="s">
        <v>30</v>
      </c>
      <c r="J2045">
        <v>108</v>
      </c>
      <c r="K2045" t="s">
        <v>27</v>
      </c>
      <c r="L2045">
        <v>92</v>
      </c>
      <c r="M2045">
        <f>IF(D2045=I2045,VLOOKUP(D2045,a_win_totals_lookup,MATCH(K2045,a_wins_total_lookup_header,0)+1,0),VLOOKUP(D2045,a_win_totals_lookup,MATCH(I2045,a_wins_total_lookup_header,0)+1,0))</f>
        <v>0.47403936940493457</v>
      </c>
      <c r="N2045">
        <f t="shared" ca="1" si="31"/>
        <v>1</v>
      </c>
    </row>
    <row r="2046" spans="1:14" x14ac:dyDescent="0.25">
      <c r="A2046">
        <v>400579318</v>
      </c>
      <c r="B2046">
        <v>2015</v>
      </c>
      <c r="C2046" s="1">
        <v>42083</v>
      </c>
      <c r="D2046" t="s">
        <v>26</v>
      </c>
      <c r="E2046">
        <v>0</v>
      </c>
      <c r="F2046">
        <v>53</v>
      </c>
      <c r="G2046">
        <v>16</v>
      </c>
      <c r="H2046">
        <v>0</v>
      </c>
      <c r="I2046" t="s">
        <v>38</v>
      </c>
      <c r="J2046">
        <v>123</v>
      </c>
      <c r="K2046" t="s">
        <v>26</v>
      </c>
      <c r="L2046">
        <v>115</v>
      </c>
      <c r="M2046">
        <f>IF(D2046=I2046,VLOOKUP(D2046,a_win_totals_lookup,MATCH(K2046,a_wins_total_lookup_header,0)+1,0),VLOOKUP(D2046,a_win_totals_lookup,MATCH(I2046,a_wins_total_lookup_header,0)+1,0))</f>
        <v>0.40892741206867239</v>
      </c>
      <c r="N2046">
        <f t="shared" ca="1" si="31"/>
        <v>0</v>
      </c>
    </row>
    <row r="2047" spans="1:14" x14ac:dyDescent="0.25">
      <c r="A2047">
        <v>400579318</v>
      </c>
      <c r="B2047">
        <v>2015</v>
      </c>
      <c r="C2047" s="1">
        <v>42083</v>
      </c>
      <c r="D2047" t="s">
        <v>38</v>
      </c>
      <c r="E2047">
        <v>1</v>
      </c>
      <c r="F2047">
        <v>39</v>
      </c>
      <c r="G2047">
        <v>30</v>
      </c>
      <c r="H2047">
        <v>1</v>
      </c>
      <c r="I2047" t="s">
        <v>38</v>
      </c>
      <c r="J2047">
        <v>123</v>
      </c>
      <c r="K2047" t="s">
        <v>26</v>
      </c>
      <c r="L2047">
        <v>115</v>
      </c>
      <c r="M2047">
        <f>IF(D2047=I2047,VLOOKUP(D2047,a_win_totals_lookup,MATCH(K2047,a_wins_total_lookup_header,0)+1,0),VLOOKUP(D2047,a_win_totals_lookup,MATCH(I2047,a_wins_total_lookup_header,0)+1,0))</f>
        <v>0.59107258793132766</v>
      </c>
      <c r="N2047">
        <f t="shared" ca="1" si="31"/>
        <v>1</v>
      </c>
    </row>
    <row r="2048" spans="1:14" x14ac:dyDescent="0.25">
      <c r="A2048">
        <v>400579319</v>
      </c>
      <c r="B2048">
        <v>2015</v>
      </c>
      <c r="C2048" s="1">
        <v>42083</v>
      </c>
      <c r="D2048" t="s">
        <v>14</v>
      </c>
      <c r="E2048">
        <v>0</v>
      </c>
      <c r="F2048">
        <v>44</v>
      </c>
      <c r="G2048">
        <v>26</v>
      </c>
      <c r="H2048">
        <v>1</v>
      </c>
      <c r="I2048" t="s">
        <v>14</v>
      </c>
      <c r="J2048">
        <v>101</v>
      </c>
      <c r="K2048" t="s">
        <v>28</v>
      </c>
      <c r="L2048">
        <v>112</v>
      </c>
      <c r="M2048">
        <f>IF(D2048=I2048,VLOOKUP(D2048,a_win_totals_lookup,MATCH(K2048,a_wins_total_lookup_header,0)+1,0),VLOOKUP(D2048,a_win_totals_lookup,MATCH(I2048,a_wins_total_lookup_header,0)+1,0))</f>
        <v>0.51604205889789367</v>
      </c>
      <c r="N2048">
        <f t="shared" ca="1" si="31"/>
        <v>1</v>
      </c>
    </row>
    <row r="2049" spans="1:14" x14ac:dyDescent="0.25">
      <c r="A2049">
        <v>400579319</v>
      </c>
      <c r="B2049">
        <v>2015</v>
      </c>
      <c r="C2049" s="1">
        <v>42083</v>
      </c>
      <c r="D2049" t="s">
        <v>28</v>
      </c>
      <c r="E2049">
        <v>1</v>
      </c>
      <c r="F2049">
        <v>48</v>
      </c>
      <c r="G2049">
        <v>21</v>
      </c>
      <c r="H2049">
        <v>0</v>
      </c>
      <c r="I2049" t="s">
        <v>14</v>
      </c>
      <c r="J2049">
        <v>101</v>
      </c>
      <c r="K2049" t="s">
        <v>28</v>
      </c>
      <c r="L2049">
        <v>112</v>
      </c>
      <c r="M2049">
        <f>IF(D2049=I2049,VLOOKUP(D2049,a_win_totals_lookup,MATCH(K2049,a_wins_total_lookup_header,0)+1,0),VLOOKUP(D2049,a_win_totals_lookup,MATCH(I2049,a_wins_total_lookup_header,0)+1,0))</f>
        <v>0.48395794110210644</v>
      </c>
      <c r="N2049">
        <f t="shared" ca="1" si="31"/>
        <v>0</v>
      </c>
    </row>
    <row r="2050" spans="1:14" x14ac:dyDescent="0.25">
      <c r="A2050">
        <v>400579320</v>
      </c>
      <c r="B2050">
        <v>2015</v>
      </c>
      <c r="C2050" s="1">
        <v>42083</v>
      </c>
      <c r="D2050" t="s">
        <v>22</v>
      </c>
      <c r="E2050">
        <v>0</v>
      </c>
      <c r="F2050">
        <v>30</v>
      </c>
      <c r="G2050">
        <v>38</v>
      </c>
      <c r="H2050">
        <v>0</v>
      </c>
      <c r="I2050" t="s">
        <v>15</v>
      </c>
      <c r="J2050">
        <v>101</v>
      </c>
      <c r="K2050" t="s">
        <v>22</v>
      </c>
      <c r="L2050">
        <v>89</v>
      </c>
      <c r="M2050">
        <f>IF(D2050=I2050,VLOOKUP(D2050,a_win_totals_lookup,MATCH(K2050,a_wins_total_lookup_header,0)+1,0),VLOOKUP(D2050,a_win_totals_lookup,MATCH(I2050,a_wins_total_lookup_header,0)+1,0))</f>
        <v>0.22270013882530892</v>
      </c>
      <c r="N2050">
        <f t="shared" ca="1" si="31"/>
        <v>0</v>
      </c>
    </row>
    <row r="2051" spans="1:14" x14ac:dyDescent="0.25">
      <c r="A2051">
        <v>400579320</v>
      </c>
      <c r="B2051">
        <v>2015</v>
      </c>
      <c r="C2051" s="1">
        <v>42083</v>
      </c>
      <c r="D2051" t="s">
        <v>15</v>
      </c>
      <c r="E2051">
        <v>1</v>
      </c>
      <c r="F2051">
        <v>43</v>
      </c>
      <c r="G2051">
        <v>25</v>
      </c>
      <c r="H2051">
        <v>1</v>
      </c>
      <c r="I2051" t="s">
        <v>15</v>
      </c>
      <c r="J2051">
        <v>101</v>
      </c>
      <c r="K2051" t="s">
        <v>22</v>
      </c>
      <c r="L2051">
        <v>89</v>
      </c>
      <c r="M2051">
        <f>IF(D2051=I2051,VLOOKUP(D2051,a_win_totals_lookup,MATCH(K2051,a_wins_total_lookup_header,0)+1,0),VLOOKUP(D2051,a_win_totals_lookup,MATCH(I2051,a_wins_total_lookup_header,0)+1,0))</f>
        <v>0.77729986117469119</v>
      </c>
      <c r="N2051">
        <f t="shared" ref="N2051:N2114" ca="1" si="32">ROUND(0.5*RANDBETWEEN(-1,1)+M2051,0)</f>
        <v>1</v>
      </c>
    </row>
    <row r="2052" spans="1:14" x14ac:dyDescent="0.25">
      <c r="A2052">
        <v>400579321</v>
      </c>
      <c r="B2052">
        <v>2015</v>
      </c>
      <c r="C2052" s="1">
        <v>42083</v>
      </c>
      <c r="D2052" t="s">
        <v>18</v>
      </c>
      <c r="E2052">
        <v>0</v>
      </c>
      <c r="F2052">
        <v>29</v>
      </c>
      <c r="G2052">
        <v>38</v>
      </c>
      <c r="H2052">
        <v>0</v>
      </c>
      <c r="I2052" t="s">
        <v>37</v>
      </c>
      <c r="J2052">
        <v>101</v>
      </c>
      <c r="K2052" t="s">
        <v>18</v>
      </c>
      <c r="L2052">
        <v>91</v>
      </c>
      <c r="M2052">
        <f>IF(D2052=I2052,VLOOKUP(D2052,a_win_totals_lookup,MATCH(K2052,a_wins_total_lookup_header,0)+1,0),VLOOKUP(D2052,a_win_totals_lookup,MATCH(I2052,a_wins_total_lookup_header,0)+1,0))</f>
        <v>0.63666806394856001</v>
      </c>
      <c r="N2052">
        <f t="shared" ca="1" si="32"/>
        <v>0</v>
      </c>
    </row>
    <row r="2053" spans="1:14" x14ac:dyDescent="0.25">
      <c r="A2053">
        <v>400579321</v>
      </c>
      <c r="B2053">
        <v>2015</v>
      </c>
      <c r="C2053" s="1">
        <v>42083</v>
      </c>
      <c r="D2053" t="s">
        <v>37</v>
      </c>
      <c r="E2053">
        <v>1</v>
      </c>
      <c r="F2053">
        <v>23</v>
      </c>
      <c r="G2053">
        <v>45</v>
      </c>
      <c r="H2053">
        <v>1</v>
      </c>
      <c r="I2053" t="s">
        <v>37</v>
      </c>
      <c r="J2053">
        <v>101</v>
      </c>
      <c r="K2053" t="s">
        <v>18</v>
      </c>
      <c r="L2053">
        <v>91</v>
      </c>
      <c r="M2053">
        <f>IF(D2053=I2053,VLOOKUP(D2053,a_win_totals_lookup,MATCH(K2053,a_wins_total_lookup_header,0)+1,0),VLOOKUP(D2053,a_win_totals_lookup,MATCH(I2053,a_wins_total_lookup_header,0)+1,0))</f>
        <v>0.36333193605144004</v>
      </c>
      <c r="N2053">
        <f t="shared" ca="1" si="32"/>
        <v>1</v>
      </c>
    </row>
    <row r="2054" spans="1:14" x14ac:dyDescent="0.25">
      <c r="A2054">
        <v>400579322</v>
      </c>
      <c r="B2054">
        <v>2015</v>
      </c>
      <c r="C2054" s="1">
        <v>42083</v>
      </c>
      <c r="D2054" t="s">
        <v>36</v>
      </c>
      <c r="E2054">
        <v>1</v>
      </c>
      <c r="F2054">
        <v>55</v>
      </c>
      <c r="G2054">
        <v>13</v>
      </c>
      <c r="H2054">
        <v>1</v>
      </c>
      <c r="I2054" t="s">
        <v>36</v>
      </c>
      <c r="J2054">
        <v>112</v>
      </c>
      <c r="K2054" t="s">
        <v>12</v>
      </c>
      <c r="L2054">
        <v>96</v>
      </c>
      <c r="M2054">
        <f>IF(D2054=I2054,VLOOKUP(D2054,a_win_totals_lookup,MATCH(K2054,a_wins_total_lookup_header,0)+1,0),VLOOKUP(D2054,a_win_totals_lookup,MATCH(I2054,a_wins_total_lookup_header,0)+1,0))</f>
        <v>0.60921188943915972</v>
      </c>
      <c r="N2054">
        <f t="shared" ca="1" si="32"/>
        <v>0</v>
      </c>
    </row>
    <row r="2055" spans="1:14" x14ac:dyDescent="0.25">
      <c r="A2055">
        <v>400579322</v>
      </c>
      <c r="B2055">
        <v>2015</v>
      </c>
      <c r="C2055" s="1">
        <v>42083</v>
      </c>
      <c r="D2055" t="s">
        <v>12</v>
      </c>
      <c r="E2055">
        <v>0</v>
      </c>
      <c r="F2055">
        <v>37</v>
      </c>
      <c r="G2055">
        <v>32</v>
      </c>
      <c r="H2055">
        <v>0</v>
      </c>
      <c r="I2055" t="s">
        <v>36</v>
      </c>
      <c r="J2055">
        <v>112</v>
      </c>
      <c r="K2055" t="s">
        <v>12</v>
      </c>
      <c r="L2055">
        <v>96</v>
      </c>
      <c r="M2055">
        <f>IF(D2055=I2055,VLOOKUP(D2055,a_win_totals_lookup,MATCH(K2055,a_wins_total_lookup_header,0)+1,0),VLOOKUP(D2055,a_win_totals_lookup,MATCH(I2055,a_wins_total_lookup_header,0)+1,0))</f>
        <v>0.39078811056084028</v>
      </c>
      <c r="N2055">
        <f t="shared" ca="1" si="32"/>
        <v>0</v>
      </c>
    </row>
    <row r="2056" spans="1:14" x14ac:dyDescent="0.25">
      <c r="A2056">
        <v>400579323</v>
      </c>
      <c r="B2056">
        <v>2015</v>
      </c>
      <c r="C2056" s="1">
        <v>42083</v>
      </c>
      <c r="D2056" t="s">
        <v>41</v>
      </c>
      <c r="E2056">
        <v>1</v>
      </c>
      <c r="F2056">
        <v>45</v>
      </c>
      <c r="G2056">
        <v>25</v>
      </c>
      <c r="H2056">
        <v>1</v>
      </c>
      <c r="I2056" t="s">
        <v>41</v>
      </c>
      <c r="J2056">
        <v>113</v>
      </c>
      <c r="K2056" t="s">
        <v>25</v>
      </c>
      <c r="L2056">
        <v>99</v>
      </c>
      <c r="M2056">
        <f>IF(D2056=I2056,VLOOKUP(D2056,a_win_totals_lookup,MATCH(K2056,a_wins_total_lookup_header,0)+1,0),VLOOKUP(D2056,a_win_totals_lookup,MATCH(I2056,a_wins_total_lookup_header,0)+1,0))</f>
        <v>0.57016539281455259</v>
      </c>
      <c r="N2056">
        <f t="shared" ca="1" si="32"/>
        <v>1</v>
      </c>
    </row>
    <row r="2057" spans="1:14" x14ac:dyDescent="0.25">
      <c r="A2057">
        <v>400579323</v>
      </c>
      <c r="B2057">
        <v>2015</v>
      </c>
      <c r="C2057" s="1">
        <v>42083</v>
      </c>
      <c r="D2057" t="s">
        <v>25</v>
      </c>
      <c r="E2057">
        <v>0</v>
      </c>
      <c r="F2057">
        <v>40</v>
      </c>
      <c r="G2057">
        <v>29</v>
      </c>
      <c r="H2057">
        <v>0</v>
      </c>
      <c r="I2057" t="s">
        <v>41</v>
      </c>
      <c r="J2057">
        <v>113</v>
      </c>
      <c r="K2057" t="s">
        <v>25</v>
      </c>
      <c r="L2057">
        <v>99</v>
      </c>
      <c r="M2057">
        <f>IF(D2057=I2057,VLOOKUP(D2057,a_win_totals_lookup,MATCH(K2057,a_wins_total_lookup_header,0)+1,0),VLOOKUP(D2057,a_win_totals_lookup,MATCH(I2057,a_wins_total_lookup_header,0)+1,0))</f>
        <v>0.42983460718544747</v>
      </c>
      <c r="N2057">
        <f t="shared" ca="1" si="32"/>
        <v>0</v>
      </c>
    </row>
    <row r="2058" spans="1:14" x14ac:dyDescent="0.25">
      <c r="A2058">
        <v>400579324</v>
      </c>
      <c r="B2058">
        <v>2015</v>
      </c>
      <c r="C2058" s="1">
        <v>42084</v>
      </c>
      <c r="D2058" t="s">
        <v>23</v>
      </c>
      <c r="E2058">
        <v>1</v>
      </c>
      <c r="F2058">
        <v>29</v>
      </c>
      <c r="G2058">
        <v>39</v>
      </c>
      <c r="H2058">
        <v>0</v>
      </c>
      <c r="I2058" t="s">
        <v>20</v>
      </c>
      <c r="J2058">
        <v>111</v>
      </c>
      <c r="K2058" t="s">
        <v>23</v>
      </c>
      <c r="L2058">
        <v>123</v>
      </c>
      <c r="M2058">
        <f>IF(D2058=I2058,VLOOKUP(D2058,a_win_totals_lookup,MATCH(K2058,a_wins_total_lookup_header,0)+1,0),VLOOKUP(D2058,a_win_totals_lookup,MATCH(I2058,a_wins_total_lookup_header,0)+1,0))</f>
        <v>0.56072770135857142</v>
      </c>
      <c r="N2058">
        <f t="shared" ca="1" si="32"/>
        <v>1</v>
      </c>
    </row>
    <row r="2059" spans="1:14" x14ac:dyDescent="0.25">
      <c r="A2059">
        <v>400579324</v>
      </c>
      <c r="B2059">
        <v>2015</v>
      </c>
      <c r="C2059" s="1">
        <v>42084</v>
      </c>
      <c r="D2059" t="s">
        <v>20</v>
      </c>
      <c r="E2059">
        <v>0</v>
      </c>
      <c r="F2059">
        <v>30</v>
      </c>
      <c r="G2059">
        <v>39</v>
      </c>
      <c r="H2059">
        <v>1</v>
      </c>
      <c r="I2059" t="s">
        <v>20</v>
      </c>
      <c r="J2059">
        <v>111</v>
      </c>
      <c r="K2059" t="s">
        <v>23</v>
      </c>
      <c r="L2059">
        <v>123</v>
      </c>
      <c r="M2059">
        <f>IF(D2059=I2059,VLOOKUP(D2059,a_win_totals_lookup,MATCH(K2059,a_wins_total_lookup_header,0)+1,0),VLOOKUP(D2059,a_win_totals_lookup,MATCH(I2059,a_wins_total_lookup_header,0)+1,0))</f>
        <v>0.43927229864142858</v>
      </c>
      <c r="N2059">
        <f t="shared" ca="1" si="32"/>
        <v>1</v>
      </c>
    </row>
    <row r="2060" spans="1:14" x14ac:dyDescent="0.25">
      <c r="A2060">
        <v>400579325</v>
      </c>
      <c r="B2060">
        <v>2015</v>
      </c>
      <c r="C2060" s="1">
        <v>42084</v>
      </c>
      <c r="D2060" t="s">
        <v>30</v>
      </c>
      <c r="E2060">
        <v>0</v>
      </c>
      <c r="F2060">
        <v>42</v>
      </c>
      <c r="G2060">
        <v>29</v>
      </c>
      <c r="H2060">
        <v>0</v>
      </c>
      <c r="I2060" t="s">
        <v>33</v>
      </c>
      <c r="J2060">
        <v>107</v>
      </c>
      <c r="K2060" t="s">
        <v>30</v>
      </c>
      <c r="L2060">
        <v>91</v>
      </c>
      <c r="M2060">
        <f>IF(D2060=I2060,VLOOKUP(D2060,a_win_totals_lookup,MATCH(K2060,a_wins_total_lookup_header,0)+1,0),VLOOKUP(D2060,a_win_totals_lookup,MATCH(I2060,a_wins_total_lookup_header,0)+1,0))</f>
        <v>0.67995464996754418</v>
      </c>
      <c r="N2060">
        <f t="shared" ca="1" si="32"/>
        <v>1</v>
      </c>
    </row>
    <row r="2061" spans="1:14" x14ac:dyDescent="0.25">
      <c r="A2061">
        <v>400579325</v>
      </c>
      <c r="B2061">
        <v>2015</v>
      </c>
      <c r="C2061" s="1">
        <v>42084</v>
      </c>
      <c r="D2061" t="s">
        <v>33</v>
      </c>
      <c r="E2061">
        <v>1</v>
      </c>
      <c r="F2061">
        <v>25</v>
      </c>
      <c r="G2061">
        <v>44</v>
      </c>
      <c r="H2061">
        <v>1</v>
      </c>
      <c r="I2061" t="s">
        <v>33</v>
      </c>
      <c r="J2061">
        <v>107</v>
      </c>
      <c r="K2061" t="s">
        <v>30</v>
      </c>
      <c r="L2061">
        <v>91</v>
      </c>
      <c r="M2061">
        <f>IF(D2061=I2061,VLOOKUP(D2061,a_win_totals_lookup,MATCH(K2061,a_wins_total_lookup_header,0)+1,0),VLOOKUP(D2061,a_win_totals_lookup,MATCH(I2061,a_wins_total_lookup_header,0)+1,0))</f>
        <v>0.32004535003245588</v>
      </c>
      <c r="N2061">
        <f t="shared" ca="1" si="32"/>
        <v>0</v>
      </c>
    </row>
    <row r="2062" spans="1:14" x14ac:dyDescent="0.25">
      <c r="A2062">
        <v>400579326</v>
      </c>
      <c r="B2062">
        <v>2015</v>
      </c>
      <c r="C2062" s="1">
        <v>42084</v>
      </c>
      <c r="D2062" t="s">
        <v>16</v>
      </c>
      <c r="E2062">
        <v>0</v>
      </c>
      <c r="F2062">
        <v>46</v>
      </c>
      <c r="G2062">
        <v>23</v>
      </c>
      <c r="H2062">
        <v>1</v>
      </c>
      <c r="I2062" t="s">
        <v>16</v>
      </c>
      <c r="J2062">
        <v>102</v>
      </c>
      <c r="K2062" t="s">
        <v>35</v>
      </c>
      <c r="L2062">
        <v>117</v>
      </c>
      <c r="M2062">
        <f>IF(D2062=I2062,VLOOKUP(D2062,a_win_totals_lookup,MATCH(K2062,a_wins_total_lookup_header,0)+1,0),VLOOKUP(D2062,a_win_totals_lookup,MATCH(I2062,a_wins_total_lookup_header,0)+1,0))</f>
        <v>0.54369096101297021</v>
      </c>
      <c r="N2062">
        <f t="shared" ca="1" si="32"/>
        <v>0</v>
      </c>
    </row>
    <row r="2063" spans="1:14" x14ac:dyDescent="0.25">
      <c r="A2063">
        <v>400579326</v>
      </c>
      <c r="B2063">
        <v>2015</v>
      </c>
      <c r="C2063" s="1">
        <v>42084</v>
      </c>
      <c r="D2063" t="s">
        <v>35</v>
      </c>
      <c r="E2063">
        <v>1</v>
      </c>
      <c r="F2063">
        <v>37</v>
      </c>
      <c r="G2063">
        <v>33</v>
      </c>
      <c r="H2063">
        <v>0</v>
      </c>
      <c r="I2063" t="s">
        <v>16</v>
      </c>
      <c r="J2063">
        <v>102</v>
      </c>
      <c r="K2063" t="s">
        <v>35</v>
      </c>
      <c r="L2063">
        <v>117</v>
      </c>
      <c r="M2063">
        <f>IF(D2063=I2063,VLOOKUP(D2063,a_win_totals_lookup,MATCH(K2063,a_wins_total_lookup_header,0)+1,0),VLOOKUP(D2063,a_win_totals_lookup,MATCH(I2063,a_wins_total_lookup_header,0)+1,0))</f>
        <v>0.45630903898702979</v>
      </c>
      <c r="N2063">
        <f t="shared" ca="1" si="32"/>
        <v>1</v>
      </c>
    </row>
    <row r="2064" spans="1:14" x14ac:dyDescent="0.25">
      <c r="A2064">
        <v>400579327</v>
      </c>
      <c r="B2064">
        <v>2015</v>
      </c>
      <c r="C2064" s="1">
        <v>42084</v>
      </c>
      <c r="D2064" t="s">
        <v>28</v>
      </c>
      <c r="E2064">
        <v>1</v>
      </c>
      <c r="F2064">
        <v>49</v>
      </c>
      <c r="G2064">
        <v>21</v>
      </c>
      <c r="H2064">
        <v>1</v>
      </c>
      <c r="I2064" t="s">
        <v>28</v>
      </c>
      <c r="J2064">
        <v>97</v>
      </c>
      <c r="K2064" t="s">
        <v>39</v>
      </c>
      <c r="L2064">
        <v>86</v>
      </c>
      <c r="M2064">
        <f>IF(D2064=I2064,VLOOKUP(D2064,a_win_totals_lookup,MATCH(K2064,a_wins_total_lookup_header,0)+1,0),VLOOKUP(D2064,a_win_totals_lookup,MATCH(I2064,a_wins_total_lookup_header,0)+1,0))</f>
        <v>0.50885835943866475</v>
      </c>
      <c r="N2064">
        <f t="shared" ca="1" si="32"/>
        <v>1</v>
      </c>
    </row>
    <row r="2065" spans="1:14" x14ac:dyDescent="0.25">
      <c r="A2065">
        <v>400579327</v>
      </c>
      <c r="B2065">
        <v>2015</v>
      </c>
      <c r="C2065" s="1">
        <v>42084</v>
      </c>
      <c r="D2065" t="s">
        <v>39</v>
      </c>
      <c r="E2065">
        <v>0</v>
      </c>
      <c r="F2065">
        <v>44</v>
      </c>
      <c r="G2065">
        <v>24</v>
      </c>
      <c r="H2065">
        <v>0</v>
      </c>
      <c r="I2065" t="s">
        <v>28</v>
      </c>
      <c r="J2065">
        <v>97</v>
      </c>
      <c r="K2065" t="s">
        <v>39</v>
      </c>
      <c r="L2065">
        <v>86</v>
      </c>
      <c r="M2065">
        <f>IF(D2065=I2065,VLOOKUP(D2065,a_win_totals_lookup,MATCH(K2065,a_wins_total_lookup_header,0)+1,0),VLOOKUP(D2065,a_win_totals_lookup,MATCH(I2065,a_wins_total_lookup_header,0)+1,0))</f>
        <v>0.49114164056133519</v>
      </c>
      <c r="N2065">
        <f t="shared" ca="1" si="32"/>
        <v>0</v>
      </c>
    </row>
    <row r="2066" spans="1:14" x14ac:dyDescent="0.25">
      <c r="A2066">
        <v>400579328</v>
      </c>
      <c r="B2066">
        <v>2015</v>
      </c>
      <c r="C2066" s="1">
        <v>42084</v>
      </c>
      <c r="D2066" t="s">
        <v>36</v>
      </c>
      <c r="E2066">
        <v>1</v>
      </c>
      <c r="F2066">
        <v>56</v>
      </c>
      <c r="G2066">
        <v>13</v>
      </c>
      <c r="H2066">
        <v>1</v>
      </c>
      <c r="I2066" t="s">
        <v>36</v>
      </c>
      <c r="J2066">
        <v>106</v>
      </c>
      <c r="K2066" t="s">
        <v>34</v>
      </c>
      <c r="L2066">
        <v>91</v>
      </c>
      <c r="M2066">
        <f>IF(D2066=I2066,VLOOKUP(D2066,a_win_totals_lookup,MATCH(K2066,a_wins_total_lookup_header,0)+1,0),VLOOKUP(D2066,a_win_totals_lookup,MATCH(I2066,a_wins_total_lookup_header,0)+1,0))</f>
        <v>0.72111517802286307</v>
      </c>
      <c r="N2066">
        <f t="shared" ca="1" si="32"/>
        <v>0</v>
      </c>
    </row>
    <row r="2067" spans="1:14" x14ac:dyDescent="0.25">
      <c r="A2067">
        <v>400579328</v>
      </c>
      <c r="B2067">
        <v>2015</v>
      </c>
      <c r="C2067" s="1">
        <v>42084</v>
      </c>
      <c r="D2067" t="s">
        <v>34</v>
      </c>
      <c r="E2067">
        <v>0</v>
      </c>
      <c r="F2067">
        <v>31</v>
      </c>
      <c r="G2067">
        <v>38</v>
      </c>
      <c r="H2067">
        <v>0</v>
      </c>
      <c r="I2067" t="s">
        <v>36</v>
      </c>
      <c r="J2067">
        <v>106</v>
      </c>
      <c r="K2067" t="s">
        <v>34</v>
      </c>
      <c r="L2067">
        <v>91</v>
      </c>
      <c r="M2067">
        <f>IF(D2067=I2067,VLOOKUP(D2067,a_win_totals_lookup,MATCH(K2067,a_wins_total_lookup_header,0)+1,0),VLOOKUP(D2067,a_win_totals_lookup,MATCH(I2067,a_wins_total_lookup_header,0)+1,0))</f>
        <v>0.27888482197713693</v>
      </c>
      <c r="N2067">
        <f t="shared" ca="1" si="32"/>
        <v>0</v>
      </c>
    </row>
    <row r="2068" spans="1:14" x14ac:dyDescent="0.25">
      <c r="A2068">
        <v>400579329</v>
      </c>
      <c r="B2068">
        <v>2015</v>
      </c>
      <c r="C2068" s="1">
        <v>42085</v>
      </c>
      <c r="D2068" t="s">
        <v>40</v>
      </c>
      <c r="E2068">
        <v>1</v>
      </c>
      <c r="F2068">
        <v>46</v>
      </c>
      <c r="G2068">
        <v>26</v>
      </c>
      <c r="H2068">
        <v>0</v>
      </c>
      <c r="I2068" t="s">
        <v>19</v>
      </c>
      <c r="J2068">
        <v>90</v>
      </c>
      <c r="K2068" t="s">
        <v>40</v>
      </c>
      <c r="L2068">
        <v>108</v>
      </c>
      <c r="M2068">
        <f>IF(D2068=I2068,VLOOKUP(D2068,a_win_totals_lookup,MATCH(K2068,a_wins_total_lookup_header,0)+1,0),VLOOKUP(D2068,a_win_totals_lookup,MATCH(I2068,a_wins_total_lookup_header,0)+1,0))</f>
        <v>0.77106907112086653</v>
      </c>
      <c r="N2068">
        <f t="shared" ca="1" si="32"/>
        <v>0</v>
      </c>
    </row>
    <row r="2069" spans="1:14" x14ac:dyDescent="0.25">
      <c r="A2069">
        <v>400579329</v>
      </c>
      <c r="B2069">
        <v>2015</v>
      </c>
      <c r="C2069" s="1">
        <v>42085</v>
      </c>
      <c r="D2069" t="s">
        <v>19</v>
      </c>
      <c r="E2069">
        <v>0</v>
      </c>
      <c r="F2069">
        <v>34</v>
      </c>
      <c r="G2069">
        <v>36</v>
      </c>
      <c r="H2069">
        <v>1</v>
      </c>
      <c r="I2069" t="s">
        <v>19</v>
      </c>
      <c r="J2069">
        <v>90</v>
      </c>
      <c r="K2069" t="s">
        <v>40</v>
      </c>
      <c r="L2069">
        <v>108</v>
      </c>
      <c r="M2069">
        <f>IF(D2069=I2069,VLOOKUP(D2069,a_win_totals_lookup,MATCH(K2069,a_wins_total_lookup_header,0)+1,0),VLOOKUP(D2069,a_win_totals_lookup,MATCH(I2069,a_wins_total_lookup_header,0)+1,0))</f>
        <v>0.22893092887913349</v>
      </c>
      <c r="N2069">
        <f t="shared" ca="1" si="32"/>
        <v>1</v>
      </c>
    </row>
    <row r="2070" spans="1:14" x14ac:dyDescent="0.25">
      <c r="A2070">
        <v>400579330</v>
      </c>
      <c r="B2070">
        <v>2015</v>
      </c>
      <c r="C2070" s="1">
        <v>42085</v>
      </c>
      <c r="D2070" t="s">
        <v>24</v>
      </c>
      <c r="E2070">
        <v>0</v>
      </c>
      <c r="F2070">
        <v>32</v>
      </c>
      <c r="G2070">
        <v>37</v>
      </c>
      <c r="H2070">
        <v>0</v>
      </c>
      <c r="I2070" t="s">
        <v>38</v>
      </c>
      <c r="J2070">
        <v>93</v>
      </c>
      <c r="K2070" t="s">
        <v>24</v>
      </c>
      <c r="L2070">
        <v>75</v>
      </c>
      <c r="M2070">
        <f>IF(D2070=I2070,VLOOKUP(D2070,a_win_totals_lookup,MATCH(K2070,a_wins_total_lookup_header,0)+1,0),VLOOKUP(D2070,a_win_totals_lookup,MATCH(I2070,a_wins_total_lookup_header,0)+1,0))</f>
        <v>0.42045677552471189</v>
      </c>
      <c r="N2070">
        <f t="shared" ca="1" si="32"/>
        <v>0</v>
      </c>
    </row>
    <row r="2071" spans="1:14" x14ac:dyDescent="0.25">
      <c r="A2071">
        <v>400579330</v>
      </c>
      <c r="B2071">
        <v>2015</v>
      </c>
      <c r="C2071" s="1">
        <v>42085</v>
      </c>
      <c r="D2071" t="s">
        <v>38</v>
      </c>
      <c r="E2071">
        <v>1</v>
      </c>
      <c r="F2071">
        <v>40</v>
      </c>
      <c r="G2071">
        <v>30</v>
      </c>
      <c r="H2071">
        <v>1</v>
      </c>
      <c r="I2071" t="s">
        <v>38</v>
      </c>
      <c r="J2071">
        <v>93</v>
      </c>
      <c r="K2071" t="s">
        <v>24</v>
      </c>
      <c r="L2071">
        <v>75</v>
      </c>
      <c r="M2071">
        <f>IF(D2071=I2071,VLOOKUP(D2071,a_win_totals_lookup,MATCH(K2071,a_wins_total_lookup_header,0)+1,0),VLOOKUP(D2071,a_win_totals_lookup,MATCH(I2071,a_wins_total_lookup_header,0)+1,0))</f>
        <v>0.57954322447528805</v>
      </c>
      <c r="N2071">
        <f t="shared" ca="1" si="32"/>
        <v>1</v>
      </c>
    </row>
    <row r="2072" spans="1:14" x14ac:dyDescent="0.25">
      <c r="A2072">
        <v>400579331</v>
      </c>
      <c r="B2072">
        <v>2015</v>
      </c>
      <c r="C2072" s="1">
        <v>42085</v>
      </c>
      <c r="D2072" t="s">
        <v>26</v>
      </c>
      <c r="E2072">
        <v>0</v>
      </c>
      <c r="F2072">
        <v>53</v>
      </c>
      <c r="G2072">
        <v>17</v>
      </c>
      <c r="H2072">
        <v>1</v>
      </c>
      <c r="I2072" t="s">
        <v>26</v>
      </c>
      <c r="J2072">
        <v>95</v>
      </c>
      <c r="K2072" t="s">
        <v>15</v>
      </c>
      <c r="L2072">
        <v>114</v>
      </c>
      <c r="M2072">
        <f>IF(D2072=I2072,VLOOKUP(D2072,a_win_totals_lookup,MATCH(K2072,a_wins_total_lookup_header,0)+1,0),VLOOKUP(D2072,a_win_totals_lookup,MATCH(I2072,a_wins_total_lookup_header,0)+1,0))</f>
        <v>0.39734725240030316</v>
      </c>
      <c r="N2072">
        <f t="shared" ca="1" si="32"/>
        <v>0</v>
      </c>
    </row>
    <row r="2073" spans="1:14" x14ac:dyDescent="0.25">
      <c r="A2073">
        <v>400579331</v>
      </c>
      <c r="B2073">
        <v>2015</v>
      </c>
      <c r="C2073" s="1">
        <v>42085</v>
      </c>
      <c r="D2073" t="s">
        <v>15</v>
      </c>
      <c r="E2073">
        <v>1</v>
      </c>
      <c r="F2073">
        <v>44</v>
      </c>
      <c r="G2073">
        <v>25</v>
      </c>
      <c r="H2073">
        <v>0</v>
      </c>
      <c r="I2073" t="s">
        <v>26</v>
      </c>
      <c r="J2073">
        <v>95</v>
      </c>
      <c r="K2073" t="s">
        <v>15</v>
      </c>
      <c r="L2073">
        <v>114</v>
      </c>
      <c r="M2073">
        <f>IF(D2073=I2073,VLOOKUP(D2073,a_win_totals_lookup,MATCH(K2073,a_wins_total_lookup_header,0)+1,0),VLOOKUP(D2073,a_win_totals_lookup,MATCH(I2073,a_wins_total_lookup_header,0)+1,0))</f>
        <v>0.60265274759969689</v>
      </c>
      <c r="N2073">
        <f t="shared" ca="1" si="32"/>
        <v>1</v>
      </c>
    </row>
    <row r="2074" spans="1:14" x14ac:dyDescent="0.25">
      <c r="A2074">
        <v>400579332</v>
      </c>
      <c r="B2074">
        <v>2015</v>
      </c>
      <c r="C2074" s="1">
        <v>42085</v>
      </c>
      <c r="D2074" t="s">
        <v>41</v>
      </c>
      <c r="E2074">
        <v>1</v>
      </c>
      <c r="F2074">
        <v>46</v>
      </c>
      <c r="G2074">
        <v>25</v>
      </c>
      <c r="H2074">
        <v>1</v>
      </c>
      <c r="I2074" t="s">
        <v>41</v>
      </c>
      <c r="J2074">
        <v>107</v>
      </c>
      <c r="K2074" t="s">
        <v>12</v>
      </c>
      <c r="L2074">
        <v>100</v>
      </c>
      <c r="M2074">
        <f>IF(D2074=I2074,VLOOKUP(D2074,a_win_totals_lookup,MATCH(K2074,a_wins_total_lookup_header,0)+1,0),VLOOKUP(D2074,a_win_totals_lookup,MATCH(I2074,a_wins_total_lookup_header,0)+1,0))</f>
        <v>0.63650670086846906</v>
      </c>
      <c r="N2074">
        <f t="shared" ca="1" si="32"/>
        <v>1</v>
      </c>
    </row>
    <row r="2075" spans="1:14" x14ac:dyDescent="0.25">
      <c r="A2075">
        <v>400579332</v>
      </c>
      <c r="B2075">
        <v>2015</v>
      </c>
      <c r="C2075" s="1">
        <v>42085</v>
      </c>
      <c r="D2075" t="s">
        <v>12</v>
      </c>
      <c r="E2075">
        <v>0</v>
      </c>
      <c r="F2075">
        <v>37</v>
      </c>
      <c r="G2075">
        <v>33</v>
      </c>
      <c r="H2075">
        <v>0</v>
      </c>
      <c r="I2075" t="s">
        <v>41</v>
      </c>
      <c r="J2075">
        <v>107</v>
      </c>
      <c r="K2075" t="s">
        <v>12</v>
      </c>
      <c r="L2075">
        <v>100</v>
      </c>
      <c r="M2075">
        <f>IF(D2075=I2075,VLOOKUP(D2075,a_win_totals_lookup,MATCH(K2075,a_wins_total_lookup_header,0)+1,0),VLOOKUP(D2075,a_win_totals_lookup,MATCH(I2075,a_wins_total_lookup_header,0)+1,0))</f>
        <v>0.36349329913153089</v>
      </c>
      <c r="N2075">
        <f t="shared" ca="1" si="32"/>
        <v>0</v>
      </c>
    </row>
    <row r="2076" spans="1:14" x14ac:dyDescent="0.25">
      <c r="A2076">
        <v>400579333</v>
      </c>
      <c r="B2076">
        <v>2015</v>
      </c>
      <c r="C2076" s="1">
        <v>42085</v>
      </c>
      <c r="D2076" t="s">
        <v>31</v>
      </c>
      <c r="E2076">
        <v>0</v>
      </c>
      <c r="F2076">
        <v>14</v>
      </c>
      <c r="G2076">
        <v>56</v>
      </c>
      <c r="H2076">
        <v>0</v>
      </c>
      <c r="I2076" t="s">
        <v>27</v>
      </c>
      <c r="J2076">
        <v>106</v>
      </c>
      <c r="K2076" t="s">
        <v>31</v>
      </c>
      <c r="L2076">
        <v>89</v>
      </c>
      <c r="M2076">
        <f>IF(D2076=I2076,VLOOKUP(D2076,a_win_totals_lookup,MATCH(K2076,a_wins_total_lookup_header,0)+1,0),VLOOKUP(D2076,a_win_totals_lookup,MATCH(I2076,a_wins_total_lookup_header,0)+1,0))</f>
        <v>0.38459864577188729</v>
      </c>
      <c r="N2076">
        <f t="shared" ca="1" si="32"/>
        <v>0</v>
      </c>
    </row>
    <row r="2077" spans="1:14" x14ac:dyDescent="0.25">
      <c r="A2077">
        <v>400579333</v>
      </c>
      <c r="B2077">
        <v>2015</v>
      </c>
      <c r="C2077" s="1">
        <v>42085</v>
      </c>
      <c r="D2077" t="s">
        <v>27</v>
      </c>
      <c r="E2077">
        <v>1</v>
      </c>
      <c r="F2077">
        <v>42</v>
      </c>
      <c r="G2077">
        <v>28</v>
      </c>
      <c r="H2077">
        <v>1</v>
      </c>
      <c r="I2077" t="s">
        <v>27</v>
      </c>
      <c r="J2077">
        <v>106</v>
      </c>
      <c r="K2077" t="s">
        <v>31</v>
      </c>
      <c r="L2077">
        <v>89</v>
      </c>
      <c r="M2077">
        <f>IF(D2077=I2077,VLOOKUP(D2077,a_win_totals_lookup,MATCH(K2077,a_wins_total_lookup_header,0)+1,0),VLOOKUP(D2077,a_win_totals_lookup,MATCH(I2077,a_wins_total_lookup_header,0)+1,0))</f>
        <v>0.61540135422811282</v>
      </c>
      <c r="N2077">
        <f t="shared" ca="1" si="32"/>
        <v>1</v>
      </c>
    </row>
    <row r="2078" spans="1:14" x14ac:dyDescent="0.25">
      <c r="A2078">
        <v>400579334</v>
      </c>
      <c r="B2078">
        <v>2015</v>
      </c>
      <c r="C2078" s="1">
        <v>42085</v>
      </c>
      <c r="D2078" t="s">
        <v>37</v>
      </c>
      <c r="E2078">
        <v>1</v>
      </c>
      <c r="F2078">
        <v>24</v>
      </c>
      <c r="G2078">
        <v>45</v>
      </c>
      <c r="H2078">
        <v>1</v>
      </c>
      <c r="I2078" t="s">
        <v>37</v>
      </c>
      <c r="J2078">
        <v>109</v>
      </c>
      <c r="K2078" t="s">
        <v>25</v>
      </c>
      <c r="L2078">
        <v>86</v>
      </c>
      <c r="M2078">
        <f>IF(D2078=I2078,VLOOKUP(D2078,a_win_totals_lookup,MATCH(K2078,a_wins_total_lookup_header,0)+1,0),VLOOKUP(D2078,a_win_totals_lookup,MATCH(I2078,a_wins_total_lookup_header,0)+1,0))</f>
        <v>0.34442822733494199</v>
      </c>
      <c r="N2078">
        <f t="shared" ca="1" si="32"/>
        <v>0</v>
      </c>
    </row>
    <row r="2079" spans="1:14" x14ac:dyDescent="0.25">
      <c r="A2079">
        <v>400579334</v>
      </c>
      <c r="B2079">
        <v>2015</v>
      </c>
      <c r="C2079" s="1">
        <v>42085</v>
      </c>
      <c r="D2079" t="s">
        <v>25</v>
      </c>
      <c r="E2079">
        <v>0</v>
      </c>
      <c r="F2079">
        <v>40</v>
      </c>
      <c r="G2079">
        <v>30</v>
      </c>
      <c r="H2079">
        <v>0</v>
      </c>
      <c r="I2079" t="s">
        <v>37</v>
      </c>
      <c r="J2079">
        <v>109</v>
      </c>
      <c r="K2079" t="s">
        <v>25</v>
      </c>
      <c r="L2079">
        <v>86</v>
      </c>
      <c r="M2079">
        <f>IF(D2079=I2079,VLOOKUP(D2079,a_win_totals_lookup,MATCH(K2079,a_wins_total_lookup_header,0)+1,0),VLOOKUP(D2079,a_win_totals_lookup,MATCH(I2079,a_wins_total_lookup_header,0)+1,0))</f>
        <v>0.65557177266505795</v>
      </c>
      <c r="N2079">
        <f t="shared" ca="1" si="32"/>
        <v>0</v>
      </c>
    </row>
    <row r="2080" spans="1:14" x14ac:dyDescent="0.25">
      <c r="A2080">
        <v>400579335</v>
      </c>
      <c r="B2080">
        <v>2015</v>
      </c>
      <c r="C2080" s="1">
        <v>42085</v>
      </c>
      <c r="D2080" t="s">
        <v>22</v>
      </c>
      <c r="E2080">
        <v>0</v>
      </c>
      <c r="F2080">
        <v>30</v>
      </c>
      <c r="G2080">
        <v>39</v>
      </c>
      <c r="H2080">
        <v>1</v>
      </c>
      <c r="I2080" t="s">
        <v>22</v>
      </c>
      <c r="J2080">
        <v>97</v>
      </c>
      <c r="K2080" t="s">
        <v>33</v>
      </c>
      <c r="L2080">
        <v>105</v>
      </c>
      <c r="M2080">
        <f>IF(D2080=I2080,VLOOKUP(D2080,a_win_totals_lookup,MATCH(K2080,a_wins_total_lookup_header,0)+1,0),VLOOKUP(D2080,a_win_totals_lookup,MATCH(I2080,a_wins_total_lookup_header,0)+1,0))</f>
        <v>0.37837844574949669</v>
      </c>
      <c r="N2080">
        <f t="shared" ca="1" si="32"/>
        <v>1</v>
      </c>
    </row>
    <row r="2081" spans="1:14" x14ac:dyDescent="0.25">
      <c r="A2081">
        <v>400579335</v>
      </c>
      <c r="B2081">
        <v>2015</v>
      </c>
      <c r="C2081" s="1">
        <v>42085</v>
      </c>
      <c r="D2081" t="s">
        <v>33</v>
      </c>
      <c r="E2081">
        <v>1</v>
      </c>
      <c r="F2081">
        <v>26</v>
      </c>
      <c r="G2081">
        <v>44</v>
      </c>
      <c r="H2081">
        <v>0</v>
      </c>
      <c r="I2081" t="s">
        <v>22</v>
      </c>
      <c r="J2081">
        <v>97</v>
      </c>
      <c r="K2081" t="s">
        <v>33</v>
      </c>
      <c r="L2081">
        <v>105</v>
      </c>
      <c r="M2081">
        <f>IF(D2081=I2081,VLOOKUP(D2081,a_win_totals_lookup,MATCH(K2081,a_wins_total_lookup_header,0)+1,0),VLOOKUP(D2081,a_win_totals_lookup,MATCH(I2081,a_wins_total_lookup_header,0)+1,0))</f>
        <v>0.62162155425050336</v>
      </c>
      <c r="N2081">
        <f t="shared" ca="1" si="32"/>
        <v>0</v>
      </c>
    </row>
    <row r="2082" spans="1:14" x14ac:dyDescent="0.25">
      <c r="A2082">
        <v>400579336</v>
      </c>
      <c r="B2082">
        <v>2015</v>
      </c>
      <c r="C2082" s="1">
        <v>42085</v>
      </c>
      <c r="D2082" t="s">
        <v>32</v>
      </c>
      <c r="E2082">
        <v>1</v>
      </c>
      <c r="F2082">
        <v>27</v>
      </c>
      <c r="G2082">
        <v>44</v>
      </c>
      <c r="H2082">
        <v>0</v>
      </c>
      <c r="I2082" t="s">
        <v>13</v>
      </c>
      <c r="J2082">
        <v>100</v>
      </c>
      <c r="K2082" t="s">
        <v>32</v>
      </c>
      <c r="L2082">
        <v>119</v>
      </c>
      <c r="M2082">
        <f>IF(D2082=I2082,VLOOKUP(D2082,a_win_totals_lookup,MATCH(K2082,a_wins_total_lookup_header,0)+1,0),VLOOKUP(D2082,a_win_totals_lookup,MATCH(I2082,a_wins_total_lookup_header,0)+1,0))</f>
        <v>0.61088100448941873</v>
      </c>
      <c r="N2082">
        <f t="shared" ca="1" si="32"/>
        <v>1</v>
      </c>
    </row>
    <row r="2083" spans="1:14" x14ac:dyDescent="0.25">
      <c r="A2083">
        <v>400579336</v>
      </c>
      <c r="B2083">
        <v>2015</v>
      </c>
      <c r="C2083" s="1">
        <v>42085</v>
      </c>
      <c r="D2083" t="s">
        <v>13</v>
      </c>
      <c r="E2083">
        <v>0</v>
      </c>
      <c r="F2083">
        <v>22</v>
      </c>
      <c r="G2083">
        <v>50</v>
      </c>
      <c r="H2083">
        <v>1</v>
      </c>
      <c r="I2083" t="s">
        <v>13</v>
      </c>
      <c r="J2083">
        <v>100</v>
      </c>
      <c r="K2083" t="s">
        <v>32</v>
      </c>
      <c r="L2083">
        <v>119</v>
      </c>
      <c r="M2083">
        <f>IF(D2083=I2083,VLOOKUP(D2083,a_win_totals_lookup,MATCH(K2083,a_wins_total_lookup_header,0)+1,0),VLOOKUP(D2083,a_win_totals_lookup,MATCH(I2083,a_wins_total_lookup_header,0)+1,0))</f>
        <v>0.38911899551058127</v>
      </c>
      <c r="N2083">
        <f t="shared" ca="1" si="32"/>
        <v>0</v>
      </c>
    </row>
    <row r="2084" spans="1:14" x14ac:dyDescent="0.25">
      <c r="A2084">
        <v>400579337</v>
      </c>
      <c r="B2084">
        <v>2015</v>
      </c>
      <c r="C2084" s="1">
        <v>42085</v>
      </c>
      <c r="D2084" t="s">
        <v>18</v>
      </c>
      <c r="E2084">
        <v>1</v>
      </c>
      <c r="F2084">
        <v>30</v>
      </c>
      <c r="G2084">
        <v>38</v>
      </c>
      <c r="H2084">
        <v>0</v>
      </c>
      <c r="I2084" t="s">
        <v>29</v>
      </c>
      <c r="J2084">
        <v>98</v>
      </c>
      <c r="K2084" t="s">
        <v>18</v>
      </c>
      <c r="L2084">
        <v>109</v>
      </c>
      <c r="M2084">
        <f>IF(D2084=I2084,VLOOKUP(D2084,a_win_totals_lookup,MATCH(K2084,a_wins_total_lookup_header,0)+1,0),VLOOKUP(D2084,a_win_totals_lookup,MATCH(I2084,a_wins_total_lookup_header,0)+1,0))</f>
        <v>0.71626096693707286</v>
      </c>
      <c r="N2084">
        <f t="shared" ca="1" si="32"/>
        <v>0</v>
      </c>
    </row>
    <row r="2085" spans="1:14" x14ac:dyDescent="0.25">
      <c r="A2085">
        <v>400579337</v>
      </c>
      <c r="B2085">
        <v>2015</v>
      </c>
      <c r="C2085" s="1">
        <v>42085</v>
      </c>
      <c r="D2085" t="s">
        <v>29</v>
      </c>
      <c r="E2085">
        <v>0</v>
      </c>
      <c r="F2085">
        <v>15</v>
      </c>
      <c r="G2085">
        <v>54</v>
      </c>
      <c r="H2085">
        <v>1</v>
      </c>
      <c r="I2085" t="s">
        <v>29</v>
      </c>
      <c r="J2085">
        <v>98</v>
      </c>
      <c r="K2085" t="s">
        <v>18</v>
      </c>
      <c r="L2085">
        <v>109</v>
      </c>
      <c r="M2085">
        <f>IF(D2085=I2085,VLOOKUP(D2085,a_win_totals_lookup,MATCH(K2085,a_wins_total_lookup_header,0)+1,0),VLOOKUP(D2085,a_win_totals_lookup,MATCH(I2085,a_wins_total_lookup_header,0)+1,0))</f>
        <v>0.28373903306292714</v>
      </c>
      <c r="N2085">
        <f t="shared" ca="1" si="32"/>
        <v>0</v>
      </c>
    </row>
    <row r="2086" spans="1:14" x14ac:dyDescent="0.25">
      <c r="A2086">
        <v>400579338</v>
      </c>
      <c r="B2086">
        <v>2015</v>
      </c>
      <c r="C2086" s="1">
        <v>42085</v>
      </c>
      <c r="D2086" t="s">
        <v>14</v>
      </c>
      <c r="E2086">
        <v>0</v>
      </c>
      <c r="F2086">
        <v>44</v>
      </c>
      <c r="G2086">
        <v>27</v>
      </c>
      <c r="H2086">
        <v>0</v>
      </c>
      <c r="I2086" t="s">
        <v>35</v>
      </c>
      <c r="J2086">
        <v>98</v>
      </c>
      <c r="K2086" t="s">
        <v>14</v>
      </c>
      <c r="L2086">
        <v>92</v>
      </c>
      <c r="M2086">
        <f>IF(D2086=I2086,VLOOKUP(D2086,a_win_totals_lookup,MATCH(K2086,a_wins_total_lookup_header,0)+1,0),VLOOKUP(D2086,a_win_totals_lookup,MATCH(I2086,a_wins_total_lookup_header,0)+1,0))</f>
        <v>0.57751844190882151</v>
      </c>
      <c r="N2086">
        <f t="shared" ca="1" si="32"/>
        <v>0</v>
      </c>
    </row>
    <row r="2087" spans="1:14" x14ac:dyDescent="0.25">
      <c r="A2087">
        <v>400579338</v>
      </c>
      <c r="B2087">
        <v>2015</v>
      </c>
      <c r="C2087" s="1">
        <v>42085</v>
      </c>
      <c r="D2087" t="s">
        <v>35</v>
      </c>
      <c r="E2087">
        <v>1</v>
      </c>
      <c r="F2087">
        <v>38</v>
      </c>
      <c r="G2087">
        <v>33</v>
      </c>
      <c r="H2087">
        <v>1</v>
      </c>
      <c r="I2087" t="s">
        <v>35</v>
      </c>
      <c r="J2087">
        <v>98</v>
      </c>
      <c r="K2087" t="s">
        <v>14</v>
      </c>
      <c r="L2087">
        <v>92</v>
      </c>
      <c r="M2087">
        <f>IF(D2087=I2087,VLOOKUP(D2087,a_win_totals_lookup,MATCH(K2087,a_wins_total_lookup_header,0)+1,0),VLOOKUP(D2087,a_win_totals_lookup,MATCH(I2087,a_wins_total_lookup_header,0)+1,0))</f>
        <v>0.42248155809117843</v>
      </c>
      <c r="N2087">
        <f t="shared" ca="1" si="32"/>
        <v>0</v>
      </c>
    </row>
    <row r="2088" spans="1:14" x14ac:dyDescent="0.25">
      <c r="A2088">
        <v>400579339</v>
      </c>
      <c r="B2088">
        <v>2015</v>
      </c>
      <c r="C2088" s="1">
        <v>42085</v>
      </c>
      <c r="D2088" t="s">
        <v>17</v>
      </c>
      <c r="E2088">
        <v>1</v>
      </c>
      <c r="F2088">
        <v>18</v>
      </c>
      <c r="G2088">
        <v>50</v>
      </c>
      <c r="H2088">
        <v>1</v>
      </c>
      <c r="I2088" t="s">
        <v>17</v>
      </c>
      <c r="J2088">
        <v>101</v>
      </c>
      <c r="K2088" t="s">
        <v>21</v>
      </c>
      <c r="L2088">
        <v>87</v>
      </c>
      <c r="M2088">
        <f>IF(D2088=I2088,VLOOKUP(D2088,a_win_totals_lookup,MATCH(K2088,a_wins_total_lookup_header,0)+1,0),VLOOKUP(D2088,a_win_totals_lookup,MATCH(I2088,a_wins_total_lookup_header,0)+1,0))</f>
        <v>0.62804804101525269</v>
      </c>
      <c r="N2088">
        <f t="shared" ca="1" si="32"/>
        <v>1</v>
      </c>
    </row>
    <row r="2089" spans="1:14" x14ac:dyDescent="0.25">
      <c r="A2089">
        <v>400579339</v>
      </c>
      <c r="B2089">
        <v>2015</v>
      </c>
      <c r="C2089" s="1">
        <v>42085</v>
      </c>
      <c r="D2089" t="s">
        <v>21</v>
      </c>
      <c r="E2089">
        <v>0</v>
      </c>
      <c r="F2089">
        <v>17</v>
      </c>
      <c r="G2089">
        <v>53</v>
      </c>
      <c r="H2089">
        <v>0</v>
      </c>
      <c r="I2089" t="s">
        <v>17</v>
      </c>
      <c r="J2089">
        <v>101</v>
      </c>
      <c r="K2089" t="s">
        <v>21</v>
      </c>
      <c r="L2089">
        <v>87</v>
      </c>
      <c r="M2089">
        <f>IF(D2089=I2089,VLOOKUP(D2089,a_win_totals_lookup,MATCH(K2089,a_wins_total_lookup_header,0)+1,0),VLOOKUP(D2089,a_win_totals_lookup,MATCH(I2089,a_wins_total_lookup_header,0)+1,0))</f>
        <v>0.37195195898474726</v>
      </c>
      <c r="N2089">
        <f t="shared" ca="1" si="32"/>
        <v>0</v>
      </c>
    </row>
    <row r="2090" spans="1:14" x14ac:dyDescent="0.25">
      <c r="A2090">
        <v>400579340</v>
      </c>
      <c r="B2090">
        <v>2015</v>
      </c>
      <c r="C2090" s="1">
        <v>42086</v>
      </c>
      <c r="D2090" t="s">
        <v>16</v>
      </c>
      <c r="E2090">
        <v>1</v>
      </c>
      <c r="F2090">
        <v>47</v>
      </c>
      <c r="G2090">
        <v>23</v>
      </c>
      <c r="H2090">
        <v>0</v>
      </c>
      <c r="I2090" t="s">
        <v>20</v>
      </c>
      <c r="J2090">
        <v>100</v>
      </c>
      <c r="K2090" t="s">
        <v>16</v>
      </c>
      <c r="L2090">
        <v>110</v>
      </c>
      <c r="M2090">
        <f>IF(D2090=I2090,VLOOKUP(D2090,a_win_totals_lookup,MATCH(K2090,a_wins_total_lookup_header,0)+1,0),VLOOKUP(D2090,a_win_totals_lookup,MATCH(I2090,a_wins_total_lookup_header,0)+1,0))</f>
        <v>0.64033222606353968</v>
      </c>
      <c r="N2090">
        <f t="shared" ca="1" si="32"/>
        <v>1</v>
      </c>
    </row>
    <row r="2091" spans="1:14" x14ac:dyDescent="0.25">
      <c r="A2091">
        <v>400579340</v>
      </c>
      <c r="B2091">
        <v>2015</v>
      </c>
      <c r="C2091" s="1">
        <v>42086</v>
      </c>
      <c r="D2091" t="s">
        <v>20</v>
      </c>
      <c r="E2091">
        <v>0</v>
      </c>
      <c r="F2091">
        <v>30</v>
      </c>
      <c r="G2091">
        <v>40</v>
      </c>
      <c r="H2091">
        <v>1</v>
      </c>
      <c r="I2091" t="s">
        <v>20</v>
      </c>
      <c r="J2091">
        <v>100</v>
      </c>
      <c r="K2091" t="s">
        <v>16</v>
      </c>
      <c r="L2091">
        <v>110</v>
      </c>
      <c r="M2091">
        <f>IF(D2091=I2091,VLOOKUP(D2091,a_win_totals_lookup,MATCH(K2091,a_wins_total_lookup_header,0)+1,0),VLOOKUP(D2091,a_win_totals_lookup,MATCH(I2091,a_wins_total_lookup_header,0)+1,0))</f>
        <v>0.35966777393646027</v>
      </c>
      <c r="N2091">
        <f t="shared" ca="1" si="32"/>
        <v>1</v>
      </c>
    </row>
    <row r="2092" spans="1:14" x14ac:dyDescent="0.25">
      <c r="A2092">
        <v>400579341</v>
      </c>
      <c r="B2092">
        <v>2015</v>
      </c>
      <c r="C2092" s="1">
        <v>42086</v>
      </c>
      <c r="D2092" t="s">
        <v>22</v>
      </c>
      <c r="E2092">
        <v>1</v>
      </c>
      <c r="F2092">
        <v>31</v>
      </c>
      <c r="G2092">
        <v>39</v>
      </c>
      <c r="H2092">
        <v>0</v>
      </c>
      <c r="I2092" t="s">
        <v>23</v>
      </c>
      <c r="J2092">
        <v>91</v>
      </c>
      <c r="K2092" t="s">
        <v>22</v>
      </c>
      <c r="L2092">
        <v>110</v>
      </c>
      <c r="M2092">
        <f>IF(D2092=I2092,VLOOKUP(D2092,a_win_totals_lookup,MATCH(K2092,a_wins_total_lookup_header,0)+1,0),VLOOKUP(D2092,a_win_totals_lookup,MATCH(I2092,a_wins_total_lookup_header,0)+1,0))</f>
        <v>0.33715695553306341</v>
      </c>
      <c r="N2092">
        <f t="shared" ca="1" si="32"/>
        <v>1</v>
      </c>
    </row>
    <row r="2093" spans="1:14" x14ac:dyDescent="0.25">
      <c r="A2093">
        <v>400579341</v>
      </c>
      <c r="B2093">
        <v>2015</v>
      </c>
      <c r="C2093" s="1">
        <v>42086</v>
      </c>
      <c r="D2093" t="s">
        <v>23</v>
      </c>
      <c r="E2093">
        <v>0</v>
      </c>
      <c r="F2093">
        <v>29</v>
      </c>
      <c r="G2093">
        <v>40</v>
      </c>
      <c r="H2093">
        <v>1</v>
      </c>
      <c r="I2093" t="s">
        <v>23</v>
      </c>
      <c r="J2093">
        <v>91</v>
      </c>
      <c r="K2093" t="s">
        <v>22</v>
      </c>
      <c r="L2093">
        <v>110</v>
      </c>
      <c r="M2093">
        <f>IF(D2093=I2093,VLOOKUP(D2093,a_win_totals_lookup,MATCH(K2093,a_wins_total_lookup_header,0)+1,0),VLOOKUP(D2093,a_win_totals_lookup,MATCH(I2093,a_wins_total_lookup_header,0)+1,0))</f>
        <v>0.66284304446693665</v>
      </c>
      <c r="N2093">
        <f t="shared" ca="1" si="32"/>
        <v>0</v>
      </c>
    </row>
    <row r="2094" spans="1:14" x14ac:dyDescent="0.25">
      <c r="A2094">
        <v>400579342</v>
      </c>
      <c r="B2094">
        <v>2015</v>
      </c>
      <c r="C2094" s="1">
        <v>42086</v>
      </c>
      <c r="D2094" t="s">
        <v>28</v>
      </c>
      <c r="E2094">
        <v>1</v>
      </c>
      <c r="F2094">
        <v>50</v>
      </c>
      <c r="G2094">
        <v>21</v>
      </c>
      <c r="H2094">
        <v>0</v>
      </c>
      <c r="I2094" t="s">
        <v>31</v>
      </c>
      <c r="J2094">
        <v>82</v>
      </c>
      <c r="K2094" t="s">
        <v>28</v>
      </c>
      <c r="L2094">
        <v>103</v>
      </c>
      <c r="M2094">
        <f>IF(D2094=I2094,VLOOKUP(D2094,a_win_totals_lookup,MATCH(K2094,a_wins_total_lookup_header,0)+1,0),VLOOKUP(D2094,a_win_totals_lookup,MATCH(I2094,a_wins_total_lookup_header,0)+1,0))</f>
        <v>0.60010055004203433</v>
      </c>
      <c r="N2094">
        <f t="shared" ca="1" si="32"/>
        <v>1</v>
      </c>
    </row>
    <row r="2095" spans="1:14" x14ac:dyDescent="0.25">
      <c r="A2095">
        <v>400579342</v>
      </c>
      <c r="B2095">
        <v>2015</v>
      </c>
      <c r="C2095" s="1">
        <v>42086</v>
      </c>
      <c r="D2095" t="s">
        <v>31</v>
      </c>
      <c r="E2095">
        <v>0</v>
      </c>
      <c r="F2095">
        <v>14</v>
      </c>
      <c r="G2095">
        <v>57</v>
      </c>
      <c r="H2095">
        <v>1</v>
      </c>
      <c r="I2095" t="s">
        <v>31</v>
      </c>
      <c r="J2095">
        <v>82</v>
      </c>
      <c r="K2095" t="s">
        <v>28</v>
      </c>
      <c r="L2095">
        <v>103</v>
      </c>
      <c r="M2095">
        <f>IF(D2095=I2095,VLOOKUP(D2095,a_win_totals_lookup,MATCH(K2095,a_wins_total_lookup_header,0)+1,0),VLOOKUP(D2095,a_win_totals_lookup,MATCH(I2095,a_wins_total_lookup_header,0)+1,0))</f>
        <v>0.39989944995796567</v>
      </c>
      <c r="N2095">
        <f t="shared" ca="1" si="32"/>
        <v>1</v>
      </c>
    </row>
    <row r="2096" spans="1:14" x14ac:dyDescent="0.25">
      <c r="A2096">
        <v>400579343</v>
      </c>
      <c r="B2096">
        <v>2015</v>
      </c>
      <c r="C2096" s="1">
        <v>42086</v>
      </c>
      <c r="D2096" t="s">
        <v>18</v>
      </c>
      <c r="E2096">
        <v>0</v>
      </c>
      <c r="F2096">
        <v>30</v>
      </c>
      <c r="G2096">
        <v>39</v>
      </c>
      <c r="H2096">
        <v>0</v>
      </c>
      <c r="I2096" t="s">
        <v>30</v>
      </c>
      <c r="J2096">
        <v>98</v>
      </c>
      <c r="K2096" t="s">
        <v>18</v>
      </c>
      <c r="L2096">
        <v>86</v>
      </c>
      <c r="M2096">
        <f>IF(D2096=I2096,VLOOKUP(D2096,a_win_totals_lookup,MATCH(K2096,a_wins_total_lookup_header,0)+1,0),VLOOKUP(D2096,a_win_totals_lookup,MATCH(I2096,a_wins_total_lookup_header,0)+1,0))</f>
        <v>0.41969870974133011</v>
      </c>
      <c r="N2096">
        <f t="shared" ca="1" si="32"/>
        <v>0</v>
      </c>
    </row>
    <row r="2097" spans="1:14" x14ac:dyDescent="0.25">
      <c r="A2097">
        <v>400579343</v>
      </c>
      <c r="B2097">
        <v>2015</v>
      </c>
      <c r="C2097" s="1">
        <v>42086</v>
      </c>
      <c r="D2097" t="s">
        <v>30</v>
      </c>
      <c r="E2097">
        <v>1</v>
      </c>
      <c r="F2097">
        <v>43</v>
      </c>
      <c r="G2097">
        <v>29</v>
      </c>
      <c r="H2097">
        <v>1</v>
      </c>
      <c r="I2097" t="s">
        <v>30</v>
      </c>
      <c r="J2097">
        <v>98</v>
      </c>
      <c r="K2097" t="s">
        <v>18</v>
      </c>
      <c r="L2097">
        <v>86</v>
      </c>
      <c r="M2097">
        <f>IF(D2097=I2097,VLOOKUP(D2097,a_win_totals_lookup,MATCH(K2097,a_wins_total_lookup_header,0)+1,0),VLOOKUP(D2097,a_win_totals_lookup,MATCH(I2097,a_wins_total_lookup_header,0)+1,0))</f>
        <v>0.58030129025866994</v>
      </c>
      <c r="N2097">
        <f t="shared" ca="1" si="32"/>
        <v>1</v>
      </c>
    </row>
    <row r="2098" spans="1:14" x14ac:dyDescent="0.25">
      <c r="A2098">
        <v>400579344</v>
      </c>
      <c r="B2098">
        <v>2015</v>
      </c>
      <c r="C2098" s="1">
        <v>42086</v>
      </c>
      <c r="D2098" t="s">
        <v>29</v>
      </c>
      <c r="E2098">
        <v>1</v>
      </c>
      <c r="F2098">
        <v>16</v>
      </c>
      <c r="G2098">
        <v>54</v>
      </c>
      <c r="H2098">
        <v>0</v>
      </c>
      <c r="I2098" t="s">
        <v>34</v>
      </c>
      <c r="J2098">
        <v>104</v>
      </c>
      <c r="K2098" t="s">
        <v>29</v>
      </c>
      <c r="L2098">
        <v>106</v>
      </c>
      <c r="M2098">
        <f>IF(D2098=I2098,VLOOKUP(D2098,a_win_totals_lookup,MATCH(K2098,a_wins_total_lookup_header,0)+1,0),VLOOKUP(D2098,a_win_totals_lookup,MATCH(I2098,a_wins_total_lookup_header,0)+1,0))</f>
        <v>0.44399285510679726</v>
      </c>
      <c r="N2098">
        <f t="shared" ca="1" si="32"/>
        <v>0</v>
      </c>
    </row>
    <row r="2099" spans="1:14" x14ac:dyDescent="0.25">
      <c r="A2099">
        <v>400579344</v>
      </c>
      <c r="B2099">
        <v>2015</v>
      </c>
      <c r="C2099" s="1">
        <v>42086</v>
      </c>
      <c r="D2099" t="s">
        <v>34</v>
      </c>
      <c r="E2099">
        <v>0</v>
      </c>
      <c r="F2099">
        <v>31</v>
      </c>
      <c r="G2099">
        <v>39</v>
      </c>
      <c r="H2099">
        <v>1</v>
      </c>
      <c r="I2099" t="s">
        <v>34</v>
      </c>
      <c r="J2099">
        <v>104</v>
      </c>
      <c r="K2099" t="s">
        <v>29</v>
      </c>
      <c r="L2099">
        <v>106</v>
      </c>
      <c r="M2099">
        <f>IF(D2099=I2099,VLOOKUP(D2099,a_win_totals_lookup,MATCH(K2099,a_wins_total_lookup_header,0)+1,0),VLOOKUP(D2099,a_win_totals_lookup,MATCH(I2099,a_wins_total_lookup_header,0)+1,0))</f>
        <v>0.5560071448932028</v>
      </c>
      <c r="N2099">
        <f t="shared" ca="1" si="32"/>
        <v>1</v>
      </c>
    </row>
    <row r="2100" spans="1:14" x14ac:dyDescent="0.25">
      <c r="A2100">
        <v>400579345</v>
      </c>
      <c r="B2100">
        <v>2015</v>
      </c>
      <c r="C2100" s="1">
        <v>42086</v>
      </c>
      <c r="D2100" t="s">
        <v>36</v>
      </c>
      <c r="E2100">
        <v>1</v>
      </c>
      <c r="F2100">
        <v>57</v>
      </c>
      <c r="G2100">
        <v>13</v>
      </c>
      <c r="H2100">
        <v>1</v>
      </c>
      <c r="I2100" t="s">
        <v>36</v>
      </c>
      <c r="J2100">
        <v>107</v>
      </c>
      <c r="K2100" t="s">
        <v>25</v>
      </c>
      <c r="L2100">
        <v>76</v>
      </c>
      <c r="M2100">
        <f>IF(D2100=I2100,VLOOKUP(D2100,a_win_totals_lookup,MATCH(K2100,a_wins_total_lookup_header,0)+1,0),VLOOKUP(D2100,a_win_totals_lookup,MATCH(I2100,a_wins_total_lookup_header,0)+1,0))</f>
        <v>0.54147759642487181</v>
      </c>
      <c r="N2100">
        <f t="shared" ca="1" si="32"/>
        <v>0</v>
      </c>
    </row>
    <row r="2101" spans="1:14" x14ac:dyDescent="0.25">
      <c r="A2101">
        <v>400579345</v>
      </c>
      <c r="B2101">
        <v>2015</v>
      </c>
      <c r="C2101" s="1">
        <v>42086</v>
      </c>
      <c r="D2101" t="s">
        <v>25</v>
      </c>
      <c r="E2101">
        <v>0</v>
      </c>
      <c r="F2101">
        <v>40</v>
      </c>
      <c r="G2101">
        <v>31</v>
      </c>
      <c r="H2101">
        <v>0</v>
      </c>
      <c r="I2101" t="s">
        <v>36</v>
      </c>
      <c r="J2101">
        <v>107</v>
      </c>
      <c r="K2101" t="s">
        <v>25</v>
      </c>
      <c r="L2101">
        <v>76</v>
      </c>
      <c r="M2101">
        <f>IF(D2101=I2101,VLOOKUP(D2101,a_win_totals_lookup,MATCH(K2101,a_wins_total_lookup_header,0)+1,0),VLOOKUP(D2101,a_win_totals_lookup,MATCH(I2101,a_wins_total_lookup_header,0)+1,0))</f>
        <v>0.45852240357512825</v>
      </c>
      <c r="N2101">
        <f t="shared" ca="1" si="32"/>
        <v>1</v>
      </c>
    </row>
    <row r="2102" spans="1:14" x14ac:dyDescent="0.25">
      <c r="A2102">
        <v>400579346</v>
      </c>
      <c r="B2102">
        <v>2015</v>
      </c>
      <c r="C2102" s="1">
        <v>42087</v>
      </c>
      <c r="D2102" t="s">
        <v>33</v>
      </c>
      <c r="E2102">
        <v>1</v>
      </c>
      <c r="F2102">
        <v>27</v>
      </c>
      <c r="G2102">
        <v>44</v>
      </c>
      <c r="H2102">
        <v>1</v>
      </c>
      <c r="I2102" t="s">
        <v>33</v>
      </c>
      <c r="J2102">
        <v>108</v>
      </c>
      <c r="K2102" t="s">
        <v>27</v>
      </c>
      <c r="L2102">
        <v>104</v>
      </c>
      <c r="M2102">
        <f>IF(D2102=I2102,VLOOKUP(D2102,a_win_totals_lookup,MATCH(K2102,a_wins_total_lookup_header,0)+1,0),VLOOKUP(D2102,a_win_totals_lookup,MATCH(I2102,a_wins_total_lookup_header,0)+1,0))</f>
        <v>0.34307350386175622</v>
      </c>
      <c r="N2102">
        <f t="shared" ca="1" si="32"/>
        <v>1</v>
      </c>
    </row>
    <row r="2103" spans="1:14" x14ac:dyDescent="0.25">
      <c r="A2103">
        <v>400579346</v>
      </c>
      <c r="B2103">
        <v>2015</v>
      </c>
      <c r="C2103" s="1">
        <v>42087</v>
      </c>
      <c r="D2103" t="s">
        <v>27</v>
      </c>
      <c r="E2103">
        <v>0</v>
      </c>
      <c r="F2103">
        <v>42</v>
      </c>
      <c r="G2103">
        <v>29</v>
      </c>
      <c r="H2103">
        <v>0</v>
      </c>
      <c r="I2103" t="s">
        <v>33</v>
      </c>
      <c r="J2103">
        <v>108</v>
      </c>
      <c r="K2103" t="s">
        <v>27</v>
      </c>
      <c r="L2103">
        <v>104</v>
      </c>
      <c r="M2103">
        <f>IF(D2103=I2103,VLOOKUP(D2103,a_win_totals_lookup,MATCH(K2103,a_wins_total_lookup_header,0)+1,0),VLOOKUP(D2103,a_win_totals_lookup,MATCH(I2103,a_wins_total_lookup_header,0)+1,0))</f>
        <v>0.65692649613824394</v>
      </c>
      <c r="N2103">
        <f t="shared" ca="1" si="32"/>
        <v>1</v>
      </c>
    </row>
    <row r="2104" spans="1:14" x14ac:dyDescent="0.25">
      <c r="A2104">
        <v>400579347</v>
      </c>
      <c r="B2104">
        <v>2015</v>
      </c>
      <c r="C2104" s="1">
        <v>42087</v>
      </c>
      <c r="D2104" t="s">
        <v>24</v>
      </c>
      <c r="E2104">
        <v>0</v>
      </c>
      <c r="F2104">
        <v>32</v>
      </c>
      <c r="G2104">
        <v>38</v>
      </c>
      <c r="H2104">
        <v>0</v>
      </c>
      <c r="I2104" t="s">
        <v>19</v>
      </c>
      <c r="J2104">
        <v>89</v>
      </c>
      <c r="K2104" t="s">
        <v>24</v>
      </c>
      <c r="L2104">
        <v>88</v>
      </c>
      <c r="M2104">
        <f>IF(D2104=I2104,VLOOKUP(D2104,a_win_totals_lookup,MATCH(K2104,a_wins_total_lookup_header,0)+1,0),VLOOKUP(D2104,a_win_totals_lookup,MATCH(I2104,a_wins_total_lookup_header,0)+1,0))</f>
        <v>0.69085585364637281</v>
      </c>
      <c r="N2104">
        <f t="shared" ca="1" si="32"/>
        <v>1</v>
      </c>
    </row>
    <row r="2105" spans="1:14" x14ac:dyDescent="0.25">
      <c r="A2105">
        <v>400579347</v>
      </c>
      <c r="B2105">
        <v>2015</v>
      </c>
      <c r="C2105" s="1">
        <v>42087</v>
      </c>
      <c r="D2105" t="s">
        <v>19</v>
      </c>
      <c r="E2105">
        <v>1</v>
      </c>
      <c r="F2105">
        <v>35</v>
      </c>
      <c r="G2105">
        <v>36</v>
      </c>
      <c r="H2105">
        <v>1</v>
      </c>
      <c r="I2105" t="s">
        <v>19</v>
      </c>
      <c r="J2105">
        <v>89</v>
      </c>
      <c r="K2105" t="s">
        <v>24</v>
      </c>
      <c r="L2105">
        <v>88</v>
      </c>
      <c r="M2105">
        <f>IF(D2105=I2105,VLOOKUP(D2105,a_win_totals_lookup,MATCH(K2105,a_wins_total_lookup_header,0)+1,0),VLOOKUP(D2105,a_win_totals_lookup,MATCH(I2105,a_wins_total_lookup_header,0)+1,0))</f>
        <v>0.30914414635362719</v>
      </c>
      <c r="N2105">
        <f t="shared" ca="1" si="32"/>
        <v>1</v>
      </c>
    </row>
    <row r="2106" spans="1:14" x14ac:dyDescent="0.25">
      <c r="A2106">
        <v>400579348</v>
      </c>
      <c r="B2106">
        <v>2015</v>
      </c>
      <c r="C2106" s="1">
        <v>42087</v>
      </c>
      <c r="D2106" t="s">
        <v>17</v>
      </c>
      <c r="E2106">
        <v>0</v>
      </c>
      <c r="F2106">
        <v>18</v>
      </c>
      <c r="G2106">
        <v>51</v>
      </c>
      <c r="H2106">
        <v>0</v>
      </c>
      <c r="I2106" t="s">
        <v>38</v>
      </c>
      <c r="J2106">
        <v>127</v>
      </c>
      <c r="K2106" t="s">
        <v>17</v>
      </c>
      <c r="L2106">
        <v>117</v>
      </c>
      <c r="M2106">
        <f>IF(D2106=I2106,VLOOKUP(D2106,a_win_totals_lookup,MATCH(K2106,a_wins_total_lookup_header,0)+1,0),VLOOKUP(D2106,a_win_totals_lookup,MATCH(I2106,a_wins_total_lookup_header,0)+1,0))</f>
        <v>0.30220652713580148</v>
      </c>
      <c r="N2106">
        <f t="shared" ca="1" si="32"/>
        <v>0</v>
      </c>
    </row>
    <row r="2107" spans="1:14" x14ac:dyDescent="0.25">
      <c r="A2107">
        <v>400579348</v>
      </c>
      <c r="B2107">
        <v>2015</v>
      </c>
      <c r="C2107" s="1">
        <v>42087</v>
      </c>
      <c r="D2107" t="s">
        <v>38</v>
      </c>
      <c r="E2107">
        <v>1</v>
      </c>
      <c r="F2107">
        <v>41</v>
      </c>
      <c r="G2107">
        <v>30</v>
      </c>
      <c r="H2107">
        <v>1</v>
      </c>
      <c r="I2107" t="s">
        <v>38</v>
      </c>
      <c r="J2107">
        <v>127</v>
      </c>
      <c r="K2107" t="s">
        <v>17</v>
      </c>
      <c r="L2107">
        <v>117</v>
      </c>
      <c r="M2107">
        <f>IF(D2107=I2107,VLOOKUP(D2107,a_win_totals_lookup,MATCH(K2107,a_wins_total_lookup_header,0)+1,0),VLOOKUP(D2107,a_win_totals_lookup,MATCH(I2107,a_wins_total_lookup_header,0)+1,0))</f>
        <v>0.69779347286419835</v>
      </c>
      <c r="N2107">
        <f t="shared" ca="1" si="32"/>
        <v>1</v>
      </c>
    </row>
    <row r="2108" spans="1:14" x14ac:dyDescent="0.25">
      <c r="A2108">
        <v>400579349</v>
      </c>
      <c r="B2108">
        <v>2015</v>
      </c>
      <c r="C2108" s="1">
        <v>42087</v>
      </c>
      <c r="D2108" t="s">
        <v>14</v>
      </c>
      <c r="E2108">
        <v>1</v>
      </c>
      <c r="F2108">
        <v>45</v>
      </c>
      <c r="G2108">
        <v>27</v>
      </c>
      <c r="H2108">
        <v>1</v>
      </c>
      <c r="I2108" t="s">
        <v>14</v>
      </c>
      <c r="J2108">
        <v>101</v>
      </c>
      <c r="K2108" t="s">
        <v>15</v>
      </c>
      <c r="L2108">
        <v>94</v>
      </c>
      <c r="M2108">
        <f>IF(D2108=I2108,VLOOKUP(D2108,a_win_totals_lookup,MATCH(K2108,a_wins_total_lookup_header,0)+1,0),VLOOKUP(D2108,a_win_totals_lookup,MATCH(I2108,a_wins_total_lookup_header,0)+1,0))</f>
        <v>0.47403936940493457</v>
      </c>
      <c r="N2108">
        <f t="shared" ca="1" si="32"/>
        <v>0</v>
      </c>
    </row>
    <row r="2109" spans="1:14" x14ac:dyDescent="0.25">
      <c r="A2109">
        <v>400579349</v>
      </c>
      <c r="B2109">
        <v>2015</v>
      </c>
      <c r="C2109" s="1">
        <v>42087</v>
      </c>
      <c r="D2109" t="s">
        <v>15</v>
      </c>
      <c r="E2109">
        <v>0</v>
      </c>
      <c r="F2109">
        <v>44</v>
      </c>
      <c r="G2109">
        <v>26</v>
      </c>
      <c r="H2109">
        <v>0</v>
      </c>
      <c r="I2109" t="s">
        <v>14</v>
      </c>
      <c r="J2109">
        <v>101</v>
      </c>
      <c r="K2109" t="s">
        <v>15</v>
      </c>
      <c r="L2109">
        <v>94</v>
      </c>
      <c r="M2109">
        <f>IF(D2109=I2109,VLOOKUP(D2109,a_win_totals_lookup,MATCH(K2109,a_wins_total_lookup_header,0)+1,0),VLOOKUP(D2109,a_win_totals_lookup,MATCH(I2109,a_wins_total_lookup_header,0)+1,0))</f>
        <v>0.52596063059506537</v>
      </c>
      <c r="N2109">
        <f t="shared" ca="1" si="32"/>
        <v>0</v>
      </c>
    </row>
    <row r="2110" spans="1:14" x14ac:dyDescent="0.25">
      <c r="A2110">
        <v>400579350</v>
      </c>
      <c r="B2110">
        <v>2015</v>
      </c>
      <c r="C2110" s="1">
        <v>42087</v>
      </c>
      <c r="D2110" t="s">
        <v>21</v>
      </c>
      <c r="E2110">
        <v>0</v>
      </c>
      <c r="F2110">
        <v>17</v>
      </c>
      <c r="G2110">
        <v>54</v>
      </c>
      <c r="H2110">
        <v>0</v>
      </c>
      <c r="I2110" t="s">
        <v>37</v>
      </c>
      <c r="J2110">
        <v>107</v>
      </c>
      <c r="K2110" t="s">
        <v>21</v>
      </c>
      <c r="L2110">
        <v>106</v>
      </c>
      <c r="M2110">
        <f>IF(D2110=I2110,VLOOKUP(D2110,a_win_totals_lookup,MATCH(K2110,a_wins_total_lookup_header,0)+1,0),VLOOKUP(D2110,a_win_totals_lookup,MATCH(I2110,a_wins_total_lookup_header,0)+1,0))</f>
        <v>0.37195195898474726</v>
      </c>
      <c r="N2110">
        <f t="shared" ca="1" si="32"/>
        <v>1</v>
      </c>
    </row>
    <row r="2111" spans="1:14" x14ac:dyDescent="0.25">
      <c r="A2111">
        <v>400579350</v>
      </c>
      <c r="B2111">
        <v>2015</v>
      </c>
      <c r="C2111" s="1">
        <v>42087</v>
      </c>
      <c r="D2111" t="s">
        <v>37</v>
      </c>
      <c r="E2111">
        <v>1</v>
      </c>
      <c r="F2111">
        <v>25</v>
      </c>
      <c r="G2111">
        <v>45</v>
      </c>
      <c r="H2111">
        <v>1</v>
      </c>
      <c r="I2111" t="s">
        <v>37</v>
      </c>
      <c r="J2111">
        <v>107</v>
      </c>
      <c r="K2111" t="s">
        <v>21</v>
      </c>
      <c r="L2111">
        <v>106</v>
      </c>
      <c r="M2111">
        <f>IF(D2111=I2111,VLOOKUP(D2111,a_win_totals_lookup,MATCH(K2111,a_wins_total_lookup_header,0)+1,0),VLOOKUP(D2111,a_win_totals_lookup,MATCH(I2111,a_wins_total_lookup_header,0)+1,0))</f>
        <v>0.62804804101525269</v>
      </c>
      <c r="N2111">
        <f t="shared" ca="1" si="32"/>
        <v>1</v>
      </c>
    </row>
    <row r="2112" spans="1:14" x14ac:dyDescent="0.25">
      <c r="A2112">
        <v>400579351</v>
      </c>
      <c r="B2112">
        <v>2015</v>
      </c>
      <c r="C2112" s="1">
        <v>42087</v>
      </c>
      <c r="D2112" t="s">
        <v>36</v>
      </c>
      <c r="E2112">
        <v>1</v>
      </c>
      <c r="F2112">
        <v>58</v>
      </c>
      <c r="G2112">
        <v>13</v>
      </c>
      <c r="H2112">
        <v>0</v>
      </c>
      <c r="I2112" t="s">
        <v>39</v>
      </c>
      <c r="J2112">
        <v>108</v>
      </c>
      <c r="K2112" t="s">
        <v>36</v>
      </c>
      <c r="L2112">
        <v>122</v>
      </c>
      <c r="M2112">
        <f>IF(D2112=I2112,VLOOKUP(D2112,a_win_totals_lookup,MATCH(K2112,a_wins_total_lookup_header,0)+1,0),VLOOKUP(D2112,a_win_totals_lookup,MATCH(I2112,a_wins_total_lookup_header,0)+1,0))</f>
        <v>0.53208984971618267</v>
      </c>
      <c r="N2112">
        <f t="shared" ca="1" si="32"/>
        <v>0</v>
      </c>
    </row>
    <row r="2113" spans="1:14" x14ac:dyDescent="0.25">
      <c r="A2113">
        <v>400579351</v>
      </c>
      <c r="B2113">
        <v>2015</v>
      </c>
      <c r="C2113" s="1">
        <v>42087</v>
      </c>
      <c r="D2113" t="s">
        <v>39</v>
      </c>
      <c r="E2113">
        <v>0</v>
      </c>
      <c r="F2113">
        <v>44</v>
      </c>
      <c r="G2113">
        <v>25</v>
      </c>
      <c r="H2113">
        <v>1</v>
      </c>
      <c r="I2113" t="s">
        <v>39</v>
      </c>
      <c r="J2113">
        <v>108</v>
      </c>
      <c r="K2113" t="s">
        <v>36</v>
      </c>
      <c r="L2113">
        <v>122</v>
      </c>
      <c r="M2113">
        <f>IF(D2113=I2113,VLOOKUP(D2113,a_win_totals_lookup,MATCH(K2113,a_wins_total_lookup_header,0)+1,0),VLOOKUP(D2113,a_win_totals_lookup,MATCH(I2113,a_wins_total_lookup_header,0)+1,0))</f>
        <v>0.46791015028381738</v>
      </c>
      <c r="N2113">
        <f t="shared" ca="1" si="32"/>
        <v>1</v>
      </c>
    </row>
    <row r="2114" spans="1:14" x14ac:dyDescent="0.25">
      <c r="A2114">
        <v>400579352</v>
      </c>
      <c r="B2114">
        <v>2015</v>
      </c>
      <c r="C2114" s="1">
        <v>42088</v>
      </c>
      <c r="D2114" t="s">
        <v>23</v>
      </c>
      <c r="E2114">
        <v>1</v>
      </c>
      <c r="F2114">
        <v>30</v>
      </c>
      <c r="G2114">
        <v>40</v>
      </c>
      <c r="H2114">
        <v>0</v>
      </c>
      <c r="I2114" t="s">
        <v>18</v>
      </c>
      <c r="J2114">
        <v>88</v>
      </c>
      <c r="K2114" t="s">
        <v>23</v>
      </c>
      <c r="L2114">
        <v>91</v>
      </c>
      <c r="M2114">
        <f>IF(D2114=I2114,VLOOKUP(D2114,a_win_totals_lookup,MATCH(K2114,a_wins_total_lookup_header,0)+1,0),VLOOKUP(D2114,a_win_totals_lookup,MATCH(I2114,a_wins_total_lookup_header,0)+1,0))</f>
        <v>0.43782349911420193</v>
      </c>
      <c r="N2114">
        <f t="shared" ca="1" si="32"/>
        <v>1</v>
      </c>
    </row>
    <row r="2115" spans="1:14" x14ac:dyDescent="0.25">
      <c r="A2115">
        <v>400579352</v>
      </c>
      <c r="B2115">
        <v>2015</v>
      </c>
      <c r="C2115" s="1">
        <v>42088</v>
      </c>
      <c r="D2115" t="s">
        <v>18</v>
      </c>
      <c r="E2115">
        <v>0</v>
      </c>
      <c r="F2115">
        <v>30</v>
      </c>
      <c r="G2115">
        <v>40</v>
      </c>
      <c r="H2115">
        <v>1</v>
      </c>
      <c r="I2115" t="s">
        <v>18</v>
      </c>
      <c r="J2115">
        <v>88</v>
      </c>
      <c r="K2115" t="s">
        <v>23</v>
      </c>
      <c r="L2115">
        <v>91</v>
      </c>
      <c r="M2115">
        <f>IF(D2115=I2115,VLOOKUP(D2115,a_win_totals_lookup,MATCH(K2115,a_wins_total_lookup_header,0)+1,0),VLOOKUP(D2115,a_win_totals_lookup,MATCH(I2115,a_wins_total_lookup_header,0)+1,0))</f>
        <v>0.56217650088579807</v>
      </c>
      <c r="N2115">
        <f t="shared" ref="N2115:N2178" ca="1" si="33">ROUND(0.5*RANDBETWEEN(-1,1)+M2115,0)</f>
        <v>1</v>
      </c>
    </row>
    <row r="2116" spans="1:14" x14ac:dyDescent="0.25">
      <c r="A2116">
        <v>400579353</v>
      </c>
      <c r="B2116">
        <v>2015</v>
      </c>
      <c r="C2116" s="1">
        <v>42088</v>
      </c>
      <c r="D2116" t="s">
        <v>41</v>
      </c>
      <c r="E2116">
        <v>1</v>
      </c>
      <c r="F2116">
        <v>47</v>
      </c>
      <c r="G2116">
        <v>25</v>
      </c>
      <c r="H2116">
        <v>0</v>
      </c>
      <c r="I2116" t="s">
        <v>31</v>
      </c>
      <c r="J2116">
        <v>80</v>
      </c>
      <c r="K2116" t="s">
        <v>41</v>
      </c>
      <c r="L2116">
        <v>111</v>
      </c>
      <c r="M2116">
        <f>IF(D2116=I2116,VLOOKUP(D2116,a_win_totals_lookup,MATCH(K2116,a_wins_total_lookup_header,0)+1,0),VLOOKUP(D2116,a_win_totals_lookup,MATCH(I2116,a_wins_total_lookup_header,0)+1,0))</f>
        <v>0.64912982573812106</v>
      </c>
      <c r="N2116">
        <f t="shared" ca="1" si="33"/>
        <v>0</v>
      </c>
    </row>
    <row r="2117" spans="1:14" x14ac:dyDescent="0.25">
      <c r="A2117">
        <v>400579353</v>
      </c>
      <c r="B2117">
        <v>2015</v>
      </c>
      <c r="C2117" s="1">
        <v>42088</v>
      </c>
      <c r="D2117" t="s">
        <v>31</v>
      </c>
      <c r="E2117">
        <v>0</v>
      </c>
      <c r="F2117">
        <v>14</v>
      </c>
      <c r="G2117">
        <v>58</v>
      </c>
      <c r="H2117">
        <v>1</v>
      </c>
      <c r="I2117" t="s">
        <v>31</v>
      </c>
      <c r="J2117">
        <v>80</v>
      </c>
      <c r="K2117" t="s">
        <v>41</v>
      </c>
      <c r="L2117">
        <v>111</v>
      </c>
      <c r="M2117">
        <f>IF(D2117=I2117,VLOOKUP(D2117,a_win_totals_lookup,MATCH(K2117,a_wins_total_lookup_header,0)+1,0),VLOOKUP(D2117,a_win_totals_lookup,MATCH(I2117,a_wins_total_lookup_header,0)+1,0))</f>
        <v>0.35087017426187905</v>
      </c>
      <c r="N2117">
        <f t="shared" ca="1" si="33"/>
        <v>0</v>
      </c>
    </row>
    <row r="2118" spans="1:14" x14ac:dyDescent="0.25">
      <c r="A2118">
        <v>400579354</v>
      </c>
      <c r="B2118">
        <v>2015</v>
      </c>
      <c r="C2118" s="1">
        <v>42088</v>
      </c>
      <c r="D2118" t="s">
        <v>26</v>
      </c>
      <c r="E2118">
        <v>1</v>
      </c>
      <c r="F2118">
        <v>54</v>
      </c>
      <c r="G2118">
        <v>17</v>
      </c>
      <c r="H2118">
        <v>0</v>
      </c>
      <c r="I2118" t="s">
        <v>13</v>
      </c>
      <c r="J2118">
        <v>83</v>
      </c>
      <c r="K2118" t="s">
        <v>26</v>
      </c>
      <c r="L2118">
        <v>95</v>
      </c>
      <c r="M2118">
        <f>IF(D2118=I2118,VLOOKUP(D2118,a_win_totals_lookup,MATCH(K2118,a_wins_total_lookup_header,0)+1,0),VLOOKUP(D2118,a_win_totals_lookup,MATCH(I2118,a_wins_total_lookup_header,0)+1,0))</f>
        <v>0.64759781623680968</v>
      </c>
      <c r="N2118">
        <f t="shared" ca="1" si="33"/>
        <v>1</v>
      </c>
    </row>
    <row r="2119" spans="1:14" x14ac:dyDescent="0.25">
      <c r="A2119">
        <v>400579354</v>
      </c>
      <c r="B2119">
        <v>2015</v>
      </c>
      <c r="C2119" s="1">
        <v>42088</v>
      </c>
      <c r="D2119" t="s">
        <v>13</v>
      </c>
      <c r="E2119">
        <v>0</v>
      </c>
      <c r="F2119">
        <v>22</v>
      </c>
      <c r="G2119">
        <v>51</v>
      </c>
      <c r="H2119">
        <v>1</v>
      </c>
      <c r="I2119" t="s">
        <v>13</v>
      </c>
      <c r="J2119">
        <v>83</v>
      </c>
      <c r="K2119" t="s">
        <v>26</v>
      </c>
      <c r="L2119">
        <v>95</v>
      </c>
      <c r="M2119">
        <f>IF(D2119=I2119,VLOOKUP(D2119,a_win_totals_lookup,MATCH(K2119,a_wins_total_lookup_header,0)+1,0),VLOOKUP(D2119,a_win_totals_lookup,MATCH(I2119,a_wins_total_lookup_header,0)+1,0))</f>
        <v>0.35240218376319032</v>
      </c>
      <c r="N2119">
        <f t="shared" ca="1" si="33"/>
        <v>1</v>
      </c>
    </row>
    <row r="2120" spans="1:14" x14ac:dyDescent="0.25">
      <c r="A2120">
        <v>400579355</v>
      </c>
      <c r="B2120">
        <v>2015</v>
      </c>
      <c r="C2120" s="1">
        <v>42088</v>
      </c>
      <c r="D2120" t="s">
        <v>20</v>
      </c>
      <c r="E2120">
        <v>1</v>
      </c>
      <c r="F2120">
        <v>31</v>
      </c>
      <c r="G2120">
        <v>40</v>
      </c>
      <c r="H2120">
        <v>0</v>
      </c>
      <c r="I2120" t="s">
        <v>25</v>
      </c>
      <c r="J2120">
        <v>101</v>
      </c>
      <c r="K2120" t="s">
        <v>20</v>
      </c>
      <c r="L2120">
        <v>103</v>
      </c>
      <c r="M2120">
        <f>IF(D2120=I2120,VLOOKUP(D2120,a_win_totals_lookup,MATCH(K2120,a_wins_total_lookup_header,0)+1,0),VLOOKUP(D2120,a_win_totals_lookup,MATCH(I2120,a_wins_total_lookup_header,0)+1,0))</f>
        <v>0.35966777393646027</v>
      </c>
      <c r="N2120">
        <f t="shared" ca="1" si="33"/>
        <v>1</v>
      </c>
    </row>
    <row r="2121" spans="1:14" x14ac:dyDescent="0.25">
      <c r="A2121">
        <v>400579355</v>
      </c>
      <c r="B2121">
        <v>2015</v>
      </c>
      <c r="C2121" s="1">
        <v>42088</v>
      </c>
      <c r="D2121" t="s">
        <v>25</v>
      </c>
      <c r="E2121">
        <v>0</v>
      </c>
      <c r="F2121">
        <v>40</v>
      </c>
      <c r="G2121">
        <v>32</v>
      </c>
      <c r="H2121">
        <v>1</v>
      </c>
      <c r="I2121" t="s">
        <v>25</v>
      </c>
      <c r="J2121">
        <v>101</v>
      </c>
      <c r="K2121" t="s">
        <v>20</v>
      </c>
      <c r="L2121">
        <v>103</v>
      </c>
      <c r="M2121">
        <f>IF(D2121=I2121,VLOOKUP(D2121,a_win_totals_lookup,MATCH(K2121,a_wins_total_lookup_header,0)+1,0),VLOOKUP(D2121,a_win_totals_lookup,MATCH(I2121,a_wins_total_lookup_header,0)+1,0))</f>
        <v>0.64033222606353968</v>
      </c>
      <c r="N2121">
        <f t="shared" ca="1" si="33"/>
        <v>1</v>
      </c>
    </row>
    <row r="2122" spans="1:14" x14ac:dyDescent="0.25">
      <c r="A2122">
        <v>400579356</v>
      </c>
      <c r="B2122">
        <v>2015</v>
      </c>
      <c r="C2122" s="1">
        <v>42088</v>
      </c>
      <c r="D2122" t="s">
        <v>22</v>
      </c>
      <c r="E2122">
        <v>0</v>
      </c>
      <c r="F2122">
        <v>31</v>
      </c>
      <c r="G2122">
        <v>40</v>
      </c>
      <c r="H2122">
        <v>1</v>
      </c>
      <c r="I2122" t="s">
        <v>22</v>
      </c>
      <c r="J2122">
        <v>86</v>
      </c>
      <c r="K2122" t="s">
        <v>24</v>
      </c>
      <c r="L2122">
        <v>93</v>
      </c>
      <c r="M2122">
        <f>IF(D2122=I2122,VLOOKUP(D2122,a_win_totals_lookup,MATCH(K2122,a_wins_total_lookup_header,0)+1,0),VLOOKUP(D2122,a_win_totals_lookup,MATCH(I2122,a_wins_total_lookup_header,0)+1,0))</f>
        <v>0.29297639017457672</v>
      </c>
      <c r="N2122">
        <f t="shared" ca="1" si="33"/>
        <v>0</v>
      </c>
    </row>
    <row r="2123" spans="1:14" x14ac:dyDescent="0.25">
      <c r="A2123">
        <v>400579356</v>
      </c>
      <c r="B2123">
        <v>2015</v>
      </c>
      <c r="C2123" s="1">
        <v>42088</v>
      </c>
      <c r="D2123" t="s">
        <v>24</v>
      </c>
      <c r="E2123">
        <v>1</v>
      </c>
      <c r="F2123">
        <v>33</v>
      </c>
      <c r="G2123">
        <v>38</v>
      </c>
      <c r="H2123">
        <v>0</v>
      </c>
      <c r="I2123" t="s">
        <v>22</v>
      </c>
      <c r="J2123">
        <v>86</v>
      </c>
      <c r="K2123" t="s">
        <v>24</v>
      </c>
      <c r="L2123">
        <v>93</v>
      </c>
      <c r="M2123">
        <f>IF(D2123=I2123,VLOOKUP(D2123,a_win_totals_lookup,MATCH(K2123,a_wins_total_lookup_header,0)+1,0),VLOOKUP(D2123,a_win_totals_lookup,MATCH(I2123,a_wins_total_lookup_header,0)+1,0))</f>
        <v>0.70702360982542323</v>
      </c>
      <c r="N2123">
        <f t="shared" ca="1" si="33"/>
        <v>1</v>
      </c>
    </row>
    <row r="2124" spans="1:14" x14ac:dyDescent="0.25">
      <c r="A2124">
        <v>400579357</v>
      </c>
      <c r="B2124">
        <v>2015</v>
      </c>
      <c r="C2124" s="1">
        <v>42088</v>
      </c>
      <c r="D2124" t="s">
        <v>30</v>
      </c>
      <c r="E2124">
        <v>1</v>
      </c>
      <c r="F2124">
        <v>44</v>
      </c>
      <c r="G2124">
        <v>29</v>
      </c>
      <c r="H2124">
        <v>0</v>
      </c>
      <c r="I2124" t="s">
        <v>27</v>
      </c>
      <c r="J2124">
        <v>103</v>
      </c>
      <c r="K2124" t="s">
        <v>30</v>
      </c>
      <c r="L2124">
        <v>116</v>
      </c>
      <c r="M2124">
        <f>IF(D2124=I2124,VLOOKUP(D2124,a_win_totals_lookup,MATCH(K2124,a_wins_total_lookup_header,0)+1,0),VLOOKUP(D2124,a_win_totals_lookup,MATCH(I2124,a_wins_total_lookup_header,0)+1,0))</f>
        <v>0.52596063059506537</v>
      </c>
      <c r="N2124">
        <f t="shared" ca="1" si="33"/>
        <v>1</v>
      </c>
    </row>
    <row r="2125" spans="1:14" x14ac:dyDescent="0.25">
      <c r="A2125">
        <v>400579357</v>
      </c>
      <c r="B2125">
        <v>2015</v>
      </c>
      <c r="C2125" s="1">
        <v>42088</v>
      </c>
      <c r="D2125" t="s">
        <v>27</v>
      </c>
      <c r="E2125">
        <v>0</v>
      </c>
      <c r="F2125">
        <v>42</v>
      </c>
      <c r="G2125">
        <v>30</v>
      </c>
      <c r="H2125">
        <v>1</v>
      </c>
      <c r="I2125" t="s">
        <v>27</v>
      </c>
      <c r="J2125">
        <v>103</v>
      </c>
      <c r="K2125" t="s">
        <v>30</v>
      </c>
      <c r="L2125">
        <v>116</v>
      </c>
      <c r="M2125">
        <f>IF(D2125=I2125,VLOOKUP(D2125,a_win_totals_lookup,MATCH(K2125,a_wins_total_lookup_header,0)+1,0),VLOOKUP(D2125,a_win_totals_lookup,MATCH(I2125,a_wins_total_lookup_header,0)+1,0))</f>
        <v>0.47403936940493457</v>
      </c>
      <c r="N2125">
        <f t="shared" ca="1" si="33"/>
        <v>1</v>
      </c>
    </row>
    <row r="2126" spans="1:14" x14ac:dyDescent="0.25">
      <c r="A2126">
        <v>400579358</v>
      </c>
      <c r="B2126">
        <v>2015</v>
      </c>
      <c r="C2126" s="1">
        <v>42088</v>
      </c>
      <c r="D2126" t="s">
        <v>40</v>
      </c>
      <c r="E2126">
        <v>1</v>
      </c>
      <c r="F2126">
        <v>47</v>
      </c>
      <c r="G2126">
        <v>26</v>
      </c>
      <c r="H2126">
        <v>0</v>
      </c>
      <c r="I2126" t="s">
        <v>28</v>
      </c>
      <c r="J2126">
        <v>89</v>
      </c>
      <c r="K2126" t="s">
        <v>40</v>
      </c>
      <c r="L2126">
        <v>111</v>
      </c>
      <c r="M2126">
        <f>IF(D2126=I2126,VLOOKUP(D2126,a_win_totals_lookup,MATCH(K2126,a_wins_total_lookup_header,0)+1,0),VLOOKUP(D2126,a_win_totals_lookup,MATCH(I2126,a_wins_total_lookup_header,0)+1,0))</f>
        <v>0.5521428232847434</v>
      </c>
      <c r="N2126">
        <f t="shared" ca="1" si="33"/>
        <v>0</v>
      </c>
    </row>
    <row r="2127" spans="1:14" x14ac:dyDescent="0.25">
      <c r="A2127">
        <v>400579358</v>
      </c>
      <c r="B2127">
        <v>2015</v>
      </c>
      <c r="C2127" s="1">
        <v>42088</v>
      </c>
      <c r="D2127" t="s">
        <v>28</v>
      </c>
      <c r="E2127">
        <v>0</v>
      </c>
      <c r="F2127">
        <v>50</v>
      </c>
      <c r="G2127">
        <v>22</v>
      </c>
      <c r="H2127">
        <v>1</v>
      </c>
      <c r="I2127" t="s">
        <v>28</v>
      </c>
      <c r="J2127">
        <v>89</v>
      </c>
      <c r="K2127" t="s">
        <v>40</v>
      </c>
      <c r="L2127">
        <v>111</v>
      </c>
      <c r="M2127">
        <f>IF(D2127=I2127,VLOOKUP(D2127,a_win_totals_lookup,MATCH(K2127,a_wins_total_lookup_header,0)+1,0),VLOOKUP(D2127,a_win_totals_lookup,MATCH(I2127,a_wins_total_lookup_header,0)+1,0))</f>
        <v>0.44785717671525666</v>
      </c>
      <c r="N2127">
        <f t="shared" ca="1" si="33"/>
        <v>0</v>
      </c>
    </row>
    <row r="2128" spans="1:14" x14ac:dyDescent="0.25">
      <c r="A2128">
        <v>400579359</v>
      </c>
      <c r="B2128">
        <v>2015</v>
      </c>
      <c r="C2128" s="1">
        <v>42088</v>
      </c>
      <c r="D2128" t="s">
        <v>17</v>
      </c>
      <c r="E2128">
        <v>1</v>
      </c>
      <c r="F2128">
        <v>19</v>
      </c>
      <c r="G2128">
        <v>51</v>
      </c>
      <c r="H2128">
        <v>0</v>
      </c>
      <c r="I2128" t="s">
        <v>29</v>
      </c>
      <c r="J2128">
        <v>99</v>
      </c>
      <c r="K2128" t="s">
        <v>17</v>
      </c>
      <c r="L2128">
        <v>101</v>
      </c>
      <c r="M2128">
        <f>IF(D2128=I2128,VLOOKUP(D2128,a_win_totals_lookup,MATCH(K2128,a_wins_total_lookup_header,0)+1,0),VLOOKUP(D2128,a_win_totals_lookup,MATCH(I2128,a_wins_total_lookup_header,0)+1,0))</f>
        <v>0.59026429763515698</v>
      </c>
      <c r="N2128">
        <f t="shared" ca="1" si="33"/>
        <v>1</v>
      </c>
    </row>
    <row r="2129" spans="1:14" x14ac:dyDescent="0.25">
      <c r="A2129">
        <v>400579359</v>
      </c>
      <c r="B2129">
        <v>2015</v>
      </c>
      <c r="C2129" s="1">
        <v>42088</v>
      </c>
      <c r="D2129" t="s">
        <v>29</v>
      </c>
      <c r="E2129">
        <v>0</v>
      </c>
      <c r="F2129">
        <v>16</v>
      </c>
      <c r="G2129">
        <v>55</v>
      </c>
      <c r="H2129">
        <v>1</v>
      </c>
      <c r="I2129" t="s">
        <v>29</v>
      </c>
      <c r="J2129">
        <v>99</v>
      </c>
      <c r="K2129" t="s">
        <v>17</v>
      </c>
      <c r="L2129">
        <v>101</v>
      </c>
      <c r="M2129">
        <f>IF(D2129=I2129,VLOOKUP(D2129,a_win_totals_lookup,MATCH(K2129,a_wins_total_lookup_header,0)+1,0),VLOOKUP(D2129,a_win_totals_lookup,MATCH(I2129,a_wins_total_lookup_header,0)+1,0))</f>
        <v>0.40973570236484297</v>
      </c>
      <c r="N2129">
        <f t="shared" ca="1" si="33"/>
        <v>0</v>
      </c>
    </row>
    <row r="2130" spans="1:14" x14ac:dyDescent="0.25">
      <c r="A2130">
        <v>400579360</v>
      </c>
      <c r="B2130">
        <v>2015</v>
      </c>
      <c r="C2130" s="1">
        <v>42088</v>
      </c>
      <c r="D2130" t="s">
        <v>16</v>
      </c>
      <c r="E2130">
        <v>1</v>
      </c>
      <c r="F2130">
        <v>48</v>
      </c>
      <c r="G2130">
        <v>23</v>
      </c>
      <c r="H2130">
        <v>0</v>
      </c>
      <c r="I2130" t="s">
        <v>12</v>
      </c>
      <c r="J2130">
        <v>93</v>
      </c>
      <c r="K2130" t="s">
        <v>16</v>
      </c>
      <c r="L2130">
        <v>95</v>
      </c>
      <c r="M2130">
        <f>IF(D2130=I2130,VLOOKUP(D2130,a_win_totals_lookup,MATCH(K2130,a_wins_total_lookup_header,0)+1,0),VLOOKUP(D2130,a_win_totals_lookup,MATCH(I2130,a_wins_total_lookup_header,0)+1,0))</f>
        <v>0.56898424522980195</v>
      </c>
      <c r="N2130">
        <f t="shared" ca="1" si="33"/>
        <v>1</v>
      </c>
    </row>
    <row r="2131" spans="1:14" x14ac:dyDescent="0.25">
      <c r="A2131">
        <v>400579360</v>
      </c>
      <c r="B2131">
        <v>2015</v>
      </c>
      <c r="C2131" s="1">
        <v>42088</v>
      </c>
      <c r="D2131" t="s">
        <v>12</v>
      </c>
      <c r="E2131">
        <v>0</v>
      </c>
      <c r="F2131">
        <v>37</v>
      </c>
      <c r="G2131">
        <v>34</v>
      </c>
      <c r="H2131">
        <v>1</v>
      </c>
      <c r="I2131" t="s">
        <v>12</v>
      </c>
      <c r="J2131">
        <v>93</v>
      </c>
      <c r="K2131" t="s">
        <v>16</v>
      </c>
      <c r="L2131">
        <v>95</v>
      </c>
      <c r="M2131">
        <f>IF(D2131=I2131,VLOOKUP(D2131,a_win_totals_lookup,MATCH(K2131,a_wins_total_lookup_header,0)+1,0),VLOOKUP(D2131,a_win_totals_lookup,MATCH(I2131,a_wins_total_lookup_header,0)+1,0))</f>
        <v>0.43101575477019799</v>
      </c>
      <c r="N2131">
        <f t="shared" ca="1" si="33"/>
        <v>0</v>
      </c>
    </row>
    <row r="2132" spans="1:14" x14ac:dyDescent="0.25">
      <c r="A2132">
        <v>400579361</v>
      </c>
      <c r="B2132">
        <v>2015</v>
      </c>
      <c r="C2132" s="1">
        <v>42088</v>
      </c>
      <c r="D2132" t="s">
        <v>32</v>
      </c>
      <c r="E2132">
        <v>0</v>
      </c>
      <c r="F2132">
        <v>27</v>
      </c>
      <c r="G2132">
        <v>45</v>
      </c>
      <c r="H2132">
        <v>1</v>
      </c>
      <c r="I2132" t="s">
        <v>32</v>
      </c>
      <c r="J2132">
        <v>85</v>
      </c>
      <c r="K2132" t="s">
        <v>21</v>
      </c>
      <c r="L2132">
        <v>99</v>
      </c>
      <c r="M2132">
        <f>IF(D2132=I2132,VLOOKUP(D2132,a_win_totals_lookup,MATCH(K2132,a_wins_total_lookup_header,0)+1,0),VLOOKUP(D2132,a_win_totals_lookup,MATCH(I2132,a_wins_total_lookup_header,0)+1,0))</f>
        <v>0.69736543414984997</v>
      </c>
      <c r="N2132">
        <f t="shared" ca="1" si="33"/>
        <v>0</v>
      </c>
    </row>
    <row r="2133" spans="1:14" x14ac:dyDescent="0.25">
      <c r="A2133">
        <v>400579361</v>
      </c>
      <c r="B2133">
        <v>2015</v>
      </c>
      <c r="C2133" s="1">
        <v>42088</v>
      </c>
      <c r="D2133" t="s">
        <v>21</v>
      </c>
      <c r="E2133">
        <v>1</v>
      </c>
      <c r="F2133">
        <v>18</v>
      </c>
      <c r="G2133">
        <v>54</v>
      </c>
      <c r="H2133">
        <v>0</v>
      </c>
      <c r="I2133" t="s">
        <v>32</v>
      </c>
      <c r="J2133">
        <v>85</v>
      </c>
      <c r="K2133" t="s">
        <v>21</v>
      </c>
      <c r="L2133">
        <v>99</v>
      </c>
      <c r="M2133">
        <f>IF(D2133=I2133,VLOOKUP(D2133,a_win_totals_lookup,MATCH(K2133,a_wins_total_lookup_header,0)+1,0),VLOOKUP(D2133,a_win_totals_lookup,MATCH(I2133,a_wins_total_lookup_header,0)+1,0))</f>
        <v>0.30263456585015008</v>
      </c>
      <c r="N2133">
        <f t="shared" ca="1" si="33"/>
        <v>0</v>
      </c>
    </row>
    <row r="2134" spans="1:14" x14ac:dyDescent="0.25">
      <c r="A2134">
        <v>400579362</v>
      </c>
      <c r="B2134">
        <v>2015</v>
      </c>
      <c r="C2134" s="1">
        <v>42088</v>
      </c>
      <c r="D2134" t="s">
        <v>39</v>
      </c>
      <c r="E2134">
        <v>1</v>
      </c>
      <c r="F2134">
        <v>45</v>
      </c>
      <c r="G2134">
        <v>25</v>
      </c>
      <c r="H2134">
        <v>0</v>
      </c>
      <c r="I2134" t="s">
        <v>34</v>
      </c>
      <c r="J2134">
        <v>89</v>
      </c>
      <c r="K2134" t="s">
        <v>39</v>
      </c>
      <c r="L2134">
        <v>92</v>
      </c>
      <c r="M2134">
        <f>IF(D2134=I2134,VLOOKUP(D2134,a_win_totals_lookup,MATCH(K2134,a_wins_total_lookup_header,0)+1,0),VLOOKUP(D2134,a_win_totals_lookup,MATCH(I2134,a_wins_total_lookup_header,0)+1,0))</f>
        <v>0.69454700244383094</v>
      </c>
      <c r="N2134">
        <f t="shared" ca="1" si="33"/>
        <v>0</v>
      </c>
    </row>
    <row r="2135" spans="1:14" x14ac:dyDescent="0.25">
      <c r="A2135">
        <v>400579362</v>
      </c>
      <c r="B2135">
        <v>2015</v>
      </c>
      <c r="C2135" s="1">
        <v>42088</v>
      </c>
      <c r="D2135" t="s">
        <v>34</v>
      </c>
      <c r="E2135">
        <v>0</v>
      </c>
      <c r="F2135">
        <v>31</v>
      </c>
      <c r="G2135">
        <v>40</v>
      </c>
      <c r="H2135">
        <v>1</v>
      </c>
      <c r="I2135" t="s">
        <v>34</v>
      </c>
      <c r="J2135">
        <v>89</v>
      </c>
      <c r="K2135" t="s">
        <v>39</v>
      </c>
      <c r="L2135">
        <v>92</v>
      </c>
      <c r="M2135">
        <f>IF(D2135=I2135,VLOOKUP(D2135,a_win_totals_lookup,MATCH(K2135,a_wins_total_lookup_header,0)+1,0),VLOOKUP(D2135,a_win_totals_lookup,MATCH(I2135,a_wins_total_lookup_header,0)+1,0))</f>
        <v>0.305452997556169</v>
      </c>
      <c r="N2135">
        <f t="shared" ca="1" si="33"/>
        <v>0</v>
      </c>
    </row>
    <row r="2136" spans="1:14" x14ac:dyDescent="0.25">
      <c r="A2136">
        <v>400579363</v>
      </c>
      <c r="B2136">
        <v>2015</v>
      </c>
      <c r="C2136" s="1">
        <v>42088</v>
      </c>
      <c r="D2136" t="s">
        <v>38</v>
      </c>
      <c r="E2136">
        <v>0</v>
      </c>
      <c r="F2136">
        <v>41</v>
      </c>
      <c r="G2136">
        <v>31</v>
      </c>
      <c r="H2136">
        <v>0</v>
      </c>
      <c r="I2136" t="s">
        <v>15</v>
      </c>
      <c r="J2136">
        <v>130</v>
      </c>
      <c r="K2136" t="s">
        <v>38</v>
      </c>
      <c r="L2136">
        <v>91</v>
      </c>
      <c r="M2136">
        <f>IF(D2136=I2136,VLOOKUP(D2136,a_win_totals_lookup,MATCH(K2136,a_wins_total_lookup_header,0)+1,0),VLOOKUP(D2136,a_win_totals_lookup,MATCH(I2136,a_wins_total_lookup_header,0)+1,0))</f>
        <v>0.48796997257765107</v>
      </c>
      <c r="N2136">
        <f t="shared" ca="1" si="33"/>
        <v>0</v>
      </c>
    </row>
    <row r="2137" spans="1:14" x14ac:dyDescent="0.25">
      <c r="A2137">
        <v>400579363</v>
      </c>
      <c r="B2137">
        <v>2015</v>
      </c>
      <c r="C2137" s="1">
        <v>42088</v>
      </c>
      <c r="D2137" t="s">
        <v>15</v>
      </c>
      <c r="E2137">
        <v>1</v>
      </c>
      <c r="F2137">
        <v>45</v>
      </c>
      <c r="G2137">
        <v>26</v>
      </c>
      <c r="H2137">
        <v>1</v>
      </c>
      <c r="I2137" t="s">
        <v>15</v>
      </c>
      <c r="J2137">
        <v>130</v>
      </c>
      <c r="K2137" t="s">
        <v>38</v>
      </c>
      <c r="L2137">
        <v>91</v>
      </c>
      <c r="M2137">
        <f>IF(D2137=I2137,VLOOKUP(D2137,a_win_totals_lookup,MATCH(K2137,a_wins_total_lookup_header,0)+1,0),VLOOKUP(D2137,a_win_totals_lookup,MATCH(I2137,a_wins_total_lookup_header,0)+1,0))</f>
        <v>0.51203002742234893</v>
      </c>
      <c r="N2137">
        <f t="shared" ca="1" si="33"/>
        <v>1</v>
      </c>
    </row>
    <row r="2138" spans="1:14" x14ac:dyDescent="0.25">
      <c r="A2138">
        <v>400579364</v>
      </c>
      <c r="B2138">
        <v>2015</v>
      </c>
      <c r="C2138" s="1">
        <v>42088</v>
      </c>
      <c r="D2138" t="s">
        <v>35</v>
      </c>
      <c r="E2138">
        <v>0</v>
      </c>
      <c r="F2138">
        <v>38</v>
      </c>
      <c r="G2138">
        <v>34</v>
      </c>
      <c r="H2138">
        <v>1</v>
      </c>
      <c r="I2138" t="s">
        <v>35</v>
      </c>
      <c r="J2138">
        <v>99</v>
      </c>
      <c r="K2138" t="s">
        <v>37</v>
      </c>
      <c r="L2138">
        <v>108</v>
      </c>
      <c r="M2138">
        <f>IF(D2138=I2138,VLOOKUP(D2138,a_win_totals_lookup,MATCH(K2138,a_wins_total_lookup_header,0)+1,0),VLOOKUP(D2138,a_win_totals_lookup,MATCH(I2138,a_wins_total_lookup_header,0)+1,0))</f>
        <v>0.61500767730198336</v>
      </c>
      <c r="N2138">
        <f t="shared" ca="1" si="33"/>
        <v>1</v>
      </c>
    </row>
    <row r="2139" spans="1:14" x14ac:dyDescent="0.25">
      <c r="A2139">
        <v>400579364</v>
      </c>
      <c r="B2139">
        <v>2015</v>
      </c>
      <c r="C2139" s="1">
        <v>42088</v>
      </c>
      <c r="D2139" t="s">
        <v>37</v>
      </c>
      <c r="E2139">
        <v>1</v>
      </c>
      <c r="F2139">
        <v>26</v>
      </c>
      <c r="G2139">
        <v>45</v>
      </c>
      <c r="H2139">
        <v>0</v>
      </c>
      <c r="I2139" t="s">
        <v>35</v>
      </c>
      <c r="J2139">
        <v>99</v>
      </c>
      <c r="K2139" t="s">
        <v>37</v>
      </c>
      <c r="L2139">
        <v>108</v>
      </c>
      <c r="M2139">
        <f>IF(D2139=I2139,VLOOKUP(D2139,a_win_totals_lookup,MATCH(K2139,a_wins_total_lookup_header,0)+1,0),VLOOKUP(D2139,a_win_totals_lookup,MATCH(I2139,a_wins_total_lookup_header,0)+1,0))</f>
        <v>0.38499232269801659</v>
      </c>
      <c r="N2139">
        <f t="shared" ca="1" si="33"/>
        <v>1</v>
      </c>
    </row>
    <row r="2140" spans="1:14" x14ac:dyDescent="0.25">
      <c r="A2140">
        <v>400579365</v>
      </c>
      <c r="B2140">
        <v>2015</v>
      </c>
      <c r="C2140" s="1">
        <v>42089</v>
      </c>
      <c r="D2140" t="s">
        <v>20</v>
      </c>
      <c r="E2140">
        <v>0</v>
      </c>
      <c r="F2140">
        <v>31</v>
      </c>
      <c r="G2140">
        <v>41</v>
      </c>
      <c r="H2140">
        <v>0</v>
      </c>
      <c r="I2140" t="s">
        <v>19</v>
      </c>
      <c r="J2140">
        <v>111</v>
      </c>
      <c r="K2140" t="s">
        <v>20</v>
      </c>
      <c r="L2140">
        <v>107</v>
      </c>
      <c r="M2140">
        <f>IF(D2140=I2140,VLOOKUP(D2140,a_win_totals_lookup,MATCH(K2140,a_wins_total_lookup_header,0)+1,0),VLOOKUP(D2140,a_win_totals_lookup,MATCH(I2140,a_wins_total_lookup_header,0)+1,0))</f>
        <v>0.58783565558007556</v>
      </c>
      <c r="N2140">
        <f t="shared" ca="1" si="33"/>
        <v>1</v>
      </c>
    </row>
    <row r="2141" spans="1:14" x14ac:dyDescent="0.25">
      <c r="A2141">
        <v>400579365</v>
      </c>
      <c r="B2141">
        <v>2015</v>
      </c>
      <c r="C2141" s="1">
        <v>42089</v>
      </c>
      <c r="D2141" t="s">
        <v>19</v>
      </c>
      <c r="E2141">
        <v>1</v>
      </c>
      <c r="F2141">
        <v>36</v>
      </c>
      <c r="G2141">
        <v>36</v>
      </c>
      <c r="H2141">
        <v>1</v>
      </c>
      <c r="I2141" t="s">
        <v>19</v>
      </c>
      <c r="J2141">
        <v>111</v>
      </c>
      <c r="K2141" t="s">
        <v>20</v>
      </c>
      <c r="L2141">
        <v>107</v>
      </c>
      <c r="M2141">
        <f>IF(D2141=I2141,VLOOKUP(D2141,a_win_totals_lookup,MATCH(K2141,a_wins_total_lookup_header,0)+1,0),VLOOKUP(D2141,a_win_totals_lookup,MATCH(I2141,a_wins_total_lookup_header,0)+1,0))</f>
        <v>0.4121643444199245</v>
      </c>
      <c r="N2141">
        <f t="shared" ca="1" si="33"/>
        <v>0</v>
      </c>
    </row>
    <row r="2142" spans="1:14" x14ac:dyDescent="0.25">
      <c r="A2142">
        <v>400579366</v>
      </c>
      <c r="B2142">
        <v>2015</v>
      </c>
      <c r="C2142" s="1">
        <v>42090</v>
      </c>
      <c r="D2142" t="s">
        <v>33</v>
      </c>
      <c r="E2142">
        <v>1</v>
      </c>
      <c r="F2142">
        <v>28</v>
      </c>
      <c r="G2142">
        <v>44</v>
      </c>
      <c r="H2142">
        <v>0</v>
      </c>
      <c r="I2142" t="s">
        <v>13</v>
      </c>
      <c r="J2142">
        <v>97</v>
      </c>
      <c r="K2142" t="s">
        <v>33</v>
      </c>
      <c r="L2142">
        <v>111</v>
      </c>
      <c r="M2142">
        <f>IF(D2142=I2142,VLOOKUP(D2142,a_win_totals_lookup,MATCH(K2142,a_wins_total_lookup_header,0)+1,0),VLOOKUP(D2142,a_win_totals_lookup,MATCH(I2142,a_wins_total_lookup_header,0)+1,0))</f>
        <v>0.56745226115407632</v>
      </c>
      <c r="N2142">
        <f t="shared" ca="1" si="33"/>
        <v>1</v>
      </c>
    </row>
    <row r="2143" spans="1:14" x14ac:dyDescent="0.25">
      <c r="A2143">
        <v>400579366</v>
      </c>
      <c r="B2143">
        <v>2015</v>
      </c>
      <c r="C2143" s="1">
        <v>42090</v>
      </c>
      <c r="D2143" t="s">
        <v>13</v>
      </c>
      <c r="E2143">
        <v>0</v>
      </c>
      <c r="F2143">
        <v>22</v>
      </c>
      <c r="G2143">
        <v>52</v>
      </c>
      <c r="H2143">
        <v>1</v>
      </c>
      <c r="I2143" t="s">
        <v>13</v>
      </c>
      <c r="J2143">
        <v>97</v>
      </c>
      <c r="K2143" t="s">
        <v>33</v>
      </c>
      <c r="L2143">
        <v>111</v>
      </c>
      <c r="M2143">
        <f>IF(D2143=I2143,VLOOKUP(D2143,a_win_totals_lookup,MATCH(K2143,a_wins_total_lookup_header,0)+1,0),VLOOKUP(D2143,a_win_totals_lookup,MATCH(I2143,a_wins_total_lookup_header,0)+1,0))</f>
        <v>0.43254773884592373</v>
      </c>
      <c r="N2143">
        <f t="shared" ca="1" si="33"/>
        <v>1</v>
      </c>
    </row>
    <row r="2144" spans="1:14" x14ac:dyDescent="0.25">
      <c r="A2144">
        <v>400579367</v>
      </c>
      <c r="B2144">
        <v>2015</v>
      </c>
      <c r="C2144" s="1">
        <v>42090</v>
      </c>
      <c r="D2144" t="s">
        <v>41</v>
      </c>
      <c r="E2144">
        <v>1</v>
      </c>
      <c r="F2144">
        <v>48</v>
      </c>
      <c r="G2144">
        <v>25</v>
      </c>
      <c r="H2144">
        <v>0</v>
      </c>
      <c r="I2144" t="s">
        <v>21</v>
      </c>
      <c r="J2144">
        <v>98</v>
      </c>
      <c r="K2144" t="s">
        <v>41</v>
      </c>
      <c r="L2144">
        <v>119</v>
      </c>
      <c r="M2144">
        <f>IF(D2144=I2144,VLOOKUP(D2144,a_win_totals_lookup,MATCH(K2144,a_wins_total_lookup_header,0)+1,0),VLOOKUP(D2144,a_win_totals_lookup,MATCH(I2144,a_wins_total_lookup_header,0)+1,0))</f>
        <v>0.80999843398468707</v>
      </c>
      <c r="N2144">
        <f t="shared" ca="1" si="33"/>
        <v>1</v>
      </c>
    </row>
    <row r="2145" spans="1:14" x14ac:dyDescent="0.25">
      <c r="A2145">
        <v>400579367</v>
      </c>
      <c r="B2145">
        <v>2015</v>
      </c>
      <c r="C2145" s="1">
        <v>42090</v>
      </c>
      <c r="D2145" t="s">
        <v>21</v>
      </c>
      <c r="E2145">
        <v>0</v>
      </c>
      <c r="F2145">
        <v>18</v>
      </c>
      <c r="G2145">
        <v>55</v>
      </c>
      <c r="H2145">
        <v>1</v>
      </c>
      <c r="I2145" t="s">
        <v>21</v>
      </c>
      <c r="J2145">
        <v>98</v>
      </c>
      <c r="K2145" t="s">
        <v>41</v>
      </c>
      <c r="L2145">
        <v>119</v>
      </c>
      <c r="M2145">
        <f>IF(D2145=I2145,VLOOKUP(D2145,a_win_totals_lookup,MATCH(K2145,a_wins_total_lookup_header,0)+1,0),VLOOKUP(D2145,a_win_totals_lookup,MATCH(I2145,a_wins_total_lookup_header,0)+1,0))</f>
        <v>0.19000156601531293</v>
      </c>
      <c r="N2145">
        <f t="shared" ca="1" si="33"/>
        <v>1</v>
      </c>
    </row>
    <row r="2146" spans="1:14" x14ac:dyDescent="0.25">
      <c r="A2146">
        <v>400579368</v>
      </c>
      <c r="B2146">
        <v>2015</v>
      </c>
      <c r="C2146" s="1">
        <v>42090</v>
      </c>
      <c r="D2146" t="s">
        <v>18</v>
      </c>
      <c r="E2146">
        <v>0</v>
      </c>
      <c r="F2146">
        <v>30</v>
      </c>
      <c r="G2146">
        <v>41</v>
      </c>
      <c r="H2146">
        <v>0</v>
      </c>
      <c r="I2146" t="s">
        <v>25</v>
      </c>
      <c r="J2146">
        <v>110</v>
      </c>
      <c r="K2146" t="s">
        <v>18</v>
      </c>
      <c r="L2146">
        <v>107</v>
      </c>
      <c r="M2146">
        <f>IF(D2146=I2146,VLOOKUP(D2146,a_win_totals_lookup,MATCH(K2146,a_wins_total_lookup_header,0)+1,0),VLOOKUP(D2146,a_win_totals_lookup,MATCH(I2146,a_wins_total_lookup_header,0)+1,0))</f>
        <v>0.47933915293597207</v>
      </c>
      <c r="N2146">
        <f t="shared" ca="1" si="33"/>
        <v>0</v>
      </c>
    </row>
    <row r="2147" spans="1:14" x14ac:dyDescent="0.25">
      <c r="A2147">
        <v>400579368</v>
      </c>
      <c r="B2147">
        <v>2015</v>
      </c>
      <c r="C2147" s="1">
        <v>42090</v>
      </c>
      <c r="D2147" t="s">
        <v>25</v>
      </c>
      <c r="E2147">
        <v>1</v>
      </c>
      <c r="F2147">
        <v>41</v>
      </c>
      <c r="G2147">
        <v>32</v>
      </c>
      <c r="H2147">
        <v>1</v>
      </c>
      <c r="I2147" t="s">
        <v>25</v>
      </c>
      <c r="J2147">
        <v>110</v>
      </c>
      <c r="K2147" t="s">
        <v>18</v>
      </c>
      <c r="L2147">
        <v>107</v>
      </c>
      <c r="M2147">
        <f>IF(D2147=I2147,VLOOKUP(D2147,a_win_totals_lookup,MATCH(K2147,a_wins_total_lookup_header,0)+1,0),VLOOKUP(D2147,a_win_totals_lookup,MATCH(I2147,a_wins_total_lookup_header,0)+1,0))</f>
        <v>0.52066084706402804</v>
      </c>
      <c r="N2147">
        <f t="shared" ca="1" si="33"/>
        <v>1</v>
      </c>
    </row>
    <row r="2148" spans="1:14" x14ac:dyDescent="0.25">
      <c r="A2148">
        <v>400579369</v>
      </c>
      <c r="B2148">
        <v>2015</v>
      </c>
      <c r="C2148" s="1">
        <v>42090</v>
      </c>
      <c r="D2148" t="s">
        <v>26</v>
      </c>
      <c r="E2148">
        <v>1</v>
      </c>
      <c r="F2148">
        <v>55</v>
      </c>
      <c r="G2148">
        <v>17</v>
      </c>
      <c r="H2148">
        <v>1</v>
      </c>
      <c r="I2148" t="s">
        <v>26</v>
      </c>
      <c r="J2148">
        <v>99</v>
      </c>
      <c r="K2148" t="s">
        <v>24</v>
      </c>
      <c r="L2148">
        <v>86</v>
      </c>
      <c r="M2148">
        <f>IF(D2148=I2148,VLOOKUP(D2148,a_win_totals_lookup,MATCH(K2148,a_wins_total_lookup_header,0)+1,0),VLOOKUP(D2148,a_win_totals_lookup,MATCH(I2148,a_wins_total_lookup_header,0)+1,0))</f>
        <v>0.48812658255436298</v>
      </c>
      <c r="N2148">
        <f t="shared" ca="1" si="33"/>
        <v>0</v>
      </c>
    </row>
    <row r="2149" spans="1:14" x14ac:dyDescent="0.25">
      <c r="A2149">
        <v>400579369</v>
      </c>
      <c r="B2149">
        <v>2015</v>
      </c>
      <c r="C2149" s="1">
        <v>42090</v>
      </c>
      <c r="D2149" t="s">
        <v>24</v>
      </c>
      <c r="E2149">
        <v>0</v>
      </c>
      <c r="F2149">
        <v>33</v>
      </c>
      <c r="G2149">
        <v>39</v>
      </c>
      <c r="H2149">
        <v>0</v>
      </c>
      <c r="I2149" t="s">
        <v>26</v>
      </c>
      <c r="J2149">
        <v>99</v>
      </c>
      <c r="K2149" t="s">
        <v>24</v>
      </c>
      <c r="L2149">
        <v>86</v>
      </c>
      <c r="M2149">
        <f>IF(D2149=I2149,VLOOKUP(D2149,a_win_totals_lookup,MATCH(K2149,a_wins_total_lookup_header,0)+1,0),VLOOKUP(D2149,a_win_totals_lookup,MATCH(I2149,a_wins_total_lookup_header,0)+1,0))</f>
        <v>0.51187341744563697</v>
      </c>
      <c r="N2149">
        <f t="shared" ca="1" si="33"/>
        <v>0</v>
      </c>
    </row>
    <row r="2150" spans="1:14" x14ac:dyDescent="0.25">
      <c r="A2150">
        <v>400579370</v>
      </c>
      <c r="B2150">
        <v>2015</v>
      </c>
      <c r="C2150" s="1">
        <v>42090</v>
      </c>
      <c r="D2150" t="s">
        <v>23</v>
      </c>
      <c r="E2150">
        <v>1</v>
      </c>
      <c r="F2150">
        <v>31</v>
      </c>
      <c r="G2150">
        <v>40</v>
      </c>
      <c r="H2150">
        <v>1</v>
      </c>
      <c r="I2150" t="s">
        <v>23</v>
      </c>
      <c r="J2150">
        <v>106</v>
      </c>
      <c r="K2150" t="s">
        <v>40</v>
      </c>
      <c r="L2150">
        <v>98</v>
      </c>
      <c r="M2150">
        <f>IF(D2150=I2150,VLOOKUP(D2150,a_win_totals_lookup,MATCH(K2150,a_wins_total_lookup_header,0)+1,0),VLOOKUP(D2150,a_win_totals_lookup,MATCH(I2150,a_wins_total_lookup_header,0)+1,0))</f>
        <v>0.35087017426187905</v>
      </c>
      <c r="N2150">
        <f t="shared" ca="1" si="33"/>
        <v>1</v>
      </c>
    </row>
    <row r="2151" spans="1:14" x14ac:dyDescent="0.25">
      <c r="A2151">
        <v>400579370</v>
      </c>
      <c r="B2151">
        <v>2015</v>
      </c>
      <c r="C2151" s="1">
        <v>42090</v>
      </c>
      <c r="D2151" t="s">
        <v>40</v>
      </c>
      <c r="E2151">
        <v>0</v>
      </c>
      <c r="F2151">
        <v>47</v>
      </c>
      <c r="G2151">
        <v>27</v>
      </c>
      <c r="H2151">
        <v>0</v>
      </c>
      <c r="I2151" t="s">
        <v>23</v>
      </c>
      <c r="J2151">
        <v>106</v>
      </c>
      <c r="K2151" t="s">
        <v>40</v>
      </c>
      <c r="L2151">
        <v>98</v>
      </c>
      <c r="M2151">
        <f>IF(D2151=I2151,VLOOKUP(D2151,a_win_totals_lookup,MATCH(K2151,a_wins_total_lookup_header,0)+1,0),VLOOKUP(D2151,a_win_totals_lookup,MATCH(I2151,a_wins_total_lookup_header,0)+1,0))</f>
        <v>0.64912982573812106</v>
      </c>
      <c r="N2151">
        <f t="shared" ca="1" si="33"/>
        <v>0</v>
      </c>
    </row>
    <row r="2152" spans="1:14" x14ac:dyDescent="0.25">
      <c r="A2152">
        <v>400579371</v>
      </c>
      <c r="B2152">
        <v>2015</v>
      </c>
      <c r="C2152" s="1">
        <v>42090</v>
      </c>
      <c r="D2152" t="s">
        <v>22</v>
      </c>
      <c r="E2152">
        <v>1</v>
      </c>
      <c r="F2152">
        <v>32</v>
      </c>
      <c r="G2152">
        <v>40</v>
      </c>
      <c r="H2152">
        <v>0</v>
      </c>
      <c r="I2152" t="s">
        <v>31</v>
      </c>
      <c r="J2152">
        <v>92</v>
      </c>
      <c r="K2152" t="s">
        <v>22</v>
      </c>
      <c r="L2152">
        <v>96</v>
      </c>
      <c r="M2152">
        <f>IF(D2152=I2152,VLOOKUP(D2152,a_win_totals_lookup,MATCH(K2152,a_wins_total_lookup_header,0)+1,0),VLOOKUP(D2152,a_win_totals_lookup,MATCH(I2152,a_wins_total_lookup_header,0)+1,0))</f>
        <v>0.33715695553306341</v>
      </c>
      <c r="N2152">
        <f t="shared" ca="1" si="33"/>
        <v>1</v>
      </c>
    </row>
    <row r="2153" spans="1:14" x14ac:dyDescent="0.25">
      <c r="A2153">
        <v>400579371</v>
      </c>
      <c r="B2153">
        <v>2015</v>
      </c>
      <c r="C2153" s="1">
        <v>42090</v>
      </c>
      <c r="D2153" t="s">
        <v>31</v>
      </c>
      <c r="E2153">
        <v>0</v>
      </c>
      <c r="F2153">
        <v>14</v>
      </c>
      <c r="G2153">
        <v>59</v>
      </c>
      <c r="H2153">
        <v>1</v>
      </c>
      <c r="I2153" t="s">
        <v>31</v>
      </c>
      <c r="J2153">
        <v>92</v>
      </c>
      <c r="K2153" t="s">
        <v>22</v>
      </c>
      <c r="L2153">
        <v>96</v>
      </c>
      <c r="M2153">
        <f>IF(D2153=I2153,VLOOKUP(D2153,a_win_totals_lookup,MATCH(K2153,a_wins_total_lookup_header,0)+1,0),VLOOKUP(D2153,a_win_totals_lookup,MATCH(I2153,a_wins_total_lookup_header,0)+1,0))</f>
        <v>0.66284304446693665</v>
      </c>
      <c r="N2153">
        <f t="shared" ca="1" si="33"/>
        <v>1</v>
      </c>
    </row>
    <row r="2154" spans="1:14" x14ac:dyDescent="0.25">
      <c r="A2154">
        <v>400579372</v>
      </c>
      <c r="B2154">
        <v>2015</v>
      </c>
      <c r="C2154" s="1">
        <v>42090</v>
      </c>
      <c r="D2154" t="s">
        <v>17</v>
      </c>
      <c r="E2154">
        <v>0</v>
      </c>
      <c r="F2154">
        <v>19</v>
      </c>
      <c r="G2154">
        <v>52</v>
      </c>
      <c r="H2154">
        <v>0</v>
      </c>
      <c r="I2154" t="s">
        <v>27</v>
      </c>
      <c r="J2154">
        <v>94</v>
      </c>
      <c r="K2154" t="s">
        <v>17</v>
      </c>
      <c r="L2154">
        <v>83</v>
      </c>
      <c r="M2154">
        <f>IF(D2154=I2154,VLOOKUP(D2154,a_win_totals_lookup,MATCH(K2154,a_wins_total_lookup_header,0)+1,0),VLOOKUP(D2154,a_win_totals_lookup,MATCH(I2154,a_wins_total_lookup_header,0)+1,0))</f>
        <v>0.31410312396771667</v>
      </c>
      <c r="N2154">
        <f t="shared" ca="1" si="33"/>
        <v>1</v>
      </c>
    </row>
    <row r="2155" spans="1:14" x14ac:dyDescent="0.25">
      <c r="A2155">
        <v>400579372</v>
      </c>
      <c r="B2155">
        <v>2015</v>
      </c>
      <c r="C2155" s="1">
        <v>42090</v>
      </c>
      <c r="D2155" t="s">
        <v>27</v>
      </c>
      <c r="E2155">
        <v>1</v>
      </c>
      <c r="F2155">
        <v>43</v>
      </c>
      <c r="G2155">
        <v>30</v>
      </c>
      <c r="H2155">
        <v>1</v>
      </c>
      <c r="I2155" t="s">
        <v>27</v>
      </c>
      <c r="J2155">
        <v>94</v>
      </c>
      <c r="K2155" t="s">
        <v>17</v>
      </c>
      <c r="L2155">
        <v>83</v>
      </c>
      <c r="M2155">
        <f>IF(D2155=I2155,VLOOKUP(D2155,a_win_totals_lookup,MATCH(K2155,a_wins_total_lookup_header,0)+1,0),VLOOKUP(D2155,a_win_totals_lookup,MATCH(I2155,a_wins_total_lookup_header,0)+1,0))</f>
        <v>0.68589687603228333</v>
      </c>
      <c r="N2155">
        <f t="shared" ca="1" si="33"/>
        <v>1</v>
      </c>
    </row>
    <row r="2156" spans="1:14" x14ac:dyDescent="0.25">
      <c r="A2156">
        <v>400579373</v>
      </c>
      <c r="B2156">
        <v>2015</v>
      </c>
      <c r="C2156" s="1">
        <v>42090</v>
      </c>
      <c r="D2156" t="s">
        <v>16</v>
      </c>
      <c r="E2156">
        <v>1</v>
      </c>
      <c r="F2156">
        <v>49</v>
      </c>
      <c r="G2156">
        <v>23</v>
      </c>
      <c r="H2156">
        <v>1</v>
      </c>
      <c r="I2156" t="s">
        <v>16</v>
      </c>
      <c r="J2156">
        <v>120</v>
      </c>
      <c r="K2156" t="s">
        <v>29</v>
      </c>
      <c r="L2156">
        <v>110</v>
      </c>
      <c r="M2156">
        <f>IF(D2156=I2156,VLOOKUP(D2156,a_win_totals_lookup,MATCH(K2156,a_wins_total_lookup_header,0)+1,0),VLOOKUP(D2156,a_win_totals_lookup,MATCH(I2156,a_wins_total_lookup_header,0)+1,0))</f>
        <v>0.73276177017311905</v>
      </c>
      <c r="N2156">
        <f t="shared" ca="1" si="33"/>
        <v>1</v>
      </c>
    </row>
    <row r="2157" spans="1:14" x14ac:dyDescent="0.25">
      <c r="A2157">
        <v>400579373</v>
      </c>
      <c r="B2157">
        <v>2015</v>
      </c>
      <c r="C2157" s="1">
        <v>42090</v>
      </c>
      <c r="D2157" t="s">
        <v>29</v>
      </c>
      <c r="E2157">
        <v>0</v>
      </c>
      <c r="F2157">
        <v>16</v>
      </c>
      <c r="G2157">
        <v>56</v>
      </c>
      <c r="H2157">
        <v>0</v>
      </c>
      <c r="I2157" t="s">
        <v>16</v>
      </c>
      <c r="J2157">
        <v>120</v>
      </c>
      <c r="K2157" t="s">
        <v>29</v>
      </c>
      <c r="L2157">
        <v>110</v>
      </c>
      <c r="M2157">
        <f>IF(D2157=I2157,VLOOKUP(D2157,a_win_totals_lookup,MATCH(K2157,a_wins_total_lookup_header,0)+1,0),VLOOKUP(D2157,a_win_totals_lookup,MATCH(I2157,a_wins_total_lookup_header,0)+1,0))</f>
        <v>0.267238229826881</v>
      </c>
      <c r="N2157">
        <f t="shared" ca="1" si="33"/>
        <v>0</v>
      </c>
    </row>
    <row r="2158" spans="1:14" x14ac:dyDescent="0.25">
      <c r="A2158">
        <v>400579374</v>
      </c>
      <c r="B2158">
        <v>2015</v>
      </c>
      <c r="C2158" s="1">
        <v>42090</v>
      </c>
      <c r="D2158" t="s">
        <v>36</v>
      </c>
      <c r="E2158">
        <v>1</v>
      </c>
      <c r="F2158">
        <v>59</v>
      </c>
      <c r="G2158">
        <v>13</v>
      </c>
      <c r="H2158">
        <v>0</v>
      </c>
      <c r="I2158" t="s">
        <v>28</v>
      </c>
      <c r="J2158">
        <v>84</v>
      </c>
      <c r="K2158" t="s">
        <v>36</v>
      </c>
      <c r="L2158">
        <v>107</v>
      </c>
      <c r="M2158">
        <f>IF(D2158=I2158,VLOOKUP(D2158,a_win_totals_lookup,MATCH(K2158,a_wins_total_lookup_header,0)+1,0),VLOOKUP(D2158,a_win_totals_lookup,MATCH(I2158,a_wins_total_lookup_header,0)+1,0))</f>
        <v>0.5232579357992978</v>
      </c>
      <c r="N2158">
        <f t="shared" ca="1" si="33"/>
        <v>1</v>
      </c>
    </row>
    <row r="2159" spans="1:14" x14ac:dyDescent="0.25">
      <c r="A2159">
        <v>400579374</v>
      </c>
      <c r="B2159">
        <v>2015</v>
      </c>
      <c r="C2159" s="1">
        <v>42090</v>
      </c>
      <c r="D2159" t="s">
        <v>28</v>
      </c>
      <c r="E2159">
        <v>0</v>
      </c>
      <c r="F2159">
        <v>50</v>
      </c>
      <c r="G2159">
        <v>23</v>
      </c>
      <c r="H2159">
        <v>1</v>
      </c>
      <c r="I2159" t="s">
        <v>28</v>
      </c>
      <c r="J2159">
        <v>84</v>
      </c>
      <c r="K2159" t="s">
        <v>36</v>
      </c>
      <c r="L2159">
        <v>107</v>
      </c>
      <c r="M2159">
        <f>IF(D2159=I2159,VLOOKUP(D2159,a_win_totals_lookup,MATCH(K2159,a_wins_total_lookup_header,0)+1,0),VLOOKUP(D2159,a_win_totals_lookup,MATCH(I2159,a_wins_total_lookup_header,0)+1,0))</f>
        <v>0.4767420642007022</v>
      </c>
      <c r="N2159">
        <f t="shared" ca="1" si="33"/>
        <v>0</v>
      </c>
    </row>
    <row r="2160" spans="1:14" x14ac:dyDescent="0.25">
      <c r="A2160">
        <v>400579375</v>
      </c>
      <c r="B2160">
        <v>2015</v>
      </c>
      <c r="C2160" s="1">
        <v>42090</v>
      </c>
      <c r="D2160" t="s">
        <v>12</v>
      </c>
      <c r="E2160">
        <v>1</v>
      </c>
      <c r="F2160">
        <v>38</v>
      </c>
      <c r="G2160">
        <v>34</v>
      </c>
      <c r="H2160">
        <v>1</v>
      </c>
      <c r="I2160" t="s">
        <v>12</v>
      </c>
      <c r="J2160">
        <v>102</v>
      </c>
      <c r="K2160" t="s">
        <v>37</v>
      </c>
      <c r="L2160">
        <v>88</v>
      </c>
      <c r="M2160">
        <f>IF(D2160=I2160,VLOOKUP(D2160,a_win_totals_lookup,MATCH(K2160,a_wins_total_lookup_header,0)+1,0),VLOOKUP(D2160,a_win_totals_lookup,MATCH(I2160,a_wins_total_lookup_header,0)+1,0))</f>
        <v>0.59047127897548735</v>
      </c>
      <c r="N2160">
        <f t="shared" ca="1" si="33"/>
        <v>0</v>
      </c>
    </row>
    <row r="2161" spans="1:14" x14ac:dyDescent="0.25">
      <c r="A2161">
        <v>400579375</v>
      </c>
      <c r="B2161">
        <v>2015</v>
      </c>
      <c r="C2161" s="1">
        <v>42090</v>
      </c>
      <c r="D2161" t="s">
        <v>37</v>
      </c>
      <c r="E2161">
        <v>0</v>
      </c>
      <c r="F2161">
        <v>26</v>
      </c>
      <c r="G2161">
        <v>46</v>
      </c>
      <c r="H2161">
        <v>0</v>
      </c>
      <c r="I2161" t="s">
        <v>12</v>
      </c>
      <c r="J2161">
        <v>102</v>
      </c>
      <c r="K2161" t="s">
        <v>37</v>
      </c>
      <c r="L2161">
        <v>88</v>
      </c>
      <c r="M2161">
        <f>IF(D2161=I2161,VLOOKUP(D2161,a_win_totals_lookup,MATCH(K2161,a_wins_total_lookup_header,0)+1,0),VLOOKUP(D2161,a_win_totals_lookup,MATCH(I2161,a_wins_total_lookup_header,0)+1,0))</f>
        <v>0.40952872102451271</v>
      </c>
      <c r="N2161">
        <f t="shared" ca="1" si="33"/>
        <v>0</v>
      </c>
    </row>
    <row r="2162" spans="1:14" x14ac:dyDescent="0.25">
      <c r="A2162">
        <v>400579376</v>
      </c>
      <c r="B2162">
        <v>2015</v>
      </c>
      <c r="C2162" s="1">
        <v>42090</v>
      </c>
      <c r="D2162" t="s">
        <v>14</v>
      </c>
      <c r="E2162">
        <v>0</v>
      </c>
      <c r="F2162">
        <v>45</v>
      </c>
      <c r="G2162">
        <v>28</v>
      </c>
      <c r="H2162">
        <v>0</v>
      </c>
      <c r="I2162" t="s">
        <v>15</v>
      </c>
      <c r="J2162">
        <v>94</v>
      </c>
      <c r="K2162" t="s">
        <v>14</v>
      </c>
      <c r="L2162">
        <v>76</v>
      </c>
      <c r="M2162">
        <f>IF(D2162=I2162,VLOOKUP(D2162,a_win_totals_lookup,MATCH(K2162,a_wins_total_lookup_header,0)+1,0),VLOOKUP(D2162,a_win_totals_lookup,MATCH(I2162,a_wins_total_lookup_header,0)+1,0))</f>
        <v>0.47403936940493457</v>
      </c>
      <c r="N2162">
        <f t="shared" ca="1" si="33"/>
        <v>0</v>
      </c>
    </row>
    <row r="2163" spans="1:14" x14ac:dyDescent="0.25">
      <c r="A2163">
        <v>400579376</v>
      </c>
      <c r="B2163">
        <v>2015</v>
      </c>
      <c r="C2163" s="1">
        <v>42090</v>
      </c>
      <c r="D2163" t="s">
        <v>15</v>
      </c>
      <c r="E2163">
        <v>1</v>
      </c>
      <c r="F2163">
        <v>46</v>
      </c>
      <c r="G2163">
        <v>26</v>
      </c>
      <c r="H2163">
        <v>1</v>
      </c>
      <c r="I2163" t="s">
        <v>15</v>
      </c>
      <c r="J2163">
        <v>94</v>
      </c>
      <c r="K2163" t="s">
        <v>14</v>
      </c>
      <c r="L2163">
        <v>76</v>
      </c>
      <c r="M2163">
        <f>IF(D2163=I2163,VLOOKUP(D2163,a_win_totals_lookup,MATCH(K2163,a_wins_total_lookup_header,0)+1,0),VLOOKUP(D2163,a_win_totals_lookup,MATCH(I2163,a_wins_total_lookup_header,0)+1,0))</f>
        <v>0.52596063059506537</v>
      </c>
      <c r="N2163">
        <f t="shared" ca="1" si="33"/>
        <v>1</v>
      </c>
    </row>
    <row r="2164" spans="1:14" x14ac:dyDescent="0.25">
      <c r="A2164">
        <v>400579377</v>
      </c>
      <c r="B2164">
        <v>2015</v>
      </c>
      <c r="C2164" s="1">
        <v>42090</v>
      </c>
      <c r="D2164" t="s">
        <v>32</v>
      </c>
      <c r="E2164">
        <v>1</v>
      </c>
      <c r="F2164">
        <v>28</v>
      </c>
      <c r="G2164">
        <v>45</v>
      </c>
      <c r="H2164">
        <v>1</v>
      </c>
      <c r="I2164" t="s">
        <v>32</v>
      </c>
      <c r="J2164">
        <v>107</v>
      </c>
      <c r="K2164" t="s">
        <v>34</v>
      </c>
      <c r="L2164">
        <v>91</v>
      </c>
      <c r="M2164">
        <f>IF(D2164=I2164,VLOOKUP(D2164,a_win_totals_lookup,MATCH(K2164,a_wins_total_lookup_header,0)+1,0),VLOOKUP(D2164,a_win_totals_lookup,MATCH(I2164,a_wins_total_lookup_header,0)+1,0))</f>
        <v>0.61088100448941873</v>
      </c>
      <c r="N2164">
        <f t="shared" ca="1" si="33"/>
        <v>0</v>
      </c>
    </row>
    <row r="2165" spans="1:14" x14ac:dyDescent="0.25">
      <c r="A2165">
        <v>400579377</v>
      </c>
      <c r="B2165">
        <v>2015</v>
      </c>
      <c r="C2165" s="1">
        <v>42090</v>
      </c>
      <c r="D2165" t="s">
        <v>34</v>
      </c>
      <c r="E2165">
        <v>0</v>
      </c>
      <c r="F2165">
        <v>31</v>
      </c>
      <c r="G2165">
        <v>41</v>
      </c>
      <c r="H2165">
        <v>0</v>
      </c>
      <c r="I2165" t="s">
        <v>32</v>
      </c>
      <c r="J2165">
        <v>107</v>
      </c>
      <c r="K2165" t="s">
        <v>34</v>
      </c>
      <c r="L2165">
        <v>91</v>
      </c>
      <c r="M2165">
        <f>IF(D2165=I2165,VLOOKUP(D2165,a_win_totals_lookup,MATCH(K2165,a_wins_total_lookup_header,0)+1,0),VLOOKUP(D2165,a_win_totals_lookup,MATCH(I2165,a_wins_total_lookup_header,0)+1,0))</f>
        <v>0.38911899551058127</v>
      </c>
      <c r="N2165">
        <f t="shared" ca="1" si="33"/>
        <v>0</v>
      </c>
    </row>
    <row r="2166" spans="1:14" x14ac:dyDescent="0.25">
      <c r="A2166">
        <v>400579378</v>
      </c>
      <c r="B2166">
        <v>2015</v>
      </c>
      <c r="C2166" s="1">
        <v>42090</v>
      </c>
      <c r="D2166" t="s">
        <v>35</v>
      </c>
      <c r="E2166">
        <v>0</v>
      </c>
      <c r="F2166">
        <v>38</v>
      </c>
      <c r="G2166">
        <v>35</v>
      </c>
      <c r="H2166">
        <v>1</v>
      </c>
      <c r="I2166" t="s">
        <v>35</v>
      </c>
      <c r="J2166">
        <v>81</v>
      </c>
      <c r="K2166" t="s">
        <v>39</v>
      </c>
      <c r="L2166">
        <v>87</v>
      </c>
      <c r="M2166">
        <f>IF(D2166=I2166,VLOOKUP(D2166,a_win_totals_lookup,MATCH(K2166,a_wins_total_lookup_header,0)+1,0),VLOOKUP(D2166,a_win_totals_lookup,MATCH(I2166,a_wins_total_lookup_header,0)+1,0))</f>
        <v>0.44695853169533922</v>
      </c>
      <c r="N2166">
        <f t="shared" ca="1" si="33"/>
        <v>0</v>
      </c>
    </row>
    <row r="2167" spans="1:14" x14ac:dyDescent="0.25">
      <c r="A2167">
        <v>400579378</v>
      </c>
      <c r="B2167">
        <v>2015</v>
      </c>
      <c r="C2167" s="1">
        <v>42090</v>
      </c>
      <c r="D2167" t="s">
        <v>39</v>
      </c>
      <c r="E2167">
        <v>1</v>
      </c>
      <c r="F2167">
        <v>46</v>
      </c>
      <c r="G2167">
        <v>25</v>
      </c>
      <c r="H2167">
        <v>0</v>
      </c>
      <c r="I2167" t="s">
        <v>35</v>
      </c>
      <c r="J2167">
        <v>81</v>
      </c>
      <c r="K2167" t="s">
        <v>39</v>
      </c>
      <c r="L2167">
        <v>87</v>
      </c>
      <c r="M2167">
        <f>IF(D2167=I2167,VLOOKUP(D2167,a_win_totals_lookup,MATCH(K2167,a_wins_total_lookup_header,0)+1,0),VLOOKUP(D2167,a_win_totals_lookup,MATCH(I2167,a_wins_total_lookup_header,0)+1,0))</f>
        <v>0.55304146830466083</v>
      </c>
      <c r="N2167">
        <f t="shared" ca="1" si="33"/>
        <v>1</v>
      </c>
    </row>
    <row r="2168" spans="1:14" x14ac:dyDescent="0.25">
      <c r="A2168">
        <v>400579379</v>
      </c>
      <c r="B2168">
        <v>2015</v>
      </c>
      <c r="C2168" s="1">
        <v>42091</v>
      </c>
      <c r="D2168" t="s">
        <v>26</v>
      </c>
      <c r="E2168">
        <v>0</v>
      </c>
      <c r="F2168">
        <v>55</v>
      </c>
      <c r="G2168">
        <v>18</v>
      </c>
      <c r="H2168">
        <v>0</v>
      </c>
      <c r="I2168" t="s">
        <v>18</v>
      </c>
      <c r="J2168">
        <v>115</v>
      </c>
      <c r="K2168" t="s">
        <v>26</v>
      </c>
      <c r="L2168">
        <v>100</v>
      </c>
      <c r="M2168">
        <f>IF(D2168=I2168,VLOOKUP(D2168,a_win_totals_lookup,MATCH(K2168,a_wins_total_lookup_header,0)+1,0),VLOOKUP(D2168,a_win_totals_lookup,MATCH(I2168,a_wins_total_lookup_header,0)+1,0))</f>
        <v>0.47688642828156308</v>
      </c>
      <c r="N2168">
        <f t="shared" ca="1" si="33"/>
        <v>0</v>
      </c>
    </row>
    <row r="2169" spans="1:14" x14ac:dyDescent="0.25">
      <c r="A2169">
        <v>400579379</v>
      </c>
      <c r="B2169">
        <v>2015</v>
      </c>
      <c r="C2169" s="1">
        <v>42091</v>
      </c>
      <c r="D2169" t="s">
        <v>18</v>
      </c>
      <c r="E2169">
        <v>1</v>
      </c>
      <c r="F2169">
        <v>31</v>
      </c>
      <c r="G2169">
        <v>41</v>
      </c>
      <c r="H2169">
        <v>1</v>
      </c>
      <c r="I2169" t="s">
        <v>18</v>
      </c>
      <c r="J2169">
        <v>115</v>
      </c>
      <c r="K2169" t="s">
        <v>26</v>
      </c>
      <c r="L2169">
        <v>100</v>
      </c>
      <c r="M2169">
        <f>IF(D2169=I2169,VLOOKUP(D2169,a_win_totals_lookup,MATCH(K2169,a_wins_total_lookup_header,0)+1,0),VLOOKUP(D2169,a_win_totals_lookup,MATCH(I2169,a_wins_total_lookup_header,0)+1,0))</f>
        <v>0.52311357171843698</v>
      </c>
      <c r="N2169">
        <f t="shared" ca="1" si="33"/>
        <v>0</v>
      </c>
    </row>
    <row r="2170" spans="1:14" x14ac:dyDescent="0.25">
      <c r="A2170">
        <v>400579380</v>
      </c>
      <c r="B2170">
        <v>2015</v>
      </c>
      <c r="C2170" s="1">
        <v>42091</v>
      </c>
      <c r="D2170" t="s">
        <v>30</v>
      </c>
      <c r="E2170">
        <v>1</v>
      </c>
      <c r="F2170">
        <v>45</v>
      </c>
      <c r="G2170">
        <v>29</v>
      </c>
      <c r="H2170">
        <v>1</v>
      </c>
      <c r="I2170" t="s">
        <v>30</v>
      </c>
      <c r="J2170">
        <v>111</v>
      </c>
      <c r="K2170" t="s">
        <v>31</v>
      </c>
      <c r="L2170">
        <v>80</v>
      </c>
      <c r="M2170">
        <f>IF(D2170=I2170,VLOOKUP(D2170,a_win_totals_lookup,MATCH(K2170,a_wins_total_lookup_header,0)+1,0),VLOOKUP(D2170,a_win_totals_lookup,MATCH(I2170,a_wins_total_lookup_header,0)+1,0))</f>
        <v>0.63968802393025326</v>
      </c>
      <c r="N2170">
        <f t="shared" ca="1" si="33"/>
        <v>0</v>
      </c>
    </row>
    <row r="2171" spans="1:14" x14ac:dyDescent="0.25">
      <c r="A2171">
        <v>400579380</v>
      </c>
      <c r="B2171">
        <v>2015</v>
      </c>
      <c r="C2171" s="1">
        <v>42091</v>
      </c>
      <c r="D2171" t="s">
        <v>31</v>
      </c>
      <c r="E2171">
        <v>0</v>
      </c>
      <c r="F2171">
        <v>14</v>
      </c>
      <c r="G2171">
        <v>60</v>
      </c>
      <c r="H2171">
        <v>0</v>
      </c>
      <c r="I2171" t="s">
        <v>30</v>
      </c>
      <c r="J2171">
        <v>111</v>
      </c>
      <c r="K2171" t="s">
        <v>31</v>
      </c>
      <c r="L2171">
        <v>80</v>
      </c>
      <c r="M2171">
        <f>IF(D2171=I2171,VLOOKUP(D2171,a_win_totals_lookup,MATCH(K2171,a_wins_total_lookup_header,0)+1,0),VLOOKUP(D2171,a_win_totals_lookup,MATCH(I2171,a_wins_total_lookup_header,0)+1,0))</f>
        <v>0.36031197606974674</v>
      </c>
      <c r="N2171">
        <f t="shared" ca="1" si="33"/>
        <v>1</v>
      </c>
    </row>
    <row r="2172" spans="1:14" x14ac:dyDescent="0.25">
      <c r="A2172">
        <v>400579381</v>
      </c>
      <c r="B2172">
        <v>2015</v>
      </c>
      <c r="C2172" s="1">
        <v>42091</v>
      </c>
      <c r="D2172" t="s">
        <v>36</v>
      </c>
      <c r="E2172">
        <v>1</v>
      </c>
      <c r="F2172">
        <v>60</v>
      </c>
      <c r="G2172">
        <v>13</v>
      </c>
      <c r="H2172">
        <v>0</v>
      </c>
      <c r="I2172" t="s">
        <v>19</v>
      </c>
      <c r="J2172">
        <v>95</v>
      </c>
      <c r="K2172" t="s">
        <v>36</v>
      </c>
      <c r="L2172">
        <v>108</v>
      </c>
      <c r="M2172">
        <f>IF(D2172=I2172,VLOOKUP(D2172,a_win_totals_lookup,MATCH(K2172,a_wins_total_lookup_header,0)+1,0),VLOOKUP(D2172,a_win_totals_lookup,MATCH(I2172,a_wins_total_lookup_header,0)+1,0))</f>
        <v>0.74990846776994036</v>
      </c>
      <c r="N2172">
        <f t="shared" ca="1" si="33"/>
        <v>0</v>
      </c>
    </row>
    <row r="2173" spans="1:14" x14ac:dyDescent="0.25">
      <c r="A2173">
        <v>400579381</v>
      </c>
      <c r="B2173">
        <v>2015</v>
      </c>
      <c r="C2173" s="1">
        <v>42091</v>
      </c>
      <c r="D2173" t="s">
        <v>19</v>
      </c>
      <c r="E2173">
        <v>0</v>
      </c>
      <c r="F2173">
        <v>36</v>
      </c>
      <c r="G2173">
        <v>37</v>
      </c>
      <c r="H2173">
        <v>1</v>
      </c>
      <c r="I2173" t="s">
        <v>19</v>
      </c>
      <c r="J2173">
        <v>95</v>
      </c>
      <c r="K2173" t="s">
        <v>36</v>
      </c>
      <c r="L2173">
        <v>108</v>
      </c>
      <c r="M2173">
        <f>IF(D2173=I2173,VLOOKUP(D2173,a_win_totals_lookup,MATCH(K2173,a_wins_total_lookup_header,0)+1,0),VLOOKUP(D2173,a_win_totals_lookup,MATCH(I2173,a_wins_total_lookup_header,0)+1,0))</f>
        <v>0.2500915322300597</v>
      </c>
      <c r="N2173">
        <f t="shared" ca="1" si="33"/>
        <v>1</v>
      </c>
    </row>
    <row r="2174" spans="1:14" x14ac:dyDescent="0.25">
      <c r="A2174">
        <v>400579382</v>
      </c>
      <c r="B2174">
        <v>2015</v>
      </c>
      <c r="C2174" s="1">
        <v>42091</v>
      </c>
      <c r="D2174" t="s">
        <v>38</v>
      </c>
      <c r="E2174">
        <v>0</v>
      </c>
      <c r="F2174">
        <v>41</v>
      </c>
      <c r="G2174">
        <v>32</v>
      </c>
      <c r="H2174">
        <v>0</v>
      </c>
      <c r="I2174" t="s">
        <v>34</v>
      </c>
      <c r="J2174">
        <v>94</v>
      </c>
      <c r="K2174" t="s">
        <v>38</v>
      </c>
      <c r="L2174">
        <v>89</v>
      </c>
      <c r="M2174">
        <f>IF(D2174=I2174,VLOOKUP(D2174,a_win_totals_lookup,MATCH(K2174,a_wins_total_lookup_header,0)+1,0),VLOOKUP(D2174,a_win_totals_lookup,MATCH(I2174,a_wins_total_lookup_header,0)+1,0))</f>
        <v>0.72649226385047183</v>
      </c>
      <c r="N2174">
        <f t="shared" ca="1" si="33"/>
        <v>0</v>
      </c>
    </row>
    <row r="2175" spans="1:14" x14ac:dyDescent="0.25">
      <c r="A2175">
        <v>400579382</v>
      </c>
      <c r="B2175">
        <v>2015</v>
      </c>
      <c r="C2175" s="1">
        <v>42091</v>
      </c>
      <c r="D2175" t="s">
        <v>34</v>
      </c>
      <c r="E2175">
        <v>1</v>
      </c>
      <c r="F2175">
        <v>32</v>
      </c>
      <c r="G2175">
        <v>41</v>
      </c>
      <c r="H2175">
        <v>1</v>
      </c>
      <c r="I2175" t="s">
        <v>34</v>
      </c>
      <c r="J2175">
        <v>94</v>
      </c>
      <c r="K2175" t="s">
        <v>38</v>
      </c>
      <c r="L2175">
        <v>89</v>
      </c>
      <c r="M2175">
        <f>IF(D2175=I2175,VLOOKUP(D2175,a_win_totals_lookup,MATCH(K2175,a_wins_total_lookup_header,0)+1,0),VLOOKUP(D2175,a_win_totals_lookup,MATCH(I2175,a_wins_total_lookup_header,0)+1,0))</f>
        <v>0.27350773614952834</v>
      </c>
      <c r="N2175">
        <f t="shared" ca="1" si="33"/>
        <v>1</v>
      </c>
    </row>
    <row r="2176" spans="1:14" x14ac:dyDescent="0.25">
      <c r="A2176">
        <v>400579383</v>
      </c>
      <c r="B2176">
        <v>2015</v>
      </c>
      <c r="C2176" s="1">
        <v>42091</v>
      </c>
      <c r="D2176" t="s">
        <v>32</v>
      </c>
      <c r="E2176">
        <v>0</v>
      </c>
      <c r="F2176">
        <v>28</v>
      </c>
      <c r="G2176">
        <v>46</v>
      </c>
      <c r="H2176">
        <v>0</v>
      </c>
      <c r="I2176" t="s">
        <v>39</v>
      </c>
      <c r="J2176">
        <v>120</v>
      </c>
      <c r="K2176" t="s">
        <v>32</v>
      </c>
      <c r="L2176">
        <v>114</v>
      </c>
      <c r="M2176">
        <f>IF(D2176=I2176,VLOOKUP(D2176,a_win_totals_lookup,MATCH(K2176,a_wins_total_lookup_header,0)+1,0),VLOOKUP(D2176,a_win_totals_lookup,MATCH(I2176,a_wins_total_lookup_header,0)+1,0))</f>
        <v>0.40843302990522401</v>
      </c>
      <c r="N2176">
        <f t="shared" ca="1" si="33"/>
        <v>0</v>
      </c>
    </row>
    <row r="2177" spans="1:14" x14ac:dyDescent="0.25">
      <c r="A2177">
        <v>400579383</v>
      </c>
      <c r="B2177">
        <v>2015</v>
      </c>
      <c r="C2177" s="1">
        <v>42091</v>
      </c>
      <c r="D2177" t="s">
        <v>39</v>
      </c>
      <c r="E2177">
        <v>1</v>
      </c>
      <c r="F2177">
        <v>47</v>
      </c>
      <c r="G2177">
        <v>25</v>
      </c>
      <c r="H2177">
        <v>1</v>
      </c>
      <c r="I2177" t="s">
        <v>39</v>
      </c>
      <c r="J2177">
        <v>120</v>
      </c>
      <c r="K2177" t="s">
        <v>32</v>
      </c>
      <c r="L2177">
        <v>114</v>
      </c>
      <c r="M2177">
        <f>IF(D2177=I2177,VLOOKUP(D2177,a_win_totals_lookup,MATCH(K2177,a_wins_total_lookup_header,0)+1,0),VLOOKUP(D2177,a_win_totals_lookup,MATCH(I2177,a_wins_total_lookup_header,0)+1,0))</f>
        <v>0.59156697009477588</v>
      </c>
      <c r="N2177">
        <f t="shared" ca="1" si="33"/>
        <v>1</v>
      </c>
    </row>
    <row r="2178" spans="1:14" x14ac:dyDescent="0.25">
      <c r="A2178">
        <v>400579384</v>
      </c>
      <c r="B2178">
        <v>2015</v>
      </c>
      <c r="C2178" s="1">
        <v>42092</v>
      </c>
      <c r="D2178" t="s">
        <v>40</v>
      </c>
      <c r="E2178">
        <v>1</v>
      </c>
      <c r="F2178">
        <v>48</v>
      </c>
      <c r="G2178">
        <v>27</v>
      </c>
      <c r="H2178">
        <v>1</v>
      </c>
      <c r="I2178" t="s">
        <v>40</v>
      </c>
      <c r="J2178">
        <v>87</v>
      </c>
      <c r="K2178" t="s">
        <v>21</v>
      </c>
      <c r="L2178">
        <v>86</v>
      </c>
      <c r="M2178">
        <f>IF(D2178=I2178,VLOOKUP(D2178,a_win_totals_lookup,MATCH(K2178,a_wins_total_lookup_header,0)+1,0),VLOOKUP(D2178,a_win_totals_lookup,MATCH(I2178,a_wins_total_lookup_header,0)+1,0))</f>
        <v>0.80999843398468707</v>
      </c>
      <c r="N2178">
        <f t="shared" ca="1" si="33"/>
        <v>0</v>
      </c>
    </row>
    <row r="2179" spans="1:14" x14ac:dyDescent="0.25">
      <c r="A2179">
        <v>400579384</v>
      </c>
      <c r="B2179">
        <v>2015</v>
      </c>
      <c r="C2179" s="1">
        <v>42092</v>
      </c>
      <c r="D2179" t="s">
        <v>21</v>
      </c>
      <c r="E2179">
        <v>0</v>
      </c>
      <c r="F2179">
        <v>18</v>
      </c>
      <c r="G2179">
        <v>56</v>
      </c>
      <c r="H2179">
        <v>0</v>
      </c>
      <c r="I2179" t="s">
        <v>40</v>
      </c>
      <c r="J2179">
        <v>87</v>
      </c>
      <c r="K2179" t="s">
        <v>21</v>
      </c>
      <c r="L2179">
        <v>86</v>
      </c>
      <c r="M2179">
        <f>IF(D2179=I2179,VLOOKUP(D2179,a_win_totals_lookup,MATCH(K2179,a_wins_total_lookup_header,0)+1,0),VLOOKUP(D2179,a_win_totals_lookup,MATCH(I2179,a_wins_total_lookup_header,0)+1,0))</f>
        <v>0.19000156601531293</v>
      </c>
      <c r="N2179">
        <f t="shared" ref="N2179:N2242" ca="1" si="34">ROUND(0.5*RANDBETWEEN(-1,1)+M2179,0)</f>
        <v>0</v>
      </c>
    </row>
    <row r="2180" spans="1:14" x14ac:dyDescent="0.25">
      <c r="A2180">
        <v>400579385</v>
      </c>
      <c r="B2180">
        <v>2015</v>
      </c>
      <c r="C2180" s="1">
        <v>42092</v>
      </c>
      <c r="D2180" t="s">
        <v>23</v>
      </c>
      <c r="E2180">
        <v>1</v>
      </c>
      <c r="F2180">
        <v>32</v>
      </c>
      <c r="G2180">
        <v>40</v>
      </c>
      <c r="H2180">
        <v>1</v>
      </c>
      <c r="I2180" t="s">
        <v>23</v>
      </c>
      <c r="J2180">
        <v>107</v>
      </c>
      <c r="K2180" t="s">
        <v>17</v>
      </c>
      <c r="L2180">
        <v>99</v>
      </c>
      <c r="M2180">
        <f>IF(D2180=I2180,VLOOKUP(D2180,a_win_totals_lookup,MATCH(K2180,a_wins_total_lookup_header,0)+1,0),VLOOKUP(D2180,a_win_totals_lookup,MATCH(I2180,a_wins_total_lookup_header,0)+1,0))</f>
        <v>0.57711263446281591</v>
      </c>
      <c r="N2180">
        <f t="shared" ca="1" si="34"/>
        <v>1</v>
      </c>
    </row>
    <row r="2181" spans="1:14" x14ac:dyDescent="0.25">
      <c r="A2181">
        <v>400579385</v>
      </c>
      <c r="B2181">
        <v>2015</v>
      </c>
      <c r="C2181" s="1">
        <v>42092</v>
      </c>
      <c r="D2181" t="s">
        <v>17</v>
      </c>
      <c r="E2181">
        <v>0</v>
      </c>
      <c r="F2181">
        <v>19</v>
      </c>
      <c r="G2181">
        <v>53</v>
      </c>
      <c r="H2181">
        <v>0</v>
      </c>
      <c r="I2181" t="s">
        <v>23</v>
      </c>
      <c r="J2181">
        <v>107</v>
      </c>
      <c r="K2181" t="s">
        <v>17</v>
      </c>
      <c r="L2181">
        <v>99</v>
      </c>
      <c r="M2181">
        <f>IF(D2181=I2181,VLOOKUP(D2181,a_win_totals_lookup,MATCH(K2181,a_wins_total_lookup_header,0)+1,0),VLOOKUP(D2181,a_win_totals_lookup,MATCH(I2181,a_wins_total_lookup_header,0)+1,0))</f>
        <v>0.42288736553718415</v>
      </c>
      <c r="N2181">
        <f t="shared" ca="1" si="34"/>
        <v>0</v>
      </c>
    </row>
    <row r="2182" spans="1:14" x14ac:dyDescent="0.25">
      <c r="A2182">
        <v>400579386</v>
      </c>
      <c r="B2182">
        <v>2015</v>
      </c>
      <c r="C2182" s="1">
        <v>42092</v>
      </c>
      <c r="D2182" t="s">
        <v>29</v>
      </c>
      <c r="E2182">
        <v>0</v>
      </c>
      <c r="F2182">
        <v>16</v>
      </c>
      <c r="G2182">
        <v>57</v>
      </c>
      <c r="H2182">
        <v>0</v>
      </c>
      <c r="I2182" t="s">
        <v>12</v>
      </c>
      <c r="J2182">
        <v>110</v>
      </c>
      <c r="K2182" t="s">
        <v>29</v>
      </c>
      <c r="L2182">
        <v>88</v>
      </c>
      <c r="M2182">
        <f>IF(D2182=I2182,VLOOKUP(D2182,a_win_totals_lookup,MATCH(K2182,a_wins_total_lookup_header,0)+1,0),VLOOKUP(D2182,a_win_totals_lookup,MATCH(I2182,a_wins_total_lookup_header,0)+1,0))</f>
        <v>0.32498145759955055</v>
      </c>
      <c r="N2182">
        <f t="shared" ca="1" si="34"/>
        <v>0</v>
      </c>
    </row>
    <row r="2183" spans="1:14" x14ac:dyDescent="0.25">
      <c r="A2183">
        <v>400579386</v>
      </c>
      <c r="B2183">
        <v>2015</v>
      </c>
      <c r="C2183" s="1">
        <v>42092</v>
      </c>
      <c r="D2183" t="s">
        <v>12</v>
      </c>
      <c r="E2183">
        <v>1</v>
      </c>
      <c r="F2183">
        <v>39</v>
      </c>
      <c r="G2183">
        <v>34</v>
      </c>
      <c r="H2183">
        <v>1</v>
      </c>
      <c r="I2183" t="s">
        <v>12</v>
      </c>
      <c r="J2183">
        <v>110</v>
      </c>
      <c r="K2183" t="s">
        <v>29</v>
      </c>
      <c r="L2183">
        <v>88</v>
      </c>
      <c r="M2183">
        <f>IF(D2183=I2183,VLOOKUP(D2183,a_win_totals_lookup,MATCH(K2183,a_wins_total_lookup_header,0)+1,0),VLOOKUP(D2183,a_win_totals_lookup,MATCH(I2183,a_wins_total_lookup_header,0)+1,0))</f>
        <v>0.67501854240044945</v>
      </c>
      <c r="N2183">
        <f t="shared" ca="1" si="34"/>
        <v>1</v>
      </c>
    </row>
    <row r="2184" spans="1:14" x14ac:dyDescent="0.25">
      <c r="A2184">
        <v>400579387</v>
      </c>
      <c r="B2184">
        <v>2015</v>
      </c>
      <c r="C2184" s="1">
        <v>42092</v>
      </c>
      <c r="D2184" t="s">
        <v>22</v>
      </c>
      <c r="E2184">
        <v>0</v>
      </c>
      <c r="F2184">
        <v>32</v>
      </c>
      <c r="G2184">
        <v>41</v>
      </c>
      <c r="H2184">
        <v>1</v>
      </c>
      <c r="I2184" t="s">
        <v>22</v>
      </c>
      <c r="J2184">
        <v>106</v>
      </c>
      <c r="K2184" t="s">
        <v>41</v>
      </c>
      <c r="L2184">
        <v>119</v>
      </c>
      <c r="M2184">
        <f>IF(D2184=I2184,VLOOKUP(D2184,a_win_totals_lookup,MATCH(K2184,a_wins_total_lookup_header,0)+1,0),VLOOKUP(D2184,a_win_totals_lookup,MATCH(I2184,a_wins_total_lookup_header,0)+1,0))</f>
        <v>0.21564873302704085</v>
      </c>
      <c r="N2184">
        <f t="shared" ca="1" si="34"/>
        <v>1</v>
      </c>
    </row>
    <row r="2185" spans="1:14" x14ac:dyDescent="0.25">
      <c r="A2185">
        <v>400579387</v>
      </c>
      <c r="B2185">
        <v>2015</v>
      </c>
      <c r="C2185" s="1">
        <v>42092</v>
      </c>
      <c r="D2185" t="s">
        <v>41</v>
      </c>
      <c r="E2185">
        <v>1</v>
      </c>
      <c r="F2185">
        <v>49</v>
      </c>
      <c r="G2185">
        <v>25</v>
      </c>
      <c r="H2185">
        <v>0</v>
      </c>
      <c r="I2185" t="s">
        <v>22</v>
      </c>
      <c r="J2185">
        <v>106</v>
      </c>
      <c r="K2185" t="s">
        <v>41</v>
      </c>
      <c r="L2185">
        <v>119</v>
      </c>
      <c r="M2185">
        <f>IF(D2185=I2185,VLOOKUP(D2185,a_win_totals_lookup,MATCH(K2185,a_wins_total_lookup_header,0)+1,0),VLOOKUP(D2185,a_win_totals_lookup,MATCH(I2185,a_wins_total_lookup_header,0)+1,0))</f>
        <v>0.7843512669729592</v>
      </c>
      <c r="N2185">
        <f t="shared" ca="1" si="34"/>
        <v>1</v>
      </c>
    </row>
    <row r="2186" spans="1:14" x14ac:dyDescent="0.25">
      <c r="A2186">
        <v>400579388</v>
      </c>
      <c r="B2186">
        <v>2015</v>
      </c>
      <c r="C2186" s="1">
        <v>42092</v>
      </c>
      <c r="D2186" t="s">
        <v>33</v>
      </c>
      <c r="E2186">
        <v>0</v>
      </c>
      <c r="F2186">
        <v>28</v>
      </c>
      <c r="G2186">
        <v>45</v>
      </c>
      <c r="H2186">
        <v>0</v>
      </c>
      <c r="I2186" t="s">
        <v>24</v>
      </c>
      <c r="J2186">
        <v>109</v>
      </c>
      <c r="K2186" t="s">
        <v>33</v>
      </c>
      <c r="L2186">
        <v>102</v>
      </c>
      <c r="M2186">
        <f>IF(D2186=I2186,VLOOKUP(D2186,a_win_totals_lookup,MATCH(K2186,a_wins_total_lookup_header,0)+1,0),VLOOKUP(D2186,a_win_totals_lookup,MATCH(I2186,a_wins_total_lookup_header,0)+1,0))</f>
        <v>0.40503347301746906</v>
      </c>
      <c r="N2186">
        <f t="shared" ca="1" si="34"/>
        <v>1</v>
      </c>
    </row>
    <row r="2187" spans="1:14" x14ac:dyDescent="0.25">
      <c r="A2187">
        <v>400579388</v>
      </c>
      <c r="B2187">
        <v>2015</v>
      </c>
      <c r="C2187" s="1">
        <v>42092</v>
      </c>
      <c r="D2187" t="s">
        <v>24</v>
      </c>
      <c r="E2187">
        <v>1</v>
      </c>
      <c r="F2187">
        <v>34</v>
      </c>
      <c r="G2187">
        <v>39</v>
      </c>
      <c r="H2187">
        <v>1</v>
      </c>
      <c r="I2187" t="s">
        <v>24</v>
      </c>
      <c r="J2187">
        <v>109</v>
      </c>
      <c r="K2187" t="s">
        <v>33</v>
      </c>
      <c r="L2187">
        <v>102</v>
      </c>
      <c r="M2187">
        <f>IF(D2187=I2187,VLOOKUP(D2187,a_win_totals_lookup,MATCH(K2187,a_wins_total_lookup_header,0)+1,0),VLOOKUP(D2187,a_win_totals_lookup,MATCH(I2187,a_wins_total_lookup_header,0)+1,0))</f>
        <v>0.59496652698253094</v>
      </c>
      <c r="N2187">
        <f t="shared" ca="1" si="34"/>
        <v>1</v>
      </c>
    </row>
    <row r="2188" spans="1:14" x14ac:dyDescent="0.25">
      <c r="A2188">
        <v>400579389</v>
      </c>
      <c r="B2188">
        <v>2015</v>
      </c>
      <c r="C2188" s="1">
        <v>42092</v>
      </c>
      <c r="D2188" t="s">
        <v>16</v>
      </c>
      <c r="E2188">
        <v>1</v>
      </c>
      <c r="F2188">
        <v>50</v>
      </c>
      <c r="G2188">
        <v>23</v>
      </c>
      <c r="H2188">
        <v>0</v>
      </c>
      <c r="I2188" t="s">
        <v>25</v>
      </c>
      <c r="J2188">
        <v>91</v>
      </c>
      <c r="K2188" t="s">
        <v>16</v>
      </c>
      <c r="L2188">
        <v>99</v>
      </c>
      <c r="M2188">
        <f>IF(D2188=I2188,VLOOKUP(D2188,a_win_totals_lookup,MATCH(K2188,a_wins_total_lookup_header,0)+1,0),VLOOKUP(D2188,a_win_totals_lookup,MATCH(I2188,a_wins_total_lookup_header,0)+1,0))</f>
        <v>0.5</v>
      </c>
      <c r="N2188">
        <f t="shared" ca="1" si="34"/>
        <v>0</v>
      </c>
    </row>
    <row r="2189" spans="1:14" x14ac:dyDescent="0.25">
      <c r="A2189">
        <v>400579389</v>
      </c>
      <c r="B2189">
        <v>2015</v>
      </c>
      <c r="C2189" s="1">
        <v>42092</v>
      </c>
      <c r="D2189" t="s">
        <v>25</v>
      </c>
      <c r="E2189">
        <v>0</v>
      </c>
      <c r="F2189">
        <v>41</v>
      </c>
      <c r="G2189">
        <v>33</v>
      </c>
      <c r="H2189">
        <v>1</v>
      </c>
      <c r="I2189" t="s">
        <v>25</v>
      </c>
      <c r="J2189">
        <v>91</v>
      </c>
      <c r="K2189" t="s">
        <v>16</v>
      </c>
      <c r="L2189">
        <v>99</v>
      </c>
      <c r="M2189">
        <f>IF(D2189=I2189,VLOOKUP(D2189,a_win_totals_lookup,MATCH(K2189,a_wins_total_lookup_header,0)+1,0),VLOOKUP(D2189,a_win_totals_lookup,MATCH(I2189,a_wins_total_lookup_header,0)+1,0))</f>
        <v>0.5</v>
      </c>
      <c r="N2189">
        <f t="shared" ca="1" si="34"/>
        <v>1</v>
      </c>
    </row>
    <row r="2190" spans="1:14" x14ac:dyDescent="0.25">
      <c r="A2190">
        <v>400579390</v>
      </c>
      <c r="B2190">
        <v>2015</v>
      </c>
      <c r="C2190" s="1">
        <v>42092</v>
      </c>
      <c r="D2190" t="s">
        <v>28</v>
      </c>
      <c r="E2190">
        <v>0</v>
      </c>
      <c r="F2190">
        <v>50</v>
      </c>
      <c r="G2190">
        <v>24</v>
      </c>
      <c r="H2190">
        <v>0</v>
      </c>
      <c r="I2190" t="s">
        <v>15</v>
      </c>
      <c r="J2190">
        <v>103</v>
      </c>
      <c r="K2190" t="s">
        <v>28</v>
      </c>
      <c r="L2190">
        <v>89</v>
      </c>
      <c r="M2190">
        <f>IF(D2190=I2190,VLOOKUP(D2190,a_win_totals_lookup,MATCH(K2190,a_wins_total_lookup_header,0)+1,0),VLOOKUP(D2190,a_win_totals_lookup,MATCH(I2190,a_wins_total_lookup_header,0)+1,0))</f>
        <v>0.45806716423177474</v>
      </c>
      <c r="N2190">
        <f t="shared" ca="1" si="34"/>
        <v>0</v>
      </c>
    </row>
    <row r="2191" spans="1:14" x14ac:dyDescent="0.25">
      <c r="A2191">
        <v>400579390</v>
      </c>
      <c r="B2191">
        <v>2015</v>
      </c>
      <c r="C2191" s="1">
        <v>42092</v>
      </c>
      <c r="D2191" t="s">
        <v>15</v>
      </c>
      <c r="E2191">
        <v>1</v>
      </c>
      <c r="F2191">
        <v>47</v>
      </c>
      <c r="G2191">
        <v>26</v>
      </c>
      <c r="H2191">
        <v>1</v>
      </c>
      <c r="I2191" t="s">
        <v>15</v>
      </c>
      <c r="J2191">
        <v>103</v>
      </c>
      <c r="K2191" t="s">
        <v>28</v>
      </c>
      <c r="L2191">
        <v>89</v>
      </c>
      <c r="M2191">
        <f>IF(D2191=I2191,VLOOKUP(D2191,a_win_totals_lookup,MATCH(K2191,a_wins_total_lookup_header,0)+1,0),VLOOKUP(D2191,a_win_totals_lookup,MATCH(I2191,a_wins_total_lookup_header,0)+1,0))</f>
        <v>0.54193283576822526</v>
      </c>
      <c r="N2191">
        <f t="shared" ca="1" si="34"/>
        <v>1</v>
      </c>
    </row>
    <row r="2192" spans="1:14" x14ac:dyDescent="0.25">
      <c r="A2192">
        <v>400579391</v>
      </c>
      <c r="B2192">
        <v>2015</v>
      </c>
      <c r="C2192" s="1">
        <v>42092</v>
      </c>
      <c r="D2192" t="s">
        <v>14</v>
      </c>
      <c r="E2192">
        <v>0</v>
      </c>
      <c r="F2192">
        <v>45</v>
      </c>
      <c r="G2192">
        <v>29</v>
      </c>
      <c r="H2192">
        <v>0</v>
      </c>
      <c r="I2192" t="s">
        <v>20</v>
      </c>
      <c r="J2192">
        <v>104</v>
      </c>
      <c r="K2192" t="s">
        <v>14</v>
      </c>
      <c r="L2192">
        <v>99</v>
      </c>
      <c r="M2192">
        <f>IF(D2192=I2192,VLOOKUP(D2192,a_win_totals_lookup,MATCH(K2192,a_wins_total_lookup_header,0)+1,0),VLOOKUP(D2192,a_win_totals_lookup,MATCH(I2192,a_wins_total_lookup_header,0)+1,0))</f>
        <v>0.67132639370189251</v>
      </c>
      <c r="N2192">
        <f t="shared" ca="1" si="34"/>
        <v>1</v>
      </c>
    </row>
    <row r="2193" spans="1:14" x14ac:dyDescent="0.25">
      <c r="A2193">
        <v>400579391</v>
      </c>
      <c r="B2193">
        <v>2015</v>
      </c>
      <c r="C2193" s="1">
        <v>42092</v>
      </c>
      <c r="D2193" t="s">
        <v>20</v>
      </c>
      <c r="E2193">
        <v>1</v>
      </c>
      <c r="F2193">
        <v>32</v>
      </c>
      <c r="G2193">
        <v>41</v>
      </c>
      <c r="H2193">
        <v>1</v>
      </c>
      <c r="I2193" t="s">
        <v>20</v>
      </c>
      <c r="J2193">
        <v>104</v>
      </c>
      <c r="K2193" t="s">
        <v>14</v>
      </c>
      <c r="L2193">
        <v>99</v>
      </c>
      <c r="M2193">
        <f>IF(D2193=I2193,VLOOKUP(D2193,a_win_totals_lookup,MATCH(K2193,a_wins_total_lookup_header,0)+1,0),VLOOKUP(D2193,a_win_totals_lookup,MATCH(I2193,a_wins_total_lookup_header,0)+1,0))</f>
        <v>0.32867360629810738</v>
      </c>
      <c r="N2193">
        <f t="shared" ca="1" si="34"/>
        <v>0</v>
      </c>
    </row>
    <row r="2194" spans="1:14" x14ac:dyDescent="0.25">
      <c r="A2194">
        <v>400579392</v>
      </c>
      <c r="B2194">
        <v>2015</v>
      </c>
      <c r="C2194" s="1">
        <v>42092</v>
      </c>
      <c r="D2194" t="s">
        <v>38</v>
      </c>
      <c r="E2194">
        <v>1</v>
      </c>
      <c r="F2194">
        <v>42</v>
      </c>
      <c r="G2194">
        <v>32</v>
      </c>
      <c r="H2194">
        <v>0</v>
      </c>
      <c r="I2194" t="s">
        <v>35</v>
      </c>
      <c r="J2194">
        <v>97</v>
      </c>
      <c r="K2194" t="s">
        <v>38</v>
      </c>
      <c r="L2194">
        <v>109</v>
      </c>
      <c r="M2194">
        <f>IF(D2194=I2194,VLOOKUP(D2194,a_win_totals_lookup,MATCH(K2194,a_wins_total_lookup_header,0)+1,0),VLOOKUP(D2194,a_win_totals_lookup,MATCH(I2194,a_wins_total_lookup_header,0)+1,0))</f>
        <v>0.59107258793132766</v>
      </c>
      <c r="N2194">
        <f t="shared" ca="1" si="34"/>
        <v>1</v>
      </c>
    </row>
    <row r="2195" spans="1:14" x14ac:dyDescent="0.25">
      <c r="A2195">
        <v>400579392</v>
      </c>
      <c r="B2195">
        <v>2015</v>
      </c>
      <c r="C2195" s="1">
        <v>42092</v>
      </c>
      <c r="D2195" t="s">
        <v>35</v>
      </c>
      <c r="E2195">
        <v>0</v>
      </c>
      <c r="F2195">
        <v>38</v>
      </c>
      <c r="G2195">
        <v>36</v>
      </c>
      <c r="H2195">
        <v>1</v>
      </c>
      <c r="I2195" t="s">
        <v>35</v>
      </c>
      <c r="J2195">
        <v>97</v>
      </c>
      <c r="K2195" t="s">
        <v>38</v>
      </c>
      <c r="L2195">
        <v>109</v>
      </c>
      <c r="M2195">
        <f>IF(D2195=I2195,VLOOKUP(D2195,a_win_totals_lookup,MATCH(K2195,a_wins_total_lookup_header,0)+1,0),VLOOKUP(D2195,a_win_totals_lookup,MATCH(I2195,a_wins_total_lookup_header,0)+1,0))</f>
        <v>0.40892741206867239</v>
      </c>
      <c r="N2195">
        <f t="shared" ca="1" si="34"/>
        <v>0</v>
      </c>
    </row>
    <row r="2196" spans="1:14" x14ac:dyDescent="0.25">
      <c r="A2196">
        <v>400579393</v>
      </c>
      <c r="B2196">
        <v>2015</v>
      </c>
      <c r="C2196" s="1">
        <v>42093</v>
      </c>
      <c r="D2196" t="s">
        <v>22</v>
      </c>
      <c r="E2196">
        <v>1</v>
      </c>
      <c r="F2196">
        <v>33</v>
      </c>
      <c r="G2196">
        <v>41</v>
      </c>
      <c r="H2196">
        <v>0</v>
      </c>
      <c r="I2196" t="s">
        <v>18</v>
      </c>
      <c r="J2196">
        <v>104</v>
      </c>
      <c r="K2196" t="s">
        <v>22</v>
      </c>
      <c r="L2196">
        <v>116</v>
      </c>
      <c r="M2196">
        <f>IF(D2196=I2196,VLOOKUP(D2196,a_win_totals_lookup,MATCH(K2196,a_wins_total_lookup_header,0)+1,0),VLOOKUP(D2196,a_win_totals_lookup,MATCH(I2196,a_wins_total_lookup_header,0)+1,0))</f>
        <v>0.28373903306292714</v>
      </c>
      <c r="N2196">
        <f t="shared" ca="1" si="34"/>
        <v>1</v>
      </c>
    </row>
    <row r="2197" spans="1:14" x14ac:dyDescent="0.25">
      <c r="A2197">
        <v>400579393</v>
      </c>
      <c r="B2197">
        <v>2015</v>
      </c>
      <c r="C2197" s="1">
        <v>42093</v>
      </c>
      <c r="D2197" t="s">
        <v>18</v>
      </c>
      <c r="E2197">
        <v>0</v>
      </c>
      <c r="F2197">
        <v>31</v>
      </c>
      <c r="G2197">
        <v>42</v>
      </c>
      <c r="H2197">
        <v>1</v>
      </c>
      <c r="I2197" t="s">
        <v>18</v>
      </c>
      <c r="J2197">
        <v>104</v>
      </c>
      <c r="K2197" t="s">
        <v>22</v>
      </c>
      <c r="L2197">
        <v>116</v>
      </c>
      <c r="M2197">
        <f>IF(D2197=I2197,VLOOKUP(D2197,a_win_totals_lookup,MATCH(K2197,a_wins_total_lookup_header,0)+1,0),VLOOKUP(D2197,a_win_totals_lookup,MATCH(I2197,a_wins_total_lookup_header,0)+1,0))</f>
        <v>0.71626096693707286</v>
      </c>
      <c r="N2197">
        <f t="shared" ca="1" si="34"/>
        <v>1</v>
      </c>
    </row>
    <row r="2198" spans="1:14" x14ac:dyDescent="0.25">
      <c r="A2198">
        <v>400579394</v>
      </c>
      <c r="B2198">
        <v>2015</v>
      </c>
      <c r="C2198" s="1">
        <v>42093</v>
      </c>
      <c r="D2198" t="s">
        <v>17</v>
      </c>
      <c r="E2198">
        <v>1</v>
      </c>
      <c r="F2198">
        <v>20</v>
      </c>
      <c r="G2198">
        <v>53</v>
      </c>
      <c r="H2198">
        <v>0</v>
      </c>
      <c r="I2198" t="s">
        <v>21</v>
      </c>
      <c r="J2198">
        <v>111</v>
      </c>
      <c r="K2198" t="s">
        <v>17</v>
      </c>
      <c r="L2198">
        <v>113</v>
      </c>
      <c r="M2198">
        <f>IF(D2198=I2198,VLOOKUP(D2198,a_win_totals_lookup,MATCH(K2198,a_wins_total_lookup_header,0)+1,0),VLOOKUP(D2198,a_win_totals_lookup,MATCH(I2198,a_wins_total_lookup_header,0)+1,0))</f>
        <v>0.62804804101525269</v>
      </c>
      <c r="N2198">
        <f t="shared" ca="1" si="34"/>
        <v>1</v>
      </c>
    </row>
    <row r="2199" spans="1:14" x14ac:dyDescent="0.25">
      <c r="A2199">
        <v>400579394</v>
      </c>
      <c r="B2199">
        <v>2015</v>
      </c>
      <c r="C2199" s="1">
        <v>42093</v>
      </c>
      <c r="D2199" t="s">
        <v>21</v>
      </c>
      <c r="E2199">
        <v>0</v>
      </c>
      <c r="F2199">
        <v>18</v>
      </c>
      <c r="G2199">
        <v>57</v>
      </c>
      <c r="H2199">
        <v>1</v>
      </c>
      <c r="I2199" t="s">
        <v>21</v>
      </c>
      <c r="J2199">
        <v>111</v>
      </c>
      <c r="K2199" t="s">
        <v>17</v>
      </c>
      <c r="L2199">
        <v>113</v>
      </c>
      <c r="M2199">
        <f>IF(D2199=I2199,VLOOKUP(D2199,a_win_totals_lookup,MATCH(K2199,a_wins_total_lookup_header,0)+1,0),VLOOKUP(D2199,a_win_totals_lookup,MATCH(I2199,a_wins_total_lookup_header,0)+1,0))</f>
        <v>0.37195195898474726</v>
      </c>
      <c r="N2199">
        <f t="shared" ca="1" si="34"/>
        <v>1</v>
      </c>
    </row>
    <row r="2200" spans="1:14" x14ac:dyDescent="0.25">
      <c r="A2200">
        <v>400579395</v>
      </c>
      <c r="B2200">
        <v>2015</v>
      </c>
      <c r="C2200" s="1">
        <v>42093</v>
      </c>
      <c r="D2200" t="s">
        <v>26</v>
      </c>
      <c r="E2200">
        <v>1</v>
      </c>
      <c r="F2200">
        <v>56</v>
      </c>
      <c r="G2200">
        <v>18</v>
      </c>
      <c r="H2200">
        <v>1</v>
      </c>
      <c r="I2200" t="s">
        <v>26</v>
      </c>
      <c r="J2200">
        <v>101</v>
      </c>
      <c r="K2200" t="s">
        <v>19</v>
      </c>
      <c r="L2200">
        <v>88</v>
      </c>
      <c r="M2200">
        <f>IF(D2200=I2200,VLOOKUP(D2200,a_win_totals_lookup,MATCH(K2200,a_wins_total_lookup_header,0)+1,0),VLOOKUP(D2200,a_win_totals_lookup,MATCH(I2200,a_wins_total_lookup_header,0)+1,0))</f>
        <v>0.68061965309208583</v>
      </c>
      <c r="N2200">
        <f t="shared" ca="1" si="34"/>
        <v>1</v>
      </c>
    </row>
    <row r="2201" spans="1:14" x14ac:dyDescent="0.25">
      <c r="A2201">
        <v>400579395</v>
      </c>
      <c r="B2201">
        <v>2015</v>
      </c>
      <c r="C2201" s="1">
        <v>42093</v>
      </c>
      <c r="D2201" t="s">
        <v>19</v>
      </c>
      <c r="E2201">
        <v>0</v>
      </c>
      <c r="F2201">
        <v>36</v>
      </c>
      <c r="G2201">
        <v>38</v>
      </c>
      <c r="H2201">
        <v>0</v>
      </c>
      <c r="I2201" t="s">
        <v>26</v>
      </c>
      <c r="J2201">
        <v>101</v>
      </c>
      <c r="K2201" t="s">
        <v>19</v>
      </c>
      <c r="L2201">
        <v>88</v>
      </c>
      <c r="M2201">
        <f>IF(D2201=I2201,VLOOKUP(D2201,a_win_totals_lookup,MATCH(K2201,a_wins_total_lookup_header,0)+1,0),VLOOKUP(D2201,a_win_totals_lookup,MATCH(I2201,a_wins_total_lookup_header,0)+1,0))</f>
        <v>0.31938034690791411</v>
      </c>
      <c r="N2201">
        <f t="shared" ca="1" si="34"/>
        <v>0</v>
      </c>
    </row>
    <row r="2202" spans="1:14" x14ac:dyDescent="0.25">
      <c r="A2202">
        <v>400579396</v>
      </c>
      <c r="B2202">
        <v>2015</v>
      </c>
      <c r="C2202" s="1">
        <v>42093</v>
      </c>
      <c r="D2202" t="s">
        <v>16</v>
      </c>
      <c r="E2202">
        <v>0</v>
      </c>
      <c r="F2202">
        <v>50</v>
      </c>
      <c r="G2202">
        <v>24</v>
      </c>
      <c r="H2202">
        <v>0</v>
      </c>
      <c r="I2202" t="s">
        <v>27</v>
      </c>
      <c r="J2202">
        <v>99</v>
      </c>
      <c r="K2202" t="s">
        <v>16</v>
      </c>
      <c r="L2202">
        <v>96</v>
      </c>
      <c r="M2202">
        <f>IF(D2202=I2202,VLOOKUP(D2202,a_win_totals_lookup,MATCH(K2202,a_wins_total_lookup_header,0)+1,0),VLOOKUP(D2202,a_win_totals_lookup,MATCH(I2202,a_wins_total_lookup_header,0)+1,0))</f>
        <v>0.46570795027321976</v>
      </c>
      <c r="N2202">
        <f t="shared" ca="1" si="34"/>
        <v>0</v>
      </c>
    </row>
    <row r="2203" spans="1:14" x14ac:dyDescent="0.25">
      <c r="A2203">
        <v>400579396</v>
      </c>
      <c r="B2203">
        <v>2015</v>
      </c>
      <c r="C2203" s="1">
        <v>42093</v>
      </c>
      <c r="D2203" t="s">
        <v>27</v>
      </c>
      <c r="E2203">
        <v>1</v>
      </c>
      <c r="F2203">
        <v>44</v>
      </c>
      <c r="G2203">
        <v>30</v>
      </c>
      <c r="H2203">
        <v>1</v>
      </c>
      <c r="I2203" t="s">
        <v>27</v>
      </c>
      <c r="J2203">
        <v>99</v>
      </c>
      <c r="K2203" t="s">
        <v>16</v>
      </c>
      <c r="L2203">
        <v>96</v>
      </c>
      <c r="M2203">
        <f>IF(D2203=I2203,VLOOKUP(D2203,a_win_totals_lookup,MATCH(K2203,a_wins_total_lookup_header,0)+1,0),VLOOKUP(D2203,a_win_totals_lookup,MATCH(I2203,a_wins_total_lookup_header,0)+1,0))</f>
        <v>0.53429204972678024</v>
      </c>
      <c r="N2203">
        <f t="shared" ca="1" si="34"/>
        <v>0</v>
      </c>
    </row>
    <row r="2204" spans="1:14" x14ac:dyDescent="0.25">
      <c r="A2204">
        <v>400579397</v>
      </c>
      <c r="B2204">
        <v>2015</v>
      </c>
      <c r="C2204" s="1">
        <v>42093</v>
      </c>
      <c r="D2204" t="s">
        <v>28</v>
      </c>
      <c r="E2204">
        <v>1</v>
      </c>
      <c r="F2204">
        <v>51</v>
      </c>
      <c r="G2204">
        <v>24</v>
      </c>
      <c r="H2204">
        <v>1</v>
      </c>
      <c r="I2204" t="s">
        <v>28</v>
      </c>
      <c r="J2204">
        <v>97</v>
      </c>
      <c r="K2204" t="s">
        <v>37</v>
      </c>
      <c r="L2204">
        <v>83</v>
      </c>
      <c r="M2204">
        <f>IF(D2204=I2204,VLOOKUP(D2204,a_win_totals_lookup,MATCH(K2204,a_wins_total_lookup_header,0)+1,0),VLOOKUP(D2204,a_win_totals_lookup,MATCH(I2204,a_wins_total_lookup_header,0)+1,0))</f>
        <v>0.67190542095206907</v>
      </c>
      <c r="N2204">
        <f t="shared" ca="1" si="34"/>
        <v>1</v>
      </c>
    </row>
    <row r="2205" spans="1:14" x14ac:dyDescent="0.25">
      <c r="A2205">
        <v>400579397</v>
      </c>
      <c r="B2205">
        <v>2015</v>
      </c>
      <c r="C2205" s="1">
        <v>42093</v>
      </c>
      <c r="D2205" t="s">
        <v>37</v>
      </c>
      <c r="E2205">
        <v>0</v>
      </c>
      <c r="F2205">
        <v>26</v>
      </c>
      <c r="G2205">
        <v>47</v>
      </c>
      <c r="H2205">
        <v>0</v>
      </c>
      <c r="I2205" t="s">
        <v>28</v>
      </c>
      <c r="J2205">
        <v>97</v>
      </c>
      <c r="K2205" t="s">
        <v>37</v>
      </c>
      <c r="L2205">
        <v>83</v>
      </c>
      <c r="M2205">
        <f>IF(D2205=I2205,VLOOKUP(D2205,a_win_totals_lookup,MATCH(K2205,a_wins_total_lookup_header,0)+1,0),VLOOKUP(D2205,a_win_totals_lookup,MATCH(I2205,a_wins_total_lookup_header,0)+1,0))</f>
        <v>0.32809457904793099</v>
      </c>
      <c r="N2205">
        <f t="shared" ca="1" si="34"/>
        <v>0</v>
      </c>
    </row>
    <row r="2206" spans="1:14" x14ac:dyDescent="0.25">
      <c r="A2206">
        <v>400579398</v>
      </c>
      <c r="B2206">
        <v>2015</v>
      </c>
      <c r="C2206" s="1">
        <v>42093</v>
      </c>
      <c r="D2206" t="s">
        <v>29</v>
      </c>
      <c r="E2206">
        <v>0</v>
      </c>
      <c r="F2206">
        <v>16</v>
      </c>
      <c r="G2206">
        <v>58</v>
      </c>
      <c r="H2206">
        <v>1</v>
      </c>
      <c r="I2206" t="s">
        <v>29</v>
      </c>
      <c r="J2206">
        <v>84</v>
      </c>
      <c r="K2206" t="s">
        <v>34</v>
      </c>
      <c r="L2206">
        <v>104</v>
      </c>
      <c r="M2206">
        <f>IF(D2206=I2206,VLOOKUP(D2206,a_win_totals_lookup,MATCH(K2206,a_wins_total_lookup_header,0)+1,0),VLOOKUP(D2206,a_win_totals_lookup,MATCH(I2206,a_wins_total_lookup_header,0)+1,0))</f>
        <v>0.44399285510679726</v>
      </c>
      <c r="N2206">
        <f t="shared" ca="1" si="34"/>
        <v>1</v>
      </c>
    </row>
    <row r="2207" spans="1:14" x14ac:dyDescent="0.25">
      <c r="A2207">
        <v>400579398</v>
      </c>
      <c r="B2207">
        <v>2015</v>
      </c>
      <c r="C2207" s="1">
        <v>42093</v>
      </c>
      <c r="D2207" t="s">
        <v>34</v>
      </c>
      <c r="E2207">
        <v>1</v>
      </c>
      <c r="F2207">
        <v>33</v>
      </c>
      <c r="G2207">
        <v>41</v>
      </c>
      <c r="H2207">
        <v>0</v>
      </c>
      <c r="I2207" t="s">
        <v>29</v>
      </c>
      <c r="J2207">
        <v>84</v>
      </c>
      <c r="K2207" t="s">
        <v>34</v>
      </c>
      <c r="L2207">
        <v>104</v>
      </c>
      <c r="M2207">
        <f>IF(D2207=I2207,VLOOKUP(D2207,a_win_totals_lookup,MATCH(K2207,a_wins_total_lookup_header,0)+1,0),VLOOKUP(D2207,a_win_totals_lookup,MATCH(I2207,a_wins_total_lookup_header,0)+1,0))</f>
        <v>0.5560071448932028</v>
      </c>
      <c r="N2207">
        <f t="shared" ca="1" si="34"/>
        <v>1</v>
      </c>
    </row>
    <row r="2208" spans="1:14" x14ac:dyDescent="0.25">
      <c r="A2208">
        <v>400579399</v>
      </c>
      <c r="B2208">
        <v>2015</v>
      </c>
      <c r="C2208" s="1">
        <v>42093</v>
      </c>
      <c r="D2208" t="s">
        <v>35</v>
      </c>
      <c r="E2208">
        <v>0</v>
      </c>
      <c r="F2208">
        <v>38</v>
      </c>
      <c r="G2208">
        <v>37</v>
      </c>
      <c r="H2208">
        <v>0</v>
      </c>
      <c r="I2208" t="s">
        <v>39</v>
      </c>
      <c r="J2208">
        <v>109</v>
      </c>
      <c r="K2208" t="s">
        <v>35</v>
      </c>
      <c r="L2208">
        <v>86</v>
      </c>
      <c r="M2208">
        <f>IF(D2208=I2208,VLOOKUP(D2208,a_win_totals_lookup,MATCH(K2208,a_wins_total_lookup_header,0)+1,0),VLOOKUP(D2208,a_win_totals_lookup,MATCH(I2208,a_wins_total_lookup_header,0)+1,0))</f>
        <v>0.44695853169533922</v>
      </c>
      <c r="N2208">
        <f t="shared" ca="1" si="34"/>
        <v>0</v>
      </c>
    </row>
    <row r="2209" spans="1:14" x14ac:dyDescent="0.25">
      <c r="A2209">
        <v>400579399</v>
      </c>
      <c r="B2209">
        <v>2015</v>
      </c>
      <c r="C2209" s="1">
        <v>42093</v>
      </c>
      <c r="D2209" t="s">
        <v>39</v>
      </c>
      <c r="E2209">
        <v>1</v>
      </c>
      <c r="F2209">
        <v>48</v>
      </c>
      <c r="G2209">
        <v>25</v>
      </c>
      <c r="H2209">
        <v>1</v>
      </c>
      <c r="I2209" t="s">
        <v>39</v>
      </c>
      <c r="J2209">
        <v>109</v>
      </c>
      <c r="K2209" t="s">
        <v>35</v>
      </c>
      <c r="L2209">
        <v>86</v>
      </c>
      <c r="M2209">
        <f>IF(D2209=I2209,VLOOKUP(D2209,a_win_totals_lookup,MATCH(K2209,a_wins_total_lookup_header,0)+1,0),VLOOKUP(D2209,a_win_totals_lookup,MATCH(I2209,a_wins_total_lookup_header,0)+1,0))</f>
        <v>0.55304146830466083</v>
      </c>
      <c r="N2209">
        <f t="shared" ca="1" si="34"/>
        <v>0</v>
      </c>
    </row>
    <row r="2210" spans="1:14" x14ac:dyDescent="0.25">
      <c r="A2210">
        <v>400579400</v>
      </c>
      <c r="B2210">
        <v>2015</v>
      </c>
      <c r="C2210" s="1">
        <v>42094</v>
      </c>
      <c r="D2210" t="s">
        <v>23</v>
      </c>
      <c r="E2210">
        <v>1</v>
      </c>
      <c r="F2210">
        <v>33</v>
      </c>
      <c r="G2210">
        <v>40</v>
      </c>
      <c r="H2210">
        <v>1</v>
      </c>
      <c r="I2210" t="s">
        <v>23</v>
      </c>
      <c r="J2210">
        <v>111</v>
      </c>
      <c r="K2210" t="s">
        <v>20</v>
      </c>
      <c r="L2210">
        <v>106</v>
      </c>
      <c r="M2210">
        <f>IF(D2210=I2210,VLOOKUP(D2210,a_win_totals_lookup,MATCH(K2210,a_wins_total_lookup_header,0)+1,0),VLOOKUP(D2210,a_win_totals_lookup,MATCH(I2210,a_wins_total_lookup_header,0)+1,0))</f>
        <v>0.56072770135857142</v>
      </c>
      <c r="N2210">
        <f t="shared" ca="1" si="34"/>
        <v>0</v>
      </c>
    </row>
    <row r="2211" spans="1:14" x14ac:dyDescent="0.25">
      <c r="A2211">
        <v>400579400</v>
      </c>
      <c r="B2211">
        <v>2015</v>
      </c>
      <c r="C2211" s="1">
        <v>42094</v>
      </c>
      <c r="D2211" t="s">
        <v>20</v>
      </c>
      <c r="E2211">
        <v>0</v>
      </c>
      <c r="F2211">
        <v>32</v>
      </c>
      <c r="G2211">
        <v>42</v>
      </c>
      <c r="H2211">
        <v>0</v>
      </c>
      <c r="I2211" t="s">
        <v>23</v>
      </c>
      <c r="J2211">
        <v>111</v>
      </c>
      <c r="K2211" t="s">
        <v>20</v>
      </c>
      <c r="L2211">
        <v>106</v>
      </c>
      <c r="M2211">
        <f>IF(D2211=I2211,VLOOKUP(D2211,a_win_totals_lookup,MATCH(K2211,a_wins_total_lookup_header,0)+1,0),VLOOKUP(D2211,a_win_totals_lookup,MATCH(I2211,a_wins_total_lookup_header,0)+1,0))</f>
        <v>0.43927229864142858</v>
      </c>
      <c r="N2211">
        <f t="shared" ca="1" si="34"/>
        <v>1</v>
      </c>
    </row>
    <row r="2212" spans="1:14" x14ac:dyDescent="0.25">
      <c r="A2212">
        <v>400579401</v>
      </c>
      <c r="B2212">
        <v>2015</v>
      </c>
      <c r="C2212" s="1">
        <v>42094</v>
      </c>
      <c r="D2212" t="s">
        <v>26</v>
      </c>
      <c r="E2212">
        <v>0</v>
      </c>
      <c r="F2212">
        <v>56</v>
      </c>
      <c r="G2212">
        <v>19</v>
      </c>
      <c r="H2212">
        <v>0</v>
      </c>
      <c r="I2212" t="s">
        <v>33</v>
      </c>
      <c r="J2212">
        <v>105</v>
      </c>
      <c r="K2212" t="s">
        <v>26</v>
      </c>
      <c r="L2212">
        <v>95</v>
      </c>
      <c r="M2212">
        <f>IF(D2212=I2212,VLOOKUP(D2212,a_win_totals_lookup,MATCH(K2212,a_wins_total_lookup_header,0)+1,0),VLOOKUP(D2212,a_win_totals_lookup,MATCH(I2212,a_wins_total_lookup_header,0)+1,0))</f>
        <v>0.58346958313834041</v>
      </c>
      <c r="N2212">
        <f t="shared" ca="1" si="34"/>
        <v>0</v>
      </c>
    </row>
    <row r="2213" spans="1:14" x14ac:dyDescent="0.25">
      <c r="A2213">
        <v>400579401</v>
      </c>
      <c r="B2213">
        <v>2015</v>
      </c>
      <c r="C2213" s="1">
        <v>42094</v>
      </c>
      <c r="D2213" t="s">
        <v>33</v>
      </c>
      <c r="E2213">
        <v>1</v>
      </c>
      <c r="F2213">
        <v>29</v>
      </c>
      <c r="G2213">
        <v>45</v>
      </c>
      <c r="H2213">
        <v>1</v>
      </c>
      <c r="I2213" t="s">
        <v>33</v>
      </c>
      <c r="J2213">
        <v>105</v>
      </c>
      <c r="K2213" t="s">
        <v>26</v>
      </c>
      <c r="L2213">
        <v>95</v>
      </c>
      <c r="M2213">
        <f>IF(D2213=I2213,VLOOKUP(D2213,a_win_totals_lookup,MATCH(K2213,a_wins_total_lookup_header,0)+1,0),VLOOKUP(D2213,a_win_totals_lookup,MATCH(I2213,a_wins_total_lookup_header,0)+1,0))</f>
        <v>0.41653041686165959</v>
      </c>
      <c r="N2213">
        <f t="shared" ca="1" si="34"/>
        <v>1</v>
      </c>
    </row>
    <row r="2214" spans="1:14" x14ac:dyDescent="0.25">
      <c r="A2214">
        <v>400579402</v>
      </c>
      <c r="B2214">
        <v>2015</v>
      </c>
      <c r="C2214" s="1">
        <v>42094</v>
      </c>
      <c r="D2214" t="s">
        <v>24</v>
      </c>
      <c r="E2214">
        <v>0</v>
      </c>
      <c r="F2214">
        <v>34</v>
      </c>
      <c r="G2214">
        <v>40</v>
      </c>
      <c r="H2214">
        <v>1</v>
      </c>
      <c r="I2214" t="s">
        <v>24</v>
      </c>
      <c r="J2214">
        <v>81</v>
      </c>
      <c r="K2214" t="s">
        <v>15</v>
      </c>
      <c r="L2214">
        <v>95</v>
      </c>
      <c r="M2214">
        <f>IF(D2214=I2214,VLOOKUP(D2214,a_win_totals_lookup,MATCH(K2214,a_wins_total_lookup_header,0)+1,0),VLOOKUP(D2214,a_win_totals_lookup,MATCH(I2214,a_wins_total_lookup_header,0)+1,0))</f>
        <v>0.40877592000786772</v>
      </c>
      <c r="N2214">
        <f t="shared" ca="1" si="34"/>
        <v>0</v>
      </c>
    </row>
    <row r="2215" spans="1:14" x14ac:dyDescent="0.25">
      <c r="A2215">
        <v>400579402</v>
      </c>
      <c r="B2215">
        <v>2015</v>
      </c>
      <c r="C2215" s="1">
        <v>42094</v>
      </c>
      <c r="D2215" t="s">
        <v>15</v>
      </c>
      <c r="E2215">
        <v>1</v>
      </c>
      <c r="F2215">
        <v>48</v>
      </c>
      <c r="G2215">
        <v>26</v>
      </c>
      <c r="H2215">
        <v>0</v>
      </c>
      <c r="I2215" t="s">
        <v>24</v>
      </c>
      <c r="J2215">
        <v>81</v>
      </c>
      <c r="K2215" t="s">
        <v>15</v>
      </c>
      <c r="L2215">
        <v>95</v>
      </c>
      <c r="M2215">
        <f>IF(D2215=I2215,VLOOKUP(D2215,a_win_totals_lookup,MATCH(K2215,a_wins_total_lookup_header,0)+1,0),VLOOKUP(D2215,a_win_totals_lookup,MATCH(I2215,a_wins_total_lookup_header,0)+1,0))</f>
        <v>0.59122407999213222</v>
      </c>
      <c r="N2215">
        <f t="shared" ca="1" si="34"/>
        <v>1</v>
      </c>
    </row>
    <row r="2216" spans="1:14" x14ac:dyDescent="0.25">
      <c r="A2216">
        <v>400579403</v>
      </c>
      <c r="B2216">
        <v>2015</v>
      </c>
      <c r="C2216" s="1">
        <v>42094</v>
      </c>
      <c r="D2216" t="s">
        <v>36</v>
      </c>
      <c r="E2216">
        <v>1</v>
      </c>
      <c r="F2216">
        <v>61</v>
      </c>
      <c r="G2216">
        <v>13</v>
      </c>
      <c r="H2216">
        <v>0</v>
      </c>
      <c r="I2216" t="s">
        <v>41</v>
      </c>
      <c r="J2216">
        <v>106</v>
      </c>
      <c r="K2216" t="s">
        <v>36</v>
      </c>
      <c r="L2216">
        <v>110</v>
      </c>
      <c r="M2216">
        <f>IF(D2216=I2216,VLOOKUP(D2216,a_win_totals_lookup,MATCH(K2216,a_wins_total_lookup_header,0)+1,0),VLOOKUP(D2216,a_win_totals_lookup,MATCH(I2216,a_wins_total_lookup_header,0)+1,0))</f>
        <v>0.47097431070275608</v>
      </c>
      <c r="N2216">
        <f t="shared" ca="1" si="34"/>
        <v>0</v>
      </c>
    </row>
    <row r="2217" spans="1:14" x14ac:dyDescent="0.25">
      <c r="A2217">
        <v>400579403</v>
      </c>
      <c r="B2217">
        <v>2015</v>
      </c>
      <c r="C2217" s="1">
        <v>42094</v>
      </c>
      <c r="D2217" t="s">
        <v>41</v>
      </c>
      <c r="E2217">
        <v>0</v>
      </c>
      <c r="F2217">
        <v>49</v>
      </c>
      <c r="G2217">
        <v>26</v>
      </c>
      <c r="H2217">
        <v>1</v>
      </c>
      <c r="I2217" t="s">
        <v>41</v>
      </c>
      <c r="J2217">
        <v>106</v>
      </c>
      <c r="K2217" t="s">
        <v>36</v>
      </c>
      <c r="L2217">
        <v>110</v>
      </c>
      <c r="M2217">
        <f>IF(D2217=I2217,VLOOKUP(D2217,a_win_totals_lookup,MATCH(K2217,a_wins_total_lookup_header,0)+1,0),VLOOKUP(D2217,a_win_totals_lookup,MATCH(I2217,a_wins_total_lookup_header,0)+1,0))</f>
        <v>0.52902568929724392</v>
      </c>
      <c r="N2217">
        <f t="shared" ca="1" si="34"/>
        <v>1</v>
      </c>
    </row>
    <row r="2218" spans="1:14" x14ac:dyDescent="0.25">
      <c r="A2218">
        <v>400579404</v>
      </c>
      <c r="B2218">
        <v>2015</v>
      </c>
      <c r="C2218" s="1">
        <v>42095</v>
      </c>
      <c r="D2218" t="s">
        <v>18</v>
      </c>
      <c r="E2218">
        <v>1</v>
      </c>
      <c r="F2218">
        <v>32</v>
      </c>
      <c r="G2218">
        <v>42</v>
      </c>
      <c r="H2218">
        <v>1</v>
      </c>
      <c r="I2218" t="s">
        <v>18</v>
      </c>
      <c r="J2218">
        <v>102</v>
      </c>
      <c r="K2218" t="s">
        <v>33</v>
      </c>
      <c r="L2218">
        <v>78</v>
      </c>
      <c r="M2218">
        <f>IF(D2218=I2218,VLOOKUP(D2218,a_win_totals_lookup,MATCH(K2218,a_wins_total_lookup_header,0)+1,0),VLOOKUP(D2218,a_win_totals_lookup,MATCH(I2218,a_wins_total_lookup_header,0)+1,0))</f>
        <v>0.60576693861644582</v>
      </c>
      <c r="N2218">
        <f t="shared" ca="1" si="34"/>
        <v>0</v>
      </c>
    </row>
    <row r="2219" spans="1:14" x14ac:dyDescent="0.25">
      <c r="A2219">
        <v>400579404</v>
      </c>
      <c r="B2219">
        <v>2015</v>
      </c>
      <c r="C2219" s="1">
        <v>42095</v>
      </c>
      <c r="D2219" t="s">
        <v>33</v>
      </c>
      <c r="E2219">
        <v>0</v>
      </c>
      <c r="F2219">
        <v>29</v>
      </c>
      <c r="G2219">
        <v>46</v>
      </c>
      <c r="H2219">
        <v>0</v>
      </c>
      <c r="I2219" t="s">
        <v>18</v>
      </c>
      <c r="J2219">
        <v>102</v>
      </c>
      <c r="K2219" t="s">
        <v>33</v>
      </c>
      <c r="L2219">
        <v>78</v>
      </c>
      <c r="M2219">
        <f>IF(D2219=I2219,VLOOKUP(D2219,a_win_totals_lookup,MATCH(K2219,a_wins_total_lookup_header,0)+1,0),VLOOKUP(D2219,a_win_totals_lookup,MATCH(I2219,a_wins_total_lookup_header,0)+1,0))</f>
        <v>0.39423306138355413</v>
      </c>
      <c r="N2219">
        <f t="shared" ca="1" si="34"/>
        <v>0</v>
      </c>
    </row>
    <row r="2220" spans="1:14" x14ac:dyDescent="0.25">
      <c r="A2220">
        <v>400579405</v>
      </c>
      <c r="B2220">
        <v>2015</v>
      </c>
      <c r="C2220" s="1">
        <v>42095</v>
      </c>
      <c r="D2220" t="s">
        <v>13</v>
      </c>
      <c r="E2220">
        <v>0</v>
      </c>
      <c r="F2220">
        <v>22</v>
      </c>
      <c r="G2220">
        <v>53</v>
      </c>
      <c r="H2220">
        <v>1</v>
      </c>
      <c r="I2220" t="s">
        <v>13</v>
      </c>
      <c r="J2220">
        <v>91</v>
      </c>
      <c r="K2220" t="s">
        <v>15</v>
      </c>
      <c r="L2220">
        <v>103</v>
      </c>
      <c r="M2220">
        <f>IF(D2220=I2220,VLOOKUP(D2220,a_win_totals_lookup,MATCH(K2220,a_wins_total_lookup_header,0)+1,0),VLOOKUP(D2220,a_win_totals_lookup,MATCH(I2220,a_wins_total_lookup_header,0)+1,0))</f>
        <v>0.26404929594784404</v>
      </c>
      <c r="N2220">
        <f t="shared" ca="1" si="34"/>
        <v>0</v>
      </c>
    </row>
    <row r="2221" spans="1:14" x14ac:dyDescent="0.25">
      <c r="A2221">
        <v>400579405</v>
      </c>
      <c r="B2221">
        <v>2015</v>
      </c>
      <c r="C2221" s="1">
        <v>42095</v>
      </c>
      <c r="D2221" t="s">
        <v>15</v>
      </c>
      <c r="E2221">
        <v>1</v>
      </c>
      <c r="F2221">
        <v>49</v>
      </c>
      <c r="G2221">
        <v>26</v>
      </c>
      <c r="H2221">
        <v>0</v>
      </c>
      <c r="I2221" t="s">
        <v>13</v>
      </c>
      <c r="J2221">
        <v>91</v>
      </c>
      <c r="K2221" t="s">
        <v>15</v>
      </c>
      <c r="L2221">
        <v>103</v>
      </c>
      <c r="M2221">
        <f>IF(D2221=I2221,VLOOKUP(D2221,a_win_totals_lookup,MATCH(K2221,a_wins_total_lookup_header,0)+1,0),VLOOKUP(D2221,a_win_totals_lookup,MATCH(I2221,a_wins_total_lookup_header,0)+1,0))</f>
        <v>0.73595070405215601</v>
      </c>
      <c r="N2221">
        <f t="shared" ca="1" si="34"/>
        <v>1</v>
      </c>
    </row>
    <row r="2222" spans="1:14" x14ac:dyDescent="0.25">
      <c r="A2222">
        <v>400579406</v>
      </c>
      <c r="B2222">
        <v>2015</v>
      </c>
      <c r="C2222" s="1">
        <v>42095</v>
      </c>
      <c r="D2222" t="s">
        <v>21</v>
      </c>
      <c r="E2222">
        <v>0</v>
      </c>
      <c r="F2222">
        <v>18</v>
      </c>
      <c r="G2222">
        <v>58</v>
      </c>
      <c r="H2222">
        <v>0</v>
      </c>
      <c r="I2222" t="s">
        <v>25</v>
      </c>
      <c r="J2222">
        <v>106</v>
      </c>
      <c r="K2222" t="s">
        <v>21</v>
      </c>
      <c r="L2222">
        <v>93</v>
      </c>
      <c r="M2222">
        <f>IF(D2222=I2222,VLOOKUP(D2222,a_win_totals_lookup,MATCH(K2222,a_wins_total_lookup_header,0)+1,0),VLOOKUP(D2222,a_win_totals_lookup,MATCH(I2222,a_wins_total_lookup_header,0)+1,0))</f>
        <v>0.23731187072121385</v>
      </c>
      <c r="N2222">
        <f t="shared" ca="1" si="34"/>
        <v>0</v>
      </c>
    </row>
    <row r="2223" spans="1:14" x14ac:dyDescent="0.25">
      <c r="A2223">
        <v>400579406</v>
      </c>
      <c r="B2223">
        <v>2015</v>
      </c>
      <c r="C2223" s="1">
        <v>42095</v>
      </c>
      <c r="D2223" t="s">
        <v>25</v>
      </c>
      <c r="E2223">
        <v>1</v>
      </c>
      <c r="F2223">
        <v>42</v>
      </c>
      <c r="G2223">
        <v>33</v>
      </c>
      <c r="H2223">
        <v>1</v>
      </c>
      <c r="I2223" t="s">
        <v>25</v>
      </c>
      <c r="J2223">
        <v>106</v>
      </c>
      <c r="K2223" t="s">
        <v>21</v>
      </c>
      <c r="L2223">
        <v>93</v>
      </c>
      <c r="M2223">
        <f>IF(D2223=I2223,VLOOKUP(D2223,a_win_totals_lookup,MATCH(K2223,a_wins_total_lookup_header,0)+1,0),VLOOKUP(D2223,a_win_totals_lookup,MATCH(I2223,a_wins_total_lookup_header,0)+1,0))</f>
        <v>0.76268812927878615</v>
      </c>
      <c r="N2223">
        <f t="shared" ca="1" si="34"/>
        <v>1</v>
      </c>
    </row>
    <row r="2224" spans="1:14" x14ac:dyDescent="0.25">
      <c r="A2224">
        <v>400579407</v>
      </c>
      <c r="B2224">
        <v>2015</v>
      </c>
      <c r="C2224" s="1">
        <v>42095</v>
      </c>
      <c r="D2224" t="s">
        <v>22</v>
      </c>
      <c r="E2224">
        <v>1</v>
      </c>
      <c r="F2224">
        <v>34</v>
      </c>
      <c r="G2224">
        <v>41</v>
      </c>
      <c r="H2224">
        <v>1</v>
      </c>
      <c r="I2224" t="s">
        <v>22</v>
      </c>
      <c r="J2224">
        <v>100</v>
      </c>
      <c r="K2224" t="s">
        <v>20</v>
      </c>
      <c r="L2224">
        <v>87</v>
      </c>
      <c r="M2224">
        <f>IF(D2224=I2224,VLOOKUP(D2224,a_win_totals_lookup,MATCH(K2224,a_wins_total_lookup_header,0)+1,0),VLOOKUP(D2224,a_win_totals_lookup,MATCH(I2224,a_wins_total_lookup_header,0)+1,0))</f>
        <v>0.39367898728550332</v>
      </c>
      <c r="N2224">
        <f t="shared" ca="1" si="34"/>
        <v>0</v>
      </c>
    </row>
    <row r="2225" spans="1:14" x14ac:dyDescent="0.25">
      <c r="A2225">
        <v>400579407</v>
      </c>
      <c r="B2225">
        <v>2015</v>
      </c>
      <c r="C2225" s="1">
        <v>42095</v>
      </c>
      <c r="D2225" t="s">
        <v>20</v>
      </c>
      <c r="E2225">
        <v>0</v>
      </c>
      <c r="F2225">
        <v>32</v>
      </c>
      <c r="G2225">
        <v>43</v>
      </c>
      <c r="H2225">
        <v>0</v>
      </c>
      <c r="I2225" t="s">
        <v>22</v>
      </c>
      <c r="J2225">
        <v>100</v>
      </c>
      <c r="K2225" t="s">
        <v>20</v>
      </c>
      <c r="L2225">
        <v>87</v>
      </c>
      <c r="M2225">
        <f>IF(D2225=I2225,VLOOKUP(D2225,a_win_totals_lookup,MATCH(K2225,a_wins_total_lookup_header,0)+1,0),VLOOKUP(D2225,a_win_totals_lookup,MATCH(I2225,a_wins_total_lookup_header,0)+1,0))</f>
        <v>0.60632101271449668</v>
      </c>
      <c r="N2225">
        <f t="shared" ca="1" si="34"/>
        <v>1</v>
      </c>
    </row>
    <row r="2226" spans="1:14" x14ac:dyDescent="0.25">
      <c r="A2226">
        <v>400579408</v>
      </c>
      <c r="B2226">
        <v>2015</v>
      </c>
      <c r="C2226" s="1">
        <v>42095</v>
      </c>
      <c r="D2226" t="s">
        <v>23</v>
      </c>
      <c r="E2226">
        <v>1</v>
      </c>
      <c r="F2226">
        <v>34</v>
      </c>
      <c r="G2226">
        <v>40</v>
      </c>
      <c r="H2226">
        <v>0</v>
      </c>
      <c r="I2226" t="s">
        <v>31</v>
      </c>
      <c r="J2226">
        <v>98</v>
      </c>
      <c r="K2226" t="s">
        <v>23</v>
      </c>
      <c r="L2226">
        <v>100</v>
      </c>
      <c r="M2226">
        <f>IF(D2226=I2226,VLOOKUP(D2226,a_win_totals_lookup,MATCH(K2226,a_wins_total_lookup_header,0)+1,0),VLOOKUP(D2226,a_win_totals_lookup,MATCH(I2226,a_wins_total_lookup_header,0)+1,0))</f>
        <v>0.5</v>
      </c>
      <c r="N2226">
        <f t="shared" ca="1" si="34"/>
        <v>1</v>
      </c>
    </row>
    <row r="2227" spans="1:14" x14ac:dyDescent="0.25">
      <c r="A2227">
        <v>400579408</v>
      </c>
      <c r="B2227">
        <v>2015</v>
      </c>
      <c r="C2227" s="1">
        <v>42095</v>
      </c>
      <c r="D2227" t="s">
        <v>31</v>
      </c>
      <c r="E2227">
        <v>0</v>
      </c>
      <c r="F2227">
        <v>14</v>
      </c>
      <c r="G2227">
        <v>61</v>
      </c>
      <c r="H2227">
        <v>1</v>
      </c>
      <c r="I2227" t="s">
        <v>31</v>
      </c>
      <c r="J2227">
        <v>98</v>
      </c>
      <c r="K2227" t="s">
        <v>23</v>
      </c>
      <c r="L2227">
        <v>100</v>
      </c>
      <c r="M2227">
        <f>IF(D2227=I2227,VLOOKUP(D2227,a_win_totals_lookup,MATCH(K2227,a_wins_total_lookup_header,0)+1,0),VLOOKUP(D2227,a_win_totals_lookup,MATCH(I2227,a_wins_total_lookup_header,0)+1,0))</f>
        <v>0.5</v>
      </c>
      <c r="N2227">
        <f t="shared" ca="1" si="34"/>
        <v>0</v>
      </c>
    </row>
    <row r="2228" spans="1:14" x14ac:dyDescent="0.25">
      <c r="A2228">
        <v>400579409</v>
      </c>
      <c r="B2228">
        <v>2015</v>
      </c>
      <c r="C2228" s="1">
        <v>42095</v>
      </c>
      <c r="D2228" t="s">
        <v>16</v>
      </c>
      <c r="E2228">
        <v>1</v>
      </c>
      <c r="F2228">
        <v>51</v>
      </c>
      <c r="G2228">
        <v>24</v>
      </c>
      <c r="H2228">
        <v>1</v>
      </c>
      <c r="I2228" t="s">
        <v>16</v>
      </c>
      <c r="J2228">
        <v>115</v>
      </c>
      <c r="K2228" t="s">
        <v>37</v>
      </c>
      <c r="L2228">
        <v>111</v>
      </c>
      <c r="M2228">
        <f>IF(D2228=I2228,VLOOKUP(D2228,a_win_totals_lookup,MATCH(K2228,a_wins_total_lookup_header,0)+1,0),VLOOKUP(D2228,a_win_totals_lookup,MATCH(I2228,a_wins_total_lookup_header,0)+1,0))</f>
        <v>0.65557177266505795</v>
      </c>
      <c r="N2228">
        <f t="shared" ca="1" si="34"/>
        <v>1</v>
      </c>
    </row>
    <row r="2229" spans="1:14" x14ac:dyDescent="0.25">
      <c r="A2229">
        <v>400579409</v>
      </c>
      <c r="B2229">
        <v>2015</v>
      </c>
      <c r="C2229" s="1">
        <v>42095</v>
      </c>
      <c r="D2229" t="s">
        <v>37</v>
      </c>
      <c r="E2229">
        <v>0</v>
      </c>
      <c r="F2229">
        <v>26</v>
      </c>
      <c r="G2229">
        <v>48</v>
      </c>
      <c r="H2229">
        <v>0</v>
      </c>
      <c r="I2229" t="s">
        <v>16</v>
      </c>
      <c r="J2229">
        <v>115</v>
      </c>
      <c r="K2229" t="s">
        <v>37</v>
      </c>
      <c r="L2229">
        <v>111</v>
      </c>
      <c r="M2229">
        <f>IF(D2229=I2229,VLOOKUP(D2229,a_win_totals_lookup,MATCH(K2229,a_wins_total_lookup_header,0)+1,0),VLOOKUP(D2229,a_win_totals_lookup,MATCH(I2229,a_wins_total_lookup_header,0)+1,0))</f>
        <v>0.34442822733494199</v>
      </c>
      <c r="N2229">
        <f t="shared" ca="1" si="34"/>
        <v>1</v>
      </c>
    </row>
    <row r="2230" spans="1:14" x14ac:dyDescent="0.25">
      <c r="A2230">
        <v>400579410</v>
      </c>
      <c r="B2230">
        <v>2015</v>
      </c>
      <c r="C2230" s="1">
        <v>42095</v>
      </c>
      <c r="D2230" t="s">
        <v>30</v>
      </c>
      <c r="E2230">
        <v>0</v>
      </c>
      <c r="F2230">
        <v>45</v>
      </c>
      <c r="G2230">
        <v>30</v>
      </c>
      <c r="H2230">
        <v>0</v>
      </c>
      <c r="I2230" t="s">
        <v>19</v>
      </c>
      <c r="J2230">
        <v>95</v>
      </c>
      <c r="K2230" t="s">
        <v>30</v>
      </c>
      <c r="L2230">
        <v>91</v>
      </c>
      <c r="M2230">
        <f>IF(D2230=I2230,VLOOKUP(D2230,a_win_totals_lookup,MATCH(K2230,a_wins_total_lookup_header,0)+1,0),VLOOKUP(D2230,a_win_totals_lookup,MATCH(I2230,a_wins_total_lookup_header,0)+1,0))</f>
        <v>0.76371419200876312</v>
      </c>
      <c r="N2230">
        <f t="shared" ca="1" si="34"/>
        <v>1</v>
      </c>
    </row>
    <row r="2231" spans="1:14" x14ac:dyDescent="0.25">
      <c r="A2231">
        <v>400579410</v>
      </c>
      <c r="B2231">
        <v>2015</v>
      </c>
      <c r="C2231" s="1">
        <v>42095</v>
      </c>
      <c r="D2231" t="s">
        <v>19</v>
      </c>
      <c r="E2231">
        <v>1</v>
      </c>
      <c r="F2231">
        <v>37</v>
      </c>
      <c r="G2231">
        <v>38</v>
      </c>
      <c r="H2231">
        <v>1</v>
      </c>
      <c r="I2231" t="s">
        <v>19</v>
      </c>
      <c r="J2231">
        <v>95</v>
      </c>
      <c r="K2231" t="s">
        <v>30</v>
      </c>
      <c r="L2231">
        <v>91</v>
      </c>
      <c r="M2231">
        <f>IF(D2231=I2231,VLOOKUP(D2231,a_win_totals_lookup,MATCH(K2231,a_wins_total_lookup_header,0)+1,0),VLOOKUP(D2231,a_win_totals_lookup,MATCH(I2231,a_wins_total_lookup_header,0)+1,0))</f>
        <v>0.23628580799123672</v>
      </c>
      <c r="N2231">
        <f t="shared" ca="1" si="34"/>
        <v>0</v>
      </c>
    </row>
    <row r="2232" spans="1:14" x14ac:dyDescent="0.25">
      <c r="A2232">
        <v>400579411</v>
      </c>
      <c r="B2232">
        <v>2015</v>
      </c>
      <c r="C2232" s="1">
        <v>42095</v>
      </c>
      <c r="D2232" t="s">
        <v>29</v>
      </c>
      <c r="E2232">
        <v>0</v>
      </c>
      <c r="F2232">
        <v>16</v>
      </c>
      <c r="G2232">
        <v>59</v>
      </c>
      <c r="H2232">
        <v>1</v>
      </c>
      <c r="I2232" t="s">
        <v>29</v>
      </c>
      <c r="J2232">
        <v>99</v>
      </c>
      <c r="K2232" t="s">
        <v>27</v>
      </c>
      <c r="L2232">
        <v>113</v>
      </c>
      <c r="M2232">
        <f>IF(D2232=I2232,VLOOKUP(D2232,a_win_totals_lookup,MATCH(K2232,a_wins_total_lookup_header,0)+1,0),VLOOKUP(D2232,a_win_totals_lookup,MATCH(I2232,a_wins_total_lookup_header,0)+1,0))</f>
        <v>0.24120874132126804</v>
      </c>
      <c r="N2232">
        <f t="shared" ca="1" si="34"/>
        <v>0</v>
      </c>
    </row>
    <row r="2233" spans="1:14" x14ac:dyDescent="0.25">
      <c r="A2233">
        <v>400579411</v>
      </c>
      <c r="B2233">
        <v>2015</v>
      </c>
      <c r="C2233" s="1">
        <v>42095</v>
      </c>
      <c r="D2233" t="s">
        <v>27</v>
      </c>
      <c r="E2233">
        <v>1</v>
      </c>
      <c r="F2233">
        <v>45</v>
      </c>
      <c r="G2233">
        <v>30</v>
      </c>
      <c r="H2233">
        <v>0</v>
      </c>
      <c r="I2233" t="s">
        <v>29</v>
      </c>
      <c r="J2233">
        <v>99</v>
      </c>
      <c r="K2233" t="s">
        <v>27</v>
      </c>
      <c r="L2233">
        <v>113</v>
      </c>
      <c r="M2233">
        <f>IF(D2233=I2233,VLOOKUP(D2233,a_win_totals_lookup,MATCH(K2233,a_wins_total_lookup_header,0)+1,0),VLOOKUP(D2233,a_win_totals_lookup,MATCH(I2233,a_wins_total_lookup_header,0)+1,0))</f>
        <v>0.75879125867873198</v>
      </c>
      <c r="N2233">
        <f t="shared" ca="1" si="34"/>
        <v>0</v>
      </c>
    </row>
    <row r="2234" spans="1:14" x14ac:dyDescent="0.25">
      <c r="A2234">
        <v>400579412</v>
      </c>
      <c r="B2234">
        <v>2015</v>
      </c>
      <c r="C2234" s="1">
        <v>42095</v>
      </c>
      <c r="D2234" t="s">
        <v>14</v>
      </c>
      <c r="E2234">
        <v>1</v>
      </c>
      <c r="F2234">
        <v>46</v>
      </c>
      <c r="G2234">
        <v>29</v>
      </c>
      <c r="H2234">
        <v>0</v>
      </c>
      <c r="I2234" t="s">
        <v>38</v>
      </c>
      <c r="J2234">
        <v>131</v>
      </c>
      <c r="K2234" t="s">
        <v>14</v>
      </c>
      <c r="L2234">
        <v>135</v>
      </c>
      <c r="M2234">
        <f>IF(D2234=I2234,VLOOKUP(D2234,a_win_totals_lookup,MATCH(K2234,a_wins_total_lookup_header,0)+1,0),VLOOKUP(D2234,a_win_totals_lookup,MATCH(I2234,a_wins_total_lookup_header,0)+1,0))</f>
        <v>0.48605197255538951</v>
      </c>
      <c r="N2234">
        <f t="shared" ca="1" si="34"/>
        <v>1</v>
      </c>
    </row>
    <row r="2235" spans="1:14" x14ac:dyDescent="0.25">
      <c r="A2235">
        <v>400579412</v>
      </c>
      <c r="B2235">
        <v>2015</v>
      </c>
      <c r="C2235" s="1">
        <v>42095</v>
      </c>
      <c r="D2235" t="s">
        <v>38</v>
      </c>
      <c r="E2235">
        <v>0</v>
      </c>
      <c r="F2235">
        <v>42</v>
      </c>
      <c r="G2235">
        <v>33</v>
      </c>
      <c r="H2235">
        <v>1</v>
      </c>
      <c r="I2235" t="s">
        <v>38</v>
      </c>
      <c r="J2235">
        <v>131</v>
      </c>
      <c r="K2235" t="s">
        <v>14</v>
      </c>
      <c r="L2235">
        <v>135</v>
      </c>
      <c r="M2235">
        <f>IF(D2235=I2235,VLOOKUP(D2235,a_win_totals_lookup,MATCH(K2235,a_wins_total_lookup_header,0)+1,0),VLOOKUP(D2235,a_win_totals_lookup,MATCH(I2235,a_wins_total_lookup_header,0)+1,0))</f>
        <v>0.51394802744461043</v>
      </c>
      <c r="N2235">
        <f t="shared" ca="1" si="34"/>
        <v>0</v>
      </c>
    </row>
    <row r="2236" spans="1:14" x14ac:dyDescent="0.25">
      <c r="A2236">
        <v>400579413</v>
      </c>
      <c r="B2236">
        <v>2015</v>
      </c>
      <c r="C2236" s="1">
        <v>42095</v>
      </c>
      <c r="D2236" t="s">
        <v>32</v>
      </c>
      <c r="E2236">
        <v>0</v>
      </c>
      <c r="F2236">
        <v>28</v>
      </c>
      <c r="G2236">
        <v>47</v>
      </c>
      <c r="H2236">
        <v>0</v>
      </c>
      <c r="I2236" t="s">
        <v>34</v>
      </c>
      <c r="J2236">
        <v>98</v>
      </c>
      <c r="K2236" t="s">
        <v>32</v>
      </c>
      <c r="L2236">
        <v>84</v>
      </c>
      <c r="M2236">
        <f>IF(D2236=I2236,VLOOKUP(D2236,a_win_totals_lookup,MATCH(K2236,a_wins_total_lookup_header,0)+1,0),VLOOKUP(D2236,a_win_totals_lookup,MATCH(I2236,a_wins_total_lookup_header,0)+1,0))</f>
        <v>0.61088100448941873</v>
      </c>
      <c r="N2236">
        <f t="shared" ca="1" si="34"/>
        <v>1</v>
      </c>
    </row>
    <row r="2237" spans="1:14" x14ac:dyDescent="0.25">
      <c r="A2237">
        <v>400579413</v>
      </c>
      <c r="B2237">
        <v>2015</v>
      </c>
      <c r="C2237" s="1">
        <v>42095</v>
      </c>
      <c r="D2237" t="s">
        <v>34</v>
      </c>
      <c r="E2237">
        <v>1</v>
      </c>
      <c r="F2237">
        <v>34</v>
      </c>
      <c r="G2237">
        <v>41</v>
      </c>
      <c r="H2237">
        <v>1</v>
      </c>
      <c r="I2237" t="s">
        <v>34</v>
      </c>
      <c r="J2237">
        <v>98</v>
      </c>
      <c r="K2237" t="s">
        <v>32</v>
      </c>
      <c r="L2237">
        <v>84</v>
      </c>
      <c r="M2237">
        <f>IF(D2237=I2237,VLOOKUP(D2237,a_win_totals_lookup,MATCH(K2237,a_wins_total_lookup_header,0)+1,0),VLOOKUP(D2237,a_win_totals_lookup,MATCH(I2237,a_wins_total_lookup_header,0)+1,0))</f>
        <v>0.38911899551058127</v>
      </c>
      <c r="N2237">
        <f t="shared" ca="1" si="34"/>
        <v>1</v>
      </c>
    </row>
    <row r="2238" spans="1:14" x14ac:dyDescent="0.25">
      <c r="A2238">
        <v>400579414</v>
      </c>
      <c r="B2238">
        <v>2015</v>
      </c>
      <c r="C2238" s="1">
        <v>42095</v>
      </c>
      <c r="D2238" t="s">
        <v>41</v>
      </c>
      <c r="E2238">
        <v>1</v>
      </c>
      <c r="F2238">
        <v>50</v>
      </c>
      <c r="G2238">
        <v>26</v>
      </c>
      <c r="H2238">
        <v>0</v>
      </c>
      <c r="I2238" t="s">
        <v>39</v>
      </c>
      <c r="J2238">
        <v>122</v>
      </c>
      <c r="K2238" t="s">
        <v>41</v>
      </c>
      <c r="L2238">
        <v>126</v>
      </c>
      <c r="M2238">
        <f>IF(D2238=I2238,VLOOKUP(D2238,a_win_totals_lookup,MATCH(K2238,a_wins_total_lookup_header,0)+1,0),VLOOKUP(D2238,a_win_totals_lookup,MATCH(I2238,a_wins_total_lookup_header,0)+1,0))</f>
        <v>0.56088868482079979</v>
      </c>
      <c r="N2238">
        <f t="shared" ca="1" si="34"/>
        <v>0</v>
      </c>
    </row>
    <row r="2239" spans="1:14" x14ac:dyDescent="0.25">
      <c r="A2239">
        <v>400579414</v>
      </c>
      <c r="B2239">
        <v>2015</v>
      </c>
      <c r="C2239" s="1">
        <v>42095</v>
      </c>
      <c r="D2239" t="s">
        <v>39</v>
      </c>
      <c r="E2239">
        <v>0</v>
      </c>
      <c r="F2239">
        <v>48</v>
      </c>
      <c r="G2239">
        <v>26</v>
      </c>
      <c r="H2239">
        <v>1</v>
      </c>
      <c r="I2239" t="s">
        <v>39</v>
      </c>
      <c r="J2239">
        <v>122</v>
      </c>
      <c r="K2239" t="s">
        <v>41</v>
      </c>
      <c r="L2239">
        <v>126</v>
      </c>
      <c r="M2239">
        <f>IF(D2239=I2239,VLOOKUP(D2239,a_win_totals_lookup,MATCH(K2239,a_wins_total_lookup_header,0)+1,0),VLOOKUP(D2239,a_win_totals_lookup,MATCH(I2239,a_wins_total_lookup_header,0)+1,0))</f>
        <v>0.43911131517920021</v>
      </c>
      <c r="N2239">
        <f t="shared" ca="1" si="34"/>
        <v>0</v>
      </c>
    </row>
    <row r="2240" spans="1:14" x14ac:dyDescent="0.25">
      <c r="A2240">
        <v>400579415</v>
      </c>
      <c r="B2240">
        <v>2015</v>
      </c>
      <c r="C2240" s="1">
        <v>42095</v>
      </c>
      <c r="D2240" t="s">
        <v>17</v>
      </c>
      <c r="E2240">
        <v>0</v>
      </c>
      <c r="F2240">
        <v>20</v>
      </c>
      <c r="G2240">
        <v>54</v>
      </c>
      <c r="H2240">
        <v>1</v>
      </c>
      <c r="I2240" t="s">
        <v>17</v>
      </c>
      <c r="J2240">
        <v>92</v>
      </c>
      <c r="K2240" t="s">
        <v>12</v>
      </c>
      <c r="L2240">
        <v>113</v>
      </c>
      <c r="M2240">
        <f>IF(D2240=I2240,VLOOKUP(D2240,a_win_totals_lookup,MATCH(K2240,a_wins_total_lookup_header,0)+1,0),VLOOKUP(D2240,a_win_totals_lookup,MATCH(I2240,a_wins_total_lookup_header,0)+1,0))</f>
        <v>0.40952872102451271</v>
      </c>
      <c r="N2240">
        <f t="shared" ca="1" si="34"/>
        <v>1</v>
      </c>
    </row>
    <row r="2241" spans="1:14" x14ac:dyDescent="0.25">
      <c r="A2241">
        <v>400579415</v>
      </c>
      <c r="B2241">
        <v>2015</v>
      </c>
      <c r="C2241" s="1">
        <v>42095</v>
      </c>
      <c r="D2241" t="s">
        <v>12</v>
      </c>
      <c r="E2241">
        <v>1</v>
      </c>
      <c r="F2241">
        <v>40</v>
      </c>
      <c r="G2241">
        <v>34</v>
      </c>
      <c r="H2241">
        <v>0</v>
      </c>
      <c r="I2241" t="s">
        <v>17</v>
      </c>
      <c r="J2241">
        <v>92</v>
      </c>
      <c r="K2241" t="s">
        <v>12</v>
      </c>
      <c r="L2241">
        <v>113</v>
      </c>
      <c r="M2241">
        <f>IF(D2241=I2241,VLOOKUP(D2241,a_win_totals_lookup,MATCH(K2241,a_wins_total_lookup_header,0)+1,0),VLOOKUP(D2241,a_win_totals_lookup,MATCH(I2241,a_wins_total_lookup_header,0)+1,0))</f>
        <v>0.59047127897548735</v>
      </c>
      <c r="N2241">
        <f t="shared" ca="1" si="34"/>
        <v>1</v>
      </c>
    </row>
    <row r="2242" spans="1:14" x14ac:dyDescent="0.25">
      <c r="A2242">
        <v>400579416</v>
      </c>
      <c r="B2242">
        <v>2015</v>
      </c>
      <c r="C2242" s="1">
        <v>42096</v>
      </c>
      <c r="D2242" t="s">
        <v>40</v>
      </c>
      <c r="E2242">
        <v>1</v>
      </c>
      <c r="F2242">
        <v>49</v>
      </c>
      <c r="G2242">
        <v>27</v>
      </c>
      <c r="H2242">
        <v>1</v>
      </c>
      <c r="I2242" t="s">
        <v>40</v>
      </c>
      <c r="J2242">
        <v>114</v>
      </c>
      <c r="K2242" t="s">
        <v>24</v>
      </c>
      <c r="L2242">
        <v>88</v>
      </c>
      <c r="M2242">
        <f>IF(D2242=I2242,VLOOKUP(D2242,a_win_totals_lookup,MATCH(K2242,a_wins_total_lookup_header,0)+1,0),VLOOKUP(D2242,a_win_totals_lookup,MATCH(I2242,a_wins_total_lookup_header,0)+1,0))</f>
        <v>0.60114400626087006</v>
      </c>
      <c r="N2242">
        <f t="shared" ca="1" si="34"/>
        <v>1</v>
      </c>
    </row>
    <row r="2243" spans="1:14" x14ac:dyDescent="0.25">
      <c r="A2243">
        <v>400579416</v>
      </c>
      <c r="B2243">
        <v>2015</v>
      </c>
      <c r="C2243" s="1">
        <v>42096</v>
      </c>
      <c r="D2243" t="s">
        <v>24</v>
      </c>
      <c r="E2243">
        <v>0</v>
      </c>
      <c r="F2243">
        <v>34</v>
      </c>
      <c r="G2243">
        <v>41</v>
      </c>
      <c r="H2243">
        <v>0</v>
      </c>
      <c r="I2243" t="s">
        <v>40</v>
      </c>
      <c r="J2243">
        <v>114</v>
      </c>
      <c r="K2243" t="s">
        <v>24</v>
      </c>
      <c r="L2243">
        <v>88</v>
      </c>
      <c r="M2243">
        <f>IF(D2243=I2243,VLOOKUP(D2243,a_win_totals_lookup,MATCH(K2243,a_wins_total_lookup_header,0)+1,0),VLOOKUP(D2243,a_win_totals_lookup,MATCH(I2243,a_wins_total_lookup_header,0)+1,0))</f>
        <v>0.39885599373912994</v>
      </c>
      <c r="N2243">
        <f t="shared" ref="N2243:N2306" ca="1" si="35">ROUND(0.5*RANDBETWEEN(-1,1)+M2243,0)</f>
        <v>1</v>
      </c>
    </row>
    <row r="2244" spans="1:14" x14ac:dyDescent="0.25">
      <c r="A2244">
        <v>400579417</v>
      </c>
      <c r="B2244">
        <v>2015</v>
      </c>
      <c r="C2244" s="1">
        <v>42096</v>
      </c>
      <c r="D2244" t="s">
        <v>14</v>
      </c>
      <c r="E2244">
        <v>0</v>
      </c>
      <c r="F2244">
        <v>46</v>
      </c>
      <c r="G2244">
        <v>30</v>
      </c>
      <c r="H2244">
        <v>1</v>
      </c>
      <c r="I2244" t="s">
        <v>14</v>
      </c>
      <c r="J2244">
        <v>101</v>
      </c>
      <c r="K2244" t="s">
        <v>16</v>
      </c>
      <c r="L2244">
        <v>108</v>
      </c>
      <c r="M2244">
        <f>IF(D2244=I2244,VLOOKUP(D2244,a_win_totals_lookup,MATCH(K2244,a_wins_total_lookup_header,0)+1,0),VLOOKUP(D2244,a_win_totals_lookup,MATCH(I2244,a_wins_total_lookup_header,0)+1,0))</f>
        <v>0.53429204972678024</v>
      </c>
      <c r="N2244">
        <f t="shared" ca="1" si="35"/>
        <v>1</v>
      </c>
    </row>
    <row r="2245" spans="1:14" x14ac:dyDescent="0.25">
      <c r="A2245">
        <v>400579417</v>
      </c>
      <c r="B2245">
        <v>2015</v>
      </c>
      <c r="C2245" s="1">
        <v>42096</v>
      </c>
      <c r="D2245" t="s">
        <v>16</v>
      </c>
      <c r="E2245">
        <v>1</v>
      </c>
      <c r="F2245">
        <v>52</v>
      </c>
      <c r="G2245">
        <v>24</v>
      </c>
      <c r="H2245">
        <v>0</v>
      </c>
      <c r="I2245" t="s">
        <v>14</v>
      </c>
      <c r="J2245">
        <v>101</v>
      </c>
      <c r="K2245" t="s">
        <v>16</v>
      </c>
      <c r="L2245">
        <v>108</v>
      </c>
      <c r="M2245">
        <f>IF(D2245=I2245,VLOOKUP(D2245,a_win_totals_lookup,MATCH(K2245,a_wins_total_lookup_header,0)+1,0),VLOOKUP(D2245,a_win_totals_lookup,MATCH(I2245,a_wins_total_lookup_header,0)+1,0))</f>
        <v>0.46570795027321976</v>
      </c>
      <c r="N2245">
        <f t="shared" ca="1" si="35"/>
        <v>0</v>
      </c>
    </row>
    <row r="2246" spans="1:14" x14ac:dyDescent="0.25">
      <c r="A2246">
        <v>400579418</v>
      </c>
      <c r="B2246">
        <v>2015</v>
      </c>
      <c r="C2246" s="1">
        <v>42096</v>
      </c>
      <c r="D2246" t="s">
        <v>36</v>
      </c>
      <c r="E2246">
        <v>1</v>
      </c>
      <c r="F2246">
        <v>62</v>
      </c>
      <c r="G2246">
        <v>13</v>
      </c>
      <c r="H2246">
        <v>1</v>
      </c>
      <c r="I2246" t="s">
        <v>36</v>
      </c>
      <c r="J2246">
        <v>107</v>
      </c>
      <c r="K2246" t="s">
        <v>35</v>
      </c>
      <c r="L2246">
        <v>106</v>
      </c>
      <c r="M2246">
        <f>IF(D2246=I2246,VLOOKUP(D2246,a_win_totals_lookup,MATCH(K2246,a_wins_total_lookup_header,0)+1,0),VLOOKUP(D2246,a_win_totals_lookup,MATCH(I2246,a_wins_total_lookup_header,0)+1,0))</f>
        <v>0.58455563190980453</v>
      </c>
      <c r="N2246">
        <f t="shared" ca="1" si="35"/>
        <v>1</v>
      </c>
    </row>
    <row r="2247" spans="1:14" x14ac:dyDescent="0.25">
      <c r="A2247">
        <v>400579418</v>
      </c>
      <c r="B2247">
        <v>2015</v>
      </c>
      <c r="C2247" s="1">
        <v>42096</v>
      </c>
      <c r="D2247" t="s">
        <v>35</v>
      </c>
      <c r="E2247">
        <v>0</v>
      </c>
      <c r="F2247">
        <v>38</v>
      </c>
      <c r="G2247">
        <v>38</v>
      </c>
      <c r="H2247">
        <v>0</v>
      </c>
      <c r="I2247" t="s">
        <v>36</v>
      </c>
      <c r="J2247">
        <v>107</v>
      </c>
      <c r="K2247" t="s">
        <v>35</v>
      </c>
      <c r="L2247">
        <v>106</v>
      </c>
      <c r="M2247">
        <f>IF(D2247=I2247,VLOOKUP(D2247,a_win_totals_lookup,MATCH(K2247,a_wins_total_lookup_header,0)+1,0),VLOOKUP(D2247,a_win_totals_lookup,MATCH(I2247,a_wins_total_lookup_header,0)+1,0))</f>
        <v>0.41544436809019553</v>
      </c>
      <c r="N2247">
        <f t="shared" ca="1" si="35"/>
        <v>0</v>
      </c>
    </row>
    <row r="2248" spans="1:14" x14ac:dyDescent="0.25">
      <c r="A2248">
        <v>400579419</v>
      </c>
      <c r="B2248">
        <v>2015</v>
      </c>
      <c r="C2248" s="1">
        <v>42097</v>
      </c>
      <c r="D2248" t="s">
        <v>18</v>
      </c>
      <c r="E2248">
        <v>0</v>
      </c>
      <c r="F2248">
        <v>32</v>
      </c>
      <c r="G2248">
        <v>43</v>
      </c>
      <c r="H2248">
        <v>0</v>
      </c>
      <c r="I2248" t="s">
        <v>20</v>
      </c>
      <c r="J2248">
        <v>93</v>
      </c>
      <c r="K2248" t="s">
        <v>18</v>
      </c>
      <c r="L2248">
        <v>74</v>
      </c>
      <c r="M2248">
        <f>IF(D2248=I2248,VLOOKUP(D2248,a_win_totals_lookup,MATCH(K2248,a_wins_total_lookup_header,0)+1,0),VLOOKUP(D2248,a_win_totals_lookup,MATCH(I2248,a_wins_total_lookup_header,0)+1,0))</f>
        <v>0.62107555647590951</v>
      </c>
      <c r="N2248">
        <f t="shared" ca="1" si="35"/>
        <v>0</v>
      </c>
    </row>
    <row r="2249" spans="1:14" x14ac:dyDescent="0.25">
      <c r="A2249">
        <v>400579419</v>
      </c>
      <c r="B2249">
        <v>2015</v>
      </c>
      <c r="C2249" s="1">
        <v>42097</v>
      </c>
      <c r="D2249" t="s">
        <v>20</v>
      </c>
      <c r="E2249">
        <v>1</v>
      </c>
      <c r="F2249">
        <v>33</v>
      </c>
      <c r="G2249">
        <v>43</v>
      </c>
      <c r="H2249">
        <v>1</v>
      </c>
      <c r="I2249" t="s">
        <v>20</v>
      </c>
      <c r="J2249">
        <v>93</v>
      </c>
      <c r="K2249" t="s">
        <v>18</v>
      </c>
      <c r="L2249">
        <v>74</v>
      </c>
      <c r="M2249">
        <f>IF(D2249=I2249,VLOOKUP(D2249,a_win_totals_lookup,MATCH(K2249,a_wins_total_lookup_header,0)+1,0),VLOOKUP(D2249,a_win_totals_lookup,MATCH(I2249,a_wins_total_lookup_header,0)+1,0))</f>
        <v>0.37892444352409055</v>
      </c>
      <c r="N2249">
        <f t="shared" ca="1" si="35"/>
        <v>1</v>
      </c>
    </row>
    <row r="2250" spans="1:14" x14ac:dyDescent="0.25">
      <c r="A2250">
        <v>400579420</v>
      </c>
      <c r="B2250">
        <v>2015</v>
      </c>
      <c r="C2250" s="1">
        <v>42097</v>
      </c>
      <c r="D2250" t="s">
        <v>31</v>
      </c>
      <c r="E2250">
        <v>0</v>
      </c>
      <c r="F2250">
        <v>14</v>
      </c>
      <c r="G2250">
        <v>62</v>
      </c>
      <c r="H2250">
        <v>0</v>
      </c>
      <c r="I2250" t="s">
        <v>25</v>
      </c>
      <c r="J2250">
        <v>101</v>
      </c>
      <c r="K2250" t="s">
        <v>31</v>
      </c>
      <c r="L2250">
        <v>87</v>
      </c>
      <c r="M2250">
        <f>IF(D2250=I2250,VLOOKUP(D2250,a_win_totals_lookup,MATCH(K2250,a_wins_total_lookup_header,0)+1,0),VLOOKUP(D2250,a_win_totals_lookup,MATCH(I2250,a_wins_total_lookup_header,0)+1,0))</f>
        <v>0.41758613378174975</v>
      </c>
      <c r="N2250">
        <f t="shared" ca="1" si="35"/>
        <v>0</v>
      </c>
    </row>
    <row r="2251" spans="1:14" x14ac:dyDescent="0.25">
      <c r="A2251">
        <v>400579420</v>
      </c>
      <c r="B2251">
        <v>2015</v>
      </c>
      <c r="C2251" s="1">
        <v>42097</v>
      </c>
      <c r="D2251" t="s">
        <v>25</v>
      </c>
      <c r="E2251">
        <v>1</v>
      </c>
      <c r="F2251">
        <v>43</v>
      </c>
      <c r="G2251">
        <v>33</v>
      </c>
      <c r="H2251">
        <v>1</v>
      </c>
      <c r="I2251" t="s">
        <v>25</v>
      </c>
      <c r="J2251">
        <v>101</v>
      </c>
      <c r="K2251" t="s">
        <v>31</v>
      </c>
      <c r="L2251">
        <v>87</v>
      </c>
      <c r="M2251">
        <f>IF(D2251=I2251,VLOOKUP(D2251,a_win_totals_lookup,MATCH(K2251,a_wins_total_lookup_header,0)+1,0),VLOOKUP(D2251,a_win_totals_lookup,MATCH(I2251,a_wins_total_lookup_header,0)+1,0))</f>
        <v>0.5824138662182502</v>
      </c>
      <c r="N2251">
        <f t="shared" ca="1" si="35"/>
        <v>1</v>
      </c>
    </row>
    <row r="2252" spans="1:14" x14ac:dyDescent="0.25">
      <c r="A2252">
        <v>400579421</v>
      </c>
      <c r="B2252">
        <v>2015</v>
      </c>
      <c r="C2252" s="1">
        <v>42097</v>
      </c>
      <c r="D2252" t="s">
        <v>22</v>
      </c>
      <c r="E2252">
        <v>0</v>
      </c>
      <c r="F2252">
        <v>34</v>
      </c>
      <c r="G2252">
        <v>42</v>
      </c>
      <c r="H2252">
        <v>1</v>
      </c>
      <c r="I2252" t="s">
        <v>22</v>
      </c>
      <c r="J2252">
        <v>101</v>
      </c>
      <c r="K2252" t="s">
        <v>19</v>
      </c>
      <c r="L2252">
        <v>110</v>
      </c>
      <c r="M2252">
        <f>IF(D2252=I2252,VLOOKUP(D2252,a_win_totals_lookup,MATCH(K2252,a_wins_total_lookup_header,0)+1,0),VLOOKUP(D2252,a_win_totals_lookup,MATCH(I2252,a_wins_total_lookup_header,0)+1,0))</f>
        <v>0.48079732495336996</v>
      </c>
      <c r="N2252">
        <f t="shared" ca="1" si="35"/>
        <v>0</v>
      </c>
    </row>
    <row r="2253" spans="1:14" x14ac:dyDescent="0.25">
      <c r="A2253">
        <v>400579421</v>
      </c>
      <c r="B2253">
        <v>2015</v>
      </c>
      <c r="C2253" s="1">
        <v>42097</v>
      </c>
      <c r="D2253" t="s">
        <v>19</v>
      </c>
      <c r="E2253">
        <v>1</v>
      </c>
      <c r="F2253">
        <v>38</v>
      </c>
      <c r="G2253">
        <v>38</v>
      </c>
      <c r="H2253">
        <v>0</v>
      </c>
      <c r="I2253" t="s">
        <v>22</v>
      </c>
      <c r="J2253">
        <v>101</v>
      </c>
      <c r="K2253" t="s">
        <v>19</v>
      </c>
      <c r="L2253">
        <v>110</v>
      </c>
      <c r="M2253">
        <f>IF(D2253=I2253,VLOOKUP(D2253,a_win_totals_lookup,MATCH(K2253,a_wins_total_lookup_header,0)+1,0),VLOOKUP(D2253,a_win_totals_lookup,MATCH(I2253,a_wins_total_lookup_header,0)+1,0))</f>
        <v>0.51920267504662998</v>
      </c>
      <c r="N2253">
        <f t="shared" ca="1" si="35"/>
        <v>1</v>
      </c>
    </row>
    <row r="2254" spans="1:14" x14ac:dyDescent="0.25">
      <c r="A2254">
        <v>400579422</v>
      </c>
      <c r="B2254">
        <v>2015</v>
      </c>
      <c r="C2254" s="1">
        <v>42097</v>
      </c>
      <c r="D2254" t="s">
        <v>23</v>
      </c>
      <c r="E2254">
        <v>1</v>
      </c>
      <c r="F2254">
        <v>35</v>
      </c>
      <c r="G2254">
        <v>40</v>
      </c>
      <c r="H2254">
        <v>1</v>
      </c>
      <c r="I2254" t="s">
        <v>23</v>
      </c>
      <c r="J2254">
        <v>114</v>
      </c>
      <c r="K2254" t="s">
        <v>27</v>
      </c>
      <c r="L2254">
        <v>109</v>
      </c>
      <c r="M2254">
        <f>IF(D2254=I2254,VLOOKUP(D2254,a_win_totals_lookup,MATCH(K2254,a_wins_total_lookup_header,0)+1,0),VLOOKUP(D2254,a_win_totals_lookup,MATCH(I2254,a_wins_total_lookup_header,0)+1,0))</f>
        <v>0.38459864577188729</v>
      </c>
      <c r="N2254">
        <f t="shared" ca="1" si="35"/>
        <v>1</v>
      </c>
    </row>
    <row r="2255" spans="1:14" x14ac:dyDescent="0.25">
      <c r="A2255">
        <v>400579422</v>
      </c>
      <c r="B2255">
        <v>2015</v>
      </c>
      <c r="C2255" s="1">
        <v>42097</v>
      </c>
      <c r="D2255" t="s">
        <v>27</v>
      </c>
      <c r="E2255">
        <v>0</v>
      </c>
      <c r="F2255">
        <v>45</v>
      </c>
      <c r="G2255">
        <v>31</v>
      </c>
      <c r="H2255">
        <v>0</v>
      </c>
      <c r="I2255" t="s">
        <v>23</v>
      </c>
      <c r="J2255">
        <v>114</v>
      </c>
      <c r="K2255" t="s">
        <v>27</v>
      </c>
      <c r="L2255">
        <v>109</v>
      </c>
      <c r="M2255">
        <f>IF(D2255=I2255,VLOOKUP(D2255,a_win_totals_lookup,MATCH(K2255,a_wins_total_lookup_header,0)+1,0),VLOOKUP(D2255,a_win_totals_lookup,MATCH(I2255,a_wins_total_lookup_header,0)+1,0))</f>
        <v>0.61540135422811282</v>
      </c>
      <c r="N2255">
        <f t="shared" ca="1" si="35"/>
        <v>1</v>
      </c>
    </row>
    <row r="2256" spans="1:14" x14ac:dyDescent="0.25">
      <c r="A2256">
        <v>400579423</v>
      </c>
      <c r="B2256">
        <v>2015</v>
      </c>
      <c r="C2256" s="1">
        <v>42097</v>
      </c>
      <c r="D2256" t="s">
        <v>30</v>
      </c>
      <c r="E2256">
        <v>1</v>
      </c>
      <c r="F2256">
        <v>46</v>
      </c>
      <c r="G2256">
        <v>30</v>
      </c>
      <c r="H2256">
        <v>1</v>
      </c>
      <c r="I2256" t="s">
        <v>30</v>
      </c>
      <c r="J2256">
        <v>88</v>
      </c>
      <c r="K2256" t="s">
        <v>33</v>
      </c>
      <c r="L2256">
        <v>82</v>
      </c>
      <c r="M2256">
        <f>IF(D2256=I2256,VLOOKUP(D2256,a_win_totals_lookup,MATCH(K2256,a_wins_total_lookup_header,0)+1,0),VLOOKUP(D2256,a_win_totals_lookup,MATCH(I2256,a_wins_total_lookup_header,0)+1,0))</f>
        <v>0.67995464996754418</v>
      </c>
      <c r="N2256">
        <f t="shared" ca="1" si="35"/>
        <v>0</v>
      </c>
    </row>
    <row r="2257" spans="1:14" x14ac:dyDescent="0.25">
      <c r="A2257">
        <v>400579423</v>
      </c>
      <c r="B2257">
        <v>2015</v>
      </c>
      <c r="C2257" s="1">
        <v>42097</v>
      </c>
      <c r="D2257" t="s">
        <v>33</v>
      </c>
      <c r="E2257">
        <v>0</v>
      </c>
      <c r="F2257">
        <v>29</v>
      </c>
      <c r="G2257">
        <v>47</v>
      </c>
      <c r="H2257">
        <v>0</v>
      </c>
      <c r="I2257" t="s">
        <v>30</v>
      </c>
      <c r="J2257">
        <v>88</v>
      </c>
      <c r="K2257" t="s">
        <v>33</v>
      </c>
      <c r="L2257">
        <v>82</v>
      </c>
      <c r="M2257">
        <f>IF(D2257=I2257,VLOOKUP(D2257,a_win_totals_lookup,MATCH(K2257,a_wins_total_lookup_header,0)+1,0),VLOOKUP(D2257,a_win_totals_lookup,MATCH(I2257,a_wins_total_lookup_header,0)+1,0))</f>
        <v>0.32004535003245588</v>
      </c>
      <c r="N2257">
        <f t="shared" ca="1" si="35"/>
        <v>0</v>
      </c>
    </row>
    <row r="2258" spans="1:14" x14ac:dyDescent="0.25">
      <c r="A2258">
        <v>400579424</v>
      </c>
      <c r="B2258">
        <v>2015</v>
      </c>
      <c r="C2258" s="1">
        <v>42097</v>
      </c>
      <c r="D2258" t="s">
        <v>28</v>
      </c>
      <c r="E2258">
        <v>1</v>
      </c>
      <c r="F2258">
        <v>52</v>
      </c>
      <c r="G2258">
        <v>24</v>
      </c>
      <c r="H2258">
        <v>1</v>
      </c>
      <c r="I2258" t="s">
        <v>28</v>
      </c>
      <c r="J2258">
        <v>100</v>
      </c>
      <c r="K2258" t="s">
        <v>38</v>
      </c>
      <c r="L2258">
        <v>92</v>
      </c>
      <c r="M2258">
        <f>IF(D2258=I2258,VLOOKUP(D2258,a_win_totals_lookup,MATCH(K2258,a_wins_total_lookup_header,0)+1,0),VLOOKUP(D2258,a_win_totals_lookup,MATCH(I2258,a_wins_total_lookup_header,0)+1,0))</f>
        <v>0.47003673139148761</v>
      </c>
      <c r="N2258">
        <f t="shared" ca="1" si="35"/>
        <v>1</v>
      </c>
    </row>
    <row r="2259" spans="1:14" x14ac:dyDescent="0.25">
      <c r="A2259">
        <v>400579424</v>
      </c>
      <c r="B2259">
        <v>2015</v>
      </c>
      <c r="C2259" s="1">
        <v>42097</v>
      </c>
      <c r="D2259" t="s">
        <v>38</v>
      </c>
      <c r="E2259">
        <v>0</v>
      </c>
      <c r="F2259">
        <v>42</v>
      </c>
      <c r="G2259">
        <v>34</v>
      </c>
      <c r="H2259">
        <v>0</v>
      </c>
      <c r="I2259" t="s">
        <v>28</v>
      </c>
      <c r="J2259">
        <v>100</v>
      </c>
      <c r="K2259" t="s">
        <v>38</v>
      </c>
      <c r="L2259">
        <v>92</v>
      </c>
      <c r="M2259">
        <f>IF(D2259=I2259,VLOOKUP(D2259,a_win_totals_lookup,MATCH(K2259,a_wins_total_lookup_header,0)+1,0),VLOOKUP(D2259,a_win_totals_lookup,MATCH(I2259,a_wins_total_lookup_header,0)+1,0))</f>
        <v>0.52996326860851239</v>
      </c>
      <c r="N2259">
        <f t="shared" ca="1" si="35"/>
        <v>1</v>
      </c>
    </row>
    <row r="2260" spans="1:14" x14ac:dyDescent="0.25">
      <c r="A2260">
        <v>400579425</v>
      </c>
      <c r="B2260">
        <v>2015</v>
      </c>
      <c r="C2260" s="1">
        <v>42097</v>
      </c>
      <c r="D2260" t="s">
        <v>29</v>
      </c>
      <c r="E2260">
        <v>0</v>
      </c>
      <c r="F2260">
        <v>16</v>
      </c>
      <c r="G2260">
        <v>60</v>
      </c>
      <c r="H2260">
        <v>1</v>
      </c>
      <c r="I2260" t="s">
        <v>29</v>
      </c>
      <c r="J2260">
        <v>84</v>
      </c>
      <c r="K2260" t="s">
        <v>13</v>
      </c>
      <c r="L2260">
        <v>97</v>
      </c>
      <c r="M2260">
        <f>IF(D2260=I2260,VLOOKUP(D2260,a_win_totals_lookup,MATCH(K2260,a_wins_total_lookup_header,0)+1,0),VLOOKUP(D2260,a_win_totals_lookup,MATCH(I2260,a_wins_total_lookup_header,0)+1,0))</f>
        <v>0.44399285510679726</v>
      </c>
      <c r="N2260">
        <f t="shared" ca="1" si="35"/>
        <v>0</v>
      </c>
    </row>
    <row r="2261" spans="1:14" x14ac:dyDescent="0.25">
      <c r="A2261">
        <v>400579425</v>
      </c>
      <c r="B2261">
        <v>2015</v>
      </c>
      <c r="C2261" s="1">
        <v>42097</v>
      </c>
      <c r="D2261" t="s">
        <v>13</v>
      </c>
      <c r="E2261">
        <v>1</v>
      </c>
      <c r="F2261">
        <v>23</v>
      </c>
      <c r="G2261">
        <v>53</v>
      </c>
      <c r="H2261">
        <v>0</v>
      </c>
      <c r="I2261" t="s">
        <v>29</v>
      </c>
      <c r="J2261">
        <v>84</v>
      </c>
      <c r="K2261" t="s">
        <v>13</v>
      </c>
      <c r="L2261">
        <v>97</v>
      </c>
      <c r="M2261">
        <f>IF(D2261=I2261,VLOOKUP(D2261,a_win_totals_lookup,MATCH(K2261,a_wins_total_lookup_header,0)+1,0),VLOOKUP(D2261,a_win_totals_lookup,MATCH(I2261,a_wins_total_lookup_header,0)+1,0))</f>
        <v>0.5560071448932028</v>
      </c>
      <c r="N2261">
        <f t="shared" ca="1" si="35"/>
        <v>0</v>
      </c>
    </row>
    <row r="2262" spans="1:14" x14ac:dyDescent="0.25">
      <c r="A2262">
        <v>400579426</v>
      </c>
      <c r="B2262">
        <v>2015</v>
      </c>
      <c r="C2262" s="1">
        <v>42097</v>
      </c>
      <c r="D2262" t="s">
        <v>32</v>
      </c>
      <c r="E2262">
        <v>0</v>
      </c>
      <c r="F2262">
        <v>28</v>
      </c>
      <c r="G2262">
        <v>48</v>
      </c>
      <c r="H2262">
        <v>0</v>
      </c>
      <c r="I2262" t="s">
        <v>15</v>
      </c>
      <c r="J2262">
        <v>123</v>
      </c>
      <c r="K2262" t="s">
        <v>32</v>
      </c>
      <c r="L2262">
        <v>93</v>
      </c>
      <c r="M2262">
        <f>IF(D2262=I2262,VLOOKUP(D2262,a_win_totals_lookup,MATCH(K2262,a_wins_total_lookup_header,0)+1,0),VLOOKUP(D2262,a_win_totals_lookup,MATCH(I2262,a_wins_total_lookup_header,0)+1,0))</f>
        <v>0.36031197606974674</v>
      </c>
      <c r="N2262">
        <f t="shared" ca="1" si="35"/>
        <v>1</v>
      </c>
    </row>
    <row r="2263" spans="1:14" x14ac:dyDescent="0.25">
      <c r="A2263">
        <v>400579426</v>
      </c>
      <c r="B2263">
        <v>2015</v>
      </c>
      <c r="C2263" s="1">
        <v>42097</v>
      </c>
      <c r="D2263" t="s">
        <v>15</v>
      </c>
      <c r="E2263">
        <v>1</v>
      </c>
      <c r="F2263">
        <v>50</v>
      </c>
      <c r="G2263">
        <v>26</v>
      </c>
      <c r="H2263">
        <v>1</v>
      </c>
      <c r="I2263" t="s">
        <v>15</v>
      </c>
      <c r="J2263">
        <v>123</v>
      </c>
      <c r="K2263" t="s">
        <v>32</v>
      </c>
      <c r="L2263">
        <v>93</v>
      </c>
      <c r="M2263">
        <f>IF(D2263=I2263,VLOOKUP(D2263,a_win_totals_lookup,MATCH(K2263,a_wins_total_lookup_header,0)+1,0),VLOOKUP(D2263,a_win_totals_lookup,MATCH(I2263,a_wins_total_lookup_header,0)+1,0))</f>
        <v>0.63968802393025326</v>
      </c>
      <c r="N2263">
        <f t="shared" ca="1" si="35"/>
        <v>1</v>
      </c>
    </row>
    <row r="2264" spans="1:14" x14ac:dyDescent="0.25">
      <c r="A2264">
        <v>400579427</v>
      </c>
      <c r="B2264">
        <v>2015</v>
      </c>
      <c r="C2264" s="1">
        <v>42097</v>
      </c>
      <c r="D2264" t="s">
        <v>12</v>
      </c>
      <c r="E2264">
        <v>1</v>
      </c>
      <c r="F2264">
        <v>41</v>
      </c>
      <c r="G2264">
        <v>34</v>
      </c>
      <c r="H2264">
        <v>0</v>
      </c>
      <c r="I2264" t="s">
        <v>37</v>
      </c>
      <c r="J2264">
        <v>95</v>
      </c>
      <c r="K2264" t="s">
        <v>12</v>
      </c>
      <c r="L2264">
        <v>101</v>
      </c>
      <c r="M2264">
        <f>IF(D2264=I2264,VLOOKUP(D2264,a_win_totals_lookup,MATCH(K2264,a_wins_total_lookup_header,0)+1,0),VLOOKUP(D2264,a_win_totals_lookup,MATCH(I2264,a_wins_total_lookup_header,0)+1,0))</f>
        <v>0.59047127897548735</v>
      </c>
      <c r="N2264">
        <f t="shared" ca="1" si="35"/>
        <v>0</v>
      </c>
    </row>
    <row r="2265" spans="1:14" x14ac:dyDescent="0.25">
      <c r="A2265">
        <v>400579427</v>
      </c>
      <c r="B2265">
        <v>2015</v>
      </c>
      <c r="C2265" s="1">
        <v>42097</v>
      </c>
      <c r="D2265" t="s">
        <v>37</v>
      </c>
      <c r="E2265">
        <v>0</v>
      </c>
      <c r="F2265">
        <v>26</v>
      </c>
      <c r="G2265">
        <v>49</v>
      </c>
      <c r="H2265">
        <v>1</v>
      </c>
      <c r="I2265" t="s">
        <v>37</v>
      </c>
      <c r="J2265">
        <v>95</v>
      </c>
      <c r="K2265" t="s">
        <v>12</v>
      </c>
      <c r="L2265">
        <v>101</v>
      </c>
      <c r="M2265">
        <f>IF(D2265=I2265,VLOOKUP(D2265,a_win_totals_lookup,MATCH(K2265,a_wins_total_lookup_header,0)+1,0),VLOOKUP(D2265,a_win_totals_lookup,MATCH(I2265,a_wins_total_lookup_header,0)+1,0))</f>
        <v>0.40952872102451271</v>
      </c>
      <c r="N2265">
        <f t="shared" ca="1" si="35"/>
        <v>0</v>
      </c>
    </row>
    <row r="2266" spans="1:14" x14ac:dyDescent="0.25">
      <c r="A2266">
        <v>400579428</v>
      </c>
      <c r="B2266">
        <v>2015</v>
      </c>
      <c r="C2266" s="1">
        <v>42097</v>
      </c>
      <c r="D2266" t="s">
        <v>17</v>
      </c>
      <c r="E2266">
        <v>0</v>
      </c>
      <c r="F2266">
        <v>20</v>
      </c>
      <c r="G2266">
        <v>55</v>
      </c>
      <c r="H2266">
        <v>1</v>
      </c>
      <c r="I2266" t="s">
        <v>17</v>
      </c>
      <c r="J2266">
        <v>77</v>
      </c>
      <c r="K2266" t="s">
        <v>39</v>
      </c>
      <c r="L2266">
        <v>107</v>
      </c>
      <c r="M2266">
        <f>IF(D2266=I2266,VLOOKUP(D2266,a_win_totals_lookup,MATCH(K2266,a_wins_total_lookup_header,0)+1,0),VLOOKUP(D2266,a_win_totals_lookup,MATCH(I2266,a_wins_total_lookup_header,0)+1,0))</f>
        <v>0.3359536996565311</v>
      </c>
      <c r="N2266">
        <f t="shared" ca="1" si="35"/>
        <v>1</v>
      </c>
    </row>
    <row r="2267" spans="1:14" x14ac:dyDescent="0.25">
      <c r="A2267">
        <v>400579428</v>
      </c>
      <c r="B2267">
        <v>2015</v>
      </c>
      <c r="C2267" s="1">
        <v>42097</v>
      </c>
      <c r="D2267" t="s">
        <v>39</v>
      </c>
      <c r="E2267">
        <v>1</v>
      </c>
      <c r="F2267">
        <v>49</v>
      </c>
      <c r="G2267">
        <v>26</v>
      </c>
      <c r="H2267">
        <v>0</v>
      </c>
      <c r="I2267" t="s">
        <v>17</v>
      </c>
      <c r="J2267">
        <v>77</v>
      </c>
      <c r="K2267" t="s">
        <v>39</v>
      </c>
      <c r="L2267">
        <v>107</v>
      </c>
      <c r="M2267">
        <f>IF(D2267=I2267,VLOOKUP(D2267,a_win_totals_lookup,MATCH(K2267,a_wins_total_lookup_header,0)+1,0),VLOOKUP(D2267,a_win_totals_lookup,MATCH(I2267,a_wins_total_lookup_header,0)+1,0))</f>
        <v>0.6640463003434689</v>
      </c>
      <c r="N2267">
        <f t="shared" ca="1" si="35"/>
        <v>1</v>
      </c>
    </row>
    <row r="2268" spans="1:14" x14ac:dyDescent="0.25">
      <c r="A2268">
        <v>400579429</v>
      </c>
      <c r="B2268">
        <v>2015</v>
      </c>
      <c r="C2268" s="1">
        <v>42098</v>
      </c>
      <c r="D2268" t="s">
        <v>18</v>
      </c>
      <c r="E2268">
        <v>1</v>
      </c>
      <c r="F2268">
        <v>33</v>
      </c>
      <c r="G2268">
        <v>43</v>
      </c>
      <c r="H2268">
        <v>1</v>
      </c>
      <c r="I2268" t="s">
        <v>18</v>
      </c>
      <c r="J2268">
        <v>92</v>
      </c>
      <c r="K2268" t="s">
        <v>21</v>
      </c>
      <c r="L2268">
        <v>91</v>
      </c>
      <c r="M2268">
        <f>IF(D2268=I2268,VLOOKUP(D2268,a_win_totals_lookup,MATCH(K2268,a_wins_total_lookup_header,0)+1,0),VLOOKUP(D2268,a_win_totals_lookup,MATCH(I2268,a_wins_total_lookup_header,0)+1,0))</f>
        <v>0.74739815693098044</v>
      </c>
      <c r="N2268">
        <f t="shared" ca="1" si="35"/>
        <v>1</v>
      </c>
    </row>
    <row r="2269" spans="1:14" x14ac:dyDescent="0.25">
      <c r="A2269">
        <v>400579429</v>
      </c>
      <c r="B2269">
        <v>2015</v>
      </c>
      <c r="C2269" s="1">
        <v>42098</v>
      </c>
      <c r="D2269" t="s">
        <v>21</v>
      </c>
      <c r="E2269">
        <v>0</v>
      </c>
      <c r="F2269">
        <v>18</v>
      </c>
      <c r="G2269">
        <v>59</v>
      </c>
      <c r="H2269">
        <v>0</v>
      </c>
      <c r="I2269" t="s">
        <v>18</v>
      </c>
      <c r="J2269">
        <v>92</v>
      </c>
      <c r="K2269" t="s">
        <v>21</v>
      </c>
      <c r="L2269">
        <v>91</v>
      </c>
      <c r="M2269">
        <f>IF(D2269=I2269,VLOOKUP(D2269,a_win_totals_lookup,MATCH(K2269,a_wins_total_lookup_header,0)+1,0),VLOOKUP(D2269,a_win_totals_lookup,MATCH(I2269,a_wins_total_lookup_header,0)+1,0))</f>
        <v>0.25260184306901956</v>
      </c>
      <c r="N2269">
        <f t="shared" ca="1" si="35"/>
        <v>1</v>
      </c>
    </row>
    <row r="2270" spans="1:14" x14ac:dyDescent="0.25">
      <c r="A2270">
        <v>400579430</v>
      </c>
      <c r="B2270">
        <v>2015</v>
      </c>
      <c r="C2270" s="1">
        <v>42098</v>
      </c>
      <c r="D2270" t="s">
        <v>26</v>
      </c>
      <c r="E2270">
        <v>1</v>
      </c>
      <c r="F2270">
        <v>57</v>
      </c>
      <c r="G2270">
        <v>19</v>
      </c>
      <c r="H2270">
        <v>1</v>
      </c>
      <c r="I2270" t="s">
        <v>26</v>
      </c>
      <c r="J2270">
        <v>131</v>
      </c>
      <c r="K2270" t="s">
        <v>23</v>
      </c>
      <c r="L2270">
        <v>99</v>
      </c>
      <c r="M2270">
        <f>IF(D2270=I2270,VLOOKUP(D2270,a_win_totals_lookup,MATCH(K2270,a_wins_total_lookup_header,0)+1,0),VLOOKUP(D2270,a_win_totals_lookup,MATCH(I2270,a_wins_total_lookup_header,0)+1,0))</f>
        <v>0.53928878009305825</v>
      </c>
      <c r="N2270">
        <f t="shared" ca="1" si="35"/>
        <v>0</v>
      </c>
    </row>
    <row r="2271" spans="1:14" x14ac:dyDescent="0.25">
      <c r="A2271">
        <v>400579430</v>
      </c>
      <c r="B2271">
        <v>2015</v>
      </c>
      <c r="C2271" s="1">
        <v>42098</v>
      </c>
      <c r="D2271" t="s">
        <v>23</v>
      </c>
      <c r="E2271">
        <v>0</v>
      </c>
      <c r="F2271">
        <v>35</v>
      </c>
      <c r="G2271">
        <v>41</v>
      </c>
      <c r="H2271">
        <v>0</v>
      </c>
      <c r="I2271" t="s">
        <v>26</v>
      </c>
      <c r="J2271">
        <v>131</v>
      </c>
      <c r="K2271" t="s">
        <v>23</v>
      </c>
      <c r="L2271">
        <v>99</v>
      </c>
      <c r="M2271">
        <f>IF(D2271=I2271,VLOOKUP(D2271,a_win_totals_lookup,MATCH(K2271,a_wins_total_lookup_header,0)+1,0),VLOOKUP(D2271,a_win_totals_lookup,MATCH(I2271,a_wins_total_lookup_header,0)+1,0))</f>
        <v>0.46071121990694175</v>
      </c>
      <c r="N2271">
        <f t="shared" ca="1" si="35"/>
        <v>1</v>
      </c>
    </row>
    <row r="2272" spans="1:14" x14ac:dyDescent="0.25">
      <c r="A2272">
        <v>400579431</v>
      </c>
      <c r="B2272">
        <v>2015</v>
      </c>
      <c r="C2272" s="1">
        <v>42098</v>
      </c>
      <c r="D2272" t="s">
        <v>33</v>
      </c>
      <c r="E2272">
        <v>1</v>
      </c>
      <c r="F2272">
        <v>30</v>
      </c>
      <c r="G2272">
        <v>47</v>
      </c>
      <c r="H2272">
        <v>1</v>
      </c>
      <c r="I2272" t="s">
        <v>33</v>
      </c>
      <c r="J2272">
        <v>99</v>
      </c>
      <c r="K2272" t="s">
        <v>24</v>
      </c>
      <c r="L2272">
        <v>98</v>
      </c>
      <c r="M2272">
        <f>IF(D2272=I2272,VLOOKUP(D2272,a_win_totals_lookup,MATCH(K2272,a_wins_total_lookup_header,0)+1,0),VLOOKUP(D2272,a_win_totals_lookup,MATCH(I2272,a_wins_total_lookup_header,0)+1,0))</f>
        <v>0.40503347301746906</v>
      </c>
      <c r="N2272">
        <f t="shared" ca="1" si="35"/>
        <v>1</v>
      </c>
    </row>
    <row r="2273" spans="1:14" x14ac:dyDescent="0.25">
      <c r="A2273">
        <v>400579431</v>
      </c>
      <c r="B2273">
        <v>2015</v>
      </c>
      <c r="C2273" s="1">
        <v>42098</v>
      </c>
      <c r="D2273" t="s">
        <v>24</v>
      </c>
      <c r="E2273">
        <v>0</v>
      </c>
      <c r="F2273">
        <v>34</v>
      </c>
      <c r="G2273">
        <v>42</v>
      </c>
      <c r="H2273">
        <v>0</v>
      </c>
      <c r="I2273" t="s">
        <v>33</v>
      </c>
      <c r="J2273">
        <v>99</v>
      </c>
      <c r="K2273" t="s">
        <v>24</v>
      </c>
      <c r="L2273">
        <v>98</v>
      </c>
      <c r="M2273">
        <f>IF(D2273=I2273,VLOOKUP(D2273,a_win_totals_lookup,MATCH(K2273,a_wins_total_lookup_header,0)+1,0),VLOOKUP(D2273,a_win_totals_lookup,MATCH(I2273,a_wins_total_lookup_header,0)+1,0))</f>
        <v>0.59496652698253094</v>
      </c>
      <c r="N2273">
        <f t="shared" ca="1" si="35"/>
        <v>1</v>
      </c>
    </row>
    <row r="2274" spans="1:14" x14ac:dyDescent="0.25">
      <c r="A2274">
        <v>400579432</v>
      </c>
      <c r="B2274">
        <v>2015</v>
      </c>
      <c r="C2274" s="1">
        <v>42098</v>
      </c>
      <c r="D2274" t="s">
        <v>22</v>
      </c>
      <c r="E2274">
        <v>1</v>
      </c>
      <c r="F2274">
        <v>35</v>
      </c>
      <c r="G2274">
        <v>42</v>
      </c>
      <c r="H2274">
        <v>0</v>
      </c>
      <c r="I2274" t="s">
        <v>27</v>
      </c>
      <c r="J2274">
        <v>116</v>
      </c>
      <c r="K2274" t="s">
        <v>22</v>
      </c>
      <c r="L2274">
        <v>117</v>
      </c>
      <c r="M2274">
        <f>IF(D2274=I2274,VLOOKUP(D2274,a_win_totals_lookup,MATCH(K2274,a_wins_total_lookup_header,0)+1,0),VLOOKUP(D2274,a_win_totals_lookup,MATCH(I2274,a_wins_total_lookup_header,0)+1,0))</f>
        <v>0.24120874132126804</v>
      </c>
      <c r="N2274">
        <f t="shared" ca="1" si="35"/>
        <v>0</v>
      </c>
    </row>
    <row r="2275" spans="1:14" x14ac:dyDescent="0.25">
      <c r="A2275">
        <v>400579432</v>
      </c>
      <c r="B2275">
        <v>2015</v>
      </c>
      <c r="C2275" s="1">
        <v>42098</v>
      </c>
      <c r="D2275" t="s">
        <v>27</v>
      </c>
      <c r="E2275">
        <v>0</v>
      </c>
      <c r="F2275">
        <v>45</v>
      </c>
      <c r="G2275">
        <v>32</v>
      </c>
      <c r="H2275">
        <v>1</v>
      </c>
      <c r="I2275" t="s">
        <v>27</v>
      </c>
      <c r="J2275">
        <v>116</v>
      </c>
      <c r="K2275" t="s">
        <v>22</v>
      </c>
      <c r="L2275">
        <v>117</v>
      </c>
      <c r="M2275">
        <f>IF(D2275=I2275,VLOOKUP(D2275,a_win_totals_lookup,MATCH(K2275,a_wins_total_lookup_header,0)+1,0),VLOOKUP(D2275,a_win_totals_lookup,MATCH(I2275,a_wins_total_lookup_header,0)+1,0))</f>
        <v>0.75879125867873198</v>
      </c>
      <c r="N2275">
        <f t="shared" ca="1" si="35"/>
        <v>0</v>
      </c>
    </row>
    <row r="2276" spans="1:14" x14ac:dyDescent="0.25">
      <c r="A2276">
        <v>400579433</v>
      </c>
      <c r="B2276">
        <v>2015</v>
      </c>
      <c r="C2276" s="1">
        <v>42098</v>
      </c>
      <c r="D2276" t="s">
        <v>28</v>
      </c>
      <c r="E2276">
        <v>0</v>
      </c>
      <c r="F2276">
        <v>52</v>
      </c>
      <c r="G2276">
        <v>25</v>
      </c>
      <c r="H2276">
        <v>1</v>
      </c>
      <c r="I2276" t="s">
        <v>28</v>
      </c>
      <c r="J2276">
        <v>83</v>
      </c>
      <c r="K2276" t="s">
        <v>25</v>
      </c>
      <c r="L2276">
        <v>92</v>
      </c>
      <c r="M2276">
        <f>IF(D2276=I2276,VLOOKUP(D2276,a_win_totals_lookup,MATCH(K2276,a_wins_total_lookup_header,0)+1,0),VLOOKUP(D2276,a_win_totals_lookup,MATCH(I2276,a_wins_total_lookup_header,0)+1,0))</f>
        <v>0.51829023777145189</v>
      </c>
      <c r="N2276">
        <f t="shared" ca="1" si="35"/>
        <v>1</v>
      </c>
    </row>
    <row r="2277" spans="1:14" x14ac:dyDescent="0.25">
      <c r="A2277">
        <v>400579433</v>
      </c>
      <c r="B2277">
        <v>2015</v>
      </c>
      <c r="C2277" s="1">
        <v>42098</v>
      </c>
      <c r="D2277" t="s">
        <v>25</v>
      </c>
      <c r="E2277">
        <v>1</v>
      </c>
      <c r="F2277">
        <v>44</v>
      </c>
      <c r="G2277">
        <v>33</v>
      </c>
      <c r="H2277">
        <v>0</v>
      </c>
      <c r="I2277" t="s">
        <v>28</v>
      </c>
      <c r="J2277">
        <v>83</v>
      </c>
      <c r="K2277" t="s">
        <v>25</v>
      </c>
      <c r="L2277">
        <v>92</v>
      </c>
      <c r="M2277">
        <f>IF(D2277=I2277,VLOOKUP(D2277,a_win_totals_lookup,MATCH(K2277,a_wins_total_lookup_header,0)+1,0),VLOOKUP(D2277,a_win_totals_lookup,MATCH(I2277,a_wins_total_lookup_header,0)+1,0))</f>
        <v>0.48170976222854806</v>
      </c>
      <c r="N2277">
        <f t="shared" ca="1" si="35"/>
        <v>1</v>
      </c>
    </row>
    <row r="2278" spans="1:14" x14ac:dyDescent="0.25">
      <c r="A2278">
        <v>400579434</v>
      </c>
      <c r="B2278">
        <v>2015</v>
      </c>
      <c r="C2278" s="1">
        <v>42098</v>
      </c>
      <c r="D2278" t="s">
        <v>14</v>
      </c>
      <c r="E2278">
        <v>0</v>
      </c>
      <c r="F2278">
        <v>46</v>
      </c>
      <c r="G2278">
        <v>31</v>
      </c>
      <c r="H2278">
        <v>1</v>
      </c>
      <c r="I2278" t="s">
        <v>14</v>
      </c>
      <c r="J2278">
        <v>110</v>
      </c>
      <c r="K2278" t="s">
        <v>36</v>
      </c>
      <c r="L2278">
        <v>123</v>
      </c>
      <c r="M2278">
        <f>IF(D2278=I2278,VLOOKUP(D2278,a_win_totals_lookup,MATCH(K2278,a_wins_total_lookup_header,0)+1,0),VLOOKUP(D2278,a_win_totals_lookup,MATCH(I2278,a_wins_total_lookup_header,0)+1,0))</f>
        <v>0.49277333787842664</v>
      </c>
      <c r="N2278">
        <f t="shared" ca="1" si="35"/>
        <v>0</v>
      </c>
    </row>
    <row r="2279" spans="1:14" x14ac:dyDescent="0.25">
      <c r="A2279">
        <v>400579434</v>
      </c>
      <c r="B2279">
        <v>2015</v>
      </c>
      <c r="C2279" s="1">
        <v>42098</v>
      </c>
      <c r="D2279" t="s">
        <v>36</v>
      </c>
      <c r="E2279">
        <v>1</v>
      </c>
      <c r="F2279">
        <v>63</v>
      </c>
      <c r="G2279">
        <v>13</v>
      </c>
      <c r="H2279">
        <v>0</v>
      </c>
      <c r="I2279" t="s">
        <v>14</v>
      </c>
      <c r="J2279">
        <v>110</v>
      </c>
      <c r="K2279" t="s">
        <v>36</v>
      </c>
      <c r="L2279">
        <v>123</v>
      </c>
      <c r="M2279">
        <f>IF(D2279=I2279,VLOOKUP(D2279,a_win_totals_lookup,MATCH(K2279,a_wins_total_lookup_header,0)+1,0),VLOOKUP(D2279,a_win_totals_lookup,MATCH(I2279,a_wins_total_lookup_header,0)+1,0))</f>
        <v>0.50722666212157341</v>
      </c>
      <c r="N2279">
        <f t="shared" ca="1" si="35"/>
        <v>0</v>
      </c>
    </row>
    <row r="2280" spans="1:14" x14ac:dyDescent="0.25">
      <c r="A2280">
        <v>400579435</v>
      </c>
      <c r="B2280">
        <v>2015</v>
      </c>
      <c r="C2280" s="1">
        <v>42098</v>
      </c>
      <c r="D2280" t="s">
        <v>19</v>
      </c>
      <c r="E2280">
        <v>0</v>
      </c>
      <c r="F2280">
        <v>38</v>
      </c>
      <c r="G2280">
        <v>39</v>
      </c>
      <c r="H2280">
        <v>1</v>
      </c>
      <c r="I2280" t="s">
        <v>19</v>
      </c>
      <c r="J2280">
        <v>90</v>
      </c>
      <c r="K2280" t="s">
        <v>13</v>
      </c>
      <c r="L2280">
        <v>97</v>
      </c>
      <c r="M2280">
        <f>IF(D2280=I2280,VLOOKUP(D2280,a_win_totals_lookup,MATCH(K2280,a_wins_total_lookup_header,0)+1,0),VLOOKUP(D2280,a_win_totals_lookup,MATCH(I2280,a_wins_total_lookup_header,0)+1,0))</f>
        <v>0.46303651516321748</v>
      </c>
      <c r="N2280">
        <f t="shared" ca="1" si="35"/>
        <v>0</v>
      </c>
    </row>
    <row r="2281" spans="1:14" x14ac:dyDescent="0.25">
      <c r="A2281">
        <v>400579435</v>
      </c>
      <c r="B2281">
        <v>2015</v>
      </c>
      <c r="C2281" s="1">
        <v>42098</v>
      </c>
      <c r="D2281" t="s">
        <v>13</v>
      </c>
      <c r="E2281">
        <v>1</v>
      </c>
      <c r="F2281">
        <v>24</v>
      </c>
      <c r="G2281">
        <v>53</v>
      </c>
      <c r="H2281">
        <v>0</v>
      </c>
      <c r="I2281" t="s">
        <v>19</v>
      </c>
      <c r="J2281">
        <v>90</v>
      </c>
      <c r="K2281" t="s">
        <v>13</v>
      </c>
      <c r="L2281">
        <v>97</v>
      </c>
      <c r="M2281">
        <f>IF(D2281=I2281,VLOOKUP(D2281,a_win_totals_lookup,MATCH(K2281,a_wins_total_lookup_header,0)+1,0),VLOOKUP(D2281,a_win_totals_lookup,MATCH(I2281,a_wins_total_lookup_header,0)+1,0))</f>
        <v>0.53696348483678247</v>
      </c>
      <c r="N2281">
        <f t="shared" ca="1" si="35"/>
        <v>0</v>
      </c>
    </row>
    <row r="2282" spans="1:14" x14ac:dyDescent="0.25">
      <c r="A2282">
        <v>400579436</v>
      </c>
      <c r="B2282">
        <v>2015</v>
      </c>
      <c r="C2282" s="1">
        <v>42098</v>
      </c>
      <c r="D2282" t="s">
        <v>32</v>
      </c>
      <c r="E2282">
        <v>0</v>
      </c>
      <c r="F2282">
        <v>28</v>
      </c>
      <c r="G2282">
        <v>49</v>
      </c>
      <c r="H2282">
        <v>1</v>
      </c>
      <c r="I2282" t="s">
        <v>32</v>
      </c>
      <c r="J2282">
        <v>92</v>
      </c>
      <c r="K2282" t="s">
        <v>41</v>
      </c>
      <c r="L2282">
        <v>107</v>
      </c>
      <c r="M2282">
        <f>IF(D2282=I2282,VLOOKUP(D2282,a_win_totals_lookup,MATCH(K2282,a_wins_total_lookup_header,0)+1,0),VLOOKUP(D2282,a_win_totals_lookup,MATCH(I2282,a_wins_total_lookup_header,0)+1,0))</f>
        <v>0.35087017426187905</v>
      </c>
      <c r="N2282">
        <f t="shared" ca="1" si="35"/>
        <v>1</v>
      </c>
    </row>
    <row r="2283" spans="1:14" x14ac:dyDescent="0.25">
      <c r="A2283">
        <v>400579436</v>
      </c>
      <c r="B2283">
        <v>2015</v>
      </c>
      <c r="C2283" s="1">
        <v>42098</v>
      </c>
      <c r="D2283" t="s">
        <v>41</v>
      </c>
      <c r="E2283">
        <v>1</v>
      </c>
      <c r="F2283">
        <v>51</v>
      </c>
      <c r="G2283">
        <v>26</v>
      </c>
      <c r="H2283">
        <v>0</v>
      </c>
      <c r="I2283" t="s">
        <v>32</v>
      </c>
      <c r="J2283">
        <v>92</v>
      </c>
      <c r="K2283" t="s">
        <v>41</v>
      </c>
      <c r="L2283">
        <v>107</v>
      </c>
      <c r="M2283">
        <f>IF(D2283=I2283,VLOOKUP(D2283,a_win_totals_lookup,MATCH(K2283,a_wins_total_lookup_header,0)+1,0),VLOOKUP(D2283,a_win_totals_lookup,MATCH(I2283,a_wins_total_lookup_header,0)+1,0))</f>
        <v>0.64912982573812106</v>
      </c>
      <c r="N2283">
        <f t="shared" ca="1" si="35"/>
        <v>0</v>
      </c>
    </row>
    <row r="2284" spans="1:14" x14ac:dyDescent="0.25">
      <c r="A2284">
        <v>400579437</v>
      </c>
      <c r="B2284">
        <v>2015</v>
      </c>
      <c r="C2284" s="1">
        <v>42098</v>
      </c>
      <c r="D2284" t="s">
        <v>35</v>
      </c>
      <c r="E2284">
        <v>1</v>
      </c>
      <c r="F2284">
        <v>39</v>
      </c>
      <c r="G2284">
        <v>38</v>
      </c>
      <c r="H2284">
        <v>1</v>
      </c>
      <c r="I2284" t="s">
        <v>35</v>
      </c>
      <c r="J2284">
        <v>87</v>
      </c>
      <c r="K2284" t="s">
        <v>34</v>
      </c>
      <c r="L2284">
        <v>85</v>
      </c>
      <c r="M2284">
        <f>IF(D2284=I2284,VLOOKUP(D2284,a_win_totals_lookup,MATCH(K2284,a_wins_total_lookup_header,0)+1,0),VLOOKUP(D2284,a_win_totals_lookup,MATCH(I2284,a_wins_total_lookup_header,0)+1,0))</f>
        <v>0.64759781623680968</v>
      </c>
      <c r="N2284">
        <f t="shared" ca="1" si="35"/>
        <v>1</v>
      </c>
    </row>
    <row r="2285" spans="1:14" x14ac:dyDescent="0.25">
      <c r="A2285">
        <v>400579437</v>
      </c>
      <c r="B2285">
        <v>2015</v>
      </c>
      <c r="C2285" s="1">
        <v>42098</v>
      </c>
      <c r="D2285" t="s">
        <v>34</v>
      </c>
      <c r="E2285">
        <v>0</v>
      </c>
      <c r="F2285">
        <v>34</v>
      </c>
      <c r="G2285">
        <v>42</v>
      </c>
      <c r="H2285">
        <v>0</v>
      </c>
      <c r="I2285" t="s">
        <v>35</v>
      </c>
      <c r="J2285">
        <v>87</v>
      </c>
      <c r="K2285" t="s">
        <v>34</v>
      </c>
      <c r="L2285">
        <v>85</v>
      </c>
      <c r="M2285">
        <f>IF(D2285=I2285,VLOOKUP(D2285,a_win_totals_lookup,MATCH(K2285,a_wins_total_lookup_header,0)+1,0),VLOOKUP(D2285,a_win_totals_lookup,MATCH(I2285,a_wins_total_lookup_header,0)+1,0))</f>
        <v>0.35240218376319032</v>
      </c>
      <c r="N2285">
        <f t="shared" ca="1" si="35"/>
        <v>0</v>
      </c>
    </row>
    <row r="2286" spans="1:14" x14ac:dyDescent="0.25">
      <c r="A2286">
        <v>400579438</v>
      </c>
      <c r="B2286">
        <v>2015</v>
      </c>
      <c r="C2286" s="1">
        <v>42098</v>
      </c>
      <c r="D2286" t="s">
        <v>12</v>
      </c>
      <c r="E2286">
        <v>0</v>
      </c>
      <c r="F2286">
        <v>41</v>
      </c>
      <c r="G2286">
        <v>35</v>
      </c>
      <c r="H2286">
        <v>0</v>
      </c>
      <c r="I2286" t="s">
        <v>39</v>
      </c>
      <c r="J2286">
        <v>99</v>
      </c>
      <c r="K2286" t="s">
        <v>12</v>
      </c>
      <c r="L2286">
        <v>90</v>
      </c>
      <c r="M2286">
        <f>IF(D2286=I2286,VLOOKUP(D2286,a_win_totals_lookup,MATCH(K2286,a_wins_total_lookup_header,0)+1,0),VLOOKUP(D2286,a_win_totals_lookup,MATCH(I2286,a_wins_total_lookup_header,0)+1,0))</f>
        <v>0.42178146370054864</v>
      </c>
      <c r="N2286">
        <f t="shared" ca="1" si="35"/>
        <v>1</v>
      </c>
    </row>
    <row r="2287" spans="1:14" x14ac:dyDescent="0.25">
      <c r="A2287">
        <v>400579438</v>
      </c>
      <c r="B2287">
        <v>2015</v>
      </c>
      <c r="C2287" s="1">
        <v>42098</v>
      </c>
      <c r="D2287" t="s">
        <v>39</v>
      </c>
      <c r="E2287">
        <v>1</v>
      </c>
      <c r="F2287">
        <v>50</v>
      </c>
      <c r="G2287">
        <v>26</v>
      </c>
      <c r="H2287">
        <v>1</v>
      </c>
      <c r="I2287" t="s">
        <v>39</v>
      </c>
      <c r="J2287">
        <v>99</v>
      </c>
      <c r="K2287" t="s">
        <v>12</v>
      </c>
      <c r="L2287">
        <v>90</v>
      </c>
      <c r="M2287">
        <f>IF(D2287=I2287,VLOOKUP(D2287,a_win_totals_lookup,MATCH(K2287,a_wins_total_lookup_header,0)+1,0),VLOOKUP(D2287,a_win_totals_lookup,MATCH(I2287,a_wins_total_lookup_header,0)+1,0))</f>
        <v>0.57821853629945141</v>
      </c>
      <c r="N2287">
        <f t="shared" ca="1" si="35"/>
        <v>1</v>
      </c>
    </row>
    <row r="2288" spans="1:14" x14ac:dyDescent="0.25">
      <c r="A2288">
        <v>400579439</v>
      </c>
      <c r="B2288">
        <v>2015</v>
      </c>
      <c r="C2288" s="1">
        <v>42099</v>
      </c>
      <c r="D2288" t="s">
        <v>16</v>
      </c>
      <c r="E2288">
        <v>1</v>
      </c>
      <c r="F2288">
        <v>53</v>
      </c>
      <c r="G2288">
        <v>24</v>
      </c>
      <c r="H2288">
        <v>0</v>
      </c>
      <c r="I2288" t="s">
        <v>38</v>
      </c>
      <c r="J2288">
        <v>112</v>
      </c>
      <c r="K2288" t="s">
        <v>16</v>
      </c>
      <c r="L2288">
        <v>115</v>
      </c>
      <c r="M2288">
        <f>IF(D2288=I2288,VLOOKUP(D2288,a_win_totals_lookup,MATCH(K2288,a_wins_total_lookup_header,0)+1,0),VLOOKUP(D2288,a_win_totals_lookup,MATCH(I2288,a_wins_total_lookup_header,0)+1,0))</f>
        <v>0.45185204074660917</v>
      </c>
      <c r="N2288">
        <f t="shared" ca="1" si="35"/>
        <v>0</v>
      </c>
    </row>
    <row r="2289" spans="1:14" x14ac:dyDescent="0.25">
      <c r="A2289">
        <v>400579439</v>
      </c>
      <c r="B2289">
        <v>2015</v>
      </c>
      <c r="C2289" s="1">
        <v>42099</v>
      </c>
      <c r="D2289" t="s">
        <v>38</v>
      </c>
      <c r="E2289">
        <v>0</v>
      </c>
      <c r="F2289">
        <v>42</v>
      </c>
      <c r="G2289">
        <v>35</v>
      </c>
      <c r="H2289">
        <v>1</v>
      </c>
      <c r="I2289" t="s">
        <v>38</v>
      </c>
      <c r="J2289">
        <v>112</v>
      </c>
      <c r="K2289" t="s">
        <v>16</v>
      </c>
      <c r="L2289">
        <v>115</v>
      </c>
      <c r="M2289">
        <f>IF(D2289=I2289,VLOOKUP(D2289,a_win_totals_lookup,MATCH(K2289,a_wins_total_lookup_header,0)+1,0),VLOOKUP(D2289,a_win_totals_lookup,MATCH(I2289,a_wins_total_lookup_header,0)+1,0))</f>
        <v>0.54814795925339088</v>
      </c>
      <c r="N2289">
        <f t="shared" ca="1" si="35"/>
        <v>0</v>
      </c>
    </row>
    <row r="2290" spans="1:14" x14ac:dyDescent="0.25">
      <c r="A2290">
        <v>400579440</v>
      </c>
      <c r="B2290">
        <v>2015</v>
      </c>
      <c r="C2290" s="1">
        <v>42099</v>
      </c>
      <c r="D2290" t="s">
        <v>30</v>
      </c>
      <c r="E2290">
        <v>0</v>
      </c>
      <c r="F2290">
        <v>46</v>
      </c>
      <c r="G2290">
        <v>31</v>
      </c>
      <c r="H2290">
        <v>0</v>
      </c>
      <c r="I2290" t="s">
        <v>40</v>
      </c>
      <c r="J2290">
        <v>99</v>
      </c>
      <c r="K2290" t="s">
        <v>30</v>
      </c>
      <c r="L2290">
        <v>94</v>
      </c>
      <c r="M2290">
        <f>IF(D2290=I2290,VLOOKUP(D2290,a_win_totals_lookup,MATCH(K2290,a_wins_total_lookup_header,0)+1,0),VLOOKUP(D2290,a_win_totals_lookup,MATCH(I2290,a_wins_total_lookup_header,0)+1,0))</f>
        <v>0.48969992820199154</v>
      </c>
      <c r="N2290">
        <f t="shared" ca="1" si="35"/>
        <v>1</v>
      </c>
    </row>
    <row r="2291" spans="1:14" x14ac:dyDescent="0.25">
      <c r="A2291">
        <v>400579440</v>
      </c>
      <c r="B2291">
        <v>2015</v>
      </c>
      <c r="C2291" s="1">
        <v>42099</v>
      </c>
      <c r="D2291" t="s">
        <v>40</v>
      </c>
      <c r="E2291">
        <v>1</v>
      </c>
      <c r="F2291">
        <v>50</v>
      </c>
      <c r="G2291">
        <v>27</v>
      </c>
      <c r="H2291">
        <v>1</v>
      </c>
      <c r="I2291" t="s">
        <v>40</v>
      </c>
      <c r="J2291">
        <v>99</v>
      </c>
      <c r="K2291" t="s">
        <v>30</v>
      </c>
      <c r="L2291">
        <v>94</v>
      </c>
      <c r="M2291">
        <f>IF(D2291=I2291,VLOOKUP(D2291,a_win_totals_lookup,MATCH(K2291,a_wins_total_lookup_header,0)+1,0),VLOOKUP(D2291,a_win_totals_lookup,MATCH(I2291,a_wins_total_lookup_header,0)+1,0))</f>
        <v>0.5103000717980084</v>
      </c>
      <c r="N2291">
        <f t="shared" ca="1" si="35"/>
        <v>1</v>
      </c>
    </row>
    <row r="2292" spans="1:14" x14ac:dyDescent="0.25">
      <c r="A2292">
        <v>400579441</v>
      </c>
      <c r="B2292">
        <v>2015</v>
      </c>
      <c r="C2292" s="1">
        <v>42099</v>
      </c>
      <c r="D2292" t="s">
        <v>20</v>
      </c>
      <c r="E2292">
        <v>1</v>
      </c>
      <c r="F2292">
        <v>34</v>
      </c>
      <c r="G2292">
        <v>43</v>
      </c>
      <c r="H2292">
        <v>1</v>
      </c>
      <c r="I2292" t="s">
        <v>20</v>
      </c>
      <c r="J2292">
        <v>112</v>
      </c>
      <c r="K2292" t="s">
        <v>24</v>
      </c>
      <c r="L2292">
        <v>89</v>
      </c>
      <c r="M2292">
        <f>IF(D2292=I2292,VLOOKUP(D2292,a_win_totals_lookup,MATCH(K2292,a_wins_total_lookup_header,0)+1,0),VLOOKUP(D2292,a_win_totals_lookup,MATCH(I2292,a_wins_total_lookup_header,0)+1,0))</f>
        <v>0.38957517755485771</v>
      </c>
      <c r="N2292">
        <f t="shared" ca="1" si="35"/>
        <v>1</v>
      </c>
    </row>
    <row r="2293" spans="1:14" x14ac:dyDescent="0.25">
      <c r="A2293">
        <v>400579441</v>
      </c>
      <c r="B2293">
        <v>2015</v>
      </c>
      <c r="C2293" s="1">
        <v>42099</v>
      </c>
      <c r="D2293" t="s">
        <v>24</v>
      </c>
      <c r="E2293">
        <v>0</v>
      </c>
      <c r="F2293">
        <v>34</v>
      </c>
      <c r="G2293">
        <v>43</v>
      </c>
      <c r="H2293">
        <v>0</v>
      </c>
      <c r="I2293" t="s">
        <v>20</v>
      </c>
      <c r="J2293">
        <v>112</v>
      </c>
      <c r="K2293" t="s">
        <v>24</v>
      </c>
      <c r="L2293">
        <v>89</v>
      </c>
      <c r="M2293">
        <f>IF(D2293=I2293,VLOOKUP(D2293,a_win_totals_lookup,MATCH(K2293,a_wins_total_lookup_header,0)+1,0),VLOOKUP(D2293,a_win_totals_lookup,MATCH(I2293,a_wins_total_lookup_header,0)+1,0))</f>
        <v>0.61042482244514229</v>
      </c>
      <c r="N2293">
        <f t="shared" ca="1" si="35"/>
        <v>0</v>
      </c>
    </row>
    <row r="2294" spans="1:14" x14ac:dyDescent="0.25">
      <c r="A2294">
        <v>400579442</v>
      </c>
      <c r="B2294">
        <v>2015</v>
      </c>
      <c r="C2294" s="1">
        <v>42099</v>
      </c>
      <c r="D2294" t="s">
        <v>36</v>
      </c>
      <c r="E2294">
        <v>0</v>
      </c>
      <c r="F2294">
        <v>63</v>
      </c>
      <c r="G2294">
        <v>14</v>
      </c>
      <c r="H2294">
        <v>0</v>
      </c>
      <c r="I2294" t="s">
        <v>15</v>
      </c>
      <c r="J2294">
        <v>107</v>
      </c>
      <c r="K2294" t="s">
        <v>36</v>
      </c>
      <c r="L2294">
        <v>92</v>
      </c>
      <c r="M2294">
        <f>IF(D2294=I2294,VLOOKUP(D2294,a_win_totals_lookup,MATCH(K2294,a_wins_total_lookup_header,0)+1,0),VLOOKUP(D2294,a_win_totals_lookup,MATCH(I2294,a_wins_total_lookup_header,0)+1,0))</f>
        <v>0.48125196234618794</v>
      </c>
      <c r="N2294">
        <f t="shared" ca="1" si="35"/>
        <v>0</v>
      </c>
    </row>
    <row r="2295" spans="1:14" x14ac:dyDescent="0.25">
      <c r="A2295">
        <v>400579442</v>
      </c>
      <c r="B2295">
        <v>2015</v>
      </c>
      <c r="C2295" s="1">
        <v>42099</v>
      </c>
      <c r="D2295" t="s">
        <v>15</v>
      </c>
      <c r="E2295">
        <v>1</v>
      </c>
      <c r="F2295">
        <v>51</v>
      </c>
      <c r="G2295">
        <v>26</v>
      </c>
      <c r="H2295">
        <v>1</v>
      </c>
      <c r="I2295" t="s">
        <v>15</v>
      </c>
      <c r="J2295">
        <v>107</v>
      </c>
      <c r="K2295" t="s">
        <v>36</v>
      </c>
      <c r="L2295">
        <v>92</v>
      </c>
      <c r="M2295">
        <f>IF(D2295=I2295,VLOOKUP(D2295,a_win_totals_lookup,MATCH(K2295,a_wins_total_lookup_header,0)+1,0),VLOOKUP(D2295,a_win_totals_lookup,MATCH(I2295,a_wins_total_lookup_header,0)+1,0))</f>
        <v>0.51874803765381217</v>
      </c>
      <c r="N2295">
        <f t="shared" ca="1" si="35"/>
        <v>0</v>
      </c>
    </row>
    <row r="2296" spans="1:14" x14ac:dyDescent="0.25">
      <c r="A2296">
        <v>400579443</v>
      </c>
      <c r="B2296">
        <v>2015</v>
      </c>
      <c r="C2296" s="1">
        <v>42099</v>
      </c>
      <c r="D2296" t="s">
        <v>31</v>
      </c>
      <c r="E2296">
        <v>1</v>
      </c>
      <c r="F2296">
        <v>15</v>
      </c>
      <c r="G2296">
        <v>62</v>
      </c>
      <c r="H2296">
        <v>1</v>
      </c>
      <c r="I2296" t="s">
        <v>31</v>
      </c>
      <c r="J2296">
        <v>101</v>
      </c>
      <c r="K2296" t="s">
        <v>21</v>
      </c>
      <c r="L2296">
        <v>91</v>
      </c>
      <c r="M2296">
        <f>IF(D2296=I2296,VLOOKUP(D2296,a_win_totals_lookup,MATCH(K2296,a_wins_total_lookup_header,0)+1,0),VLOOKUP(D2296,a_win_totals_lookup,MATCH(I2296,a_wins_total_lookup_header,0)+1,0))</f>
        <v>0.69736543414984997</v>
      </c>
      <c r="N2296">
        <f t="shared" ca="1" si="35"/>
        <v>1</v>
      </c>
    </row>
    <row r="2297" spans="1:14" x14ac:dyDescent="0.25">
      <c r="A2297">
        <v>400579443</v>
      </c>
      <c r="B2297">
        <v>2015</v>
      </c>
      <c r="C2297" s="1">
        <v>42099</v>
      </c>
      <c r="D2297" t="s">
        <v>21</v>
      </c>
      <c r="E2297">
        <v>0</v>
      </c>
      <c r="F2297">
        <v>18</v>
      </c>
      <c r="G2297">
        <v>60</v>
      </c>
      <c r="H2297">
        <v>0</v>
      </c>
      <c r="I2297" t="s">
        <v>31</v>
      </c>
      <c r="J2297">
        <v>101</v>
      </c>
      <c r="K2297" t="s">
        <v>21</v>
      </c>
      <c r="L2297">
        <v>91</v>
      </c>
      <c r="M2297">
        <f>IF(D2297=I2297,VLOOKUP(D2297,a_win_totals_lookup,MATCH(K2297,a_wins_total_lookup_header,0)+1,0),VLOOKUP(D2297,a_win_totals_lookup,MATCH(I2297,a_wins_total_lookup_header,0)+1,0))</f>
        <v>0.30263456585015008</v>
      </c>
      <c r="N2297">
        <f t="shared" ca="1" si="35"/>
        <v>0</v>
      </c>
    </row>
    <row r="2298" spans="1:14" x14ac:dyDescent="0.25">
      <c r="A2298">
        <v>400579444</v>
      </c>
      <c r="B2298">
        <v>2015</v>
      </c>
      <c r="C2298" s="1">
        <v>42099</v>
      </c>
      <c r="D2298" t="s">
        <v>37</v>
      </c>
      <c r="E2298">
        <v>0</v>
      </c>
      <c r="F2298">
        <v>26</v>
      </c>
      <c r="G2298">
        <v>50</v>
      </c>
      <c r="H2298">
        <v>1</v>
      </c>
      <c r="I2298" t="s">
        <v>37</v>
      </c>
      <c r="J2298">
        <v>95</v>
      </c>
      <c r="K2298" t="s">
        <v>34</v>
      </c>
      <c r="L2298">
        <v>101</v>
      </c>
      <c r="M2298">
        <f>IF(D2298=I2298,VLOOKUP(D2298,a_win_totals_lookup,MATCH(K2298,a_wins_total_lookup_header,0)+1,0),VLOOKUP(D2298,a_win_totals_lookup,MATCH(I2298,a_wins_total_lookup_header,0)+1,0))</f>
        <v>0.53496419100371084</v>
      </c>
      <c r="N2298">
        <f t="shared" ca="1" si="35"/>
        <v>0</v>
      </c>
    </row>
    <row r="2299" spans="1:14" x14ac:dyDescent="0.25">
      <c r="A2299">
        <v>400579444</v>
      </c>
      <c r="B2299">
        <v>2015</v>
      </c>
      <c r="C2299" s="1">
        <v>42099</v>
      </c>
      <c r="D2299" t="s">
        <v>34</v>
      </c>
      <c r="E2299">
        <v>1</v>
      </c>
      <c r="F2299">
        <v>35</v>
      </c>
      <c r="G2299">
        <v>42</v>
      </c>
      <c r="H2299">
        <v>0</v>
      </c>
      <c r="I2299" t="s">
        <v>37</v>
      </c>
      <c r="J2299">
        <v>95</v>
      </c>
      <c r="K2299" t="s">
        <v>34</v>
      </c>
      <c r="L2299">
        <v>101</v>
      </c>
      <c r="M2299">
        <f>IF(D2299=I2299,VLOOKUP(D2299,a_win_totals_lookup,MATCH(K2299,a_wins_total_lookup_header,0)+1,0),VLOOKUP(D2299,a_win_totals_lookup,MATCH(I2299,a_wins_total_lookup_header,0)+1,0))</f>
        <v>0.46503580899628916</v>
      </c>
      <c r="N2299">
        <f t="shared" ca="1" si="35"/>
        <v>0</v>
      </c>
    </row>
    <row r="2300" spans="1:14" x14ac:dyDescent="0.25">
      <c r="A2300">
        <v>400579445</v>
      </c>
      <c r="B2300">
        <v>2015</v>
      </c>
      <c r="C2300" s="1">
        <v>42099</v>
      </c>
      <c r="D2300" t="s">
        <v>41</v>
      </c>
      <c r="E2300">
        <v>1</v>
      </c>
      <c r="F2300">
        <v>52</v>
      </c>
      <c r="G2300">
        <v>26</v>
      </c>
      <c r="H2300">
        <v>0</v>
      </c>
      <c r="I2300" t="s">
        <v>17</v>
      </c>
      <c r="J2300">
        <v>78</v>
      </c>
      <c r="K2300" t="s">
        <v>41</v>
      </c>
      <c r="L2300">
        <v>106</v>
      </c>
      <c r="M2300">
        <f>IF(D2300=I2300,VLOOKUP(D2300,a_win_totals_lookup,MATCH(K2300,a_wins_total_lookup_header,0)+1,0),VLOOKUP(D2300,a_win_totals_lookup,MATCH(I2300,a_wins_total_lookup_header,0)+1,0))</f>
        <v>0.71629315358675483</v>
      </c>
      <c r="N2300">
        <f t="shared" ca="1" si="35"/>
        <v>0</v>
      </c>
    </row>
    <row r="2301" spans="1:14" x14ac:dyDescent="0.25">
      <c r="A2301">
        <v>400579445</v>
      </c>
      <c r="B2301">
        <v>2015</v>
      </c>
      <c r="C2301" s="1">
        <v>42099</v>
      </c>
      <c r="D2301" t="s">
        <v>17</v>
      </c>
      <c r="E2301">
        <v>0</v>
      </c>
      <c r="F2301">
        <v>20</v>
      </c>
      <c r="G2301">
        <v>56</v>
      </c>
      <c r="H2301">
        <v>1</v>
      </c>
      <c r="I2301" t="s">
        <v>17</v>
      </c>
      <c r="J2301">
        <v>78</v>
      </c>
      <c r="K2301" t="s">
        <v>41</v>
      </c>
      <c r="L2301">
        <v>106</v>
      </c>
      <c r="M2301">
        <f>IF(D2301=I2301,VLOOKUP(D2301,a_win_totals_lookup,MATCH(K2301,a_wins_total_lookup_header,0)+1,0),VLOOKUP(D2301,a_win_totals_lookup,MATCH(I2301,a_wins_total_lookup_header,0)+1,0))</f>
        <v>0.28370684641324517</v>
      </c>
      <c r="N2301">
        <f t="shared" ca="1" si="35"/>
        <v>0</v>
      </c>
    </row>
    <row r="2302" spans="1:14" x14ac:dyDescent="0.25">
      <c r="A2302">
        <v>400579446</v>
      </c>
      <c r="B2302">
        <v>2015</v>
      </c>
      <c r="C2302" s="1">
        <v>42101</v>
      </c>
      <c r="D2302" t="s">
        <v>26</v>
      </c>
      <c r="E2302">
        <v>1</v>
      </c>
      <c r="F2302">
        <v>58</v>
      </c>
      <c r="G2302">
        <v>19</v>
      </c>
      <c r="H2302">
        <v>1</v>
      </c>
      <c r="I2302" t="s">
        <v>26</v>
      </c>
      <c r="J2302">
        <v>96</v>
      </c>
      <c r="K2302" t="s">
        <v>35</v>
      </c>
      <c r="L2302">
        <v>69</v>
      </c>
      <c r="M2302">
        <f>IF(D2302=I2302,VLOOKUP(D2302,a_win_totals_lookup,MATCH(K2302,a_wins_total_lookup_header,0)+1,0),VLOOKUP(D2302,a_win_totals_lookup,MATCH(I2302,a_wins_total_lookup_header,0)+1,0))</f>
        <v>0.5</v>
      </c>
      <c r="N2302">
        <f t="shared" ca="1" si="35"/>
        <v>0</v>
      </c>
    </row>
    <row r="2303" spans="1:14" x14ac:dyDescent="0.25">
      <c r="A2303">
        <v>400579446</v>
      </c>
      <c r="B2303">
        <v>2015</v>
      </c>
      <c r="C2303" s="1">
        <v>42101</v>
      </c>
      <c r="D2303" t="s">
        <v>35</v>
      </c>
      <c r="E2303">
        <v>0</v>
      </c>
      <c r="F2303">
        <v>39</v>
      </c>
      <c r="G2303">
        <v>39</v>
      </c>
      <c r="H2303">
        <v>0</v>
      </c>
      <c r="I2303" t="s">
        <v>26</v>
      </c>
      <c r="J2303">
        <v>96</v>
      </c>
      <c r="K2303" t="s">
        <v>35</v>
      </c>
      <c r="L2303">
        <v>69</v>
      </c>
      <c r="M2303">
        <f>IF(D2303=I2303,VLOOKUP(D2303,a_win_totals_lookup,MATCH(K2303,a_wins_total_lookup_header,0)+1,0),VLOOKUP(D2303,a_win_totals_lookup,MATCH(I2303,a_wins_total_lookup_header,0)+1,0))</f>
        <v>0.5</v>
      </c>
      <c r="N2303">
        <f t="shared" ca="1" si="35"/>
        <v>1</v>
      </c>
    </row>
    <row r="2304" spans="1:14" x14ac:dyDescent="0.25">
      <c r="A2304">
        <v>400579447</v>
      </c>
      <c r="B2304">
        <v>2015</v>
      </c>
      <c r="C2304" s="1">
        <v>42101</v>
      </c>
      <c r="D2304" t="s">
        <v>18</v>
      </c>
      <c r="E2304">
        <v>0</v>
      </c>
      <c r="F2304">
        <v>33</v>
      </c>
      <c r="G2304">
        <v>44</v>
      </c>
      <c r="H2304">
        <v>0</v>
      </c>
      <c r="I2304" t="s">
        <v>24</v>
      </c>
      <c r="J2304">
        <v>105</v>
      </c>
      <c r="K2304" t="s">
        <v>18</v>
      </c>
      <c r="L2304">
        <v>100</v>
      </c>
      <c r="M2304">
        <f>IF(D2304=I2304,VLOOKUP(D2304,a_win_totals_lookup,MATCH(K2304,a_wins_total_lookup_header,0)+1,0),VLOOKUP(D2304,a_win_totals_lookup,MATCH(I2304,a_wins_total_lookup_header,0)+1,0))</f>
        <v>0.51125250669337374</v>
      </c>
      <c r="N2304">
        <f t="shared" ca="1" si="35"/>
        <v>1</v>
      </c>
    </row>
    <row r="2305" spans="1:14" x14ac:dyDescent="0.25">
      <c r="A2305">
        <v>400579447</v>
      </c>
      <c r="B2305">
        <v>2015</v>
      </c>
      <c r="C2305" s="1">
        <v>42101</v>
      </c>
      <c r="D2305" t="s">
        <v>24</v>
      </c>
      <c r="E2305">
        <v>1</v>
      </c>
      <c r="F2305">
        <v>35</v>
      </c>
      <c r="G2305">
        <v>43</v>
      </c>
      <c r="H2305">
        <v>1</v>
      </c>
      <c r="I2305" t="s">
        <v>24</v>
      </c>
      <c r="J2305">
        <v>105</v>
      </c>
      <c r="K2305" t="s">
        <v>18</v>
      </c>
      <c r="L2305">
        <v>100</v>
      </c>
      <c r="M2305">
        <f>IF(D2305=I2305,VLOOKUP(D2305,a_win_totals_lookup,MATCH(K2305,a_wins_total_lookup_header,0)+1,0),VLOOKUP(D2305,a_win_totals_lookup,MATCH(I2305,a_wins_total_lookup_header,0)+1,0))</f>
        <v>0.4887474933066262</v>
      </c>
      <c r="N2305">
        <f t="shared" ca="1" si="35"/>
        <v>0</v>
      </c>
    </row>
    <row r="2306" spans="1:14" x14ac:dyDescent="0.25">
      <c r="A2306">
        <v>400579448</v>
      </c>
      <c r="B2306">
        <v>2015</v>
      </c>
      <c r="C2306" s="1">
        <v>42101</v>
      </c>
      <c r="D2306" t="s">
        <v>36</v>
      </c>
      <c r="E2306">
        <v>0</v>
      </c>
      <c r="F2306">
        <v>63</v>
      </c>
      <c r="G2306">
        <v>15</v>
      </c>
      <c r="H2306">
        <v>0</v>
      </c>
      <c r="I2306" t="s">
        <v>12</v>
      </c>
      <c r="J2306">
        <v>103</v>
      </c>
      <c r="K2306" t="s">
        <v>36</v>
      </c>
      <c r="L2306">
        <v>100</v>
      </c>
      <c r="M2306">
        <f>IF(D2306=I2306,VLOOKUP(D2306,a_win_totals_lookup,MATCH(K2306,a_wins_total_lookup_header,0)+1,0),VLOOKUP(D2306,a_win_totals_lookup,MATCH(I2306,a_wins_total_lookup_header,0)+1,0))</f>
        <v>0.60921188943915972</v>
      </c>
      <c r="N2306">
        <f t="shared" ca="1" si="35"/>
        <v>1</v>
      </c>
    </row>
    <row r="2307" spans="1:14" x14ac:dyDescent="0.25">
      <c r="A2307">
        <v>400579448</v>
      </c>
      <c r="B2307">
        <v>2015</v>
      </c>
      <c r="C2307" s="1">
        <v>42101</v>
      </c>
      <c r="D2307" t="s">
        <v>12</v>
      </c>
      <c r="E2307">
        <v>1</v>
      </c>
      <c r="F2307">
        <v>42</v>
      </c>
      <c r="G2307">
        <v>35</v>
      </c>
      <c r="H2307">
        <v>1</v>
      </c>
      <c r="I2307" t="s">
        <v>12</v>
      </c>
      <c r="J2307">
        <v>103</v>
      </c>
      <c r="K2307" t="s">
        <v>36</v>
      </c>
      <c r="L2307">
        <v>100</v>
      </c>
      <c r="M2307">
        <f>IF(D2307=I2307,VLOOKUP(D2307,a_win_totals_lookup,MATCH(K2307,a_wins_total_lookup_header,0)+1,0),VLOOKUP(D2307,a_win_totals_lookup,MATCH(I2307,a_wins_total_lookup_header,0)+1,0))</f>
        <v>0.39078811056084028</v>
      </c>
      <c r="N2307">
        <f t="shared" ref="N2307:N2370" ca="1" si="36">ROUND(0.5*RANDBETWEEN(-1,1)+M2307,0)</f>
        <v>0</v>
      </c>
    </row>
    <row r="2308" spans="1:14" x14ac:dyDescent="0.25">
      <c r="A2308">
        <v>400579449</v>
      </c>
      <c r="B2308">
        <v>2015</v>
      </c>
      <c r="C2308" s="1">
        <v>42101</v>
      </c>
      <c r="D2308" t="s">
        <v>38</v>
      </c>
      <c r="E2308">
        <v>0</v>
      </c>
      <c r="F2308">
        <v>42</v>
      </c>
      <c r="G2308">
        <v>36</v>
      </c>
      <c r="H2308">
        <v>1</v>
      </c>
      <c r="I2308" t="s">
        <v>38</v>
      </c>
      <c r="J2308">
        <v>88</v>
      </c>
      <c r="K2308" t="s">
        <v>15</v>
      </c>
      <c r="L2308">
        <v>113</v>
      </c>
      <c r="M2308">
        <f>IF(D2308=I2308,VLOOKUP(D2308,a_win_totals_lookup,MATCH(K2308,a_wins_total_lookup_header,0)+1,0),VLOOKUP(D2308,a_win_totals_lookup,MATCH(I2308,a_wins_total_lookup_header,0)+1,0))</f>
        <v>0.48796997257765107</v>
      </c>
      <c r="N2308">
        <f t="shared" ca="1" si="36"/>
        <v>0</v>
      </c>
    </row>
    <row r="2309" spans="1:14" x14ac:dyDescent="0.25">
      <c r="A2309">
        <v>400579449</v>
      </c>
      <c r="B2309">
        <v>2015</v>
      </c>
      <c r="C2309" s="1">
        <v>42101</v>
      </c>
      <c r="D2309" t="s">
        <v>15</v>
      </c>
      <c r="E2309">
        <v>1</v>
      </c>
      <c r="F2309">
        <v>52</v>
      </c>
      <c r="G2309">
        <v>26</v>
      </c>
      <c r="H2309">
        <v>0</v>
      </c>
      <c r="I2309" t="s">
        <v>38</v>
      </c>
      <c r="J2309">
        <v>88</v>
      </c>
      <c r="K2309" t="s">
        <v>15</v>
      </c>
      <c r="L2309">
        <v>113</v>
      </c>
      <c r="M2309">
        <f>IF(D2309=I2309,VLOOKUP(D2309,a_win_totals_lookup,MATCH(K2309,a_wins_total_lookup_header,0)+1,0),VLOOKUP(D2309,a_win_totals_lookup,MATCH(I2309,a_wins_total_lookup_header,0)+1,0))</f>
        <v>0.51203002742234893</v>
      </c>
      <c r="N2309">
        <f t="shared" ca="1" si="36"/>
        <v>1</v>
      </c>
    </row>
    <row r="2310" spans="1:14" x14ac:dyDescent="0.25">
      <c r="A2310">
        <v>400579450</v>
      </c>
      <c r="B2310">
        <v>2015</v>
      </c>
      <c r="C2310" s="1">
        <v>42101</v>
      </c>
      <c r="D2310" t="s">
        <v>29</v>
      </c>
      <c r="E2310">
        <v>0</v>
      </c>
      <c r="F2310">
        <v>16</v>
      </c>
      <c r="G2310">
        <v>61</v>
      </c>
      <c r="H2310">
        <v>0</v>
      </c>
      <c r="I2310" t="s">
        <v>37</v>
      </c>
      <c r="J2310">
        <v>116</v>
      </c>
      <c r="K2310" t="s">
        <v>29</v>
      </c>
      <c r="L2310">
        <v>111</v>
      </c>
      <c r="M2310">
        <f>IF(D2310=I2310,VLOOKUP(D2310,a_win_totals_lookup,MATCH(K2310,a_wins_total_lookup_header,0)+1,0),VLOOKUP(D2310,a_win_totals_lookup,MATCH(I2310,a_wins_total_lookup_header,0)+1,0))</f>
        <v>0.40973570236484297</v>
      </c>
      <c r="N2310">
        <f t="shared" ca="1" si="36"/>
        <v>1</v>
      </c>
    </row>
    <row r="2311" spans="1:14" x14ac:dyDescent="0.25">
      <c r="A2311">
        <v>400579450</v>
      </c>
      <c r="B2311">
        <v>2015</v>
      </c>
      <c r="C2311" s="1">
        <v>42101</v>
      </c>
      <c r="D2311" t="s">
        <v>37</v>
      </c>
      <c r="E2311">
        <v>1</v>
      </c>
      <c r="F2311">
        <v>27</v>
      </c>
      <c r="G2311">
        <v>50</v>
      </c>
      <c r="H2311">
        <v>1</v>
      </c>
      <c r="I2311" t="s">
        <v>37</v>
      </c>
      <c r="J2311">
        <v>116</v>
      </c>
      <c r="K2311" t="s">
        <v>29</v>
      </c>
      <c r="L2311">
        <v>111</v>
      </c>
      <c r="M2311">
        <f>IF(D2311=I2311,VLOOKUP(D2311,a_win_totals_lookup,MATCH(K2311,a_wins_total_lookup_header,0)+1,0),VLOOKUP(D2311,a_win_totals_lookup,MATCH(I2311,a_wins_total_lookup_header,0)+1,0))</f>
        <v>0.59026429763515698</v>
      </c>
      <c r="N2311">
        <f t="shared" ca="1" si="36"/>
        <v>0</v>
      </c>
    </row>
    <row r="2312" spans="1:14" x14ac:dyDescent="0.25">
      <c r="A2312">
        <v>400579451</v>
      </c>
      <c r="B2312">
        <v>2015</v>
      </c>
      <c r="C2312" s="1">
        <v>42101</v>
      </c>
      <c r="D2312" t="s">
        <v>41</v>
      </c>
      <c r="E2312">
        <v>1</v>
      </c>
      <c r="F2312">
        <v>53</v>
      </c>
      <c r="G2312">
        <v>26</v>
      </c>
      <c r="H2312">
        <v>1</v>
      </c>
      <c r="I2312" t="s">
        <v>41</v>
      </c>
      <c r="J2312">
        <v>105</v>
      </c>
      <c r="K2312" t="s">
        <v>17</v>
      </c>
      <c r="L2312">
        <v>100</v>
      </c>
      <c r="M2312">
        <f>IF(D2312=I2312,VLOOKUP(D2312,a_win_totals_lookup,MATCH(K2312,a_wins_total_lookup_header,0)+1,0),VLOOKUP(D2312,a_win_totals_lookup,MATCH(I2312,a_wins_total_lookup_header,0)+1,0))</f>
        <v>0.71629315358675483</v>
      </c>
      <c r="N2312">
        <f t="shared" ca="1" si="36"/>
        <v>1</v>
      </c>
    </row>
    <row r="2313" spans="1:14" x14ac:dyDescent="0.25">
      <c r="A2313">
        <v>400579451</v>
      </c>
      <c r="B2313">
        <v>2015</v>
      </c>
      <c r="C2313" s="1">
        <v>42101</v>
      </c>
      <c r="D2313" t="s">
        <v>17</v>
      </c>
      <c r="E2313">
        <v>0</v>
      </c>
      <c r="F2313">
        <v>20</v>
      </c>
      <c r="G2313">
        <v>57</v>
      </c>
      <c r="H2313">
        <v>0</v>
      </c>
      <c r="I2313" t="s">
        <v>41</v>
      </c>
      <c r="J2313">
        <v>105</v>
      </c>
      <c r="K2313" t="s">
        <v>17</v>
      </c>
      <c r="L2313">
        <v>100</v>
      </c>
      <c r="M2313">
        <f>IF(D2313=I2313,VLOOKUP(D2313,a_win_totals_lookup,MATCH(K2313,a_wins_total_lookup_header,0)+1,0),VLOOKUP(D2313,a_win_totals_lookup,MATCH(I2313,a_wins_total_lookup_header,0)+1,0))</f>
        <v>0.28370684641324517</v>
      </c>
      <c r="N2313">
        <f t="shared" ca="1" si="36"/>
        <v>0</v>
      </c>
    </row>
    <row r="2314" spans="1:14" x14ac:dyDescent="0.25">
      <c r="A2314">
        <v>400579452</v>
      </c>
      <c r="B2314">
        <v>2015</v>
      </c>
      <c r="C2314" s="1">
        <v>42102</v>
      </c>
      <c r="D2314" t="s">
        <v>18</v>
      </c>
      <c r="E2314">
        <v>0</v>
      </c>
      <c r="F2314">
        <v>33</v>
      </c>
      <c r="G2314">
        <v>45</v>
      </c>
      <c r="H2314">
        <v>1</v>
      </c>
      <c r="I2314" t="s">
        <v>18</v>
      </c>
      <c r="J2314">
        <v>74</v>
      </c>
      <c r="K2314" t="s">
        <v>27</v>
      </c>
      <c r="L2314">
        <v>92</v>
      </c>
      <c r="M2314">
        <f>IF(D2314=I2314,VLOOKUP(D2314,a_win_totals_lookup,MATCH(K2314,a_wins_total_lookup_header,0)+1,0),VLOOKUP(D2314,a_win_totals_lookup,MATCH(I2314,a_wins_total_lookup_header,0)+1,0))</f>
        <v>0.4452024002195884</v>
      </c>
      <c r="N2314">
        <f t="shared" ca="1" si="36"/>
        <v>0</v>
      </c>
    </row>
    <row r="2315" spans="1:14" x14ac:dyDescent="0.25">
      <c r="A2315">
        <v>400579452</v>
      </c>
      <c r="B2315">
        <v>2015</v>
      </c>
      <c r="C2315" s="1">
        <v>42102</v>
      </c>
      <c r="D2315" t="s">
        <v>27</v>
      </c>
      <c r="E2315">
        <v>1</v>
      </c>
      <c r="F2315">
        <v>46</v>
      </c>
      <c r="G2315">
        <v>32</v>
      </c>
      <c r="H2315">
        <v>0</v>
      </c>
      <c r="I2315" t="s">
        <v>18</v>
      </c>
      <c r="J2315">
        <v>74</v>
      </c>
      <c r="K2315" t="s">
        <v>27</v>
      </c>
      <c r="L2315">
        <v>92</v>
      </c>
      <c r="M2315">
        <f>IF(D2315=I2315,VLOOKUP(D2315,a_win_totals_lookup,MATCH(K2315,a_wins_total_lookup_header,0)+1,0),VLOOKUP(D2315,a_win_totals_lookup,MATCH(I2315,a_wins_total_lookup_header,0)+1,0))</f>
        <v>0.55479759978041154</v>
      </c>
      <c r="N2315">
        <f t="shared" ca="1" si="36"/>
        <v>1</v>
      </c>
    </row>
    <row r="2316" spans="1:14" x14ac:dyDescent="0.25">
      <c r="A2316">
        <v>400579453</v>
      </c>
      <c r="B2316">
        <v>2015</v>
      </c>
      <c r="C2316" s="1">
        <v>42102</v>
      </c>
      <c r="D2316" t="s">
        <v>30</v>
      </c>
      <c r="E2316">
        <v>0</v>
      </c>
      <c r="F2316">
        <v>46</v>
      </c>
      <c r="G2316">
        <v>32</v>
      </c>
      <c r="H2316">
        <v>0</v>
      </c>
      <c r="I2316" t="s">
        <v>13</v>
      </c>
      <c r="J2316">
        <v>105</v>
      </c>
      <c r="K2316" t="s">
        <v>30</v>
      </c>
      <c r="L2316">
        <v>103</v>
      </c>
      <c r="M2316">
        <f>IF(D2316=I2316,VLOOKUP(D2316,a_win_totals_lookup,MATCH(K2316,a_wins_total_lookup_header,0)+1,0),VLOOKUP(D2316,a_win_totals_lookup,MATCH(I2316,a_wins_total_lookup_header,0)+1,0))</f>
        <v>0.73595070405215601</v>
      </c>
      <c r="N2316">
        <f t="shared" ca="1" si="36"/>
        <v>1</v>
      </c>
    </row>
    <row r="2317" spans="1:14" x14ac:dyDescent="0.25">
      <c r="A2317">
        <v>400579453</v>
      </c>
      <c r="B2317">
        <v>2015</v>
      </c>
      <c r="C2317" s="1">
        <v>42102</v>
      </c>
      <c r="D2317" t="s">
        <v>13</v>
      </c>
      <c r="E2317">
        <v>1</v>
      </c>
      <c r="F2317">
        <v>25</v>
      </c>
      <c r="G2317">
        <v>53</v>
      </c>
      <c r="H2317">
        <v>1</v>
      </c>
      <c r="I2317" t="s">
        <v>13</v>
      </c>
      <c r="J2317">
        <v>105</v>
      </c>
      <c r="K2317" t="s">
        <v>30</v>
      </c>
      <c r="L2317">
        <v>103</v>
      </c>
      <c r="M2317">
        <f>IF(D2317=I2317,VLOOKUP(D2317,a_win_totals_lookup,MATCH(K2317,a_wins_total_lookup_header,0)+1,0),VLOOKUP(D2317,a_win_totals_lookup,MATCH(I2317,a_wins_total_lookup_header,0)+1,0))</f>
        <v>0.26404929594784404</v>
      </c>
      <c r="N2317">
        <f t="shared" ca="1" si="36"/>
        <v>1</v>
      </c>
    </row>
    <row r="2318" spans="1:14" x14ac:dyDescent="0.25">
      <c r="A2318">
        <v>400579454</v>
      </c>
      <c r="B2318">
        <v>2015</v>
      </c>
      <c r="C2318" s="1">
        <v>42102</v>
      </c>
      <c r="D2318" t="s">
        <v>21</v>
      </c>
      <c r="E2318">
        <v>0</v>
      </c>
      <c r="F2318">
        <v>18</v>
      </c>
      <c r="G2318">
        <v>61</v>
      </c>
      <c r="H2318">
        <v>1</v>
      </c>
      <c r="I2318" t="s">
        <v>21</v>
      </c>
      <c r="J2318">
        <v>90</v>
      </c>
      <c r="K2318" t="s">
        <v>25</v>
      </c>
      <c r="L2318">
        <v>119</v>
      </c>
      <c r="M2318">
        <f>IF(D2318=I2318,VLOOKUP(D2318,a_win_totals_lookup,MATCH(K2318,a_wins_total_lookup_header,0)+1,0),VLOOKUP(D2318,a_win_totals_lookup,MATCH(I2318,a_wins_total_lookup_header,0)+1,0))</f>
        <v>0.23731187072121385</v>
      </c>
      <c r="N2318">
        <f t="shared" ca="1" si="36"/>
        <v>0</v>
      </c>
    </row>
    <row r="2319" spans="1:14" x14ac:dyDescent="0.25">
      <c r="A2319">
        <v>400579454</v>
      </c>
      <c r="B2319">
        <v>2015</v>
      </c>
      <c r="C2319" s="1">
        <v>42102</v>
      </c>
      <c r="D2319" t="s">
        <v>25</v>
      </c>
      <c r="E2319">
        <v>1</v>
      </c>
      <c r="F2319">
        <v>45</v>
      </c>
      <c r="G2319">
        <v>33</v>
      </c>
      <c r="H2319">
        <v>0</v>
      </c>
      <c r="I2319" t="s">
        <v>21</v>
      </c>
      <c r="J2319">
        <v>90</v>
      </c>
      <c r="K2319" t="s">
        <v>25</v>
      </c>
      <c r="L2319">
        <v>119</v>
      </c>
      <c r="M2319">
        <f>IF(D2319=I2319,VLOOKUP(D2319,a_win_totals_lookup,MATCH(K2319,a_wins_total_lookup_header,0)+1,0),VLOOKUP(D2319,a_win_totals_lookup,MATCH(I2319,a_wins_total_lookup_header,0)+1,0))</f>
        <v>0.76268812927878615</v>
      </c>
      <c r="N2319">
        <f t="shared" ca="1" si="36"/>
        <v>1</v>
      </c>
    </row>
    <row r="2320" spans="1:14" x14ac:dyDescent="0.25">
      <c r="A2320">
        <v>400579455</v>
      </c>
      <c r="B2320">
        <v>2015</v>
      </c>
      <c r="C2320" s="1">
        <v>42102</v>
      </c>
      <c r="D2320" t="s">
        <v>26</v>
      </c>
      <c r="E2320">
        <v>1</v>
      </c>
      <c r="F2320">
        <v>59</v>
      </c>
      <c r="G2320">
        <v>19</v>
      </c>
      <c r="H2320">
        <v>0</v>
      </c>
      <c r="I2320" t="s">
        <v>23</v>
      </c>
      <c r="J2320">
        <v>111</v>
      </c>
      <c r="K2320" t="s">
        <v>26</v>
      </c>
      <c r="L2320">
        <v>114</v>
      </c>
      <c r="M2320">
        <f>IF(D2320=I2320,VLOOKUP(D2320,a_win_totals_lookup,MATCH(K2320,a_wins_total_lookup_header,0)+1,0),VLOOKUP(D2320,a_win_totals_lookup,MATCH(I2320,a_wins_total_lookup_header,0)+1,0))</f>
        <v>0.53928878009305825</v>
      </c>
      <c r="N2320">
        <f t="shared" ca="1" si="36"/>
        <v>0</v>
      </c>
    </row>
    <row r="2321" spans="1:14" x14ac:dyDescent="0.25">
      <c r="A2321">
        <v>400579455</v>
      </c>
      <c r="B2321">
        <v>2015</v>
      </c>
      <c r="C2321" s="1">
        <v>42102</v>
      </c>
      <c r="D2321" t="s">
        <v>23</v>
      </c>
      <c r="E2321">
        <v>0</v>
      </c>
      <c r="F2321">
        <v>36</v>
      </c>
      <c r="G2321">
        <v>42</v>
      </c>
      <c r="H2321">
        <v>1</v>
      </c>
      <c r="I2321" t="s">
        <v>23</v>
      </c>
      <c r="J2321">
        <v>111</v>
      </c>
      <c r="K2321" t="s">
        <v>26</v>
      </c>
      <c r="L2321">
        <v>114</v>
      </c>
      <c r="M2321">
        <f>IF(D2321=I2321,VLOOKUP(D2321,a_win_totals_lookup,MATCH(K2321,a_wins_total_lookup_header,0)+1,0),VLOOKUP(D2321,a_win_totals_lookup,MATCH(I2321,a_wins_total_lookup_header,0)+1,0))</f>
        <v>0.46071121990694175</v>
      </c>
      <c r="N2321">
        <f t="shared" ca="1" si="36"/>
        <v>0</v>
      </c>
    </row>
    <row r="2322" spans="1:14" x14ac:dyDescent="0.25">
      <c r="A2322">
        <v>400579456</v>
      </c>
      <c r="B2322">
        <v>2015</v>
      </c>
      <c r="C2322" s="1">
        <v>42102</v>
      </c>
      <c r="D2322" t="s">
        <v>22</v>
      </c>
      <c r="E2322">
        <v>1</v>
      </c>
      <c r="F2322">
        <v>36</v>
      </c>
      <c r="G2322">
        <v>42</v>
      </c>
      <c r="H2322">
        <v>0</v>
      </c>
      <c r="I2322" t="s">
        <v>33</v>
      </c>
      <c r="J2322">
        <v>103</v>
      </c>
      <c r="K2322" t="s">
        <v>22</v>
      </c>
      <c r="L2322">
        <v>113</v>
      </c>
      <c r="M2322">
        <f>IF(D2322=I2322,VLOOKUP(D2322,a_win_totals_lookup,MATCH(K2322,a_wins_total_lookup_header,0)+1,0),VLOOKUP(D2322,a_win_totals_lookup,MATCH(I2322,a_wins_total_lookup_header,0)+1,0))</f>
        <v>0.37837844574949669</v>
      </c>
      <c r="N2322">
        <f t="shared" ca="1" si="36"/>
        <v>1</v>
      </c>
    </row>
    <row r="2323" spans="1:14" x14ac:dyDescent="0.25">
      <c r="A2323">
        <v>400579456</v>
      </c>
      <c r="B2323">
        <v>2015</v>
      </c>
      <c r="C2323" s="1">
        <v>42102</v>
      </c>
      <c r="D2323" t="s">
        <v>33</v>
      </c>
      <c r="E2323">
        <v>0</v>
      </c>
      <c r="F2323">
        <v>30</v>
      </c>
      <c r="G2323">
        <v>48</v>
      </c>
      <c r="H2323">
        <v>1</v>
      </c>
      <c r="I2323" t="s">
        <v>33</v>
      </c>
      <c r="J2323">
        <v>103</v>
      </c>
      <c r="K2323" t="s">
        <v>22</v>
      </c>
      <c r="L2323">
        <v>113</v>
      </c>
      <c r="M2323">
        <f>IF(D2323=I2323,VLOOKUP(D2323,a_win_totals_lookup,MATCH(K2323,a_wins_total_lookup_header,0)+1,0),VLOOKUP(D2323,a_win_totals_lookup,MATCH(I2323,a_wins_total_lookup_header,0)+1,0))</f>
        <v>0.62162155425050336</v>
      </c>
      <c r="N2323">
        <f t="shared" ca="1" si="36"/>
        <v>0</v>
      </c>
    </row>
    <row r="2324" spans="1:14" x14ac:dyDescent="0.25">
      <c r="A2324">
        <v>400579457</v>
      </c>
      <c r="B2324">
        <v>2015</v>
      </c>
      <c r="C2324" s="1">
        <v>42102</v>
      </c>
      <c r="D2324" t="s">
        <v>20</v>
      </c>
      <c r="E2324">
        <v>1</v>
      </c>
      <c r="F2324">
        <v>35</v>
      </c>
      <c r="G2324">
        <v>43</v>
      </c>
      <c r="H2324">
        <v>0</v>
      </c>
      <c r="I2324" t="s">
        <v>31</v>
      </c>
      <c r="J2324">
        <v>86</v>
      </c>
      <c r="K2324" t="s">
        <v>20</v>
      </c>
      <c r="L2324">
        <v>102</v>
      </c>
      <c r="M2324">
        <f>IF(D2324=I2324,VLOOKUP(D2324,a_win_totals_lookup,MATCH(K2324,a_wins_total_lookup_header,0)+1,0),VLOOKUP(D2324,a_win_totals_lookup,MATCH(I2324,a_wins_total_lookup_header,0)+1,0))</f>
        <v>0.43927229864142858</v>
      </c>
      <c r="N2324">
        <f t="shared" ca="1" si="36"/>
        <v>0</v>
      </c>
    </row>
    <row r="2325" spans="1:14" x14ac:dyDescent="0.25">
      <c r="A2325">
        <v>400579457</v>
      </c>
      <c r="B2325">
        <v>2015</v>
      </c>
      <c r="C2325" s="1">
        <v>42102</v>
      </c>
      <c r="D2325" t="s">
        <v>31</v>
      </c>
      <c r="E2325">
        <v>0</v>
      </c>
      <c r="F2325">
        <v>15</v>
      </c>
      <c r="G2325">
        <v>63</v>
      </c>
      <c r="H2325">
        <v>1</v>
      </c>
      <c r="I2325" t="s">
        <v>31</v>
      </c>
      <c r="J2325">
        <v>86</v>
      </c>
      <c r="K2325" t="s">
        <v>20</v>
      </c>
      <c r="L2325">
        <v>102</v>
      </c>
      <c r="M2325">
        <f>IF(D2325=I2325,VLOOKUP(D2325,a_win_totals_lookup,MATCH(K2325,a_wins_total_lookup_header,0)+1,0),VLOOKUP(D2325,a_win_totals_lookup,MATCH(I2325,a_wins_total_lookup_header,0)+1,0))</f>
        <v>0.56072770135857142</v>
      </c>
      <c r="N2325">
        <f t="shared" ca="1" si="36"/>
        <v>1</v>
      </c>
    </row>
    <row r="2326" spans="1:14" x14ac:dyDescent="0.25">
      <c r="A2326">
        <v>400579458</v>
      </c>
      <c r="B2326">
        <v>2015</v>
      </c>
      <c r="C2326" s="1">
        <v>42102</v>
      </c>
      <c r="D2326" t="s">
        <v>28</v>
      </c>
      <c r="E2326">
        <v>1</v>
      </c>
      <c r="F2326">
        <v>53</v>
      </c>
      <c r="G2326">
        <v>25</v>
      </c>
      <c r="H2326">
        <v>1</v>
      </c>
      <c r="I2326" t="s">
        <v>28</v>
      </c>
      <c r="J2326">
        <v>110</v>
      </c>
      <c r="K2326" t="s">
        <v>12</v>
      </c>
      <c r="L2326">
        <v>74</v>
      </c>
      <c r="M2326">
        <f>IF(D2326=I2326,VLOOKUP(D2326,a_win_totals_lookup,MATCH(K2326,a_wins_total_lookup_header,0)+1,0),VLOOKUP(D2326,a_win_totals_lookup,MATCH(I2326,a_wins_total_lookup_header,0)+1,0))</f>
        <v>0.58683622465749607</v>
      </c>
      <c r="N2326">
        <f t="shared" ca="1" si="36"/>
        <v>1</v>
      </c>
    </row>
    <row r="2327" spans="1:14" x14ac:dyDescent="0.25">
      <c r="A2327">
        <v>400579458</v>
      </c>
      <c r="B2327">
        <v>2015</v>
      </c>
      <c r="C2327" s="1">
        <v>42102</v>
      </c>
      <c r="D2327" t="s">
        <v>12</v>
      </c>
      <c r="E2327">
        <v>0</v>
      </c>
      <c r="F2327">
        <v>42</v>
      </c>
      <c r="G2327">
        <v>36</v>
      </c>
      <c r="H2327">
        <v>0</v>
      </c>
      <c r="I2327" t="s">
        <v>28</v>
      </c>
      <c r="J2327">
        <v>110</v>
      </c>
      <c r="K2327" t="s">
        <v>12</v>
      </c>
      <c r="L2327">
        <v>74</v>
      </c>
      <c r="M2327">
        <f>IF(D2327=I2327,VLOOKUP(D2327,a_win_totals_lookup,MATCH(K2327,a_wins_total_lookup_header,0)+1,0),VLOOKUP(D2327,a_win_totals_lookup,MATCH(I2327,a_wins_total_lookup_header,0)+1,0))</f>
        <v>0.41316377534250398</v>
      </c>
      <c r="N2327">
        <f t="shared" ca="1" si="36"/>
        <v>0</v>
      </c>
    </row>
    <row r="2328" spans="1:14" x14ac:dyDescent="0.25">
      <c r="A2328">
        <v>400579459</v>
      </c>
      <c r="B2328">
        <v>2015</v>
      </c>
      <c r="C2328" s="1">
        <v>42102</v>
      </c>
      <c r="D2328" t="s">
        <v>40</v>
      </c>
      <c r="E2328">
        <v>1</v>
      </c>
      <c r="F2328">
        <v>51</v>
      </c>
      <c r="G2328">
        <v>27</v>
      </c>
      <c r="H2328">
        <v>0</v>
      </c>
      <c r="I2328" t="s">
        <v>19</v>
      </c>
      <c r="J2328">
        <v>99</v>
      </c>
      <c r="K2328" t="s">
        <v>40</v>
      </c>
      <c r="L2328">
        <v>104</v>
      </c>
      <c r="M2328">
        <f>IF(D2328=I2328,VLOOKUP(D2328,a_win_totals_lookup,MATCH(K2328,a_wins_total_lookup_header,0)+1,0),VLOOKUP(D2328,a_win_totals_lookup,MATCH(I2328,a_wins_total_lookup_header,0)+1,0))</f>
        <v>0.77106907112086653</v>
      </c>
      <c r="N2328">
        <f t="shared" ca="1" si="36"/>
        <v>0</v>
      </c>
    </row>
    <row r="2329" spans="1:14" x14ac:dyDescent="0.25">
      <c r="A2329">
        <v>400579459</v>
      </c>
      <c r="B2329">
        <v>2015</v>
      </c>
      <c r="C2329" s="1">
        <v>42102</v>
      </c>
      <c r="D2329" t="s">
        <v>19</v>
      </c>
      <c r="E2329">
        <v>0</v>
      </c>
      <c r="F2329">
        <v>38</v>
      </c>
      <c r="G2329">
        <v>40</v>
      </c>
      <c r="H2329">
        <v>1</v>
      </c>
      <c r="I2329" t="s">
        <v>19</v>
      </c>
      <c r="J2329">
        <v>99</v>
      </c>
      <c r="K2329" t="s">
        <v>40</v>
      </c>
      <c r="L2329">
        <v>104</v>
      </c>
      <c r="M2329">
        <f>IF(D2329=I2329,VLOOKUP(D2329,a_win_totals_lookup,MATCH(K2329,a_wins_total_lookup_header,0)+1,0),VLOOKUP(D2329,a_win_totals_lookup,MATCH(I2329,a_wins_total_lookup_header,0)+1,0))</f>
        <v>0.22893092887913349</v>
      </c>
      <c r="N2329">
        <f t="shared" ca="1" si="36"/>
        <v>0</v>
      </c>
    </row>
    <row r="2330" spans="1:14" x14ac:dyDescent="0.25">
      <c r="A2330">
        <v>400579460</v>
      </c>
      <c r="B2330">
        <v>2015</v>
      </c>
      <c r="C2330" s="1">
        <v>42102</v>
      </c>
      <c r="D2330" t="s">
        <v>16</v>
      </c>
      <c r="E2330">
        <v>0</v>
      </c>
      <c r="F2330">
        <v>53</v>
      </c>
      <c r="G2330">
        <v>25</v>
      </c>
      <c r="H2330">
        <v>0</v>
      </c>
      <c r="I2330" t="s">
        <v>15</v>
      </c>
      <c r="J2330">
        <v>110</v>
      </c>
      <c r="K2330" t="s">
        <v>16</v>
      </c>
      <c r="L2330">
        <v>98</v>
      </c>
      <c r="M2330">
        <f>IF(D2330=I2330,VLOOKUP(D2330,a_win_totals_lookup,MATCH(K2330,a_wins_total_lookup_header,0)+1,0),VLOOKUP(D2330,a_win_totals_lookup,MATCH(I2330,a_wins_total_lookup_header,0)+1,0))</f>
        <v>0.43996111651765601</v>
      </c>
      <c r="N2330">
        <f t="shared" ca="1" si="36"/>
        <v>0</v>
      </c>
    </row>
    <row r="2331" spans="1:14" x14ac:dyDescent="0.25">
      <c r="A2331">
        <v>400579460</v>
      </c>
      <c r="B2331">
        <v>2015</v>
      </c>
      <c r="C2331" s="1">
        <v>42102</v>
      </c>
      <c r="D2331" t="s">
        <v>15</v>
      </c>
      <c r="E2331">
        <v>1</v>
      </c>
      <c r="F2331">
        <v>53</v>
      </c>
      <c r="G2331">
        <v>26</v>
      </c>
      <c r="H2331">
        <v>1</v>
      </c>
      <c r="I2331" t="s">
        <v>15</v>
      </c>
      <c r="J2331">
        <v>110</v>
      </c>
      <c r="K2331" t="s">
        <v>16</v>
      </c>
      <c r="L2331">
        <v>98</v>
      </c>
      <c r="M2331">
        <f>IF(D2331=I2331,VLOOKUP(D2331,a_win_totals_lookup,MATCH(K2331,a_wins_total_lookup_header,0)+1,0),VLOOKUP(D2331,a_win_totals_lookup,MATCH(I2331,a_wins_total_lookup_header,0)+1,0))</f>
        <v>0.5600388834823441</v>
      </c>
      <c r="N2331">
        <f t="shared" ca="1" si="36"/>
        <v>1</v>
      </c>
    </row>
    <row r="2332" spans="1:14" x14ac:dyDescent="0.25">
      <c r="A2332">
        <v>400579461</v>
      </c>
      <c r="B2332">
        <v>2015</v>
      </c>
      <c r="C2332" s="1">
        <v>42102</v>
      </c>
      <c r="D2332" t="s">
        <v>32</v>
      </c>
      <c r="E2332">
        <v>1</v>
      </c>
      <c r="F2332">
        <v>29</v>
      </c>
      <c r="G2332">
        <v>49</v>
      </c>
      <c r="H2332">
        <v>1</v>
      </c>
      <c r="I2332" t="s">
        <v>32</v>
      </c>
      <c r="J2332">
        <v>119</v>
      </c>
      <c r="K2332" t="s">
        <v>17</v>
      </c>
      <c r="L2332">
        <v>101</v>
      </c>
      <c r="M2332">
        <f>IF(D2332=I2332,VLOOKUP(D2332,a_win_totals_lookup,MATCH(K2332,a_wins_total_lookup_header,0)+1,0),VLOOKUP(D2332,a_win_totals_lookup,MATCH(I2332,a_wins_total_lookup_header,0)+1,0))</f>
        <v>0.57711263446281591</v>
      </c>
      <c r="N2332">
        <f t="shared" ca="1" si="36"/>
        <v>1</v>
      </c>
    </row>
    <row r="2333" spans="1:14" x14ac:dyDescent="0.25">
      <c r="A2333">
        <v>400579461</v>
      </c>
      <c r="B2333">
        <v>2015</v>
      </c>
      <c r="C2333" s="1">
        <v>42102</v>
      </c>
      <c r="D2333" t="s">
        <v>17</v>
      </c>
      <c r="E2333">
        <v>0</v>
      </c>
      <c r="F2333">
        <v>20</v>
      </c>
      <c r="G2333">
        <v>58</v>
      </c>
      <c r="H2333">
        <v>0</v>
      </c>
      <c r="I2333" t="s">
        <v>32</v>
      </c>
      <c r="J2333">
        <v>119</v>
      </c>
      <c r="K2333" t="s">
        <v>17</v>
      </c>
      <c r="L2333">
        <v>101</v>
      </c>
      <c r="M2333">
        <f>IF(D2333=I2333,VLOOKUP(D2333,a_win_totals_lookup,MATCH(K2333,a_wins_total_lookup_header,0)+1,0),VLOOKUP(D2333,a_win_totals_lookup,MATCH(I2333,a_wins_total_lookup_header,0)+1,0))</f>
        <v>0.42288736553718415</v>
      </c>
      <c r="N2333">
        <f t="shared" ca="1" si="36"/>
        <v>0</v>
      </c>
    </row>
    <row r="2334" spans="1:14" x14ac:dyDescent="0.25">
      <c r="A2334">
        <v>400579462</v>
      </c>
      <c r="B2334">
        <v>2015</v>
      </c>
      <c r="C2334" s="1">
        <v>42102</v>
      </c>
      <c r="D2334" t="s">
        <v>37</v>
      </c>
      <c r="E2334">
        <v>0</v>
      </c>
      <c r="F2334">
        <v>27</v>
      </c>
      <c r="G2334">
        <v>51</v>
      </c>
      <c r="H2334">
        <v>0</v>
      </c>
      <c r="I2334" t="s">
        <v>34</v>
      </c>
      <c r="J2334">
        <v>103</v>
      </c>
      <c r="K2334" t="s">
        <v>37</v>
      </c>
      <c r="L2334">
        <v>91</v>
      </c>
      <c r="M2334">
        <f>IF(D2334=I2334,VLOOKUP(D2334,a_win_totals_lookup,MATCH(K2334,a_wins_total_lookup_header,0)+1,0),VLOOKUP(D2334,a_win_totals_lookup,MATCH(I2334,a_wins_total_lookup_header,0)+1,0))</f>
        <v>0.53496419100371084</v>
      </c>
      <c r="N2334">
        <f t="shared" ca="1" si="36"/>
        <v>1</v>
      </c>
    </row>
    <row r="2335" spans="1:14" x14ac:dyDescent="0.25">
      <c r="A2335">
        <v>400579462</v>
      </c>
      <c r="B2335">
        <v>2015</v>
      </c>
      <c r="C2335" s="1">
        <v>42102</v>
      </c>
      <c r="D2335" t="s">
        <v>34</v>
      </c>
      <c r="E2335">
        <v>1</v>
      </c>
      <c r="F2335">
        <v>36</v>
      </c>
      <c r="G2335">
        <v>42</v>
      </c>
      <c r="H2335">
        <v>1</v>
      </c>
      <c r="I2335" t="s">
        <v>34</v>
      </c>
      <c r="J2335">
        <v>103</v>
      </c>
      <c r="K2335" t="s">
        <v>37</v>
      </c>
      <c r="L2335">
        <v>91</v>
      </c>
      <c r="M2335">
        <f>IF(D2335=I2335,VLOOKUP(D2335,a_win_totals_lookup,MATCH(K2335,a_wins_total_lookup_header,0)+1,0),VLOOKUP(D2335,a_win_totals_lookup,MATCH(I2335,a_wins_total_lookup_header,0)+1,0))</f>
        <v>0.46503580899628916</v>
      </c>
      <c r="N2335">
        <f t="shared" ca="1" si="36"/>
        <v>1</v>
      </c>
    </row>
    <row r="2336" spans="1:14" x14ac:dyDescent="0.25">
      <c r="A2336">
        <v>400579463</v>
      </c>
      <c r="B2336">
        <v>2015</v>
      </c>
      <c r="C2336" s="1">
        <v>42102</v>
      </c>
      <c r="D2336" t="s">
        <v>14</v>
      </c>
      <c r="E2336">
        <v>1</v>
      </c>
      <c r="F2336">
        <v>47</v>
      </c>
      <c r="G2336">
        <v>31</v>
      </c>
      <c r="H2336">
        <v>1</v>
      </c>
      <c r="I2336" t="s">
        <v>14</v>
      </c>
      <c r="J2336">
        <v>107</v>
      </c>
      <c r="K2336" t="s">
        <v>35</v>
      </c>
      <c r="L2336">
        <v>104</v>
      </c>
      <c r="M2336">
        <f>IF(D2336=I2336,VLOOKUP(D2336,a_win_totals_lookup,MATCH(K2336,a_wins_total_lookup_header,0)+1,0),VLOOKUP(D2336,a_win_totals_lookup,MATCH(I2336,a_wins_total_lookup_header,0)+1,0))</f>
        <v>0.57751844190882151</v>
      </c>
      <c r="N2336">
        <f t="shared" ca="1" si="36"/>
        <v>1</v>
      </c>
    </row>
    <row r="2337" spans="1:14" x14ac:dyDescent="0.25">
      <c r="A2337">
        <v>400579463</v>
      </c>
      <c r="B2337">
        <v>2015</v>
      </c>
      <c r="C2337" s="1">
        <v>42102</v>
      </c>
      <c r="D2337" t="s">
        <v>35</v>
      </c>
      <c r="E2337">
        <v>0</v>
      </c>
      <c r="F2337">
        <v>39</v>
      </c>
      <c r="G2337">
        <v>40</v>
      </c>
      <c r="H2337">
        <v>0</v>
      </c>
      <c r="I2337" t="s">
        <v>14</v>
      </c>
      <c r="J2337">
        <v>107</v>
      </c>
      <c r="K2337" t="s">
        <v>35</v>
      </c>
      <c r="L2337">
        <v>104</v>
      </c>
      <c r="M2337">
        <f>IF(D2337=I2337,VLOOKUP(D2337,a_win_totals_lookup,MATCH(K2337,a_wins_total_lookup_header,0)+1,0),VLOOKUP(D2337,a_win_totals_lookup,MATCH(I2337,a_wins_total_lookup_header,0)+1,0))</f>
        <v>0.42248155809117843</v>
      </c>
      <c r="N2337">
        <f t="shared" ca="1" si="36"/>
        <v>0</v>
      </c>
    </row>
    <row r="2338" spans="1:14" x14ac:dyDescent="0.25">
      <c r="A2338">
        <v>400579464</v>
      </c>
      <c r="B2338">
        <v>2015</v>
      </c>
      <c r="C2338" s="1">
        <v>42102</v>
      </c>
      <c r="D2338" t="s">
        <v>29</v>
      </c>
      <c r="E2338">
        <v>0</v>
      </c>
      <c r="F2338">
        <v>16</v>
      </c>
      <c r="G2338">
        <v>62</v>
      </c>
      <c r="H2338">
        <v>0</v>
      </c>
      <c r="I2338" t="s">
        <v>39</v>
      </c>
      <c r="J2338">
        <v>116</v>
      </c>
      <c r="K2338" t="s">
        <v>29</v>
      </c>
      <c r="L2338">
        <v>91</v>
      </c>
      <c r="M2338">
        <f>IF(D2338=I2338,VLOOKUP(D2338,a_win_totals_lookup,MATCH(K2338,a_wins_total_lookup_header,0)+1,0),VLOOKUP(D2338,a_win_totals_lookup,MATCH(I2338,a_wins_total_lookup_header,0)+1,0))</f>
        <v>0.25990995831593727</v>
      </c>
      <c r="N2338">
        <f t="shared" ca="1" si="36"/>
        <v>1</v>
      </c>
    </row>
    <row r="2339" spans="1:14" x14ac:dyDescent="0.25">
      <c r="A2339">
        <v>400579464</v>
      </c>
      <c r="B2339">
        <v>2015</v>
      </c>
      <c r="C2339" s="1">
        <v>42102</v>
      </c>
      <c r="D2339" t="s">
        <v>39</v>
      </c>
      <c r="E2339">
        <v>1</v>
      </c>
      <c r="F2339">
        <v>51</v>
      </c>
      <c r="G2339">
        <v>27</v>
      </c>
      <c r="H2339">
        <v>1</v>
      </c>
      <c r="I2339" t="s">
        <v>39</v>
      </c>
      <c r="J2339">
        <v>116</v>
      </c>
      <c r="K2339" t="s">
        <v>29</v>
      </c>
      <c r="L2339">
        <v>91</v>
      </c>
      <c r="M2339">
        <f>IF(D2339=I2339,VLOOKUP(D2339,a_win_totals_lookup,MATCH(K2339,a_wins_total_lookup_header,0)+1,0),VLOOKUP(D2339,a_win_totals_lookup,MATCH(I2339,a_wins_total_lookup_header,0)+1,0))</f>
        <v>0.74009004168406278</v>
      </c>
      <c r="N2339">
        <f t="shared" ca="1" si="36"/>
        <v>1</v>
      </c>
    </row>
    <row r="2340" spans="1:14" x14ac:dyDescent="0.25">
      <c r="A2340">
        <v>400579465</v>
      </c>
      <c r="B2340">
        <v>2015</v>
      </c>
      <c r="C2340" s="1">
        <v>42103</v>
      </c>
      <c r="D2340" t="s">
        <v>30</v>
      </c>
      <c r="E2340">
        <v>1</v>
      </c>
      <c r="F2340">
        <v>47</v>
      </c>
      <c r="G2340">
        <v>32</v>
      </c>
      <c r="H2340">
        <v>0</v>
      </c>
      <c r="I2340" t="s">
        <v>24</v>
      </c>
      <c r="J2340">
        <v>78</v>
      </c>
      <c r="K2340" t="s">
        <v>30</v>
      </c>
      <c r="L2340">
        <v>89</v>
      </c>
      <c r="M2340">
        <f>IF(D2340=I2340,VLOOKUP(D2340,a_win_totals_lookup,MATCH(K2340,a_wins_total_lookup_header,0)+1,0),VLOOKUP(D2340,a_win_totals_lookup,MATCH(I2340,a_wins_total_lookup_header,0)+1,0))</f>
        <v>0.59122407999213222</v>
      </c>
      <c r="N2340">
        <f t="shared" ca="1" si="36"/>
        <v>1</v>
      </c>
    </row>
    <row r="2341" spans="1:14" x14ac:dyDescent="0.25">
      <c r="A2341">
        <v>400579465</v>
      </c>
      <c r="B2341">
        <v>2015</v>
      </c>
      <c r="C2341" s="1">
        <v>42103</v>
      </c>
      <c r="D2341" t="s">
        <v>24</v>
      </c>
      <c r="E2341">
        <v>0</v>
      </c>
      <c r="F2341">
        <v>35</v>
      </c>
      <c r="G2341">
        <v>44</v>
      </c>
      <c r="H2341">
        <v>1</v>
      </c>
      <c r="I2341" t="s">
        <v>24</v>
      </c>
      <c r="J2341">
        <v>78</v>
      </c>
      <c r="K2341" t="s">
        <v>30</v>
      </c>
      <c r="L2341">
        <v>89</v>
      </c>
      <c r="M2341">
        <f>IF(D2341=I2341,VLOOKUP(D2341,a_win_totals_lookup,MATCH(K2341,a_wins_total_lookup_header,0)+1,0),VLOOKUP(D2341,a_win_totals_lookup,MATCH(I2341,a_wins_total_lookup_header,0)+1,0))</f>
        <v>0.40877592000786772</v>
      </c>
      <c r="N2341">
        <f t="shared" ca="1" si="36"/>
        <v>1</v>
      </c>
    </row>
    <row r="2342" spans="1:14" x14ac:dyDescent="0.25">
      <c r="A2342">
        <v>400579466</v>
      </c>
      <c r="B2342">
        <v>2015</v>
      </c>
      <c r="C2342" s="1">
        <v>42103</v>
      </c>
      <c r="D2342" t="s">
        <v>36</v>
      </c>
      <c r="E2342">
        <v>1</v>
      </c>
      <c r="F2342">
        <v>64</v>
      </c>
      <c r="G2342">
        <v>15</v>
      </c>
      <c r="H2342">
        <v>1</v>
      </c>
      <c r="I2342" t="s">
        <v>36</v>
      </c>
      <c r="J2342">
        <v>116</v>
      </c>
      <c r="K2342" t="s">
        <v>39</v>
      </c>
      <c r="L2342">
        <v>105</v>
      </c>
      <c r="M2342">
        <f>IF(D2342=I2342,VLOOKUP(D2342,a_win_totals_lookup,MATCH(K2342,a_wins_total_lookup_header,0)+1,0),VLOOKUP(D2342,a_win_totals_lookup,MATCH(I2342,a_wins_total_lookup_header,0)+1,0))</f>
        <v>0.53208984971618267</v>
      </c>
      <c r="N2342">
        <f t="shared" ca="1" si="36"/>
        <v>1</v>
      </c>
    </row>
    <row r="2343" spans="1:14" x14ac:dyDescent="0.25">
      <c r="A2343">
        <v>400579466</v>
      </c>
      <c r="B2343">
        <v>2015</v>
      </c>
      <c r="C2343" s="1">
        <v>42103</v>
      </c>
      <c r="D2343" t="s">
        <v>39</v>
      </c>
      <c r="E2343">
        <v>0</v>
      </c>
      <c r="F2343">
        <v>51</v>
      </c>
      <c r="G2343">
        <v>28</v>
      </c>
      <c r="H2343">
        <v>0</v>
      </c>
      <c r="I2343" t="s">
        <v>36</v>
      </c>
      <c r="J2343">
        <v>116</v>
      </c>
      <c r="K2343" t="s">
        <v>39</v>
      </c>
      <c r="L2343">
        <v>105</v>
      </c>
      <c r="M2343">
        <f>IF(D2343=I2343,VLOOKUP(D2343,a_win_totals_lookup,MATCH(K2343,a_wins_total_lookup_header,0)+1,0),VLOOKUP(D2343,a_win_totals_lookup,MATCH(I2343,a_wins_total_lookup_header,0)+1,0))</f>
        <v>0.46791015028381738</v>
      </c>
      <c r="N2343">
        <f t="shared" ca="1" si="36"/>
        <v>1</v>
      </c>
    </row>
    <row r="2344" spans="1:14" x14ac:dyDescent="0.25">
      <c r="A2344">
        <v>400579467</v>
      </c>
      <c r="B2344">
        <v>2015</v>
      </c>
      <c r="C2344" s="1">
        <v>42104</v>
      </c>
      <c r="D2344" t="s">
        <v>13</v>
      </c>
      <c r="E2344">
        <v>0</v>
      </c>
      <c r="F2344">
        <v>25</v>
      </c>
      <c r="G2344">
        <v>54</v>
      </c>
      <c r="H2344">
        <v>1</v>
      </c>
      <c r="I2344" t="s">
        <v>13</v>
      </c>
      <c r="J2344">
        <v>99</v>
      </c>
      <c r="K2344" t="s">
        <v>27</v>
      </c>
      <c r="L2344">
        <v>101</v>
      </c>
      <c r="M2344">
        <f>IF(D2344=I2344,VLOOKUP(D2344,a_win_totals_lookup,MATCH(K2344,a_wins_total_lookup_header,0)+1,0),VLOOKUP(D2344,a_win_totals_lookup,MATCH(I2344,a_wins_total_lookup_header,0)+1,0))</f>
        <v>0.28473557877177313</v>
      </c>
      <c r="N2344">
        <f t="shared" ca="1" si="36"/>
        <v>0</v>
      </c>
    </row>
    <row r="2345" spans="1:14" x14ac:dyDescent="0.25">
      <c r="A2345">
        <v>400579467</v>
      </c>
      <c r="B2345">
        <v>2015</v>
      </c>
      <c r="C2345" s="1">
        <v>42104</v>
      </c>
      <c r="D2345" t="s">
        <v>27</v>
      </c>
      <c r="E2345">
        <v>1</v>
      </c>
      <c r="F2345">
        <v>47</v>
      </c>
      <c r="G2345">
        <v>32</v>
      </c>
      <c r="H2345">
        <v>0</v>
      </c>
      <c r="I2345" t="s">
        <v>13</v>
      </c>
      <c r="J2345">
        <v>99</v>
      </c>
      <c r="K2345" t="s">
        <v>27</v>
      </c>
      <c r="L2345">
        <v>101</v>
      </c>
      <c r="M2345">
        <f>IF(D2345=I2345,VLOOKUP(D2345,a_win_totals_lookup,MATCH(K2345,a_wins_total_lookup_header,0)+1,0),VLOOKUP(D2345,a_win_totals_lookup,MATCH(I2345,a_wins_total_lookup_header,0)+1,0))</f>
        <v>0.71526442122822687</v>
      </c>
      <c r="N2345">
        <f t="shared" ca="1" si="36"/>
        <v>1</v>
      </c>
    </row>
    <row r="2346" spans="1:14" x14ac:dyDescent="0.25">
      <c r="A2346">
        <v>400579468</v>
      </c>
      <c r="B2346">
        <v>2015</v>
      </c>
      <c r="C2346" s="1">
        <v>42104</v>
      </c>
      <c r="D2346" t="s">
        <v>26</v>
      </c>
      <c r="E2346">
        <v>1</v>
      </c>
      <c r="F2346">
        <v>60</v>
      </c>
      <c r="G2346">
        <v>19</v>
      </c>
      <c r="H2346">
        <v>1</v>
      </c>
      <c r="I2346" t="s">
        <v>26</v>
      </c>
      <c r="J2346">
        <v>104</v>
      </c>
      <c r="K2346" t="s">
        <v>18</v>
      </c>
      <c r="L2346">
        <v>80</v>
      </c>
      <c r="M2346">
        <f>IF(D2346=I2346,VLOOKUP(D2346,a_win_totals_lookup,MATCH(K2346,a_wins_total_lookup_header,0)+1,0),VLOOKUP(D2346,a_win_totals_lookup,MATCH(I2346,a_wins_total_lookup_header,0)+1,0))</f>
        <v>0.47688642828156308</v>
      </c>
      <c r="N2346">
        <f t="shared" ca="1" si="36"/>
        <v>0</v>
      </c>
    </row>
    <row r="2347" spans="1:14" x14ac:dyDescent="0.25">
      <c r="A2347">
        <v>400579468</v>
      </c>
      <c r="B2347">
        <v>2015</v>
      </c>
      <c r="C2347" s="1">
        <v>42104</v>
      </c>
      <c r="D2347" t="s">
        <v>18</v>
      </c>
      <c r="E2347">
        <v>0</v>
      </c>
      <c r="F2347">
        <v>33</v>
      </c>
      <c r="G2347">
        <v>46</v>
      </c>
      <c r="H2347">
        <v>0</v>
      </c>
      <c r="I2347" t="s">
        <v>26</v>
      </c>
      <c r="J2347">
        <v>104</v>
      </c>
      <c r="K2347" t="s">
        <v>18</v>
      </c>
      <c r="L2347">
        <v>80</v>
      </c>
      <c r="M2347">
        <f>IF(D2347=I2347,VLOOKUP(D2347,a_win_totals_lookup,MATCH(K2347,a_wins_total_lookup_header,0)+1,0),VLOOKUP(D2347,a_win_totals_lookup,MATCH(I2347,a_wins_total_lookup_header,0)+1,0))</f>
        <v>0.52311357171843698</v>
      </c>
      <c r="N2347">
        <f t="shared" ca="1" si="36"/>
        <v>1</v>
      </c>
    </row>
    <row r="2348" spans="1:14" x14ac:dyDescent="0.25">
      <c r="A2348">
        <v>400579469</v>
      </c>
      <c r="B2348">
        <v>2015</v>
      </c>
      <c r="C2348" s="1">
        <v>42104</v>
      </c>
      <c r="D2348" t="s">
        <v>23</v>
      </c>
      <c r="E2348">
        <v>1</v>
      </c>
      <c r="F2348">
        <v>37</v>
      </c>
      <c r="G2348">
        <v>42</v>
      </c>
      <c r="H2348">
        <v>1</v>
      </c>
      <c r="I2348" t="s">
        <v>23</v>
      </c>
      <c r="J2348">
        <v>117</v>
      </c>
      <c r="K2348" t="s">
        <v>25</v>
      </c>
      <c r="L2348">
        <v>80</v>
      </c>
      <c r="M2348">
        <f>IF(D2348=I2348,VLOOKUP(D2348,a_win_totals_lookup,MATCH(K2348,a_wins_total_lookup_header,0)+1,0),VLOOKUP(D2348,a_win_totals_lookup,MATCH(I2348,a_wins_total_lookup_header,0)+1,0))</f>
        <v>0.41758613378174975</v>
      </c>
      <c r="N2348">
        <f t="shared" ca="1" si="36"/>
        <v>1</v>
      </c>
    </row>
    <row r="2349" spans="1:14" x14ac:dyDescent="0.25">
      <c r="A2349">
        <v>400579469</v>
      </c>
      <c r="B2349">
        <v>2015</v>
      </c>
      <c r="C2349" s="1">
        <v>42104</v>
      </c>
      <c r="D2349" t="s">
        <v>25</v>
      </c>
      <c r="E2349">
        <v>0</v>
      </c>
      <c r="F2349">
        <v>45</v>
      </c>
      <c r="G2349">
        <v>34</v>
      </c>
      <c r="H2349">
        <v>0</v>
      </c>
      <c r="I2349" t="s">
        <v>23</v>
      </c>
      <c r="J2349">
        <v>117</v>
      </c>
      <c r="K2349" t="s">
        <v>25</v>
      </c>
      <c r="L2349">
        <v>80</v>
      </c>
      <c r="M2349">
        <f>IF(D2349=I2349,VLOOKUP(D2349,a_win_totals_lookup,MATCH(K2349,a_wins_total_lookup_header,0)+1,0),VLOOKUP(D2349,a_win_totals_lookup,MATCH(I2349,a_wins_total_lookup_header,0)+1,0))</f>
        <v>0.5824138662182502</v>
      </c>
      <c r="N2349">
        <f t="shared" ca="1" si="36"/>
        <v>1</v>
      </c>
    </row>
    <row r="2350" spans="1:14" x14ac:dyDescent="0.25">
      <c r="A2350">
        <v>400579470</v>
      </c>
      <c r="B2350">
        <v>2015</v>
      </c>
      <c r="C2350" s="1">
        <v>42104</v>
      </c>
      <c r="D2350" t="s">
        <v>22</v>
      </c>
      <c r="E2350">
        <v>1</v>
      </c>
      <c r="F2350">
        <v>37</v>
      </c>
      <c r="G2350">
        <v>42</v>
      </c>
      <c r="H2350">
        <v>0</v>
      </c>
      <c r="I2350" t="s">
        <v>40</v>
      </c>
      <c r="J2350">
        <v>90</v>
      </c>
      <c r="K2350" t="s">
        <v>22</v>
      </c>
      <c r="L2350">
        <v>99</v>
      </c>
      <c r="M2350">
        <f>IF(D2350=I2350,VLOOKUP(D2350,a_win_totals_lookup,MATCH(K2350,a_wins_total_lookup_header,0)+1,0),VLOOKUP(D2350,a_win_totals_lookup,MATCH(I2350,a_wins_total_lookup_header,0)+1,0))</f>
        <v>0.21564873302704085</v>
      </c>
      <c r="N2350">
        <f t="shared" ca="1" si="36"/>
        <v>1</v>
      </c>
    </row>
    <row r="2351" spans="1:14" x14ac:dyDescent="0.25">
      <c r="A2351">
        <v>400579470</v>
      </c>
      <c r="B2351">
        <v>2015</v>
      </c>
      <c r="C2351" s="1">
        <v>42104</v>
      </c>
      <c r="D2351" t="s">
        <v>40</v>
      </c>
      <c r="E2351">
        <v>0</v>
      </c>
      <c r="F2351">
        <v>51</v>
      </c>
      <c r="G2351">
        <v>28</v>
      </c>
      <c r="H2351">
        <v>1</v>
      </c>
      <c r="I2351" t="s">
        <v>40</v>
      </c>
      <c r="J2351">
        <v>90</v>
      </c>
      <c r="K2351" t="s">
        <v>22</v>
      </c>
      <c r="L2351">
        <v>99</v>
      </c>
      <c r="M2351">
        <f>IF(D2351=I2351,VLOOKUP(D2351,a_win_totals_lookup,MATCH(K2351,a_wins_total_lookup_header,0)+1,0),VLOOKUP(D2351,a_win_totals_lookup,MATCH(I2351,a_wins_total_lookup_header,0)+1,0))</f>
        <v>0.7843512669729592</v>
      </c>
      <c r="N2351">
        <f t="shared" ca="1" si="36"/>
        <v>1</v>
      </c>
    </row>
    <row r="2352" spans="1:14" x14ac:dyDescent="0.25">
      <c r="A2352">
        <v>400579471</v>
      </c>
      <c r="B2352">
        <v>2015</v>
      </c>
      <c r="C2352" s="1">
        <v>42104</v>
      </c>
      <c r="D2352" t="s">
        <v>33</v>
      </c>
      <c r="E2352">
        <v>0</v>
      </c>
      <c r="F2352">
        <v>30</v>
      </c>
      <c r="G2352">
        <v>49</v>
      </c>
      <c r="H2352">
        <v>1</v>
      </c>
      <c r="I2352" t="s">
        <v>33</v>
      </c>
      <c r="J2352">
        <v>103</v>
      </c>
      <c r="K2352" t="s">
        <v>20</v>
      </c>
      <c r="L2352">
        <v>107</v>
      </c>
      <c r="M2352">
        <f>IF(D2352=I2352,VLOOKUP(D2352,a_win_totals_lookup,MATCH(K2352,a_wins_total_lookup_header,0)+1,0),VLOOKUP(D2352,a_win_totals_lookup,MATCH(I2352,a_wins_total_lookup_header,0)+1,0))</f>
        <v>0.51613510920097938</v>
      </c>
      <c r="N2352">
        <f t="shared" ca="1" si="36"/>
        <v>1</v>
      </c>
    </row>
    <row r="2353" spans="1:14" x14ac:dyDescent="0.25">
      <c r="A2353">
        <v>400579471</v>
      </c>
      <c r="B2353">
        <v>2015</v>
      </c>
      <c r="C2353" s="1">
        <v>42104</v>
      </c>
      <c r="D2353" t="s">
        <v>20</v>
      </c>
      <c r="E2353">
        <v>1</v>
      </c>
      <c r="F2353">
        <v>36</v>
      </c>
      <c r="G2353">
        <v>43</v>
      </c>
      <c r="H2353">
        <v>0</v>
      </c>
      <c r="I2353" t="s">
        <v>33</v>
      </c>
      <c r="J2353">
        <v>103</v>
      </c>
      <c r="K2353" t="s">
        <v>20</v>
      </c>
      <c r="L2353">
        <v>107</v>
      </c>
      <c r="M2353">
        <f>IF(D2353=I2353,VLOOKUP(D2353,a_win_totals_lookup,MATCH(K2353,a_wins_total_lookup_header,0)+1,0),VLOOKUP(D2353,a_win_totals_lookup,MATCH(I2353,a_wins_total_lookup_header,0)+1,0))</f>
        <v>0.48386489079902056</v>
      </c>
      <c r="N2353">
        <f t="shared" ca="1" si="36"/>
        <v>1</v>
      </c>
    </row>
    <row r="2354" spans="1:14" x14ac:dyDescent="0.25">
      <c r="A2354">
        <v>400579472</v>
      </c>
      <c r="B2354">
        <v>2015</v>
      </c>
      <c r="C2354" s="1">
        <v>42104</v>
      </c>
      <c r="D2354" t="s">
        <v>19</v>
      </c>
      <c r="E2354">
        <v>1</v>
      </c>
      <c r="F2354">
        <v>39</v>
      </c>
      <c r="G2354">
        <v>40</v>
      </c>
      <c r="H2354">
        <v>0</v>
      </c>
      <c r="I2354" t="s">
        <v>31</v>
      </c>
      <c r="J2354">
        <v>91</v>
      </c>
      <c r="K2354" t="s">
        <v>19</v>
      </c>
      <c r="L2354">
        <v>99</v>
      </c>
      <c r="M2354">
        <f>IF(D2354=I2354,VLOOKUP(D2354,a_win_totals_lookup,MATCH(K2354,a_wins_total_lookup_header,0)+1,0),VLOOKUP(D2354,a_win_totals_lookup,MATCH(I2354,a_wins_total_lookup_header,0)+1,0))</f>
        <v>0.35454020664525671</v>
      </c>
      <c r="N2354">
        <f t="shared" ca="1" si="36"/>
        <v>0</v>
      </c>
    </row>
    <row r="2355" spans="1:14" x14ac:dyDescent="0.25">
      <c r="A2355">
        <v>400579472</v>
      </c>
      <c r="B2355">
        <v>2015</v>
      </c>
      <c r="C2355" s="1">
        <v>42104</v>
      </c>
      <c r="D2355" t="s">
        <v>31</v>
      </c>
      <c r="E2355">
        <v>0</v>
      </c>
      <c r="F2355">
        <v>15</v>
      </c>
      <c r="G2355">
        <v>64</v>
      </c>
      <c r="H2355">
        <v>1</v>
      </c>
      <c r="I2355" t="s">
        <v>31</v>
      </c>
      <c r="J2355">
        <v>91</v>
      </c>
      <c r="K2355" t="s">
        <v>19</v>
      </c>
      <c r="L2355">
        <v>99</v>
      </c>
      <c r="M2355">
        <f>IF(D2355=I2355,VLOOKUP(D2355,a_win_totals_lookup,MATCH(K2355,a_wins_total_lookup_header,0)+1,0),VLOOKUP(D2355,a_win_totals_lookup,MATCH(I2355,a_wins_total_lookup_header,0)+1,0))</f>
        <v>0.64545979335474335</v>
      </c>
      <c r="N2355">
        <f t="shared" ca="1" si="36"/>
        <v>0</v>
      </c>
    </row>
    <row r="2356" spans="1:14" x14ac:dyDescent="0.25">
      <c r="A2356">
        <v>400579473</v>
      </c>
      <c r="B2356">
        <v>2015</v>
      </c>
      <c r="C2356" s="1">
        <v>42104</v>
      </c>
      <c r="D2356" t="s">
        <v>16</v>
      </c>
      <c r="E2356">
        <v>0</v>
      </c>
      <c r="F2356">
        <v>53</v>
      </c>
      <c r="G2356">
        <v>26</v>
      </c>
      <c r="H2356">
        <v>1</v>
      </c>
      <c r="I2356" t="s">
        <v>16</v>
      </c>
      <c r="J2356">
        <v>103</v>
      </c>
      <c r="K2356" t="s">
        <v>15</v>
      </c>
      <c r="L2356">
        <v>104</v>
      </c>
      <c r="M2356">
        <f>IF(D2356=I2356,VLOOKUP(D2356,a_win_totals_lookup,MATCH(K2356,a_wins_total_lookup_header,0)+1,0),VLOOKUP(D2356,a_win_totals_lookup,MATCH(I2356,a_wins_total_lookup_header,0)+1,0))</f>
        <v>0.43996111651765601</v>
      </c>
      <c r="N2356">
        <f t="shared" ca="1" si="36"/>
        <v>0</v>
      </c>
    </row>
    <row r="2357" spans="1:14" x14ac:dyDescent="0.25">
      <c r="A2357">
        <v>400579473</v>
      </c>
      <c r="B2357">
        <v>2015</v>
      </c>
      <c r="C2357" s="1">
        <v>42104</v>
      </c>
      <c r="D2357" t="s">
        <v>15</v>
      </c>
      <c r="E2357">
        <v>1</v>
      </c>
      <c r="F2357">
        <v>54</v>
      </c>
      <c r="G2357">
        <v>26</v>
      </c>
      <c r="H2357">
        <v>0</v>
      </c>
      <c r="I2357" t="s">
        <v>16</v>
      </c>
      <c r="J2357">
        <v>103</v>
      </c>
      <c r="K2357" t="s">
        <v>15</v>
      </c>
      <c r="L2357">
        <v>104</v>
      </c>
      <c r="M2357">
        <f>IF(D2357=I2357,VLOOKUP(D2357,a_win_totals_lookup,MATCH(K2357,a_wins_total_lookup_header,0)+1,0),VLOOKUP(D2357,a_win_totals_lookup,MATCH(I2357,a_wins_total_lookup_header,0)+1,0))</f>
        <v>0.5600388834823441</v>
      </c>
      <c r="N2357">
        <f t="shared" ca="1" si="36"/>
        <v>1</v>
      </c>
    </row>
    <row r="2358" spans="1:14" x14ac:dyDescent="0.25">
      <c r="A2358">
        <v>400579474</v>
      </c>
      <c r="B2358">
        <v>2015</v>
      </c>
      <c r="C2358" s="1">
        <v>42104</v>
      </c>
      <c r="D2358" t="s">
        <v>12</v>
      </c>
      <c r="E2358">
        <v>1</v>
      </c>
      <c r="F2358">
        <v>43</v>
      </c>
      <c r="G2358">
        <v>36</v>
      </c>
      <c r="H2358">
        <v>1</v>
      </c>
      <c r="I2358" t="s">
        <v>12</v>
      </c>
      <c r="J2358">
        <v>90</v>
      </c>
      <c r="K2358" t="s">
        <v>35</v>
      </c>
      <c r="L2358">
        <v>75</v>
      </c>
      <c r="M2358">
        <f>IF(D2358=I2358,VLOOKUP(D2358,a_win_totals_lookup,MATCH(K2358,a_wins_total_lookup_header,0)+1,0),VLOOKUP(D2358,a_win_totals_lookup,MATCH(I2358,a_wins_total_lookup_header,0)+1,0))</f>
        <v>0.47439806002693663</v>
      </c>
      <c r="N2358">
        <f t="shared" ca="1" si="36"/>
        <v>1</v>
      </c>
    </row>
    <row r="2359" spans="1:14" x14ac:dyDescent="0.25">
      <c r="A2359">
        <v>400579474</v>
      </c>
      <c r="B2359">
        <v>2015</v>
      </c>
      <c r="C2359" s="1">
        <v>42104</v>
      </c>
      <c r="D2359" t="s">
        <v>35</v>
      </c>
      <c r="E2359">
        <v>0</v>
      </c>
      <c r="F2359">
        <v>39</v>
      </c>
      <c r="G2359">
        <v>41</v>
      </c>
      <c r="H2359">
        <v>0</v>
      </c>
      <c r="I2359" t="s">
        <v>12</v>
      </c>
      <c r="J2359">
        <v>90</v>
      </c>
      <c r="K2359" t="s">
        <v>35</v>
      </c>
      <c r="L2359">
        <v>75</v>
      </c>
      <c r="M2359">
        <f>IF(D2359=I2359,VLOOKUP(D2359,a_win_totals_lookup,MATCH(K2359,a_wins_total_lookup_header,0)+1,0),VLOOKUP(D2359,a_win_totals_lookup,MATCH(I2359,a_wins_total_lookup_header,0)+1,0))</f>
        <v>0.52560193997306337</v>
      </c>
      <c r="N2359">
        <f t="shared" ca="1" si="36"/>
        <v>0</v>
      </c>
    </row>
    <row r="2360" spans="1:14" x14ac:dyDescent="0.25">
      <c r="A2360">
        <v>400579475</v>
      </c>
      <c r="B2360">
        <v>2015</v>
      </c>
      <c r="C2360" s="1">
        <v>42104</v>
      </c>
      <c r="D2360" t="s">
        <v>38</v>
      </c>
      <c r="E2360">
        <v>1</v>
      </c>
      <c r="F2360">
        <v>43</v>
      </c>
      <c r="G2360">
        <v>36</v>
      </c>
      <c r="H2360">
        <v>1</v>
      </c>
      <c r="I2360" t="s">
        <v>38</v>
      </c>
      <c r="J2360">
        <v>116</v>
      </c>
      <c r="K2360" t="s">
        <v>37</v>
      </c>
      <c r="L2360">
        <v>103</v>
      </c>
      <c r="M2360">
        <f>IF(D2360=I2360,VLOOKUP(D2360,a_win_totals_lookup,MATCH(K2360,a_wins_total_lookup_header,0)+1,0),VLOOKUP(D2360,a_win_totals_lookup,MATCH(I2360,a_wins_total_lookup_header,0)+1,0))</f>
        <v>0.69779347286419835</v>
      </c>
      <c r="N2360">
        <f t="shared" ca="1" si="36"/>
        <v>0</v>
      </c>
    </row>
    <row r="2361" spans="1:14" x14ac:dyDescent="0.25">
      <c r="A2361">
        <v>400579475</v>
      </c>
      <c r="B2361">
        <v>2015</v>
      </c>
      <c r="C2361" s="1">
        <v>42104</v>
      </c>
      <c r="D2361" t="s">
        <v>37</v>
      </c>
      <c r="E2361">
        <v>0</v>
      </c>
      <c r="F2361">
        <v>27</v>
      </c>
      <c r="G2361">
        <v>52</v>
      </c>
      <c r="H2361">
        <v>0</v>
      </c>
      <c r="I2361" t="s">
        <v>38</v>
      </c>
      <c r="J2361">
        <v>116</v>
      </c>
      <c r="K2361" t="s">
        <v>37</v>
      </c>
      <c r="L2361">
        <v>103</v>
      </c>
      <c r="M2361">
        <f>IF(D2361=I2361,VLOOKUP(D2361,a_win_totals_lookup,MATCH(K2361,a_wins_total_lookup_header,0)+1,0),VLOOKUP(D2361,a_win_totals_lookup,MATCH(I2361,a_wins_total_lookup_header,0)+1,0))</f>
        <v>0.30220652713580148</v>
      </c>
      <c r="N2361">
        <f t="shared" ca="1" si="36"/>
        <v>0</v>
      </c>
    </row>
    <row r="2362" spans="1:14" x14ac:dyDescent="0.25">
      <c r="A2362">
        <v>400579476</v>
      </c>
      <c r="B2362">
        <v>2015</v>
      </c>
      <c r="C2362" s="1">
        <v>42104</v>
      </c>
      <c r="D2362" t="s">
        <v>14</v>
      </c>
      <c r="E2362">
        <v>1</v>
      </c>
      <c r="F2362">
        <v>48</v>
      </c>
      <c r="G2362">
        <v>31</v>
      </c>
      <c r="H2362">
        <v>0</v>
      </c>
      <c r="I2362" t="s">
        <v>32</v>
      </c>
      <c r="J2362">
        <v>143</v>
      </c>
      <c r="K2362" t="s">
        <v>14</v>
      </c>
      <c r="L2362">
        <v>144</v>
      </c>
      <c r="M2362">
        <f>IF(D2362=I2362,VLOOKUP(D2362,a_win_totals_lookup,MATCH(K2362,a_wins_total_lookup_header,0)+1,0),VLOOKUP(D2362,a_win_totals_lookup,MATCH(I2362,a_wins_total_lookup_header,0)+1,0))</f>
        <v>0.61540135422811282</v>
      </c>
      <c r="N2362">
        <f t="shared" ca="1" si="36"/>
        <v>0</v>
      </c>
    </row>
    <row r="2363" spans="1:14" x14ac:dyDescent="0.25">
      <c r="A2363">
        <v>400579476</v>
      </c>
      <c r="B2363">
        <v>2015</v>
      </c>
      <c r="C2363" s="1">
        <v>42104</v>
      </c>
      <c r="D2363" t="s">
        <v>32</v>
      </c>
      <c r="E2363">
        <v>0</v>
      </c>
      <c r="F2363">
        <v>29</v>
      </c>
      <c r="G2363">
        <v>50</v>
      </c>
      <c r="H2363">
        <v>1</v>
      </c>
      <c r="I2363" t="s">
        <v>32</v>
      </c>
      <c r="J2363">
        <v>143</v>
      </c>
      <c r="K2363" t="s">
        <v>14</v>
      </c>
      <c r="L2363">
        <v>144</v>
      </c>
      <c r="M2363">
        <f>IF(D2363=I2363,VLOOKUP(D2363,a_win_totals_lookup,MATCH(K2363,a_wins_total_lookup_header,0)+1,0),VLOOKUP(D2363,a_win_totals_lookup,MATCH(I2363,a_wins_total_lookup_header,0)+1,0))</f>
        <v>0.38459864577188729</v>
      </c>
      <c r="N2363">
        <f t="shared" ca="1" si="36"/>
        <v>1</v>
      </c>
    </row>
    <row r="2364" spans="1:14" x14ac:dyDescent="0.25">
      <c r="A2364">
        <v>400579477</v>
      </c>
      <c r="B2364">
        <v>2015</v>
      </c>
      <c r="C2364" s="1">
        <v>42104</v>
      </c>
      <c r="D2364" t="s">
        <v>28</v>
      </c>
      <c r="E2364">
        <v>1</v>
      </c>
      <c r="F2364">
        <v>54</v>
      </c>
      <c r="G2364">
        <v>25</v>
      </c>
      <c r="H2364">
        <v>0</v>
      </c>
      <c r="I2364" t="s">
        <v>34</v>
      </c>
      <c r="J2364">
        <v>88</v>
      </c>
      <c r="K2364" t="s">
        <v>28</v>
      </c>
      <c r="L2364">
        <v>89</v>
      </c>
      <c r="M2364">
        <f>IF(D2364=I2364,VLOOKUP(D2364,a_win_totals_lookup,MATCH(K2364,a_wins_total_lookup_header,0)+1,0),VLOOKUP(D2364,a_win_totals_lookup,MATCH(I2364,a_wins_total_lookup_header,0)+1,0))</f>
        <v>0.70201279293629204</v>
      </c>
      <c r="N2364">
        <f t="shared" ca="1" si="36"/>
        <v>0</v>
      </c>
    </row>
    <row r="2365" spans="1:14" x14ac:dyDescent="0.25">
      <c r="A2365">
        <v>400579477</v>
      </c>
      <c r="B2365">
        <v>2015</v>
      </c>
      <c r="C2365" s="1">
        <v>42104</v>
      </c>
      <c r="D2365" t="s">
        <v>34</v>
      </c>
      <c r="E2365">
        <v>0</v>
      </c>
      <c r="F2365">
        <v>36</v>
      </c>
      <c r="G2365">
        <v>43</v>
      </c>
      <c r="H2365">
        <v>1</v>
      </c>
      <c r="I2365" t="s">
        <v>34</v>
      </c>
      <c r="J2365">
        <v>88</v>
      </c>
      <c r="K2365" t="s">
        <v>28</v>
      </c>
      <c r="L2365">
        <v>89</v>
      </c>
      <c r="M2365">
        <f>IF(D2365=I2365,VLOOKUP(D2365,a_win_totals_lookup,MATCH(K2365,a_wins_total_lookup_header,0)+1,0),VLOOKUP(D2365,a_win_totals_lookup,MATCH(I2365,a_wins_total_lookup_header,0)+1,0))</f>
        <v>0.29798720706370802</v>
      </c>
      <c r="N2365">
        <f t="shared" ca="1" si="36"/>
        <v>1</v>
      </c>
    </row>
    <row r="2366" spans="1:14" x14ac:dyDescent="0.25">
      <c r="A2366">
        <v>400579478</v>
      </c>
      <c r="B2366">
        <v>2015</v>
      </c>
      <c r="C2366" s="1">
        <v>42104</v>
      </c>
      <c r="D2366" t="s">
        <v>17</v>
      </c>
      <c r="E2366">
        <v>1</v>
      </c>
      <c r="F2366">
        <v>21</v>
      </c>
      <c r="G2366">
        <v>58</v>
      </c>
      <c r="H2366">
        <v>1</v>
      </c>
      <c r="I2366" t="s">
        <v>17</v>
      </c>
      <c r="J2366">
        <v>106</v>
      </c>
      <c r="K2366" t="s">
        <v>29</v>
      </c>
      <c r="L2366">
        <v>98</v>
      </c>
      <c r="M2366">
        <f>IF(D2366=I2366,VLOOKUP(D2366,a_win_totals_lookup,MATCH(K2366,a_wins_total_lookup_header,0)+1,0),VLOOKUP(D2366,a_win_totals_lookup,MATCH(I2366,a_wins_total_lookup_header,0)+1,0))</f>
        <v>0.59026429763515698</v>
      </c>
      <c r="N2366">
        <f t="shared" ca="1" si="36"/>
        <v>0</v>
      </c>
    </row>
    <row r="2367" spans="1:14" x14ac:dyDescent="0.25">
      <c r="A2367">
        <v>400579478</v>
      </c>
      <c r="B2367">
        <v>2015</v>
      </c>
      <c r="C2367" s="1">
        <v>42104</v>
      </c>
      <c r="D2367" t="s">
        <v>29</v>
      </c>
      <c r="E2367">
        <v>0</v>
      </c>
      <c r="F2367">
        <v>16</v>
      </c>
      <c r="G2367">
        <v>63</v>
      </c>
      <c r="H2367">
        <v>0</v>
      </c>
      <c r="I2367" t="s">
        <v>17</v>
      </c>
      <c r="J2367">
        <v>106</v>
      </c>
      <c r="K2367" t="s">
        <v>29</v>
      </c>
      <c r="L2367">
        <v>98</v>
      </c>
      <c r="M2367">
        <f>IF(D2367=I2367,VLOOKUP(D2367,a_win_totals_lookup,MATCH(K2367,a_wins_total_lookup_header,0)+1,0),VLOOKUP(D2367,a_win_totals_lookup,MATCH(I2367,a_wins_total_lookup_header,0)+1,0))</f>
        <v>0.40973570236484297</v>
      </c>
      <c r="N2367">
        <f t="shared" ca="1" si="36"/>
        <v>0</v>
      </c>
    </row>
    <row r="2368" spans="1:14" x14ac:dyDescent="0.25">
      <c r="A2368">
        <v>400579479</v>
      </c>
      <c r="B2368">
        <v>2015</v>
      </c>
      <c r="C2368" s="1">
        <v>42105</v>
      </c>
      <c r="D2368" t="s">
        <v>31</v>
      </c>
      <c r="E2368">
        <v>1</v>
      </c>
      <c r="F2368">
        <v>16</v>
      </c>
      <c r="G2368">
        <v>64</v>
      </c>
      <c r="H2368">
        <v>0</v>
      </c>
      <c r="I2368" t="s">
        <v>13</v>
      </c>
      <c r="J2368">
        <v>79</v>
      </c>
      <c r="K2368" t="s">
        <v>31</v>
      </c>
      <c r="L2368">
        <v>80</v>
      </c>
      <c r="M2368">
        <f>IF(D2368=I2368,VLOOKUP(D2368,a_win_totals_lookup,MATCH(K2368,a_wins_total_lookup_header,0)+1,0),VLOOKUP(D2368,a_win_totals_lookup,MATCH(I2368,a_wins_total_lookup_header,0)+1,0))</f>
        <v>0.61088100448941873</v>
      </c>
      <c r="N2368">
        <f t="shared" ca="1" si="36"/>
        <v>1</v>
      </c>
    </row>
    <row r="2369" spans="1:14" x14ac:dyDescent="0.25">
      <c r="A2369">
        <v>400579479</v>
      </c>
      <c r="B2369">
        <v>2015</v>
      </c>
      <c r="C2369" s="1">
        <v>42105</v>
      </c>
      <c r="D2369" t="s">
        <v>13</v>
      </c>
      <c r="E2369">
        <v>0</v>
      </c>
      <c r="F2369">
        <v>25</v>
      </c>
      <c r="G2369">
        <v>55</v>
      </c>
      <c r="H2369">
        <v>1</v>
      </c>
      <c r="I2369" t="s">
        <v>13</v>
      </c>
      <c r="J2369">
        <v>79</v>
      </c>
      <c r="K2369" t="s">
        <v>31</v>
      </c>
      <c r="L2369">
        <v>80</v>
      </c>
      <c r="M2369">
        <f>IF(D2369=I2369,VLOOKUP(D2369,a_win_totals_lookup,MATCH(K2369,a_wins_total_lookup_header,0)+1,0),VLOOKUP(D2369,a_win_totals_lookup,MATCH(I2369,a_wins_total_lookup_header,0)+1,0))</f>
        <v>0.38911899551058127</v>
      </c>
      <c r="N2369">
        <f t="shared" ca="1" si="36"/>
        <v>0</v>
      </c>
    </row>
    <row r="2370" spans="1:14" x14ac:dyDescent="0.25">
      <c r="A2370">
        <v>400579481</v>
      </c>
      <c r="B2370">
        <v>2015</v>
      </c>
      <c r="C2370" s="1">
        <v>42105</v>
      </c>
      <c r="D2370" t="s">
        <v>30</v>
      </c>
      <c r="E2370">
        <v>1</v>
      </c>
      <c r="F2370">
        <v>48</v>
      </c>
      <c r="G2370">
        <v>32</v>
      </c>
      <c r="H2370">
        <v>1</v>
      </c>
      <c r="I2370" t="s">
        <v>30</v>
      </c>
      <c r="J2370">
        <v>114</v>
      </c>
      <c r="K2370" t="s">
        <v>21</v>
      </c>
      <c r="L2370">
        <v>107</v>
      </c>
      <c r="M2370">
        <f>IF(D2370=I2370,VLOOKUP(D2370,a_win_totals_lookup,MATCH(K2370,a_wins_total_lookup_header,0)+1,0),VLOOKUP(D2370,a_win_totals_lookup,MATCH(I2370,a_wins_total_lookup_header,0)+1,0))</f>
        <v>0.80357563767142925</v>
      </c>
      <c r="N2370">
        <f t="shared" ca="1" si="36"/>
        <v>1</v>
      </c>
    </row>
    <row r="2371" spans="1:14" x14ac:dyDescent="0.25">
      <c r="A2371">
        <v>400579481</v>
      </c>
      <c r="B2371">
        <v>2015</v>
      </c>
      <c r="C2371" s="1">
        <v>42105</v>
      </c>
      <c r="D2371" t="s">
        <v>21</v>
      </c>
      <c r="E2371">
        <v>0</v>
      </c>
      <c r="F2371">
        <v>18</v>
      </c>
      <c r="G2371">
        <v>62</v>
      </c>
      <c r="H2371">
        <v>0</v>
      </c>
      <c r="I2371" t="s">
        <v>30</v>
      </c>
      <c r="J2371">
        <v>114</v>
      </c>
      <c r="K2371" t="s">
        <v>21</v>
      </c>
      <c r="L2371">
        <v>107</v>
      </c>
      <c r="M2371">
        <f>IF(D2371=I2371,VLOOKUP(D2371,a_win_totals_lookup,MATCH(K2371,a_wins_total_lookup_header,0)+1,0),VLOOKUP(D2371,a_win_totals_lookup,MATCH(I2371,a_wins_total_lookup_header,0)+1,0))</f>
        <v>0.19642436232857072</v>
      </c>
      <c r="N2371">
        <f t="shared" ref="N2371:N2434" ca="1" si="37">ROUND(0.5*RANDBETWEEN(-1,1)+M2371,0)</f>
        <v>0</v>
      </c>
    </row>
    <row r="2372" spans="1:14" x14ac:dyDescent="0.25">
      <c r="A2372">
        <v>400579482</v>
      </c>
      <c r="B2372">
        <v>2015</v>
      </c>
      <c r="C2372" s="1">
        <v>42105</v>
      </c>
      <c r="D2372" t="s">
        <v>41</v>
      </c>
      <c r="E2372">
        <v>1</v>
      </c>
      <c r="F2372">
        <v>54</v>
      </c>
      <c r="G2372">
        <v>26</v>
      </c>
      <c r="H2372">
        <v>1</v>
      </c>
      <c r="I2372" t="s">
        <v>41</v>
      </c>
      <c r="J2372">
        <v>94</v>
      </c>
      <c r="K2372" t="s">
        <v>28</v>
      </c>
      <c r="L2372">
        <v>86</v>
      </c>
      <c r="M2372">
        <f>IF(D2372=I2372,VLOOKUP(D2372,a_win_totals_lookup,MATCH(K2372,a_wins_total_lookup_header,0)+1,0),VLOOKUP(D2372,a_win_totals_lookup,MATCH(I2372,a_wins_total_lookup_header,0)+1,0))</f>
        <v>0.5521428232847434</v>
      </c>
      <c r="N2372">
        <f t="shared" ca="1" si="37"/>
        <v>0</v>
      </c>
    </row>
    <row r="2373" spans="1:14" x14ac:dyDescent="0.25">
      <c r="A2373">
        <v>400579482</v>
      </c>
      <c r="B2373">
        <v>2015</v>
      </c>
      <c r="C2373" s="1">
        <v>42105</v>
      </c>
      <c r="D2373" t="s">
        <v>28</v>
      </c>
      <c r="E2373">
        <v>0</v>
      </c>
      <c r="F2373">
        <v>54</v>
      </c>
      <c r="G2373">
        <v>26</v>
      </c>
      <c r="H2373">
        <v>0</v>
      </c>
      <c r="I2373" t="s">
        <v>41</v>
      </c>
      <c r="J2373">
        <v>94</v>
      </c>
      <c r="K2373" t="s">
        <v>28</v>
      </c>
      <c r="L2373">
        <v>86</v>
      </c>
      <c r="M2373">
        <f>IF(D2373=I2373,VLOOKUP(D2373,a_win_totals_lookup,MATCH(K2373,a_wins_total_lookup_header,0)+1,0),VLOOKUP(D2373,a_win_totals_lookup,MATCH(I2373,a_wins_total_lookup_header,0)+1,0))</f>
        <v>0.44785717671525666</v>
      </c>
      <c r="N2373">
        <f t="shared" ca="1" si="37"/>
        <v>0</v>
      </c>
    </row>
    <row r="2374" spans="1:14" x14ac:dyDescent="0.25">
      <c r="A2374">
        <v>400579483</v>
      </c>
      <c r="B2374">
        <v>2015</v>
      </c>
      <c r="C2374" s="1">
        <v>42105</v>
      </c>
      <c r="D2374" t="s">
        <v>39</v>
      </c>
      <c r="E2374">
        <v>0</v>
      </c>
      <c r="F2374">
        <v>51</v>
      </c>
      <c r="G2374">
        <v>29</v>
      </c>
      <c r="H2374">
        <v>1</v>
      </c>
      <c r="I2374" t="s">
        <v>39</v>
      </c>
      <c r="J2374">
        <v>105</v>
      </c>
      <c r="K2374" t="s">
        <v>34</v>
      </c>
      <c r="L2374">
        <v>111</v>
      </c>
      <c r="M2374">
        <f>IF(D2374=I2374,VLOOKUP(D2374,a_win_totals_lookup,MATCH(K2374,a_wins_total_lookup_header,0)+1,0),VLOOKUP(D2374,a_win_totals_lookup,MATCH(I2374,a_wins_total_lookup_header,0)+1,0))</f>
        <v>0.69454700244383094</v>
      </c>
      <c r="N2374">
        <f t="shared" ca="1" si="37"/>
        <v>0</v>
      </c>
    </row>
    <row r="2375" spans="1:14" x14ac:dyDescent="0.25">
      <c r="A2375">
        <v>400579483</v>
      </c>
      <c r="B2375">
        <v>2015</v>
      </c>
      <c r="C2375" s="1">
        <v>42105</v>
      </c>
      <c r="D2375" t="s">
        <v>34</v>
      </c>
      <c r="E2375">
        <v>1</v>
      </c>
      <c r="F2375">
        <v>37</v>
      </c>
      <c r="G2375">
        <v>43</v>
      </c>
      <c r="H2375">
        <v>0</v>
      </c>
      <c r="I2375" t="s">
        <v>39</v>
      </c>
      <c r="J2375">
        <v>105</v>
      </c>
      <c r="K2375" t="s">
        <v>34</v>
      </c>
      <c r="L2375">
        <v>111</v>
      </c>
      <c r="M2375">
        <f>IF(D2375=I2375,VLOOKUP(D2375,a_win_totals_lookup,MATCH(K2375,a_wins_total_lookup_header,0)+1,0),VLOOKUP(D2375,a_win_totals_lookup,MATCH(I2375,a_wins_total_lookup_header,0)+1,0))</f>
        <v>0.305452997556169</v>
      </c>
      <c r="N2375">
        <f t="shared" ca="1" si="37"/>
        <v>1</v>
      </c>
    </row>
    <row r="2376" spans="1:14" x14ac:dyDescent="0.25">
      <c r="A2376">
        <v>400579484</v>
      </c>
      <c r="B2376">
        <v>2015</v>
      </c>
      <c r="C2376" s="1">
        <v>42105</v>
      </c>
      <c r="D2376" t="s">
        <v>36</v>
      </c>
      <c r="E2376">
        <v>1</v>
      </c>
      <c r="F2376">
        <v>65</v>
      </c>
      <c r="G2376">
        <v>15</v>
      </c>
      <c r="H2376">
        <v>1</v>
      </c>
      <c r="I2376" t="s">
        <v>36</v>
      </c>
      <c r="J2376">
        <v>110</v>
      </c>
      <c r="K2376" t="s">
        <v>29</v>
      </c>
      <c r="L2376">
        <v>101</v>
      </c>
      <c r="M2376">
        <f>IF(D2376=I2376,VLOOKUP(D2376,a_win_totals_lookup,MATCH(K2376,a_wins_total_lookup_header,0)+1,0),VLOOKUP(D2376,a_win_totals_lookup,MATCH(I2376,a_wins_total_lookup_header,0)+1,0))</f>
        <v>0.7640426735507897</v>
      </c>
      <c r="N2376">
        <f t="shared" ca="1" si="37"/>
        <v>1</v>
      </c>
    </row>
    <row r="2377" spans="1:14" x14ac:dyDescent="0.25">
      <c r="A2377">
        <v>400579484</v>
      </c>
      <c r="B2377">
        <v>2015</v>
      </c>
      <c r="C2377" s="1">
        <v>42105</v>
      </c>
      <c r="D2377" t="s">
        <v>29</v>
      </c>
      <c r="E2377">
        <v>0</v>
      </c>
      <c r="F2377">
        <v>16</v>
      </c>
      <c r="G2377">
        <v>64</v>
      </c>
      <c r="H2377">
        <v>0</v>
      </c>
      <c r="I2377" t="s">
        <v>36</v>
      </c>
      <c r="J2377">
        <v>110</v>
      </c>
      <c r="K2377" t="s">
        <v>29</v>
      </c>
      <c r="L2377">
        <v>101</v>
      </c>
      <c r="M2377">
        <f>IF(D2377=I2377,VLOOKUP(D2377,a_win_totals_lookup,MATCH(K2377,a_wins_total_lookup_header,0)+1,0),VLOOKUP(D2377,a_win_totals_lookup,MATCH(I2377,a_wins_total_lookup_header,0)+1,0))</f>
        <v>0.23595732644921025</v>
      </c>
      <c r="N2377">
        <f t="shared" ca="1" si="37"/>
        <v>0</v>
      </c>
    </row>
    <row r="2378" spans="1:14" x14ac:dyDescent="0.25">
      <c r="A2378">
        <v>400579485</v>
      </c>
      <c r="B2378">
        <v>2015</v>
      </c>
      <c r="C2378" s="1">
        <v>42106</v>
      </c>
      <c r="D2378" t="s">
        <v>23</v>
      </c>
      <c r="E2378">
        <v>0</v>
      </c>
      <c r="F2378">
        <v>37</v>
      </c>
      <c r="G2378">
        <v>43</v>
      </c>
      <c r="H2378">
        <v>0</v>
      </c>
      <c r="I2378" t="s">
        <v>19</v>
      </c>
      <c r="J2378">
        <v>96</v>
      </c>
      <c r="K2378" t="s">
        <v>23</v>
      </c>
      <c r="L2378">
        <v>73</v>
      </c>
      <c r="M2378">
        <f>IF(D2378=I2378,VLOOKUP(D2378,a_win_totals_lookup,MATCH(K2378,a_wins_total_lookup_header,0)+1,0),VLOOKUP(D2378,a_win_totals_lookup,MATCH(I2378,a_wins_total_lookup_header,0)+1,0))</f>
        <v>0.64545979335474335</v>
      </c>
      <c r="N2378">
        <f t="shared" ca="1" si="37"/>
        <v>1</v>
      </c>
    </row>
    <row r="2379" spans="1:14" x14ac:dyDescent="0.25">
      <c r="A2379">
        <v>400579485</v>
      </c>
      <c r="B2379">
        <v>2015</v>
      </c>
      <c r="C2379" s="1">
        <v>42106</v>
      </c>
      <c r="D2379" t="s">
        <v>19</v>
      </c>
      <c r="E2379">
        <v>1</v>
      </c>
      <c r="F2379">
        <v>40</v>
      </c>
      <c r="G2379">
        <v>40</v>
      </c>
      <c r="H2379">
        <v>1</v>
      </c>
      <c r="I2379" t="s">
        <v>19</v>
      </c>
      <c r="J2379">
        <v>96</v>
      </c>
      <c r="K2379" t="s">
        <v>23</v>
      </c>
      <c r="L2379">
        <v>73</v>
      </c>
      <c r="M2379">
        <f>IF(D2379=I2379,VLOOKUP(D2379,a_win_totals_lookup,MATCH(K2379,a_wins_total_lookup_header,0)+1,0),VLOOKUP(D2379,a_win_totals_lookup,MATCH(I2379,a_wins_total_lookup_header,0)+1,0))</f>
        <v>0.35454020664525671</v>
      </c>
      <c r="N2379">
        <f t="shared" ca="1" si="37"/>
        <v>1</v>
      </c>
    </row>
    <row r="2380" spans="1:14" x14ac:dyDescent="0.25">
      <c r="A2380">
        <v>400579486</v>
      </c>
      <c r="B2380">
        <v>2015</v>
      </c>
      <c r="C2380" s="1">
        <v>42106</v>
      </c>
      <c r="D2380" t="s">
        <v>22</v>
      </c>
      <c r="E2380">
        <v>1</v>
      </c>
      <c r="F2380">
        <v>38</v>
      </c>
      <c r="G2380">
        <v>42</v>
      </c>
      <c r="H2380">
        <v>1</v>
      </c>
      <c r="I2380" t="s">
        <v>22</v>
      </c>
      <c r="J2380">
        <v>117</v>
      </c>
      <c r="K2380" t="s">
        <v>40</v>
      </c>
      <c r="L2380">
        <v>78</v>
      </c>
      <c r="M2380">
        <f>IF(D2380=I2380,VLOOKUP(D2380,a_win_totals_lookup,MATCH(K2380,a_wins_total_lookup_header,0)+1,0),VLOOKUP(D2380,a_win_totals_lookup,MATCH(I2380,a_wins_total_lookup_header,0)+1,0))</f>
        <v>0.21564873302704085</v>
      </c>
      <c r="N2380">
        <f t="shared" ca="1" si="37"/>
        <v>0</v>
      </c>
    </row>
    <row r="2381" spans="1:14" x14ac:dyDescent="0.25">
      <c r="A2381">
        <v>400579486</v>
      </c>
      <c r="B2381">
        <v>2015</v>
      </c>
      <c r="C2381" s="1">
        <v>42106</v>
      </c>
      <c r="D2381" t="s">
        <v>40</v>
      </c>
      <c r="E2381">
        <v>0</v>
      </c>
      <c r="F2381">
        <v>51</v>
      </c>
      <c r="G2381">
        <v>29</v>
      </c>
      <c r="H2381">
        <v>0</v>
      </c>
      <c r="I2381" t="s">
        <v>22</v>
      </c>
      <c r="J2381">
        <v>117</v>
      </c>
      <c r="K2381" t="s">
        <v>40</v>
      </c>
      <c r="L2381">
        <v>78</v>
      </c>
      <c r="M2381">
        <f>IF(D2381=I2381,VLOOKUP(D2381,a_win_totals_lookup,MATCH(K2381,a_wins_total_lookup_header,0)+1,0),VLOOKUP(D2381,a_win_totals_lookup,MATCH(I2381,a_wins_total_lookup_header,0)+1,0))</f>
        <v>0.7843512669729592</v>
      </c>
      <c r="N2381">
        <f t="shared" ca="1" si="37"/>
        <v>0</v>
      </c>
    </row>
    <row r="2382" spans="1:14" x14ac:dyDescent="0.25">
      <c r="A2382">
        <v>400579487</v>
      </c>
      <c r="B2382">
        <v>2015</v>
      </c>
      <c r="C2382" s="1">
        <v>42106</v>
      </c>
      <c r="D2382" t="s">
        <v>18</v>
      </c>
      <c r="E2382">
        <v>0</v>
      </c>
      <c r="F2382">
        <v>33</v>
      </c>
      <c r="G2382">
        <v>47</v>
      </c>
      <c r="H2382">
        <v>0</v>
      </c>
      <c r="I2382" t="s">
        <v>33</v>
      </c>
      <c r="J2382">
        <v>116</v>
      </c>
      <c r="K2382" t="s">
        <v>18</v>
      </c>
      <c r="L2382">
        <v>77</v>
      </c>
      <c r="M2382">
        <f>IF(D2382=I2382,VLOOKUP(D2382,a_win_totals_lookup,MATCH(K2382,a_wins_total_lookup_header,0)+1,0),VLOOKUP(D2382,a_win_totals_lookup,MATCH(I2382,a_wins_total_lookup_header,0)+1,0))</f>
        <v>0.60576693861644582</v>
      </c>
      <c r="N2382">
        <f t="shared" ca="1" si="37"/>
        <v>1</v>
      </c>
    </row>
    <row r="2383" spans="1:14" x14ac:dyDescent="0.25">
      <c r="A2383">
        <v>400579487</v>
      </c>
      <c r="B2383">
        <v>2015</v>
      </c>
      <c r="C2383" s="1">
        <v>42106</v>
      </c>
      <c r="D2383" t="s">
        <v>33</v>
      </c>
      <c r="E2383">
        <v>1</v>
      </c>
      <c r="F2383">
        <v>31</v>
      </c>
      <c r="G2383">
        <v>49</v>
      </c>
      <c r="H2383">
        <v>1</v>
      </c>
      <c r="I2383" t="s">
        <v>33</v>
      </c>
      <c r="J2383">
        <v>116</v>
      </c>
      <c r="K2383" t="s">
        <v>18</v>
      </c>
      <c r="L2383">
        <v>77</v>
      </c>
      <c r="M2383">
        <f>IF(D2383=I2383,VLOOKUP(D2383,a_win_totals_lookup,MATCH(K2383,a_wins_total_lookup_header,0)+1,0),VLOOKUP(D2383,a_win_totals_lookup,MATCH(I2383,a_wins_total_lookup_header,0)+1,0))</f>
        <v>0.39423306138355413</v>
      </c>
      <c r="N2383">
        <f t="shared" ca="1" si="37"/>
        <v>0</v>
      </c>
    </row>
    <row r="2384" spans="1:14" x14ac:dyDescent="0.25">
      <c r="A2384">
        <v>400579488</v>
      </c>
      <c r="B2384">
        <v>2015</v>
      </c>
      <c r="C2384" s="1">
        <v>42106</v>
      </c>
      <c r="D2384" t="s">
        <v>32</v>
      </c>
      <c r="E2384">
        <v>1</v>
      </c>
      <c r="F2384">
        <v>30</v>
      </c>
      <c r="G2384">
        <v>50</v>
      </c>
      <c r="H2384">
        <v>1</v>
      </c>
      <c r="I2384" t="s">
        <v>32</v>
      </c>
      <c r="J2384">
        <v>122</v>
      </c>
      <c r="K2384" t="s">
        <v>37</v>
      </c>
      <c r="L2384">
        <v>111</v>
      </c>
      <c r="M2384">
        <f>IF(D2384=I2384,VLOOKUP(D2384,a_win_totals_lookup,MATCH(K2384,a_wins_total_lookup_header,0)+1,0),VLOOKUP(D2384,a_win_totals_lookup,MATCH(I2384,a_wins_total_lookup_header,0)+1,0))</f>
        <v>0.57711263446281591</v>
      </c>
      <c r="N2384">
        <f t="shared" ca="1" si="37"/>
        <v>1</v>
      </c>
    </row>
    <row r="2385" spans="1:14" x14ac:dyDescent="0.25">
      <c r="A2385">
        <v>400579488</v>
      </c>
      <c r="B2385">
        <v>2015</v>
      </c>
      <c r="C2385" s="1">
        <v>42106</v>
      </c>
      <c r="D2385" t="s">
        <v>37</v>
      </c>
      <c r="E2385">
        <v>0</v>
      </c>
      <c r="F2385">
        <v>27</v>
      </c>
      <c r="G2385">
        <v>53</v>
      </c>
      <c r="H2385">
        <v>0</v>
      </c>
      <c r="I2385" t="s">
        <v>32</v>
      </c>
      <c r="J2385">
        <v>122</v>
      </c>
      <c r="K2385" t="s">
        <v>37</v>
      </c>
      <c r="L2385">
        <v>111</v>
      </c>
      <c r="M2385">
        <f>IF(D2385=I2385,VLOOKUP(D2385,a_win_totals_lookup,MATCH(K2385,a_wins_total_lookup_header,0)+1,0),VLOOKUP(D2385,a_win_totals_lookup,MATCH(I2385,a_wins_total_lookup_header,0)+1,0))</f>
        <v>0.42288736553718415</v>
      </c>
      <c r="N2385">
        <f t="shared" ca="1" si="37"/>
        <v>0</v>
      </c>
    </row>
    <row r="2386" spans="1:14" x14ac:dyDescent="0.25">
      <c r="A2386">
        <v>400579489</v>
      </c>
      <c r="B2386">
        <v>2015</v>
      </c>
      <c r="C2386" s="1">
        <v>42106</v>
      </c>
      <c r="D2386" t="s">
        <v>20</v>
      </c>
      <c r="E2386">
        <v>1</v>
      </c>
      <c r="F2386">
        <v>37</v>
      </c>
      <c r="G2386">
        <v>43</v>
      </c>
      <c r="H2386">
        <v>1</v>
      </c>
      <c r="I2386" t="s">
        <v>20</v>
      </c>
      <c r="J2386">
        <v>116</v>
      </c>
      <c r="K2386" t="s">
        <v>38</v>
      </c>
      <c r="L2386">
        <v>104</v>
      </c>
      <c r="M2386">
        <f>IF(D2386=I2386,VLOOKUP(D2386,a_win_totals_lookup,MATCH(K2386,a_wins_total_lookup_header,0)+1,0),VLOOKUP(D2386,a_win_totals_lookup,MATCH(I2386,a_wins_total_lookup_header,0)+1,0))</f>
        <v>0.31647978635601037</v>
      </c>
      <c r="N2386">
        <f t="shared" ca="1" si="37"/>
        <v>0</v>
      </c>
    </row>
    <row r="2387" spans="1:14" x14ac:dyDescent="0.25">
      <c r="A2387">
        <v>400579489</v>
      </c>
      <c r="B2387">
        <v>2015</v>
      </c>
      <c r="C2387" s="1">
        <v>42106</v>
      </c>
      <c r="D2387" t="s">
        <v>38</v>
      </c>
      <c r="E2387">
        <v>0</v>
      </c>
      <c r="F2387">
        <v>43</v>
      </c>
      <c r="G2387">
        <v>37</v>
      </c>
      <c r="H2387">
        <v>0</v>
      </c>
      <c r="I2387" t="s">
        <v>20</v>
      </c>
      <c r="J2387">
        <v>116</v>
      </c>
      <c r="K2387" t="s">
        <v>38</v>
      </c>
      <c r="L2387">
        <v>104</v>
      </c>
      <c r="M2387">
        <f>IF(D2387=I2387,VLOOKUP(D2387,a_win_totals_lookup,MATCH(K2387,a_wins_total_lookup_header,0)+1,0),VLOOKUP(D2387,a_win_totals_lookup,MATCH(I2387,a_wins_total_lookup_header,0)+1,0))</f>
        <v>0.68352021364398963</v>
      </c>
      <c r="N2387">
        <f t="shared" ca="1" si="37"/>
        <v>1</v>
      </c>
    </row>
    <row r="2388" spans="1:14" x14ac:dyDescent="0.25">
      <c r="A2388">
        <v>400579490</v>
      </c>
      <c r="B2388">
        <v>2015</v>
      </c>
      <c r="C2388" s="1">
        <v>42106</v>
      </c>
      <c r="D2388" t="s">
        <v>26</v>
      </c>
      <c r="E2388">
        <v>0</v>
      </c>
      <c r="F2388">
        <v>60</v>
      </c>
      <c r="G2388">
        <v>20</v>
      </c>
      <c r="H2388">
        <v>0</v>
      </c>
      <c r="I2388" t="s">
        <v>25</v>
      </c>
      <c r="J2388">
        <v>108</v>
      </c>
      <c r="K2388" t="s">
        <v>26</v>
      </c>
      <c r="L2388">
        <v>99</v>
      </c>
      <c r="M2388">
        <f>IF(D2388=I2388,VLOOKUP(D2388,a_win_totals_lookup,MATCH(K2388,a_wins_total_lookup_header,0)+1,0),VLOOKUP(D2388,a_win_totals_lookup,MATCH(I2388,a_wins_total_lookup_header,0)+1,0))</f>
        <v>0.45630903898702979</v>
      </c>
      <c r="N2388">
        <f t="shared" ca="1" si="37"/>
        <v>1</v>
      </c>
    </row>
    <row r="2389" spans="1:14" x14ac:dyDescent="0.25">
      <c r="A2389">
        <v>400579490</v>
      </c>
      <c r="B2389">
        <v>2015</v>
      </c>
      <c r="C2389" s="1">
        <v>42106</v>
      </c>
      <c r="D2389" t="s">
        <v>25</v>
      </c>
      <c r="E2389">
        <v>1</v>
      </c>
      <c r="F2389">
        <v>46</v>
      </c>
      <c r="G2389">
        <v>34</v>
      </c>
      <c r="H2389">
        <v>1</v>
      </c>
      <c r="I2389" t="s">
        <v>25</v>
      </c>
      <c r="J2389">
        <v>108</v>
      </c>
      <c r="K2389" t="s">
        <v>26</v>
      </c>
      <c r="L2389">
        <v>99</v>
      </c>
      <c r="M2389">
        <f>IF(D2389=I2389,VLOOKUP(D2389,a_win_totals_lookup,MATCH(K2389,a_wins_total_lookup_header,0)+1,0),VLOOKUP(D2389,a_win_totals_lookup,MATCH(I2389,a_wins_total_lookup_header,0)+1,0))</f>
        <v>0.54369096101297021</v>
      </c>
      <c r="N2389">
        <f t="shared" ca="1" si="37"/>
        <v>0</v>
      </c>
    </row>
    <row r="2390" spans="1:14" x14ac:dyDescent="0.25">
      <c r="A2390">
        <v>400579491</v>
      </c>
      <c r="B2390">
        <v>2015</v>
      </c>
      <c r="C2390" s="1">
        <v>42106</v>
      </c>
      <c r="D2390" t="s">
        <v>16</v>
      </c>
      <c r="E2390">
        <v>1</v>
      </c>
      <c r="F2390">
        <v>54</v>
      </c>
      <c r="G2390">
        <v>26</v>
      </c>
      <c r="H2390">
        <v>1</v>
      </c>
      <c r="I2390" t="s">
        <v>16</v>
      </c>
      <c r="J2390">
        <v>121</v>
      </c>
      <c r="K2390" t="s">
        <v>12</v>
      </c>
      <c r="L2390">
        <v>114</v>
      </c>
      <c r="M2390">
        <f>IF(D2390=I2390,VLOOKUP(D2390,a_win_totals_lookup,MATCH(K2390,a_wins_total_lookup_header,0)+1,0),VLOOKUP(D2390,a_win_totals_lookup,MATCH(I2390,a_wins_total_lookup_header,0)+1,0))</f>
        <v>0.56898424522980195</v>
      </c>
      <c r="N2390">
        <f t="shared" ca="1" si="37"/>
        <v>1</v>
      </c>
    </row>
    <row r="2391" spans="1:14" x14ac:dyDescent="0.25">
      <c r="A2391">
        <v>400579491</v>
      </c>
      <c r="B2391">
        <v>2015</v>
      </c>
      <c r="C2391" s="1">
        <v>42106</v>
      </c>
      <c r="D2391" t="s">
        <v>12</v>
      </c>
      <c r="E2391">
        <v>0</v>
      </c>
      <c r="F2391">
        <v>43</v>
      </c>
      <c r="G2391">
        <v>37</v>
      </c>
      <c r="H2391">
        <v>0</v>
      </c>
      <c r="I2391" t="s">
        <v>16</v>
      </c>
      <c r="J2391">
        <v>121</v>
      </c>
      <c r="K2391" t="s">
        <v>12</v>
      </c>
      <c r="L2391">
        <v>114</v>
      </c>
      <c r="M2391">
        <f>IF(D2391=I2391,VLOOKUP(D2391,a_win_totals_lookup,MATCH(K2391,a_wins_total_lookup_header,0)+1,0),VLOOKUP(D2391,a_win_totals_lookup,MATCH(I2391,a_wins_total_lookup_header,0)+1,0))</f>
        <v>0.43101575477019799</v>
      </c>
      <c r="N2391">
        <f t="shared" ca="1" si="37"/>
        <v>0</v>
      </c>
    </row>
    <row r="2392" spans="1:14" x14ac:dyDescent="0.25">
      <c r="A2392">
        <v>400579492</v>
      </c>
      <c r="B2392">
        <v>2015</v>
      </c>
      <c r="C2392" s="1">
        <v>42106</v>
      </c>
      <c r="D2392" t="s">
        <v>35</v>
      </c>
      <c r="E2392">
        <v>0</v>
      </c>
      <c r="F2392">
        <v>39</v>
      </c>
      <c r="G2392">
        <v>42</v>
      </c>
      <c r="H2392">
        <v>0</v>
      </c>
      <c r="I2392" t="s">
        <v>15</v>
      </c>
      <c r="J2392">
        <v>107</v>
      </c>
      <c r="K2392" t="s">
        <v>35</v>
      </c>
      <c r="L2392">
        <v>91</v>
      </c>
      <c r="M2392">
        <f>IF(D2392=I2392,VLOOKUP(D2392,a_win_totals_lookup,MATCH(K2392,a_wins_total_lookup_header,0)+1,0),VLOOKUP(D2392,a_win_totals_lookup,MATCH(I2392,a_wins_total_lookup_header,0)+1,0))</f>
        <v>0.39734725240030316</v>
      </c>
      <c r="N2392">
        <f t="shared" ca="1" si="37"/>
        <v>1</v>
      </c>
    </row>
    <row r="2393" spans="1:14" x14ac:dyDescent="0.25">
      <c r="A2393">
        <v>400579492</v>
      </c>
      <c r="B2393">
        <v>2015</v>
      </c>
      <c r="C2393" s="1">
        <v>42106</v>
      </c>
      <c r="D2393" t="s">
        <v>15</v>
      </c>
      <c r="E2393">
        <v>1</v>
      </c>
      <c r="F2393">
        <v>55</v>
      </c>
      <c r="G2393">
        <v>26</v>
      </c>
      <c r="H2393">
        <v>1</v>
      </c>
      <c r="I2393" t="s">
        <v>15</v>
      </c>
      <c r="J2393">
        <v>107</v>
      </c>
      <c r="K2393" t="s">
        <v>35</v>
      </c>
      <c r="L2393">
        <v>91</v>
      </c>
      <c r="M2393">
        <f>IF(D2393=I2393,VLOOKUP(D2393,a_win_totals_lookup,MATCH(K2393,a_wins_total_lookup_header,0)+1,0),VLOOKUP(D2393,a_win_totals_lookup,MATCH(I2393,a_wins_total_lookup_header,0)+1,0))</f>
        <v>0.60265274759969689</v>
      </c>
      <c r="N2393">
        <f t="shared" ca="1" si="37"/>
        <v>1</v>
      </c>
    </row>
    <row r="2394" spans="1:14" x14ac:dyDescent="0.25">
      <c r="A2394">
        <v>400579493</v>
      </c>
      <c r="B2394">
        <v>2015</v>
      </c>
      <c r="C2394" s="1">
        <v>42106</v>
      </c>
      <c r="D2394" t="s">
        <v>14</v>
      </c>
      <c r="E2394">
        <v>1</v>
      </c>
      <c r="F2394">
        <v>49</v>
      </c>
      <c r="G2394">
        <v>31</v>
      </c>
      <c r="H2394">
        <v>0</v>
      </c>
      <c r="I2394" t="s">
        <v>17</v>
      </c>
      <c r="J2394">
        <v>106</v>
      </c>
      <c r="K2394" t="s">
        <v>14</v>
      </c>
      <c r="L2394">
        <v>120</v>
      </c>
      <c r="M2394">
        <f>IF(D2394=I2394,VLOOKUP(D2394,a_win_totals_lookup,MATCH(K2394,a_wins_total_lookup_header,0)+1,0),VLOOKUP(D2394,a_win_totals_lookup,MATCH(I2394,a_wins_total_lookup_header,0)+1,0))</f>
        <v>0.68589687603228333</v>
      </c>
      <c r="N2394">
        <f t="shared" ca="1" si="37"/>
        <v>1</v>
      </c>
    </row>
    <row r="2395" spans="1:14" x14ac:dyDescent="0.25">
      <c r="A2395">
        <v>400579493</v>
      </c>
      <c r="B2395">
        <v>2015</v>
      </c>
      <c r="C2395" s="1">
        <v>42106</v>
      </c>
      <c r="D2395" t="s">
        <v>17</v>
      </c>
      <c r="E2395">
        <v>0</v>
      </c>
      <c r="F2395">
        <v>21</v>
      </c>
      <c r="G2395">
        <v>59</v>
      </c>
      <c r="H2395">
        <v>1</v>
      </c>
      <c r="I2395" t="s">
        <v>17</v>
      </c>
      <c r="J2395">
        <v>106</v>
      </c>
      <c r="K2395" t="s">
        <v>14</v>
      </c>
      <c r="L2395">
        <v>120</v>
      </c>
      <c r="M2395">
        <f>IF(D2395=I2395,VLOOKUP(D2395,a_win_totals_lookup,MATCH(K2395,a_wins_total_lookup_header,0)+1,0),VLOOKUP(D2395,a_win_totals_lookup,MATCH(I2395,a_wins_total_lookup_header,0)+1,0))</f>
        <v>0.31410312396771667</v>
      </c>
      <c r="N2395">
        <f t="shared" ca="1" si="37"/>
        <v>1</v>
      </c>
    </row>
    <row r="2396" spans="1:14" x14ac:dyDescent="0.25">
      <c r="A2396">
        <v>400579494</v>
      </c>
      <c r="B2396">
        <v>2015</v>
      </c>
      <c r="C2396" s="1">
        <v>42107</v>
      </c>
      <c r="D2396" t="s">
        <v>18</v>
      </c>
      <c r="E2396">
        <v>0</v>
      </c>
      <c r="F2396">
        <v>33</v>
      </c>
      <c r="G2396">
        <v>48</v>
      </c>
      <c r="H2396">
        <v>1</v>
      </c>
      <c r="I2396" t="s">
        <v>18</v>
      </c>
      <c r="J2396">
        <v>90</v>
      </c>
      <c r="K2396" t="s">
        <v>16</v>
      </c>
      <c r="L2396">
        <v>100</v>
      </c>
      <c r="M2396">
        <f>IF(D2396=I2396,VLOOKUP(D2396,a_win_totals_lookup,MATCH(K2396,a_wins_total_lookup_header,0)+1,0),VLOOKUP(D2396,a_win_totals_lookup,MATCH(I2396,a_wins_total_lookup_header,0)+1,0))</f>
        <v>0.47933915293597207</v>
      </c>
      <c r="N2396">
        <f t="shared" ca="1" si="37"/>
        <v>0</v>
      </c>
    </row>
    <row r="2397" spans="1:14" x14ac:dyDescent="0.25">
      <c r="A2397">
        <v>400579494</v>
      </c>
      <c r="B2397">
        <v>2015</v>
      </c>
      <c r="C2397" s="1">
        <v>42107</v>
      </c>
      <c r="D2397" t="s">
        <v>16</v>
      </c>
      <c r="E2397">
        <v>1</v>
      </c>
      <c r="F2397">
        <v>55</v>
      </c>
      <c r="G2397">
        <v>26</v>
      </c>
      <c r="H2397">
        <v>0</v>
      </c>
      <c r="I2397" t="s">
        <v>18</v>
      </c>
      <c r="J2397">
        <v>90</v>
      </c>
      <c r="K2397" t="s">
        <v>16</v>
      </c>
      <c r="L2397">
        <v>100</v>
      </c>
      <c r="M2397">
        <f>IF(D2397=I2397,VLOOKUP(D2397,a_win_totals_lookup,MATCH(K2397,a_wins_total_lookup_header,0)+1,0),VLOOKUP(D2397,a_win_totals_lookup,MATCH(I2397,a_wins_total_lookup_header,0)+1,0))</f>
        <v>0.52066084706402804</v>
      </c>
      <c r="N2397">
        <f t="shared" ca="1" si="37"/>
        <v>1</v>
      </c>
    </row>
    <row r="2398" spans="1:14" x14ac:dyDescent="0.25">
      <c r="A2398">
        <v>400579495</v>
      </c>
      <c r="B2398">
        <v>2015</v>
      </c>
      <c r="C2398" s="1">
        <v>42107</v>
      </c>
      <c r="D2398" t="s">
        <v>40</v>
      </c>
      <c r="E2398">
        <v>1</v>
      </c>
      <c r="F2398">
        <v>52</v>
      </c>
      <c r="G2398">
        <v>29</v>
      </c>
      <c r="H2398">
        <v>1</v>
      </c>
      <c r="I2398" t="s">
        <v>40</v>
      </c>
      <c r="J2398">
        <v>109</v>
      </c>
      <c r="K2398" t="s">
        <v>33</v>
      </c>
      <c r="L2398">
        <v>97</v>
      </c>
      <c r="M2398">
        <f>IF(D2398=I2398,VLOOKUP(D2398,a_win_totals_lookup,MATCH(K2398,a_wins_total_lookup_header,0)+1,0),VLOOKUP(D2398,a_win_totals_lookup,MATCH(I2398,a_wins_total_lookup_header,0)+1,0))</f>
        <v>0.68885451974663314</v>
      </c>
      <c r="N2398">
        <f t="shared" ca="1" si="37"/>
        <v>1</v>
      </c>
    </row>
    <row r="2399" spans="1:14" x14ac:dyDescent="0.25">
      <c r="A2399">
        <v>400579495</v>
      </c>
      <c r="B2399">
        <v>2015</v>
      </c>
      <c r="C2399" s="1">
        <v>42107</v>
      </c>
      <c r="D2399" t="s">
        <v>33</v>
      </c>
      <c r="E2399">
        <v>0</v>
      </c>
      <c r="F2399">
        <v>31</v>
      </c>
      <c r="G2399">
        <v>50</v>
      </c>
      <c r="H2399">
        <v>0</v>
      </c>
      <c r="I2399" t="s">
        <v>40</v>
      </c>
      <c r="J2399">
        <v>109</v>
      </c>
      <c r="K2399" t="s">
        <v>33</v>
      </c>
      <c r="L2399">
        <v>97</v>
      </c>
      <c r="M2399">
        <f>IF(D2399=I2399,VLOOKUP(D2399,a_win_totals_lookup,MATCH(K2399,a_wins_total_lookup_header,0)+1,0),VLOOKUP(D2399,a_win_totals_lookup,MATCH(I2399,a_wins_total_lookup_header,0)+1,0))</f>
        <v>0.31114548025336697</v>
      </c>
      <c r="N2399">
        <f t="shared" ca="1" si="37"/>
        <v>0</v>
      </c>
    </row>
    <row r="2400" spans="1:14" x14ac:dyDescent="0.25">
      <c r="A2400">
        <v>400579496</v>
      </c>
      <c r="B2400">
        <v>2015</v>
      </c>
      <c r="C2400" s="1">
        <v>42107</v>
      </c>
      <c r="D2400" t="s">
        <v>19</v>
      </c>
      <c r="E2400">
        <v>1</v>
      </c>
      <c r="F2400">
        <v>41</v>
      </c>
      <c r="G2400">
        <v>40</v>
      </c>
      <c r="H2400">
        <v>0</v>
      </c>
      <c r="I2400" t="s">
        <v>21</v>
      </c>
      <c r="J2400">
        <v>97</v>
      </c>
      <c r="K2400" t="s">
        <v>19</v>
      </c>
      <c r="L2400">
        <v>107</v>
      </c>
      <c r="M2400">
        <f>IF(D2400=I2400,VLOOKUP(D2400,a_win_totals_lookup,MATCH(K2400,a_wins_total_lookup_header,0)+1,0),VLOOKUP(D2400,a_win_totals_lookup,MATCH(I2400,a_wins_total_lookup_header,0)+1,0))</f>
        <v>0.5586395048824998</v>
      </c>
      <c r="N2400">
        <f t="shared" ca="1" si="37"/>
        <v>1</v>
      </c>
    </row>
    <row r="2401" spans="1:14" x14ac:dyDescent="0.25">
      <c r="A2401">
        <v>400579496</v>
      </c>
      <c r="B2401">
        <v>2015</v>
      </c>
      <c r="C2401" s="1">
        <v>42107</v>
      </c>
      <c r="D2401" t="s">
        <v>21</v>
      </c>
      <c r="E2401">
        <v>0</v>
      </c>
      <c r="F2401">
        <v>18</v>
      </c>
      <c r="G2401">
        <v>63</v>
      </c>
      <c r="H2401">
        <v>1</v>
      </c>
      <c r="I2401" t="s">
        <v>21</v>
      </c>
      <c r="J2401">
        <v>97</v>
      </c>
      <c r="K2401" t="s">
        <v>19</v>
      </c>
      <c r="L2401">
        <v>107</v>
      </c>
      <c r="M2401">
        <f>IF(D2401=I2401,VLOOKUP(D2401,a_win_totals_lookup,MATCH(K2401,a_wins_total_lookup_header,0)+1,0),VLOOKUP(D2401,a_win_totals_lookup,MATCH(I2401,a_wins_total_lookup_header,0)+1,0))</f>
        <v>0.44136049511750025</v>
      </c>
      <c r="N2401">
        <f t="shared" ca="1" si="37"/>
        <v>0</v>
      </c>
    </row>
    <row r="2402" spans="1:14" x14ac:dyDescent="0.25">
      <c r="A2402">
        <v>400579497</v>
      </c>
      <c r="B2402">
        <v>2015</v>
      </c>
      <c r="C2402" s="1">
        <v>42107</v>
      </c>
      <c r="D2402" t="s">
        <v>26</v>
      </c>
      <c r="E2402">
        <v>0</v>
      </c>
      <c r="F2402">
        <v>60</v>
      </c>
      <c r="G2402">
        <v>21</v>
      </c>
      <c r="H2402">
        <v>1</v>
      </c>
      <c r="I2402" t="s">
        <v>26</v>
      </c>
      <c r="J2402">
        <v>108</v>
      </c>
      <c r="K2402" t="s">
        <v>31</v>
      </c>
      <c r="L2402">
        <v>112</v>
      </c>
      <c r="M2402">
        <f>IF(D2402=I2402,VLOOKUP(D2402,a_win_totals_lookup,MATCH(K2402,a_wins_total_lookup_header,0)+1,0),VLOOKUP(D2402,a_win_totals_lookup,MATCH(I2402,a_wins_total_lookup_header,0)+1,0))</f>
        <v>0.53928878009305825</v>
      </c>
      <c r="N2402">
        <f t="shared" ca="1" si="37"/>
        <v>0</v>
      </c>
    </row>
    <row r="2403" spans="1:14" x14ac:dyDescent="0.25">
      <c r="A2403">
        <v>400579497</v>
      </c>
      <c r="B2403">
        <v>2015</v>
      </c>
      <c r="C2403" s="1">
        <v>42107</v>
      </c>
      <c r="D2403" t="s">
        <v>31</v>
      </c>
      <c r="E2403">
        <v>1</v>
      </c>
      <c r="F2403">
        <v>17</v>
      </c>
      <c r="G2403">
        <v>64</v>
      </c>
      <c r="H2403">
        <v>0</v>
      </c>
      <c r="I2403" t="s">
        <v>26</v>
      </c>
      <c r="J2403">
        <v>108</v>
      </c>
      <c r="K2403" t="s">
        <v>31</v>
      </c>
      <c r="L2403">
        <v>112</v>
      </c>
      <c r="M2403">
        <f>IF(D2403=I2403,VLOOKUP(D2403,a_win_totals_lookup,MATCH(K2403,a_wins_total_lookup_header,0)+1,0),VLOOKUP(D2403,a_win_totals_lookup,MATCH(I2403,a_wins_total_lookup_header,0)+1,0))</f>
        <v>0.46071121990694175</v>
      </c>
      <c r="N2403">
        <f t="shared" ca="1" si="37"/>
        <v>1</v>
      </c>
    </row>
    <row r="2404" spans="1:14" x14ac:dyDescent="0.25">
      <c r="A2404">
        <v>400579498</v>
      </c>
      <c r="B2404">
        <v>2015</v>
      </c>
      <c r="C2404" s="1">
        <v>42107</v>
      </c>
      <c r="D2404" t="s">
        <v>23</v>
      </c>
      <c r="E2404">
        <v>0</v>
      </c>
      <c r="F2404">
        <v>37</v>
      </c>
      <c r="G2404">
        <v>44</v>
      </c>
      <c r="H2404">
        <v>1</v>
      </c>
      <c r="I2404" t="s">
        <v>23</v>
      </c>
      <c r="J2404">
        <v>86</v>
      </c>
      <c r="K2404" t="s">
        <v>30</v>
      </c>
      <c r="L2404">
        <v>113</v>
      </c>
      <c r="M2404">
        <f>IF(D2404=I2404,VLOOKUP(D2404,a_win_totals_lookup,MATCH(K2404,a_wins_total_lookup_header,0)+1,0),VLOOKUP(D2404,a_win_totals_lookup,MATCH(I2404,a_wins_total_lookup_header,0)+1,0))</f>
        <v>0.36031197606974674</v>
      </c>
      <c r="N2404">
        <f t="shared" ca="1" si="37"/>
        <v>0</v>
      </c>
    </row>
    <row r="2405" spans="1:14" x14ac:dyDescent="0.25">
      <c r="A2405">
        <v>400579498</v>
      </c>
      <c r="B2405">
        <v>2015</v>
      </c>
      <c r="C2405" s="1">
        <v>42107</v>
      </c>
      <c r="D2405" t="s">
        <v>30</v>
      </c>
      <c r="E2405">
        <v>1</v>
      </c>
      <c r="F2405">
        <v>49</v>
      </c>
      <c r="G2405">
        <v>32</v>
      </c>
      <c r="H2405">
        <v>0</v>
      </c>
      <c r="I2405" t="s">
        <v>23</v>
      </c>
      <c r="J2405">
        <v>86</v>
      </c>
      <c r="K2405" t="s">
        <v>30</v>
      </c>
      <c r="L2405">
        <v>113</v>
      </c>
      <c r="M2405">
        <f>IF(D2405=I2405,VLOOKUP(D2405,a_win_totals_lookup,MATCH(K2405,a_wins_total_lookup_header,0)+1,0),VLOOKUP(D2405,a_win_totals_lookup,MATCH(I2405,a_wins_total_lookup_header,0)+1,0))</f>
        <v>0.63968802393025326</v>
      </c>
      <c r="N2405">
        <f t="shared" ca="1" si="37"/>
        <v>1</v>
      </c>
    </row>
    <row r="2406" spans="1:14" x14ac:dyDescent="0.25">
      <c r="A2406">
        <v>400579499</v>
      </c>
      <c r="B2406">
        <v>2015</v>
      </c>
      <c r="C2406" s="1">
        <v>42107</v>
      </c>
      <c r="D2406" t="s">
        <v>24</v>
      </c>
      <c r="E2406">
        <v>1</v>
      </c>
      <c r="F2406">
        <v>36</v>
      </c>
      <c r="G2406">
        <v>45</v>
      </c>
      <c r="H2406">
        <v>1</v>
      </c>
      <c r="I2406" t="s">
        <v>24</v>
      </c>
      <c r="J2406">
        <v>100</v>
      </c>
      <c r="K2406" t="s">
        <v>13</v>
      </c>
      <c r="L2406">
        <v>93</v>
      </c>
      <c r="M2406">
        <f>IF(D2406=I2406,VLOOKUP(D2406,a_win_totals_lookup,MATCH(K2406,a_wins_total_lookup_header,0)+1,0),VLOOKUP(D2406,a_win_totals_lookup,MATCH(I2406,a_wins_total_lookup_header,0)+1,0))</f>
        <v>0.65836112820019976</v>
      </c>
      <c r="N2406">
        <f t="shared" ca="1" si="37"/>
        <v>1</v>
      </c>
    </row>
    <row r="2407" spans="1:14" x14ac:dyDescent="0.25">
      <c r="A2407">
        <v>400579499</v>
      </c>
      <c r="B2407">
        <v>2015</v>
      </c>
      <c r="C2407" s="1">
        <v>42107</v>
      </c>
      <c r="D2407" t="s">
        <v>13</v>
      </c>
      <c r="E2407">
        <v>0</v>
      </c>
      <c r="F2407">
        <v>25</v>
      </c>
      <c r="G2407">
        <v>56</v>
      </c>
      <c r="H2407">
        <v>0</v>
      </c>
      <c r="I2407" t="s">
        <v>24</v>
      </c>
      <c r="J2407">
        <v>100</v>
      </c>
      <c r="K2407" t="s">
        <v>13</v>
      </c>
      <c r="L2407">
        <v>93</v>
      </c>
      <c r="M2407">
        <f>IF(D2407=I2407,VLOOKUP(D2407,a_win_totals_lookup,MATCH(K2407,a_wins_total_lookup_header,0)+1,0),VLOOKUP(D2407,a_win_totals_lookup,MATCH(I2407,a_wins_total_lookup_header,0)+1,0))</f>
        <v>0.34163887179980024</v>
      </c>
      <c r="N2407">
        <f t="shared" ca="1" si="37"/>
        <v>1</v>
      </c>
    </row>
    <row r="2408" spans="1:14" x14ac:dyDescent="0.25">
      <c r="A2408">
        <v>400579500</v>
      </c>
      <c r="B2408">
        <v>2015</v>
      </c>
      <c r="C2408" s="1">
        <v>42107</v>
      </c>
      <c r="D2408" t="s">
        <v>29</v>
      </c>
      <c r="E2408">
        <v>0</v>
      </c>
      <c r="F2408">
        <v>16</v>
      </c>
      <c r="G2408">
        <v>65</v>
      </c>
      <c r="H2408">
        <v>1</v>
      </c>
      <c r="I2408" t="s">
        <v>29</v>
      </c>
      <c r="J2408">
        <v>88</v>
      </c>
      <c r="K2408" t="s">
        <v>12</v>
      </c>
      <c r="L2408">
        <v>100</v>
      </c>
      <c r="M2408">
        <f>IF(D2408=I2408,VLOOKUP(D2408,a_win_totals_lookup,MATCH(K2408,a_wins_total_lookup_header,0)+1,0),VLOOKUP(D2408,a_win_totals_lookup,MATCH(I2408,a_wins_total_lookup_header,0)+1,0))</f>
        <v>0.32498145759955055</v>
      </c>
      <c r="N2408">
        <f t="shared" ca="1" si="37"/>
        <v>0</v>
      </c>
    </row>
    <row r="2409" spans="1:14" x14ac:dyDescent="0.25">
      <c r="A2409">
        <v>400579500</v>
      </c>
      <c r="B2409">
        <v>2015</v>
      </c>
      <c r="C2409" s="1">
        <v>42107</v>
      </c>
      <c r="D2409" t="s">
        <v>12</v>
      </c>
      <c r="E2409">
        <v>1</v>
      </c>
      <c r="F2409">
        <v>44</v>
      </c>
      <c r="G2409">
        <v>37</v>
      </c>
      <c r="H2409">
        <v>0</v>
      </c>
      <c r="I2409" t="s">
        <v>29</v>
      </c>
      <c r="J2409">
        <v>88</v>
      </c>
      <c r="K2409" t="s">
        <v>12</v>
      </c>
      <c r="L2409">
        <v>100</v>
      </c>
      <c r="M2409">
        <f>IF(D2409=I2409,VLOOKUP(D2409,a_win_totals_lookup,MATCH(K2409,a_wins_total_lookup_header,0)+1,0),VLOOKUP(D2409,a_win_totals_lookup,MATCH(I2409,a_wins_total_lookup_header,0)+1,0))</f>
        <v>0.67501854240044945</v>
      </c>
      <c r="N2409">
        <f t="shared" ca="1" si="37"/>
        <v>1</v>
      </c>
    </row>
    <row r="2410" spans="1:14" x14ac:dyDescent="0.25">
      <c r="A2410">
        <v>400579501</v>
      </c>
      <c r="B2410">
        <v>2015</v>
      </c>
      <c r="C2410" s="1">
        <v>42107</v>
      </c>
      <c r="D2410" t="s">
        <v>38</v>
      </c>
      <c r="E2410">
        <v>1</v>
      </c>
      <c r="F2410">
        <v>44</v>
      </c>
      <c r="G2410">
        <v>37</v>
      </c>
      <c r="H2410">
        <v>1</v>
      </c>
      <c r="I2410" t="s">
        <v>38</v>
      </c>
      <c r="J2410">
        <v>101</v>
      </c>
      <c r="K2410" t="s">
        <v>39</v>
      </c>
      <c r="L2410">
        <v>90</v>
      </c>
      <c r="M2410">
        <f>IF(D2410=I2410,VLOOKUP(D2410,a_win_totals_lookup,MATCH(K2410,a_wins_total_lookup_header,0)+1,0),VLOOKUP(D2410,a_win_totals_lookup,MATCH(I2410,a_wins_total_lookup_header,0)+1,0))</f>
        <v>0.5387804547757824</v>
      </c>
      <c r="N2410">
        <f t="shared" ca="1" si="37"/>
        <v>0</v>
      </c>
    </row>
    <row r="2411" spans="1:14" x14ac:dyDescent="0.25">
      <c r="A2411">
        <v>400579501</v>
      </c>
      <c r="B2411">
        <v>2015</v>
      </c>
      <c r="C2411" s="1">
        <v>42107</v>
      </c>
      <c r="D2411" t="s">
        <v>39</v>
      </c>
      <c r="E2411">
        <v>0</v>
      </c>
      <c r="F2411">
        <v>51</v>
      </c>
      <c r="G2411">
        <v>30</v>
      </c>
      <c r="H2411">
        <v>0</v>
      </c>
      <c r="I2411" t="s">
        <v>38</v>
      </c>
      <c r="J2411">
        <v>101</v>
      </c>
      <c r="K2411" t="s">
        <v>39</v>
      </c>
      <c r="L2411">
        <v>90</v>
      </c>
      <c r="M2411">
        <f>IF(D2411=I2411,VLOOKUP(D2411,a_win_totals_lookup,MATCH(K2411,a_wins_total_lookup_header,0)+1,0),VLOOKUP(D2411,a_win_totals_lookup,MATCH(I2411,a_wins_total_lookup_header,0)+1,0))</f>
        <v>0.46121954522421765</v>
      </c>
      <c r="N2411">
        <f t="shared" ca="1" si="37"/>
        <v>0</v>
      </c>
    </row>
    <row r="2412" spans="1:14" x14ac:dyDescent="0.25">
      <c r="A2412">
        <v>400579502</v>
      </c>
      <c r="B2412">
        <v>2015</v>
      </c>
      <c r="C2412" s="1">
        <v>42107</v>
      </c>
      <c r="D2412" t="s">
        <v>14</v>
      </c>
      <c r="E2412">
        <v>0</v>
      </c>
      <c r="F2412">
        <v>49</v>
      </c>
      <c r="G2412">
        <v>32</v>
      </c>
      <c r="H2412">
        <v>0</v>
      </c>
      <c r="I2412" t="s">
        <v>34</v>
      </c>
      <c r="J2412">
        <v>109</v>
      </c>
      <c r="K2412" t="s">
        <v>14</v>
      </c>
      <c r="L2412">
        <v>92</v>
      </c>
      <c r="M2412">
        <f>IF(D2412=I2412,VLOOKUP(D2412,a_win_totals_lookup,MATCH(K2412,a_wins_total_lookup_header,0)+1,0),VLOOKUP(D2412,a_win_totals_lookup,MATCH(I2412,a_wins_total_lookup_header,0)+1,0))</f>
        <v>0.71526442122822687</v>
      </c>
      <c r="N2412">
        <f t="shared" ca="1" si="37"/>
        <v>1</v>
      </c>
    </row>
    <row r="2413" spans="1:14" x14ac:dyDescent="0.25">
      <c r="A2413">
        <v>400579502</v>
      </c>
      <c r="B2413">
        <v>2015</v>
      </c>
      <c r="C2413" s="1">
        <v>42107</v>
      </c>
      <c r="D2413" t="s">
        <v>34</v>
      </c>
      <c r="E2413">
        <v>1</v>
      </c>
      <c r="F2413">
        <v>38</v>
      </c>
      <c r="G2413">
        <v>43</v>
      </c>
      <c r="H2413">
        <v>1</v>
      </c>
      <c r="I2413" t="s">
        <v>34</v>
      </c>
      <c r="J2413">
        <v>109</v>
      </c>
      <c r="K2413" t="s">
        <v>14</v>
      </c>
      <c r="L2413">
        <v>92</v>
      </c>
      <c r="M2413">
        <f>IF(D2413=I2413,VLOOKUP(D2413,a_win_totals_lookup,MATCH(K2413,a_wins_total_lookup_header,0)+1,0),VLOOKUP(D2413,a_win_totals_lookup,MATCH(I2413,a_wins_total_lookup_header,0)+1,0))</f>
        <v>0.28473557877177313</v>
      </c>
      <c r="N2413">
        <f t="shared" ca="1" si="37"/>
        <v>0</v>
      </c>
    </row>
    <row r="2414" spans="1:14" x14ac:dyDescent="0.25">
      <c r="A2414">
        <v>400579503</v>
      </c>
      <c r="B2414">
        <v>2015</v>
      </c>
      <c r="C2414" s="1">
        <v>42107</v>
      </c>
      <c r="D2414" t="s">
        <v>17</v>
      </c>
      <c r="E2414">
        <v>0</v>
      </c>
      <c r="F2414">
        <v>21</v>
      </c>
      <c r="G2414">
        <v>60</v>
      </c>
      <c r="H2414">
        <v>0</v>
      </c>
      <c r="I2414" t="s">
        <v>37</v>
      </c>
      <c r="J2414">
        <v>102</v>
      </c>
      <c r="K2414" t="s">
        <v>17</v>
      </c>
      <c r="L2414">
        <v>92</v>
      </c>
      <c r="M2414">
        <f>IF(D2414=I2414,VLOOKUP(D2414,a_win_totals_lookup,MATCH(K2414,a_wins_total_lookup_header,0)+1,0),VLOOKUP(D2414,a_win_totals_lookup,MATCH(I2414,a_wins_total_lookup_header,0)+1,0))</f>
        <v>0.5</v>
      </c>
      <c r="N2414">
        <f t="shared" ca="1" si="37"/>
        <v>0</v>
      </c>
    </row>
    <row r="2415" spans="1:14" x14ac:dyDescent="0.25">
      <c r="A2415">
        <v>400579503</v>
      </c>
      <c r="B2415">
        <v>2015</v>
      </c>
      <c r="C2415" s="1">
        <v>42107</v>
      </c>
      <c r="D2415" t="s">
        <v>37</v>
      </c>
      <c r="E2415">
        <v>1</v>
      </c>
      <c r="F2415">
        <v>28</v>
      </c>
      <c r="G2415">
        <v>53</v>
      </c>
      <c r="H2415">
        <v>1</v>
      </c>
      <c r="I2415" t="s">
        <v>37</v>
      </c>
      <c r="J2415">
        <v>102</v>
      </c>
      <c r="K2415" t="s">
        <v>17</v>
      </c>
      <c r="L2415">
        <v>92</v>
      </c>
      <c r="M2415">
        <f>IF(D2415=I2415,VLOOKUP(D2415,a_win_totals_lookup,MATCH(K2415,a_wins_total_lookup_header,0)+1,0),VLOOKUP(D2415,a_win_totals_lookup,MATCH(I2415,a_wins_total_lookup_header,0)+1,0))</f>
        <v>0.5</v>
      </c>
      <c r="N2415">
        <f t="shared" ca="1" si="37"/>
        <v>1</v>
      </c>
    </row>
    <row r="2416" spans="1:14" x14ac:dyDescent="0.25">
      <c r="A2416">
        <v>400579504</v>
      </c>
      <c r="B2416">
        <v>2015</v>
      </c>
      <c r="C2416" s="1">
        <v>42107</v>
      </c>
      <c r="D2416" t="s">
        <v>36</v>
      </c>
      <c r="E2416">
        <v>1</v>
      </c>
      <c r="F2416">
        <v>66</v>
      </c>
      <c r="G2416">
        <v>15</v>
      </c>
      <c r="H2416">
        <v>1</v>
      </c>
      <c r="I2416" t="s">
        <v>36</v>
      </c>
      <c r="J2416">
        <v>111</v>
      </c>
      <c r="K2416" t="s">
        <v>28</v>
      </c>
      <c r="L2416">
        <v>107</v>
      </c>
      <c r="M2416">
        <f>IF(D2416=I2416,VLOOKUP(D2416,a_win_totals_lookup,MATCH(K2416,a_wins_total_lookup_header,0)+1,0),VLOOKUP(D2416,a_win_totals_lookup,MATCH(I2416,a_wins_total_lookup_header,0)+1,0))</f>
        <v>0.5232579357992978</v>
      </c>
      <c r="N2416">
        <f t="shared" ca="1" si="37"/>
        <v>0</v>
      </c>
    </row>
    <row r="2417" spans="1:14" x14ac:dyDescent="0.25">
      <c r="A2417">
        <v>400579504</v>
      </c>
      <c r="B2417">
        <v>2015</v>
      </c>
      <c r="C2417" s="1">
        <v>42107</v>
      </c>
      <c r="D2417" t="s">
        <v>28</v>
      </c>
      <c r="E2417">
        <v>0</v>
      </c>
      <c r="F2417">
        <v>54</v>
      </c>
      <c r="G2417">
        <v>27</v>
      </c>
      <c r="H2417">
        <v>0</v>
      </c>
      <c r="I2417" t="s">
        <v>36</v>
      </c>
      <c r="J2417">
        <v>111</v>
      </c>
      <c r="K2417" t="s">
        <v>28</v>
      </c>
      <c r="L2417">
        <v>107</v>
      </c>
      <c r="M2417">
        <f>IF(D2417=I2417,VLOOKUP(D2417,a_win_totals_lookup,MATCH(K2417,a_wins_total_lookup_header,0)+1,0),VLOOKUP(D2417,a_win_totals_lookup,MATCH(I2417,a_wins_total_lookup_header,0)+1,0))</f>
        <v>0.4767420642007022</v>
      </c>
      <c r="N2417">
        <f t="shared" ca="1" si="37"/>
        <v>1</v>
      </c>
    </row>
    <row r="2418" spans="1:14" x14ac:dyDescent="0.25">
      <c r="A2418">
        <v>400579505</v>
      </c>
      <c r="B2418">
        <v>2015</v>
      </c>
      <c r="C2418" s="1">
        <v>42107</v>
      </c>
      <c r="D2418" t="s">
        <v>32</v>
      </c>
      <c r="E2418">
        <v>0</v>
      </c>
      <c r="F2418">
        <v>30</v>
      </c>
      <c r="G2418">
        <v>51</v>
      </c>
      <c r="H2418">
        <v>0</v>
      </c>
      <c r="I2418" t="s">
        <v>41</v>
      </c>
      <c r="J2418">
        <v>110</v>
      </c>
      <c r="K2418" t="s">
        <v>32</v>
      </c>
      <c r="L2418">
        <v>103</v>
      </c>
      <c r="M2418">
        <f>IF(D2418=I2418,VLOOKUP(D2418,a_win_totals_lookup,MATCH(K2418,a_wins_total_lookup_header,0)+1,0),VLOOKUP(D2418,a_win_totals_lookup,MATCH(I2418,a_wins_total_lookup_header,0)+1,0))</f>
        <v>0.35087017426187905</v>
      </c>
      <c r="N2418">
        <f t="shared" ca="1" si="37"/>
        <v>1</v>
      </c>
    </row>
    <row r="2419" spans="1:14" x14ac:dyDescent="0.25">
      <c r="A2419">
        <v>400579505</v>
      </c>
      <c r="B2419">
        <v>2015</v>
      </c>
      <c r="C2419" s="1">
        <v>42107</v>
      </c>
      <c r="D2419" t="s">
        <v>41</v>
      </c>
      <c r="E2419">
        <v>1</v>
      </c>
      <c r="F2419">
        <v>55</v>
      </c>
      <c r="G2419">
        <v>26</v>
      </c>
      <c r="H2419">
        <v>1</v>
      </c>
      <c r="I2419" t="s">
        <v>41</v>
      </c>
      <c r="J2419">
        <v>110</v>
      </c>
      <c r="K2419" t="s">
        <v>32</v>
      </c>
      <c r="L2419">
        <v>103</v>
      </c>
      <c r="M2419">
        <f>IF(D2419=I2419,VLOOKUP(D2419,a_win_totals_lookup,MATCH(K2419,a_wins_total_lookup_header,0)+1,0),VLOOKUP(D2419,a_win_totals_lookup,MATCH(I2419,a_wins_total_lookup_header,0)+1,0))</f>
        <v>0.64912982573812106</v>
      </c>
      <c r="N2419">
        <f t="shared" ca="1" si="37"/>
        <v>1</v>
      </c>
    </row>
    <row r="2420" spans="1:14" x14ac:dyDescent="0.25">
      <c r="A2420">
        <v>400579506</v>
      </c>
      <c r="B2420">
        <v>2015</v>
      </c>
      <c r="C2420" s="1">
        <v>42108</v>
      </c>
      <c r="D2420" t="s">
        <v>22</v>
      </c>
      <c r="E2420">
        <v>1</v>
      </c>
      <c r="F2420">
        <v>39</v>
      </c>
      <c r="G2420">
        <v>42</v>
      </c>
      <c r="H2420">
        <v>1</v>
      </c>
      <c r="I2420" t="s">
        <v>22</v>
      </c>
      <c r="J2420">
        <v>95</v>
      </c>
      <c r="K2420" t="s">
        <v>27</v>
      </c>
      <c r="L2420">
        <v>93</v>
      </c>
      <c r="M2420">
        <f>IF(D2420=I2420,VLOOKUP(D2420,a_win_totals_lookup,MATCH(K2420,a_wins_total_lookup_header,0)+1,0),VLOOKUP(D2420,a_win_totals_lookup,MATCH(I2420,a_wins_total_lookup_header,0)+1,0))</f>
        <v>0.24120874132126804</v>
      </c>
      <c r="N2420">
        <f t="shared" ca="1" si="37"/>
        <v>0</v>
      </c>
    </row>
    <row r="2421" spans="1:14" x14ac:dyDescent="0.25">
      <c r="A2421">
        <v>400579506</v>
      </c>
      <c r="B2421">
        <v>2015</v>
      </c>
      <c r="C2421" s="1">
        <v>42108</v>
      </c>
      <c r="D2421" t="s">
        <v>27</v>
      </c>
      <c r="E2421">
        <v>0</v>
      </c>
      <c r="F2421">
        <v>48</v>
      </c>
      <c r="G2421">
        <v>33</v>
      </c>
      <c r="H2421">
        <v>0</v>
      </c>
      <c r="I2421" t="s">
        <v>22</v>
      </c>
      <c r="J2421">
        <v>95</v>
      </c>
      <c r="K2421" t="s">
        <v>27</v>
      </c>
      <c r="L2421">
        <v>93</v>
      </c>
      <c r="M2421">
        <f>IF(D2421=I2421,VLOOKUP(D2421,a_win_totals_lookup,MATCH(K2421,a_wins_total_lookup_header,0)+1,0),VLOOKUP(D2421,a_win_totals_lookup,MATCH(I2421,a_wins_total_lookup_header,0)+1,0))</f>
        <v>0.75879125867873198</v>
      </c>
      <c r="N2421">
        <f t="shared" ca="1" si="37"/>
        <v>1</v>
      </c>
    </row>
    <row r="2422" spans="1:14" x14ac:dyDescent="0.25">
      <c r="A2422">
        <v>400579507</v>
      </c>
      <c r="B2422">
        <v>2015</v>
      </c>
      <c r="C2422" s="1">
        <v>42108</v>
      </c>
      <c r="D2422" t="s">
        <v>20</v>
      </c>
      <c r="E2422">
        <v>1</v>
      </c>
      <c r="F2422">
        <v>38</v>
      </c>
      <c r="G2422">
        <v>43</v>
      </c>
      <c r="H2422">
        <v>1</v>
      </c>
      <c r="I2422" t="s">
        <v>20</v>
      </c>
      <c r="J2422">
        <v>99</v>
      </c>
      <c r="K2422" t="s">
        <v>25</v>
      </c>
      <c r="L2422">
        <v>95</v>
      </c>
      <c r="M2422">
        <f>IF(D2422=I2422,VLOOKUP(D2422,a_win_totals_lookup,MATCH(K2422,a_wins_total_lookup_header,0)+1,0),VLOOKUP(D2422,a_win_totals_lookup,MATCH(I2422,a_wins_total_lookup_header,0)+1,0))</f>
        <v>0.35966777393646027</v>
      </c>
      <c r="N2422">
        <f t="shared" ca="1" si="37"/>
        <v>0</v>
      </c>
    </row>
    <row r="2423" spans="1:14" x14ac:dyDescent="0.25">
      <c r="A2423">
        <v>400579507</v>
      </c>
      <c r="B2423">
        <v>2015</v>
      </c>
      <c r="C2423" s="1">
        <v>42108</v>
      </c>
      <c r="D2423" t="s">
        <v>25</v>
      </c>
      <c r="E2423">
        <v>0</v>
      </c>
      <c r="F2423">
        <v>46</v>
      </c>
      <c r="G2423">
        <v>35</v>
      </c>
      <c r="H2423">
        <v>0</v>
      </c>
      <c r="I2423" t="s">
        <v>20</v>
      </c>
      <c r="J2423">
        <v>99</v>
      </c>
      <c r="K2423" t="s">
        <v>25</v>
      </c>
      <c r="L2423">
        <v>95</v>
      </c>
      <c r="M2423">
        <f>IF(D2423=I2423,VLOOKUP(D2423,a_win_totals_lookup,MATCH(K2423,a_wins_total_lookup_header,0)+1,0),VLOOKUP(D2423,a_win_totals_lookup,MATCH(I2423,a_wins_total_lookup_header,0)+1,0))</f>
        <v>0.64033222606353968</v>
      </c>
      <c r="N2423">
        <f t="shared" ca="1" si="37"/>
        <v>0</v>
      </c>
    </row>
    <row r="2424" spans="1:14" x14ac:dyDescent="0.25">
      <c r="A2424">
        <v>400579508</v>
      </c>
      <c r="B2424">
        <v>2015</v>
      </c>
      <c r="C2424" s="1">
        <v>42108</v>
      </c>
      <c r="D2424" t="s">
        <v>41</v>
      </c>
      <c r="E2424">
        <v>1</v>
      </c>
      <c r="F2424">
        <v>56</v>
      </c>
      <c r="G2424">
        <v>26</v>
      </c>
      <c r="H2424">
        <v>0</v>
      </c>
      <c r="I2424" t="s">
        <v>35</v>
      </c>
      <c r="J2424">
        <v>101</v>
      </c>
      <c r="K2424" t="s">
        <v>41</v>
      </c>
      <c r="L2424">
        <v>112</v>
      </c>
      <c r="M2424">
        <f>IF(D2424=I2424,VLOOKUP(D2424,a_win_totals_lookup,MATCH(K2424,a_wins_total_lookup_header,0)+1,0),VLOOKUP(D2424,a_win_totals_lookup,MATCH(I2424,a_wins_total_lookup_header,0)+1,0))</f>
        <v>0.6124771173739717</v>
      </c>
      <c r="N2424">
        <f t="shared" ca="1" si="37"/>
        <v>1</v>
      </c>
    </row>
    <row r="2425" spans="1:14" x14ac:dyDescent="0.25">
      <c r="A2425">
        <v>400579508</v>
      </c>
      <c r="B2425">
        <v>2015</v>
      </c>
      <c r="C2425" s="1">
        <v>42108</v>
      </c>
      <c r="D2425" t="s">
        <v>35</v>
      </c>
      <c r="E2425">
        <v>0</v>
      </c>
      <c r="F2425">
        <v>39</v>
      </c>
      <c r="G2425">
        <v>43</v>
      </c>
      <c r="H2425">
        <v>1</v>
      </c>
      <c r="I2425" t="s">
        <v>35</v>
      </c>
      <c r="J2425">
        <v>101</v>
      </c>
      <c r="K2425" t="s">
        <v>41</v>
      </c>
      <c r="L2425">
        <v>112</v>
      </c>
      <c r="M2425">
        <f>IF(D2425=I2425,VLOOKUP(D2425,a_win_totals_lookup,MATCH(K2425,a_wins_total_lookup_header,0)+1,0),VLOOKUP(D2425,a_win_totals_lookup,MATCH(I2425,a_wins_total_lookup_header,0)+1,0))</f>
        <v>0.3875228826260283</v>
      </c>
      <c r="N2425">
        <f t="shared" ca="1" si="37"/>
        <v>0</v>
      </c>
    </row>
    <row r="2426" spans="1:14" x14ac:dyDescent="0.25">
      <c r="A2426">
        <v>400579509</v>
      </c>
      <c r="B2426">
        <v>2015</v>
      </c>
      <c r="C2426" s="1">
        <v>42109</v>
      </c>
      <c r="D2426" t="s">
        <v>26</v>
      </c>
      <c r="E2426">
        <v>0</v>
      </c>
      <c r="F2426">
        <v>60</v>
      </c>
      <c r="G2426">
        <v>22</v>
      </c>
      <c r="H2426">
        <v>0</v>
      </c>
      <c r="I2426" t="s">
        <v>30</v>
      </c>
      <c r="J2426">
        <v>91</v>
      </c>
      <c r="K2426" t="s">
        <v>26</v>
      </c>
      <c r="L2426">
        <v>85</v>
      </c>
      <c r="M2426">
        <f>IF(D2426=I2426,VLOOKUP(D2426,a_win_totals_lookup,MATCH(K2426,a_wins_total_lookup_header,0)+1,0),VLOOKUP(D2426,a_win_totals_lookup,MATCH(I2426,a_wins_total_lookup_header,0)+1,0))</f>
        <v>0.39734725240030316</v>
      </c>
      <c r="N2426">
        <f t="shared" ca="1" si="37"/>
        <v>0</v>
      </c>
    </row>
    <row r="2427" spans="1:14" x14ac:dyDescent="0.25">
      <c r="A2427">
        <v>400579509</v>
      </c>
      <c r="B2427">
        <v>2015</v>
      </c>
      <c r="C2427" s="1">
        <v>42109</v>
      </c>
      <c r="D2427" t="s">
        <v>30</v>
      </c>
      <c r="E2427">
        <v>1</v>
      </c>
      <c r="F2427">
        <v>50</v>
      </c>
      <c r="G2427">
        <v>32</v>
      </c>
      <c r="H2427">
        <v>1</v>
      </c>
      <c r="I2427" t="s">
        <v>30</v>
      </c>
      <c r="J2427">
        <v>91</v>
      </c>
      <c r="K2427" t="s">
        <v>26</v>
      </c>
      <c r="L2427">
        <v>85</v>
      </c>
      <c r="M2427">
        <f>IF(D2427=I2427,VLOOKUP(D2427,a_win_totals_lookup,MATCH(K2427,a_wins_total_lookup_header,0)+1,0),VLOOKUP(D2427,a_win_totals_lookup,MATCH(I2427,a_wins_total_lookup_header,0)+1,0))</f>
        <v>0.60265274759969689</v>
      </c>
      <c r="N2427">
        <f t="shared" ca="1" si="37"/>
        <v>1</v>
      </c>
    </row>
    <row r="2428" spans="1:14" x14ac:dyDescent="0.25">
      <c r="A2428">
        <v>400579510</v>
      </c>
      <c r="B2428">
        <v>2015</v>
      </c>
      <c r="C2428" s="1">
        <v>42109</v>
      </c>
      <c r="D2428" t="s">
        <v>14</v>
      </c>
      <c r="E2428">
        <v>1</v>
      </c>
      <c r="F2428">
        <v>50</v>
      </c>
      <c r="G2428">
        <v>32</v>
      </c>
      <c r="H2428">
        <v>1</v>
      </c>
      <c r="I2428" t="s">
        <v>14</v>
      </c>
      <c r="J2428">
        <v>114</v>
      </c>
      <c r="K2428" t="s">
        <v>39</v>
      </c>
      <c r="L2428">
        <v>98</v>
      </c>
      <c r="M2428">
        <f>IF(D2428=I2428,VLOOKUP(D2428,a_win_totals_lookup,MATCH(K2428,a_wins_total_lookup_header,0)+1,0),VLOOKUP(D2428,a_win_totals_lookup,MATCH(I2428,a_wins_total_lookup_header,0)+1,0))</f>
        <v>0.52488627234984619</v>
      </c>
      <c r="N2428">
        <f t="shared" ca="1" si="37"/>
        <v>0</v>
      </c>
    </row>
    <row r="2429" spans="1:14" x14ac:dyDescent="0.25">
      <c r="A2429">
        <v>400579510</v>
      </c>
      <c r="B2429">
        <v>2015</v>
      </c>
      <c r="C2429" s="1">
        <v>42109</v>
      </c>
      <c r="D2429" t="s">
        <v>39</v>
      </c>
      <c r="E2429">
        <v>0</v>
      </c>
      <c r="F2429">
        <v>51</v>
      </c>
      <c r="G2429">
        <v>31</v>
      </c>
      <c r="H2429">
        <v>0</v>
      </c>
      <c r="I2429" t="s">
        <v>14</v>
      </c>
      <c r="J2429">
        <v>114</v>
      </c>
      <c r="K2429" t="s">
        <v>39</v>
      </c>
      <c r="L2429">
        <v>98</v>
      </c>
      <c r="M2429">
        <f>IF(D2429=I2429,VLOOKUP(D2429,a_win_totals_lookup,MATCH(K2429,a_wins_total_lookup_header,0)+1,0),VLOOKUP(D2429,a_win_totals_lookup,MATCH(I2429,a_wins_total_lookup_header,0)+1,0))</f>
        <v>0.47511372765015386</v>
      </c>
      <c r="N2429">
        <f t="shared" ca="1" si="37"/>
        <v>0</v>
      </c>
    </row>
    <row r="2430" spans="1:14" x14ac:dyDescent="0.25">
      <c r="A2430">
        <v>400579511</v>
      </c>
      <c r="B2430">
        <v>2015</v>
      </c>
      <c r="C2430" s="1">
        <v>42109</v>
      </c>
      <c r="D2430" t="s">
        <v>16</v>
      </c>
      <c r="E2430">
        <v>1</v>
      </c>
      <c r="F2430">
        <v>56</v>
      </c>
      <c r="G2430">
        <v>26</v>
      </c>
      <c r="H2430">
        <v>1</v>
      </c>
      <c r="I2430" t="s">
        <v>16</v>
      </c>
      <c r="J2430">
        <v>117</v>
      </c>
      <c r="K2430" t="s">
        <v>34</v>
      </c>
      <c r="L2430">
        <v>91</v>
      </c>
      <c r="M2430">
        <f>IF(D2430=I2430,VLOOKUP(D2430,a_win_totals_lookup,MATCH(K2430,a_wins_total_lookup_header,0)+1,0),VLOOKUP(D2430,a_win_totals_lookup,MATCH(I2430,a_wins_total_lookup_header,0)+1,0))</f>
        <v>0.68647860603758082</v>
      </c>
      <c r="N2430">
        <f t="shared" ca="1" si="37"/>
        <v>0</v>
      </c>
    </row>
    <row r="2431" spans="1:14" x14ac:dyDescent="0.25">
      <c r="A2431">
        <v>400579511</v>
      </c>
      <c r="B2431">
        <v>2015</v>
      </c>
      <c r="C2431" s="1">
        <v>42109</v>
      </c>
      <c r="D2431" t="s">
        <v>34</v>
      </c>
      <c r="E2431">
        <v>0</v>
      </c>
      <c r="F2431">
        <v>38</v>
      </c>
      <c r="G2431">
        <v>44</v>
      </c>
      <c r="H2431">
        <v>0</v>
      </c>
      <c r="I2431" t="s">
        <v>16</v>
      </c>
      <c r="J2431">
        <v>117</v>
      </c>
      <c r="K2431" t="s">
        <v>34</v>
      </c>
      <c r="L2431">
        <v>91</v>
      </c>
      <c r="M2431">
        <f>IF(D2431=I2431,VLOOKUP(D2431,a_win_totals_lookup,MATCH(K2431,a_wins_total_lookup_header,0)+1,0),VLOOKUP(D2431,a_win_totals_lookup,MATCH(I2431,a_wins_total_lookup_header,0)+1,0))</f>
        <v>0.31352139396241918</v>
      </c>
      <c r="N2431">
        <f t="shared" ca="1" si="37"/>
        <v>1</v>
      </c>
    </row>
    <row r="2432" spans="1:14" x14ac:dyDescent="0.25">
      <c r="A2432">
        <v>400579512</v>
      </c>
      <c r="B2432">
        <v>2015</v>
      </c>
      <c r="C2432" s="1">
        <v>42109</v>
      </c>
      <c r="D2432" t="s">
        <v>20</v>
      </c>
      <c r="E2432">
        <v>0</v>
      </c>
      <c r="F2432">
        <v>38</v>
      </c>
      <c r="G2432">
        <v>44</v>
      </c>
      <c r="H2432">
        <v>0</v>
      </c>
      <c r="I2432" t="s">
        <v>28</v>
      </c>
      <c r="J2432">
        <v>95</v>
      </c>
      <c r="K2432" t="s">
        <v>20</v>
      </c>
      <c r="L2432">
        <v>83</v>
      </c>
      <c r="M2432">
        <f>IF(D2432=I2432,VLOOKUP(D2432,a_win_totals_lookup,MATCH(K2432,a_wins_total_lookup_header,0)+1,0),VLOOKUP(D2432,a_win_totals_lookup,MATCH(I2432,a_wins_total_lookup_header,0)+1,0))</f>
        <v>0.34298953732650117</v>
      </c>
      <c r="N2432">
        <f t="shared" ca="1" si="37"/>
        <v>0</v>
      </c>
    </row>
    <row r="2433" spans="1:14" x14ac:dyDescent="0.25">
      <c r="A2433">
        <v>400579512</v>
      </c>
      <c r="B2433">
        <v>2015</v>
      </c>
      <c r="C2433" s="1">
        <v>42109</v>
      </c>
      <c r="D2433" t="s">
        <v>28</v>
      </c>
      <c r="E2433">
        <v>1</v>
      </c>
      <c r="F2433">
        <v>55</v>
      </c>
      <c r="G2433">
        <v>27</v>
      </c>
      <c r="H2433">
        <v>1</v>
      </c>
      <c r="I2433" t="s">
        <v>28</v>
      </c>
      <c r="J2433">
        <v>95</v>
      </c>
      <c r="K2433" t="s">
        <v>20</v>
      </c>
      <c r="L2433">
        <v>83</v>
      </c>
      <c r="M2433">
        <f>IF(D2433=I2433,VLOOKUP(D2433,a_win_totals_lookup,MATCH(K2433,a_wins_total_lookup_header,0)+1,0),VLOOKUP(D2433,a_win_totals_lookup,MATCH(I2433,a_wins_total_lookup_header,0)+1,0))</f>
        <v>0.65701046267349883</v>
      </c>
      <c r="N2433">
        <f t="shared" ca="1" si="37"/>
        <v>0</v>
      </c>
    </row>
    <row r="2434" spans="1:14" x14ac:dyDescent="0.25">
      <c r="A2434">
        <v>400579513</v>
      </c>
      <c r="B2434">
        <v>2015</v>
      </c>
      <c r="C2434" s="1">
        <v>42109</v>
      </c>
      <c r="D2434" t="s">
        <v>22</v>
      </c>
      <c r="E2434">
        <v>1</v>
      </c>
      <c r="F2434">
        <v>40</v>
      </c>
      <c r="G2434">
        <v>42</v>
      </c>
      <c r="H2434">
        <v>0</v>
      </c>
      <c r="I2434" t="s">
        <v>19</v>
      </c>
      <c r="J2434">
        <v>100</v>
      </c>
      <c r="K2434" t="s">
        <v>22</v>
      </c>
      <c r="L2434">
        <v>105</v>
      </c>
      <c r="M2434">
        <f>IF(D2434=I2434,VLOOKUP(D2434,a_win_totals_lookup,MATCH(K2434,a_wins_total_lookup_header,0)+1,0),VLOOKUP(D2434,a_win_totals_lookup,MATCH(I2434,a_wins_total_lookup_header,0)+1,0))</f>
        <v>0.48079732495336996</v>
      </c>
      <c r="N2434">
        <f t="shared" ca="1" si="37"/>
        <v>0</v>
      </c>
    </row>
    <row r="2435" spans="1:14" x14ac:dyDescent="0.25">
      <c r="A2435">
        <v>400579513</v>
      </c>
      <c r="B2435">
        <v>2015</v>
      </c>
      <c r="C2435" s="1">
        <v>42109</v>
      </c>
      <c r="D2435" t="s">
        <v>19</v>
      </c>
      <c r="E2435">
        <v>0</v>
      </c>
      <c r="F2435">
        <v>41</v>
      </c>
      <c r="G2435">
        <v>41</v>
      </c>
      <c r="H2435">
        <v>1</v>
      </c>
      <c r="I2435" t="s">
        <v>19</v>
      </c>
      <c r="J2435">
        <v>100</v>
      </c>
      <c r="K2435" t="s">
        <v>22</v>
      </c>
      <c r="L2435">
        <v>105</v>
      </c>
      <c r="M2435">
        <f>IF(D2435=I2435,VLOOKUP(D2435,a_win_totals_lookup,MATCH(K2435,a_wins_total_lookup_header,0)+1,0),VLOOKUP(D2435,a_win_totals_lookup,MATCH(I2435,a_wins_total_lookup_header,0)+1,0))</f>
        <v>0.51920267504662998</v>
      </c>
      <c r="N2435">
        <f t="shared" ref="N2435:N2457" ca="1" si="38">ROUND(0.5*RANDBETWEEN(-1,1)+M2435,0)</f>
        <v>1</v>
      </c>
    </row>
    <row r="2436" spans="1:14" x14ac:dyDescent="0.25">
      <c r="A2436">
        <v>400579514</v>
      </c>
      <c r="B2436">
        <v>2015</v>
      </c>
      <c r="C2436" s="1">
        <v>42109</v>
      </c>
      <c r="D2436" t="s">
        <v>29</v>
      </c>
      <c r="E2436">
        <v>0</v>
      </c>
      <c r="F2436">
        <v>16</v>
      </c>
      <c r="G2436">
        <v>66</v>
      </c>
      <c r="H2436">
        <v>1</v>
      </c>
      <c r="I2436" t="s">
        <v>29</v>
      </c>
      <c r="J2436">
        <v>113</v>
      </c>
      <c r="K2436" t="s">
        <v>38</v>
      </c>
      <c r="L2436">
        <v>138</v>
      </c>
      <c r="M2436">
        <f>IF(D2436=I2436,VLOOKUP(D2436,a_win_totals_lookup,MATCH(K2436,a_wins_total_lookup_header,0)+1,0),VLOOKUP(D2436,a_win_totals_lookup,MATCH(I2436,a_wins_total_lookup_header,0)+1,0))</f>
        <v>0.23114261401714065</v>
      </c>
      <c r="N2436">
        <f t="shared" ca="1" si="38"/>
        <v>1</v>
      </c>
    </row>
    <row r="2437" spans="1:14" x14ac:dyDescent="0.25">
      <c r="A2437">
        <v>400579514</v>
      </c>
      <c r="B2437">
        <v>2015</v>
      </c>
      <c r="C2437" s="1">
        <v>42109</v>
      </c>
      <c r="D2437" t="s">
        <v>38</v>
      </c>
      <c r="E2437">
        <v>1</v>
      </c>
      <c r="F2437">
        <v>45</v>
      </c>
      <c r="G2437">
        <v>37</v>
      </c>
      <c r="H2437">
        <v>0</v>
      </c>
      <c r="I2437" t="s">
        <v>29</v>
      </c>
      <c r="J2437">
        <v>113</v>
      </c>
      <c r="K2437" t="s">
        <v>38</v>
      </c>
      <c r="L2437">
        <v>138</v>
      </c>
      <c r="M2437">
        <f>IF(D2437=I2437,VLOOKUP(D2437,a_win_totals_lookup,MATCH(K2437,a_wins_total_lookup_header,0)+1,0),VLOOKUP(D2437,a_win_totals_lookup,MATCH(I2437,a_wins_total_lookup_header,0)+1,0))</f>
        <v>0.76885738598285935</v>
      </c>
      <c r="N2437">
        <f t="shared" ca="1" si="38"/>
        <v>1</v>
      </c>
    </row>
    <row r="2438" spans="1:14" x14ac:dyDescent="0.25">
      <c r="A2438">
        <v>400579515</v>
      </c>
      <c r="B2438">
        <v>2015</v>
      </c>
      <c r="C2438" s="1">
        <v>42109</v>
      </c>
      <c r="D2438" t="s">
        <v>12</v>
      </c>
      <c r="E2438">
        <v>1</v>
      </c>
      <c r="F2438">
        <v>45</v>
      </c>
      <c r="G2438">
        <v>37</v>
      </c>
      <c r="H2438">
        <v>1</v>
      </c>
      <c r="I2438" t="s">
        <v>12</v>
      </c>
      <c r="J2438">
        <v>108</v>
      </c>
      <c r="K2438" t="s">
        <v>15</v>
      </c>
      <c r="L2438">
        <v>103</v>
      </c>
      <c r="M2438">
        <f>IF(D2438=I2438,VLOOKUP(D2438,a_win_totals_lookup,MATCH(K2438,a_wins_total_lookup_header,0)+1,0),VLOOKUP(D2438,a_win_totals_lookup,MATCH(I2438,a_wins_total_lookup_header,0)+1,0))</f>
        <v>0.37307955571959134</v>
      </c>
      <c r="N2438">
        <f t="shared" ca="1" si="38"/>
        <v>0</v>
      </c>
    </row>
    <row r="2439" spans="1:14" x14ac:dyDescent="0.25">
      <c r="A2439">
        <v>400579515</v>
      </c>
      <c r="B2439">
        <v>2015</v>
      </c>
      <c r="C2439" s="1">
        <v>42109</v>
      </c>
      <c r="D2439" t="s">
        <v>15</v>
      </c>
      <c r="E2439">
        <v>0</v>
      </c>
      <c r="F2439">
        <v>55</v>
      </c>
      <c r="G2439">
        <v>27</v>
      </c>
      <c r="H2439">
        <v>0</v>
      </c>
      <c r="I2439" t="s">
        <v>12</v>
      </c>
      <c r="J2439">
        <v>108</v>
      </c>
      <c r="K2439" t="s">
        <v>15</v>
      </c>
      <c r="L2439">
        <v>103</v>
      </c>
      <c r="M2439">
        <f>IF(D2439=I2439,VLOOKUP(D2439,a_win_totals_lookup,MATCH(K2439,a_wins_total_lookup_header,0)+1,0),VLOOKUP(D2439,a_win_totals_lookup,MATCH(I2439,a_wins_total_lookup_header,0)+1,0))</f>
        <v>0.62692044428040861</v>
      </c>
      <c r="N2439">
        <f t="shared" ca="1" si="38"/>
        <v>0</v>
      </c>
    </row>
    <row r="2440" spans="1:14" x14ac:dyDescent="0.25">
      <c r="A2440">
        <v>400579516</v>
      </c>
      <c r="B2440">
        <v>2015</v>
      </c>
      <c r="C2440" s="1">
        <v>42109</v>
      </c>
      <c r="D2440" t="s">
        <v>23</v>
      </c>
      <c r="E2440">
        <v>1</v>
      </c>
      <c r="F2440">
        <v>38</v>
      </c>
      <c r="G2440">
        <v>44</v>
      </c>
      <c r="H2440">
        <v>1</v>
      </c>
      <c r="I2440" t="s">
        <v>23</v>
      </c>
      <c r="J2440">
        <v>101</v>
      </c>
      <c r="K2440" t="s">
        <v>13</v>
      </c>
      <c r="L2440">
        <v>88</v>
      </c>
      <c r="M2440">
        <f>IF(D2440=I2440,VLOOKUP(D2440,a_win_totals_lookup,MATCH(K2440,a_wins_total_lookup_header,0)+1,0),VLOOKUP(D2440,a_win_totals_lookup,MATCH(I2440,a_wins_total_lookup_header,0)+1,0))</f>
        <v>0.61088100448941873</v>
      </c>
      <c r="N2440">
        <f t="shared" ca="1" si="38"/>
        <v>0</v>
      </c>
    </row>
    <row r="2441" spans="1:14" x14ac:dyDescent="0.25">
      <c r="A2441">
        <v>400579516</v>
      </c>
      <c r="B2441">
        <v>2015</v>
      </c>
      <c r="C2441" s="1">
        <v>42109</v>
      </c>
      <c r="D2441" t="s">
        <v>13</v>
      </c>
      <c r="E2441">
        <v>0</v>
      </c>
      <c r="F2441">
        <v>25</v>
      </c>
      <c r="G2441">
        <v>57</v>
      </c>
      <c r="H2441">
        <v>0</v>
      </c>
      <c r="I2441" t="s">
        <v>23</v>
      </c>
      <c r="J2441">
        <v>101</v>
      </c>
      <c r="K2441" t="s">
        <v>13</v>
      </c>
      <c r="L2441">
        <v>88</v>
      </c>
      <c r="M2441">
        <f>IF(D2441=I2441,VLOOKUP(D2441,a_win_totals_lookup,MATCH(K2441,a_wins_total_lookup_header,0)+1,0),VLOOKUP(D2441,a_win_totals_lookup,MATCH(I2441,a_wins_total_lookup_header,0)+1,0))</f>
        <v>0.38911899551058127</v>
      </c>
      <c r="N2441">
        <f t="shared" ca="1" si="38"/>
        <v>1</v>
      </c>
    </row>
    <row r="2442" spans="1:14" x14ac:dyDescent="0.25">
      <c r="A2442">
        <v>400579517</v>
      </c>
      <c r="B2442">
        <v>2015</v>
      </c>
      <c r="C2442" s="1">
        <v>42109</v>
      </c>
      <c r="D2442" t="s">
        <v>40</v>
      </c>
      <c r="E2442">
        <v>1</v>
      </c>
      <c r="F2442">
        <v>53</v>
      </c>
      <c r="G2442">
        <v>29</v>
      </c>
      <c r="H2442">
        <v>1</v>
      </c>
      <c r="I2442" t="s">
        <v>40</v>
      </c>
      <c r="J2442">
        <v>113</v>
      </c>
      <c r="K2442" t="s">
        <v>25</v>
      </c>
      <c r="L2442">
        <v>108</v>
      </c>
      <c r="M2442">
        <f>IF(D2442=I2442,VLOOKUP(D2442,a_win_totals_lookup,MATCH(K2442,a_wins_total_lookup_header,0)+1,0),VLOOKUP(D2442,a_win_totals_lookup,MATCH(I2442,a_wins_total_lookup_header,0)+1,0))</f>
        <v>0.57016539281455259</v>
      </c>
      <c r="N2442">
        <f t="shared" ca="1" si="38"/>
        <v>1</v>
      </c>
    </row>
    <row r="2443" spans="1:14" x14ac:dyDescent="0.25">
      <c r="A2443">
        <v>400579517</v>
      </c>
      <c r="B2443">
        <v>2015</v>
      </c>
      <c r="C2443" s="1">
        <v>42109</v>
      </c>
      <c r="D2443" t="s">
        <v>25</v>
      </c>
      <c r="E2443">
        <v>0</v>
      </c>
      <c r="F2443">
        <v>46</v>
      </c>
      <c r="G2443">
        <v>36</v>
      </c>
      <c r="H2443">
        <v>0</v>
      </c>
      <c r="I2443" t="s">
        <v>40</v>
      </c>
      <c r="J2443">
        <v>113</v>
      </c>
      <c r="K2443" t="s">
        <v>25</v>
      </c>
      <c r="L2443">
        <v>108</v>
      </c>
      <c r="M2443">
        <f>IF(D2443=I2443,VLOOKUP(D2443,a_win_totals_lookup,MATCH(K2443,a_wins_total_lookup_header,0)+1,0),VLOOKUP(D2443,a_win_totals_lookup,MATCH(I2443,a_wins_total_lookup_header,0)+1,0))</f>
        <v>0.42983460718544747</v>
      </c>
      <c r="N2443">
        <f t="shared" ca="1" si="38"/>
        <v>0</v>
      </c>
    </row>
    <row r="2444" spans="1:14" x14ac:dyDescent="0.25">
      <c r="A2444">
        <v>400579518</v>
      </c>
      <c r="B2444">
        <v>2015</v>
      </c>
      <c r="C2444" s="1">
        <v>42109</v>
      </c>
      <c r="D2444" t="s">
        <v>33</v>
      </c>
      <c r="E2444">
        <v>1</v>
      </c>
      <c r="F2444">
        <v>32</v>
      </c>
      <c r="G2444">
        <v>50</v>
      </c>
      <c r="H2444">
        <v>0</v>
      </c>
      <c r="I2444" t="s">
        <v>31</v>
      </c>
      <c r="J2444">
        <v>90</v>
      </c>
      <c r="K2444" t="s">
        <v>33</v>
      </c>
      <c r="L2444">
        <v>112</v>
      </c>
      <c r="M2444">
        <f>IF(D2444=I2444,VLOOKUP(D2444,a_win_totals_lookup,MATCH(K2444,a_wins_total_lookup_header,0)+1,0),VLOOKUP(D2444,a_win_totals_lookup,MATCH(I2444,a_wins_total_lookup_header,0)+1,0))</f>
        <v>0.45523194426626579</v>
      </c>
      <c r="N2444">
        <f t="shared" ca="1" si="38"/>
        <v>1</v>
      </c>
    </row>
    <row r="2445" spans="1:14" x14ac:dyDescent="0.25">
      <c r="A2445">
        <v>400579518</v>
      </c>
      <c r="B2445">
        <v>2015</v>
      </c>
      <c r="C2445" s="1">
        <v>42109</v>
      </c>
      <c r="D2445" t="s">
        <v>31</v>
      </c>
      <c r="E2445">
        <v>0</v>
      </c>
      <c r="F2445">
        <v>17</v>
      </c>
      <c r="G2445">
        <v>65</v>
      </c>
      <c r="H2445">
        <v>1</v>
      </c>
      <c r="I2445" t="s">
        <v>31</v>
      </c>
      <c r="J2445">
        <v>90</v>
      </c>
      <c r="K2445" t="s">
        <v>33</v>
      </c>
      <c r="L2445">
        <v>112</v>
      </c>
      <c r="M2445">
        <f>IF(D2445=I2445,VLOOKUP(D2445,a_win_totals_lookup,MATCH(K2445,a_wins_total_lookup_header,0)+1,0),VLOOKUP(D2445,a_win_totals_lookup,MATCH(I2445,a_wins_total_lookup_header,0)+1,0))</f>
        <v>0.54476805573373421</v>
      </c>
      <c r="N2445">
        <f t="shared" ca="1" si="38"/>
        <v>1</v>
      </c>
    </row>
    <row r="2446" spans="1:14" x14ac:dyDescent="0.25">
      <c r="A2446">
        <v>400579519</v>
      </c>
      <c r="B2446">
        <v>2015</v>
      </c>
      <c r="C2446" s="1">
        <v>42109</v>
      </c>
      <c r="D2446" t="s">
        <v>24</v>
      </c>
      <c r="E2446">
        <v>1</v>
      </c>
      <c r="F2446">
        <v>37</v>
      </c>
      <c r="G2446">
        <v>45</v>
      </c>
      <c r="H2446">
        <v>0</v>
      </c>
      <c r="I2446" t="s">
        <v>21</v>
      </c>
      <c r="J2446">
        <v>101</v>
      </c>
      <c r="K2446" t="s">
        <v>24</v>
      </c>
      <c r="L2446">
        <v>105</v>
      </c>
      <c r="M2446">
        <f>IF(D2446=I2446,VLOOKUP(D2446,a_win_totals_lookup,MATCH(K2446,a_wins_total_lookup_header,0)+1,0),VLOOKUP(D2446,a_win_totals_lookup,MATCH(I2446,a_wins_total_lookup_header,0)+1,0))</f>
        <v>0.73880483706315025</v>
      </c>
      <c r="N2446">
        <f t="shared" ca="1" si="38"/>
        <v>0</v>
      </c>
    </row>
    <row r="2447" spans="1:14" x14ac:dyDescent="0.25">
      <c r="A2447">
        <v>400579519</v>
      </c>
      <c r="B2447">
        <v>2015</v>
      </c>
      <c r="C2447" s="1">
        <v>42109</v>
      </c>
      <c r="D2447" t="s">
        <v>21</v>
      </c>
      <c r="E2447">
        <v>0</v>
      </c>
      <c r="F2447">
        <v>18</v>
      </c>
      <c r="G2447">
        <v>64</v>
      </c>
      <c r="H2447">
        <v>1</v>
      </c>
      <c r="I2447" t="s">
        <v>21</v>
      </c>
      <c r="J2447">
        <v>101</v>
      </c>
      <c r="K2447" t="s">
        <v>24</v>
      </c>
      <c r="L2447">
        <v>105</v>
      </c>
      <c r="M2447">
        <f>IF(D2447=I2447,VLOOKUP(D2447,a_win_totals_lookup,MATCH(K2447,a_wins_total_lookup_header,0)+1,0),VLOOKUP(D2447,a_win_totals_lookup,MATCH(I2447,a_wins_total_lookup_header,0)+1,0))</f>
        <v>0.26119516293684975</v>
      </c>
      <c r="N2447">
        <f t="shared" ca="1" si="38"/>
        <v>0</v>
      </c>
    </row>
    <row r="2448" spans="1:14" x14ac:dyDescent="0.25">
      <c r="A2448">
        <v>400579520</v>
      </c>
      <c r="B2448">
        <v>2015</v>
      </c>
      <c r="C2448" s="1">
        <v>42109</v>
      </c>
      <c r="D2448" t="s">
        <v>18</v>
      </c>
      <c r="E2448">
        <v>0</v>
      </c>
      <c r="F2448">
        <v>33</v>
      </c>
      <c r="G2448">
        <v>49</v>
      </c>
      <c r="H2448">
        <v>0</v>
      </c>
      <c r="I2448" t="s">
        <v>27</v>
      </c>
      <c r="J2448">
        <v>92</v>
      </c>
      <c r="K2448" t="s">
        <v>18</v>
      </c>
      <c r="L2448">
        <v>87</v>
      </c>
      <c r="M2448">
        <f>IF(D2448=I2448,VLOOKUP(D2448,a_win_totals_lookup,MATCH(K2448,a_wins_total_lookup_header,0)+1,0),VLOOKUP(D2448,a_win_totals_lookup,MATCH(I2448,a_wins_total_lookup_header,0)+1,0))</f>
        <v>0.4452024002195884</v>
      </c>
      <c r="N2448">
        <f t="shared" ca="1" si="38"/>
        <v>0</v>
      </c>
    </row>
    <row r="2449" spans="1:14" x14ac:dyDescent="0.25">
      <c r="A2449">
        <v>400579520</v>
      </c>
      <c r="B2449">
        <v>2015</v>
      </c>
      <c r="C2449" s="1">
        <v>42109</v>
      </c>
      <c r="D2449" t="s">
        <v>27</v>
      </c>
      <c r="E2449">
        <v>1</v>
      </c>
      <c r="F2449">
        <v>49</v>
      </c>
      <c r="G2449">
        <v>33</v>
      </c>
      <c r="H2449">
        <v>1</v>
      </c>
      <c r="I2449" t="s">
        <v>27</v>
      </c>
      <c r="J2449">
        <v>92</v>
      </c>
      <c r="K2449" t="s">
        <v>18</v>
      </c>
      <c r="L2449">
        <v>87</v>
      </c>
      <c r="M2449">
        <f>IF(D2449=I2449,VLOOKUP(D2449,a_win_totals_lookup,MATCH(K2449,a_wins_total_lookup_header,0)+1,0),VLOOKUP(D2449,a_win_totals_lookup,MATCH(I2449,a_wins_total_lookup_header,0)+1,0))</f>
        <v>0.55479759978041154</v>
      </c>
      <c r="N2449">
        <f t="shared" ca="1" si="38"/>
        <v>1</v>
      </c>
    </row>
    <row r="2450" spans="1:14" x14ac:dyDescent="0.25">
      <c r="A2450">
        <v>400579521</v>
      </c>
      <c r="B2450">
        <v>2015</v>
      </c>
      <c r="C2450" s="1">
        <v>42109</v>
      </c>
      <c r="D2450" t="s">
        <v>32</v>
      </c>
      <c r="E2450">
        <v>0</v>
      </c>
      <c r="F2450">
        <v>30</v>
      </c>
      <c r="G2450">
        <v>52</v>
      </c>
      <c r="H2450">
        <v>0</v>
      </c>
      <c r="I2450" t="s">
        <v>36</v>
      </c>
      <c r="J2450">
        <v>133</v>
      </c>
      <c r="K2450" t="s">
        <v>32</v>
      </c>
      <c r="L2450">
        <v>126</v>
      </c>
      <c r="M2450">
        <f>IF(D2450=I2450,VLOOKUP(D2450,a_win_totals_lookup,MATCH(K2450,a_wins_total_lookup_header,0)+1,0),VLOOKUP(D2450,a_win_totals_lookup,MATCH(I2450,a_wins_total_lookup_header,0)+1,0))</f>
        <v>0.37777969425937236</v>
      </c>
      <c r="N2450">
        <f t="shared" ca="1" si="38"/>
        <v>0</v>
      </c>
    </row>
    <row r="2451" spans="1:14" x14ac:dyDescent="0.25">
      <c r="A2451">
        <v>400579521</v>
      </c>
      <c r="B2451">
        <v>2015</v>
      </c>
      <c r="C2451" s="1">
        <v>42109</v>
      </c>
      <c r="D2451" t="s">
        <v>36</v>
      </c>
      <c r="E2451">
        <v>1</v>
      </c>
      <c r="F2451">
        <v>67</v>
      </c>
      <c r="G2451">
        <v>15</v>
      </c>
      <c r="H2451">
        <v>1</v>
      </c>
      <c r="I2451" t="s">
        <v>36</v>
      </c>
      <c r="J2451">
        <v>133</v>
      </c>
      <c r="K2451" t="s">
        <v>32</v>
      </c>
      <c r="L2451">
        <v>126</v>
      </c>
      <c r="M2451">
        <f>IF(D2451=I2451,VLOOKUP(D2451,a_win_totals_lookup,MATCH(K2451,a_wins_total_lookup_header,0)+1,0),VLOOKUP(D2451,a_win_totals_lookup,MATCH(I2451,a_wins_total_lookup_header,0)+1,0))</f>
        <v>0.62222030574062748</v>
      </c>
      <c r="N2451">
        <f t="shared" ca="1" si="38"/>
        <v>0</v>
      </c>
    </row>
    <row r="2452" spans="1:14" x14ac:dyDescent="0.25">
      <c r="A2452">
        <v>400579522</v>
      </c>
      <c r="B2452">
        <v>2015</v>
      </c>
      <c r="C2452" s="1">
        <v>42109</v>
      </c>
      <c r="D2452" t="s">
        <v>17</v>
      </c>
      <c r="E2452">
        <v>0</v>
      </c>
      <c r="F2452">
        <v>21</v>
      </c>
      <c r="G2452">
        <v>61</v>
      </c>
      <c r="H2452">
        <v>1</v>
      </c>
      <c r="I2452" t="s">
        <v>17</v>
      </c>
      <c r="J2452">
        <v>99</v>
      </c>
      <c r="K2452" t="s">
        <v>37</v>
      </c>
      <c r="L2452">
        <v>122</v>
      </c>
      <c r="M2452">
        <f>IF(D2452=I2452,VLOOKUP(D2452,a_win_totals_lookup,MATCH(K2452,a_wins_total_lookup_header,0)+1,0),VLOOKUP(D2452,a_win_totals_lookup,MATCH(I2452,a_wins_total_lookup_header,0)+1,0))</f>
        <v>0.5</v>
      </c>
      <c r="N2452">
        <f t="shared" ca="1" si="38"/>
        <v>0</v>
      </c>
    </row>
    <row r="2453" spans="1:14" x14ac:dyDescent="0.25">
      <c r="A2453">
        <v>400579522</v>
      </c>
      <c r="B2453">
        <v>2015</v>
      </c>
      <c r="C2453" s="1">
        <v>42109</v>
      </c>
      <c r="D2453" t="s">
        <v>37</v>
      </c>
      <c r="E2453">
        <v>1</v>
      </c>
      <c r="F2453">
        <v>29</v>
      </c>
      <c r="G2453">
        <v>53</v>
      </c>
      <c r="H2453">
        <v>0</v>
      </c>
      <c r="I2453" t="s">
        <v>17</v>
      </c>
      <c r="J2453">
        <v>99</v>
      </c>
      <c r="K2453" t="s">
        <v>37</v>
      </c>
      <c r="L2453">
        <v>122</v>
      </c>
      <c r="M2453">
        <f>IF(D2453=I2453,VLOOKUP(D2453,a_win_totals_lookup,MATCH(K2453,a_wins_total_lookup_header,0)+1,0),VLOOKUP(D2453,a_win_totals_lookup,MATCH(I2453,a_wins_total_lookup_header,0)+1,0))</f>
        <v>0.5</v>
      </c>
      <c r="N2453">
        <f t="shared" ca="1" si="38"/>
        <v>1</v>
      </c>
    </row>
    <row r="2454" spans="1:14" x14ac:dyDescent="0.25">
      <c r="A2454">
        <v>400755860</v>
      </c>
      <c r="B2454">
        <v>2015</v>
      </c>
      <c r="C2454" s="1">
        <v>42066</v>
      </c>
      <c r="D2454" t="s">
        <v>31</v>
      </c>
      <c r="E2454">
        <v>0</v>
      </c>
      <c r="F2454">
        <v>12</v>
      </c>
      <c r="G2454">
        <v>47</v>
      </c>
      <c r="H2454">
        <v>1</v>
      </c>
      <c r="I2454" t="s">
        <v>31</v>
      </c>
      <c r="J2454">
        <v>86</v>
      </c>
      <c r="K2454" t="s">
        <v>37</v>
      </c>
      <c r="L2454">
        <v>124</v>
      </c>
      <c r="M2454">
        <f>IF(D2454=I2454,VLOOKUP(D2454,a_win_totals_lookup,MATCH(K2454,a_wins_total_lookup_header,0)+1,0),VLOOKUP(D2454,a_win_totals_lookup,MATCH(I2454,a_wins_total_lookup_header,0)+1,0))</f>
        <v>0.57711263446281591</v>
      </c>
      <c r="N2454">
        <f t="shared" ca="1" si="38"/>
        <v>1</v>
      </c>
    </row>
    <row r="2455" spans="1:14" x14ac:dyDescent="0.25">
      <c r="A2455">
        <v>400755860</v>
      </c>
      <c r="B2455">
        <v>2015</v>
      </c>
      <c r="C2455" s="1">
        <v>42066</v>
      </c>
      <c r="D2455" t="s">
        <v>37</v>
      </c>
      <c r="E2455">
        <v>1</v>
      </c>
      <c r="F2455">
        <v>21</v>
      </c>
      <c r="G2455">
        <v>37</v>
      </c>
      <c r="H2455">
        <v>0</v>
      </c>
      <c r="I2455" t="s">
        <v>31</v>
      </c>
      <c r="J2455">
        <v>86</v>
      </c>
      <c r="K2455" t="s">
        <v>37</v>
      </c>
      <c r="L2455">
        <v>124</v>
      </c>
      <c r="M2455">
        <f>IF(D2455=I2455,VLOOKUP(D2455,a_win_totals_lookup,MATCH(K2455,a_wins_total_lookup_header,0)+1,0),VLOOKUP(D2455,a_win_totals_lookup,MATCH(I2455,a_wins_total_lookup_header,0)+1,0))</f>
        <v>0.42288736553718415</v>
      </c>
      <c r="N2455">
        <f t="shared" ca="1" si="38"/>
        <v>0</v>
      </c>
    </row>
    <row r="2456" spans="1:14" x14ac:dyDescent="0.25">
      <c r="A2456">
        <v>400755861</v>
      </c>
      <c r="B2456">
        <v>2015</v>
      </c>
      <c r="C2456" s="1">
        <v>42100</v>
      </c>
      <c r="D2456" t="s">
        <v>23</v>
      </c>
      <c r="E2456">
        <v>1</v>
      </c>
      <c r="F2456">
        <v>36</v>
      </c>
      <c r="G2456">
        <v>41</v>
      </c>
      <c r="H2456">
        <v>1</v>
      </c>
      <c r="I2456" t="s">
        <v>23</v>
      </c>
      <c r="J2456">
        <v>106</v>
      </c>
      <c r="K2456" t="s">
        <v>39</v>
      </c>
      <c r="L2456">
        <v>96</v>
      </c>
      <c r="M2456">
        <f>IF(D2456=I2456,VLOOKUP(D2456,a_win_totals_lookup,MATCH(K2456,a_wins_total_lookup_header,0)+1,0),VLOOKUP(D2456,a_win_totals_lookup,MATCH(I2456,a_wins_total_lookup_header,0)+1,0))</f>
        <v>0.40843302990522401</v>
      </c>
      <c r="N2456">
        <f t="shared" ca="1" si="38"/>
        <v>0</v>
      </c>
    </row>
    <row r="2457" spans="1:14" x14ac:dyDescent="0.25">
      <c r="A2457">
        <v>400755861</v>
      </c>
      <c r="B2457">
        <v>2015</v>
      </c>
      <c r="C2457" s="1">
        <v>42100</v>
      </c>
      <c r="D2457" t="s">
        <v>39</v>
      </c>
      <c r="E2457">
        <v>0</v>
      </c>
      <c r="F2457">
        <v>50</v>
      </c>
      <c r="G2457">
        <v>27</v>
      </c>
      <c r="H2457">
        <v>0</v>
      </c>
      <c r="I2457" t="s">
        <v>23</v>
      </c>
      <c r="J2457">
        <v>106</v>
      </c>
      <c r="K2457" t="s">
        <v>39</v>
      </c>
      <c r="L2457">
        <v>96</v>
      </c>
      <c r="M2457">
        <f>IF(D2457=I2457,VLOOKUP(D2457,a_win_totals_lookup,MATCH(K2457,a_wins_total_lookup_header,0)+1,0),VLOOKUP(D2457,a_win_totals_lookup,MATCH(I2457,a_wins_total_lookup_header,0)+1,0))</f>
        <v>0.59156697009477588</v>
      </c>
      <c r="N2457">
        <f t="shared" ca="1" si="38"/>
        <v>1</v>
      </c>
    </row>
  </sheetData>
  <autoFilter ref="A1:L245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31"/>
  <sheetViews>
    <sheetView zoomScale="80" zoomScaleNormal="80" workbookViewId="0">
      <selection activeCell="G2" activeCellId="1" sqref="K2:K31 G2:G31"/>
    </sheetView>
  </sheetViews>
  <sheetFormatPr defaultRowHeight="15" customHeight="1" x14ac:dyDescent="0.25"/>
  <sheetData>
    <row r="1" spans="1:11" ht="15" customHeight="1" x14ac:dyDescent="0.25">
      <c r="A1" t="s">
        <v>46</v>
      </c>
      <c r="B1" t="s">
        <v>107</v>
      </c>
      <c r="C1" t="s">
        <v>69</v>
      </c>
      <c r="D1" t="s">
        <v>70</v>
      </c>
      <c r="E1" s="2" t="s">
        <v>45</v>
      </c>
      <c r="F1" s="2" t="s">
        <v>71</v>
      </c>
      <c r="G1" s="2" t="s">
        <v>72</v>
      </c>
      <c r="H1" s="2" t="s">
        <v>73</v>
      </c>
      <c r="I1" s="2" t="s">
        <v>74</v>
      </c>
      <c r="J1" s="2" t="s">
        <v>134</v>
      </c>
      <c r="K1" s="5" t="s">
        <v>111</v>
      </c>
    </row>
    <row r="2" spans="1:11" ht="15" customHeight="1" x14ac:dyDescent="0.25">
      <c r="A2">
        <v>61</v>
      </c>
      <c r="B2">
        <v>61</v>
      </c>
      <c r="C2">
        <v>2014</v>
      </c>
      <c r="D2">
        <v>2015</v>
      </c>
      <c r="E2" t="s">
        <v>26</v>
      </c>
      <c r="F2">
        <v>40.5</v>
      </c>
      <c r="G2">
        <v>60</v>
      </c>
      <c r="H2" t="s">
        <v>47</v>
      </c>
      <c r="I2">
        <v>1</v>
      </c>
      <c r="J2">
        <f>RANK(F2,F$2:F$31)</f>
        <v>18</v>
      </c>
      <c r="K2">
        <f>RANK(G2,G$2:G$31)</f>
        <v>2</v>
      </c>
    </row>
    <row r="3" spans="1:11" ht="15" customHeight="1" x14ac:dyDescent="0.25">
      <c r="A3">
        <v>62</v>
      </c>
      <c r="B3">
        <v>62</v>
      </c>
      <c r="C3">
        <v>2014</v>
      </c>
      <c r="D3">
        <v>2015</v>
      </c>
      <c r="E3" t="s">
        <v>22</v>
      </c>
      <c r="F3">
        <v>26.5</v>
      </c>
      <c r="G3">
        <v>40</v>
      </c>
      <c r="H3" t="s">
        <v>47</v>
      </c>
      <c r="I3">
        <v>1</v>
      </c>
      <c r="J3">
        <f t="shared" ref="J3:J31" si="0">RANK(F3,F$2:F$31)</f>
        <v>26</v>
      </c>
      <c r="K3">
        <f t="shared" ref="K3:K31" si="1">RANK(G3,$G$2:$G$31)</f>
        <v>16</v>
      </c>
    </row>
    <row r="4" spans="1:11" ht="15" customHeight="1" x14ac:dyDescent="0.25">
      <c r="A4">
        <v>63</v>
      </c>
      <c r="B4">
        <v>63</v>
      </c>
      <c r="C4">
        <v>2014</v>
      </c>
      <c r="D4">
        <v>2015</v>
      </c>
      <c r="E4" t="s">
        <v>23</v>
      </c>
      <c r="F4">
        <v>41.5</v>
      </c>
      <c r="G4">
        <v>38</v>
      </c>
      <c r="H4" t="s">
        <v>48</v>
      </c>
      <c r="I4">
        <v>-1</v>
      </c>
      <c r="J4">
        <f t="shared" si="0"/>
        <v>16</v>
      </c>
      <c r="K4">
        <f t="shared" si="1"/>
        <v>18</v>
      </c>
    </row>
    <row r="5" spans="1:11" ht="15" customHeight="1" x14ac:dyDescent="0.25">
      <c r="A5">
        <v>64</v>
      </c>
      <c r="B5">
        <v>64</v>
      </c>
      <c r="C5">
        <v>2014</v>
      </c>
      <c r="D5">
        <v>2015</v>
      </c>
      <c r="E5" t="s">
        <v>18</v>
      </c>
      <c r="F5">
        <v>45.5</v>
      </c>
      <c r="G5">
        <v>33</v>
      </c>
      <c r="H5" t="s">
        <v>48</v>
      </c>
      <c r="I5">
        <v>-1</v>
      </c>
      <c r="J5">
        <f t="shared" si="0"/>
        <v>13</v>
      </c>
      <c r="K5">
        <f t="shared" si="1"/>
        <v>22</v>
      </c>
    </row>
    <row r="6" spans="1:11" ht="15" customHeight="1" x14ac:dyDescent="0.25">
      <c r="A6">
        <v>65</v>
      </c>
      <c r="B6">
        <v>65</v>
      </c>
      <c r="C6">
        <v>2014</v>
      </c>
      <c r="D6">
        <v>2015</v>
      </c>
      <c r="E6" t="s">
        <v>30</v>
      </c>
      <c r="F6">
        <v>55.5</v>
      </c>
      <c r="G6">
        <v>50</v>
      </c>
      <c r="H6" t="s">
        <v>48</v>
      </c>
      <c r="I6">
        <v>-1</v>
      </c>
      <c r="J6">
        <f t="shared" si="0"/>
        <v>4</v>
      </c>
      <c r="K6">
        <f t="shared" si="1"/>
        <v>9</v>
      </c>
    </row>
    <row r="7" spans="1:11" ht="15" customHeight="1" x14ac:dyDescent="0.25">
      <c r="A7">
        <v>66</v>
      </c>
      <c r="B7">
        <v>66</v>
      </c>
      <c r="C7">
        <v>2014</v>
      </c>
      <c r="D7">
        <v>2015</v>
      </c>
      <c r="E7" t="s">
        <v>40</v>
      </c>
      <c r="F7">
        <v>58.5</v>
      </c>
      <c r="G7">
        <v>53</v>
      </c>
      <c r="H7" t="s">
        <v>48</v>
      </c>
      <c r="I7">
        <v>-1</v>
      </c>
      <c r="J7">
        <f t="shared" si="0"/>
        <v>1</v>
      </c>
      <c r="K7">
        <f t="shared" si="1"/>
        <v>7</v>
      </c>
    </row>
    <row r="8" spans="1:11" ht="15" customHeight="1" x14ac:dyDescent="0.25">
      <c r="A8">
        <v>67</v>
      </c>
      <c r="B8">
        <v>67</v>
      </c>
      <c r="C8">
        <v>2014</v>
      </c>
      <c r="D8">
        <v>2015</v>
      </c>
      <c r="E8" t="s">
        <v>14</v>
      </c>
      <c r="F8">
        <v>49.5</v>
      </c>
      <c r="G8">
        <v>50</v>
      </c>
      <c r="H8" t="s">
        <v>47</v>
      </c>
      <c r="I8">
        <v>1</v>
      </c>
      <c r="J8">
        <f t="shared" si="0"/>
        <v>7</v>
      </c>
      <c r="K8">
        <f t="shared" si="1"/>
        <v>9</v>
      </c>
    </row>
    <row r="9" spans="1:11" ht="15" customHeight="1" x14ac:dyDescent="0.25">
      <c r="A9">
        <v>68</v>
      </c>
      <c r="B9">
        <v>68</v>
      </c>
      <c r="C9">
        <v>2014</v>
      </c>
      <c r="D9">
        <v>2015</v>
      </c>
      <c r="E9" t="s">
        <v>32</v>
      </c>
      <c r="F9">
        <v>40.5</v>
      </c>
      <c r="G9">
        <v>30</v>
      </c>
      <c r="H9" t="s">
        <v>48</v>
      </c>
      <c r="I9">
        <v>-1</v>
      </c>
      <c r="J9">
        <f t="shared" si="0"/>
        <v>18</v>
      </c>
      <c r="K9">
        <f t="shared" si="1"/>
        <v>24</v>
      </c>
    </row>
    <row r="10" spans="1:11" ht="15" customHeight="1" x14ac:dyDescent="0.25">
      <c r="A10">
        <v>69</v>
      </c>
      <c r="B10">
        <v>69</v>
      </c>
      <c r="C10">
        <v>2014</v>
      </c>
      <c r="D10">
        <v>2015</v>
      </c>
      <c r="E10" t="s">
        <v>33</v>
      </c>
      <c r="F10">
        <v>36.5</v>
      </c>
      <c r="G10">
        <v>32</v>
      </c>
      <c r="H10" t="s">
        <v>48</v>
      </c>
      <c r="I10">
        <v>-1</v>
      </c>
      <c r="J10">
        <f t="shared" si="0"/>
        <v>21</v>
      </c>
      <c r="K10">
        <f t="shared" si="1"/>
        <v>23</v>
      </c>
    </row>
    <row r="11" spans="1:11" ht="15" customHeight="1" x14ac:dyDescent="0.25">
      <c r="A11">
        <v>70</v>
      </c>
      <c r="B11">
        <v>70</v>
      </c>
      <c r="C11">
        <v>2014</v>
      </c>
      <c r="D11">
        <v>2015</v>
      </c>
      <c r="E11" t="s">
        <v>36</v>
      </c>
      <c r="F11">
        <v>50.5</v>
      </c>
      <c r="G11">
        <v>67</v>
      </c>
      <c r="H11" t="s">
        <v>47</v>
      </c>
      <c r="I11">
        <v>1</v>
      </c>
      <c r="J11">
        <f t="shared" si="0"/>
        <v>6</v>
      </c>
      <c r="K11">
        <f t="shared" si="1"/>
        <v>1</v>
      </c>
    </row>
    <row r="12" spans="1:11" ht="15" customHeight="1" x14ac:dyDescent="0.25">
      <c r="A12">
        <v>71</v>
      </c>
      <c r="B12">
        <v>71</v>
      </c>
      <c r="C12">
        <v>2014</v>
      </c>
      <c r="D12">
        <v>2015</v>
      </c>
      <c r="E12" t="s">
        <v>16</v>
      </c>
      <c r="F12">
        <v>49.5</v>
      </c>
      <c r="G12">
        <v>56</v>
      </c>
      <c r="H12" t="s">
        <v>47</v>
      </c>
      <c r="I12">
        <v>1</v>
      </c>
      <c r="J12">
        <f t="shared" si="0"/>
        <v>7</v>
      </c>
      <c r="K12">
        <f t="shared" si="1"/>
        <v>3</v>
      </c>
    </row>
    <row r="13" spans="1:11" ht="15" customHeight="1" x14ac:dyDescent="0.25">
      <c r="A13">
        <v>72</v>
      </c>
      <c r="B13">
        <v>72</v>
      </c>
      <c r="C13">
        <v>2014</v>
      </c>
      <c r="D13">
        <v>2015</v>
      </c>
      <c r="E13" t="s">
        <v>20</v>
      </c>
      <c r="F13">
        <v>32.5</v>
      </c>
      <c r="G13">
        <v>38</v>
      </c>
      <c r="H13" t="s">
        <v>47</v>
      </c>
      <c r="I13">
        <v>1</v>
      </c>
      <c r="J13">
        <f t="shared" si="0"/>
        <v>22</v>
      </c>
      <c r="K13">
        <f t="shared" si="1"/>
        <v>18</v>
      </c>
    </row>
    <row r="14" spans="1:11" ht="15" customHeight="1" x14ac:dyDescent="0.25">
      <c r="A14">
        <v>73</v>
      </c>
      <c r="B14">
        <v>73</v>
      </c>
      <c r="C14">
        <v>2014</v>
      </c>
      <c r="D14">
        <v>2015</v>
      </c>
      <c r="E14" t="s">
        <v>41</v>
      </c>
      <c r="F14">
        <v>55.5</v>
      </c>
      <c r="G14">
        <v>56</v>
      </c>
      <c r="H14" t="s">
        <v>47</v>
      </c>
      <c r="I14">
        <v>1</v>
      </c>
      <c r="J14">
        <f t="shared" si="0"/>
        <v>4</v>
      </c>
      <c r="K14">
        <f t="shared" si="1"/>
        <v>3</v>
      </c>
    </row>
    <row r="15" spans="1:11" ht="15" customHeight="1" x14ac:dyDescent="0.25">
      <c r="A15">
        <v>74</v>
      </c>
      <c r="B15">
        <v>74</v>
      </c>
      <c r="C15">
        <v>2014</v>
      </c>
      <c r="D15">
        <v>2015</v>
      </c>
      <c r="E15" t="s">
        <v>17</v>
      </c>
      <c r="F15">
        <v>31.5</v>
      </c>
      <c r="G15">
        <v>21</v>
      </c>
      <c r="H15" t="s">
        <v>48</v>
      </c>
      <c r="I15">
        <v>-1</v>
      </c>
      <c r="J15">
        <f t="shared" si="0"/>
        <v>23</v>
      </c>
      <c r="K15">
        <f t="shared" si="1"/>
        <v>27</v>
      </c>
    </row>
    <row r="16" spans="1:11" ht="15" customHeight="1" x14ac:dyDescent="0.25">
      <c r="A16">
        <v>75</v>
      </c>
      <c r="B16">
        <v>75</v>
      </c>
      <c r="C16">
        <v>2014</v>
      </c>
      <c r="D16">
        <v>2015</v>
      </c>
      <c r="E16" t="s">
        <v>28</v>
      </c>
      <c r="F16">
        <v>48.5</v>
      </c>
      <c r="G16">
        <v>55</v>
      </c>
      <c r="H16" t="s">
        <v>47</v>
      </c>
      <c r="I16">
        <v>1</v>
      </c>
      <c r="J16">
        <f t="shared" si="0"/>
        <v>11</v>
      </c>
      <c r="K16">
        <f t="shared" si="1"/>
        <v>5</v>
      </c>
    </row>
    <row r="17" spans="1:11" ht="15" customHeight="1" x14ac:dyDescent="0.25">
      <c r="A17">
        <v>76</v>
      </c>
      <c r="B17">
        <v>76</v>
      </c>
      <c r="C17">
        <v>2014</v>
      </c>
      <c r="D17">
        <v>2015</v>
      </c>
      <c r="E17" t="s">
        <v>24</v>
      </c>
      <c r="F17">
        <v>43.5</v>
      </c>
      <c r="G17">
        <v>37</v>
      </c>
      <c r="H17" t="s">
        <v>48</v>
      </c>
      <c r="I17">
        <v>-1</v>
      </c>
      <c r="J17">
        <f t="shared" si="0"/>
        <v>14</v>
      </c>
      <c r="K17">
        <f t="shared" si="1"/>
        <v>21</v>
      </c>
    </row>
    <row r="18" spans="1:11" ht="15" customHeight="1" x14ac:dyDescent="0.25">
      <c r="A18">
        <v>77</v>
      </c>
      <c r="B18">
        <v>77</v>
      </c>
      <c r="C18">
        <v>2014</v>
      </c>
      <c r="D18">
        <v>2015</v>
      </c>
      <c r="E18" t="s">
        <v>19</v>
      </c>
      <c r="F18">
        <v>24.5</v>
      </c>
      <c r="G18">
        <v>41</v>
      </c>
      <c r="H18" t="s">
        <v>47</v>
      </c>
      <c r="I18">
        <v>1</v>
      </c>
      <c r="J18">
        <f t="shared" si="0"/>
        <v>29</v>
      </c>
      <c r="K18">
        <f t="shared" si="1"/>
        <v>15</v>
      </c>
    </row>
    <row r="19" spans="1:11" ht="15" customHeight="1" x14ac:dyDescent="0.25">
      <c r="A19">
        <v>78</v>
      </c>
      <c r="B19">
        <v>78</v>
      </c>
      <c r="C19">
        <v>2014</v>
      </c>
      <c r="D19">
        <v>2015</v>
      </c>
      <c r="E19" t="s">
        <v>29</v>
      </c>
      <c r="F19">
        <v>25.5</v>
      </c>
      <c r="G19">
        <v>16</v>
      </c>
      <c r="H19" t="s">
        <v>48</v>
      </c>
      <c r="I19">
        <v>-1</v>
      </c>
      <c r="J19">
        <f t="shared" si="0"/>
        <v>27</v>
      </c>
      <c r="K19">
        <f t="shared" si="1"/>
        <v>30</v>
      </c>
    </row>
    <row r="20" spans="1:11" ht="15" customHeight="1" x14ac:dyDescent="0.25">
      <c r="A20">
        <v>79</v>
      </c>
      <c r="B20">
        <v>79</v>
      </c>
      <c r="C20">
        <v>2014</v>
      </c>
      <c r="D20">
        <v>2015</v>
      </c>
      <c r="E20" t="s">
        <v>12</v>
      </c>
      <c r="F20">
        <v>41.5</v>
      </c>
      <c r="G20">
        <v>45</v>
      </c>
      <c r="H20" t="s">
        <v>47</v>
      </c>
      <c r="I20">
        <v>1</v>
      </c>
      <c r="J20">
        <f t="shared" si="0"/>
        <v>16</v>
      </c>
      <c r="K20">
        <f t="shared" si="1"/>
        <v>13</v>
      </c>
    </row>
    <row r="21" spans="1:11" ht="15" customHeight="1" x14ac:dyDescent="0.25">
      <c r="A21">
        <v>80</v>
      </c>
      <c r="B21">
        <v>80</v>
      </c>
      <c r="C21">
        <v>2014</v>
      </c>
      <c r="D21">
        <v>2015</v>
      </c>
      <c r="E21" t="s">
        <v>31</v>
      </c>
      <c r="F21">
        <v>40.5</v>
      </c>
      <c r="G21">
        <v>17</v>
      </c>
      <c r="H21" t="s">
        <v>48</v>
      </c>
      <c r="I21">
        <v>-1</v>
      </c>
      <c r="J21">
        <f t="shared" si="0"/>
        <v>18</v>
      </c>
      <c r="K21">
        <f t="shared" si="1"/>
        <v>29</v>
      </c>
    </row>
    <row r="22" spans="1:11" ht="15" customHeight="1" x14ac:dyDescent="0.25">
      <c r="A22">
        <v>81</v>
      </c>
      <c r="B22">
        <v>81</v>
      </c>
      <c r="C22">
        <v>2014</v>
      </c>
      <c r="D22">
        <v>2015</v>
      </c>
      <c r="E22" t="s">
        <v>38</v>
      </c>
      <c r="F22">
        <v>57.5</v>
      </c>
      <c r="G22">
        <v>45</v>
      </c>
      <c r="H22" t="s">
        <v>48</v>
      </c>
      <c r="I22">
        <v>-1</v>
      </c>
      <c r="J22">
        <f t="shared" si="0"/>
        <v>2</v>
      </c>
      <c r="K22">
        <f t="shared" si="1"/>
        <v>13</v>
      </c>
    </row>
    <row r="23" spans="1:11" ht="15" customHeight="1" x14ac:dyDescent="0.25">
      <c r="A23">
        <v>82</v>
      </c>
      <c r="B23">
        <v>82</v>
      </c>
      <c r="C23">
        <v>2014</v>
      </c>
      <c r="D23">
        <v>2015</v>
      </c>
      <c r="E23" t="s">
        <v>13</v>
      </c>
      <c r="F23">
        <v>28.5</v>
      </c>
      <c r="G23">
        <v>25</v>
      </c>
      <c r="H23" t="s">
        <v>48</v>
      </c>
      <c r="I23">
        <v>-1</v>
      </c>
      <c r="J23">
        <f t="shared" si="0"/>
        <v>25</v>
      </c>
      <c r="K23">
        <f t="shared" si="1"/>
        <v>26</v>
      </c>
    </row>
    <row r="24" spans="1:11" ht="15" customHeight="1" x14ac:dyDescent="0.25">
      <c r="A24">
        <v>83</v>
      </c>
      <c r="B24">
        <v>83</v>
      </c>
      <c r="C24">
        <v>2014</v>
      </c>
      <c r="D24">
        <v>2015</v>
      </c>
      <c r="E24" t="s">
        <v>21</v>
      </c>
      <c r="F24">
        <v>15.5</v>
      </c>
      <c r="G24">
        <v>18</v>
      </c>
      <c r="H24" t="s">
        <v>47</v>
      </c>
      <c r="I24">
        <v>1</v>
      </c>
      <c r="J24">
        <f t="shared" si="0"/>
        <v>30</v>
      </c>
      <c r="K24">
        <f t="shared" si="1"/>
        <v>28</v>
      </c>
    </row>
    <row r="25" spans="1:11" ht="15" customHeight="1" x14ac:dyDescent="0.25">
      <c r="A25">
        <v>84</v>
      </c>
      <c r="B25">
        <v>84</v>
      </c>
      <c r="C25">
        <v>2014</v>
      </c>
      <c r="D25">
        <v>2015</v>
      </c>
      <c r="E25" t="s">
        <v>35</v>
      </c>
      <c r="F25">
        <v>42.5</v>
      </c>
      <c r="G25">
        <v>39</v>
      </c>
      <c r="H25" t="s">
        <v>48</v>
      </c>
      <c r="I25">
        <v>-1</v>
      </c>
      <c r="J25">
        <f t="shared" si="0"/>
        <v>15</v>
      </c>
      <c r="K25">
        <f t="shared" si="1"/>
        <v>17</v>
      </c>
    </row>
    <row r="26" spans="1:11" ht="15" customHeight="1" x14ac:dyDescent="0.25">
      <c r="A26">
        <v>85</v>
      </c>
      <c r="B26">
        <v>85</v>
      </c>
      <c r="C26">
        <v>2014</v>
      </c>
      <c r="D26">
        <v>2015</v>
      </c>
      <c r="E26" t="s">
        <v>39</v>
      </c>
      <c r="F26">
        <v>48.5</v>
      </c>
      <c r="G26">
        <v>51</v>
      </c>
      <c r="H26" t="s">
        <v>47</v>
      </c>
      <c r="I26">
        <v>1</v>
      </c>
      <c r="J26">
        <f t="shared" si="0"/>
        <v>11</v>
      </c>
      <c r="K26">
        <f t="shared" si="1"/>
        <v>8</v>
      </c>
    </row>
    <row r="27" spans="1:11" ht="15" customHeight="1" x14ac:dyDescent="0.25">
      <c r="A27">
        <v>86</v>
      </c>
      <c r="B27">
        <v>86</v>
      </c>
      <c r="C27">
        <v>2014</v>
      </c>
      <c r="D27">
        <v>2015</v>
      </c>
      <c r="E27" t="s">
        <v>37</v>
      </c>
      <c r="F27">
        <v>30.5</v>
      </c>
      <c r="G27">
        <v>29</v>
      </c>
      <c r="H27" t="s">
        <v>48</v>
      </c>
      <c r="I27">
        <v>-1</v>
      </c>
      <c r="J27">
        <f t="shared" si="0"/>
        <v>24</v>
      </c>
      <c r="K27">
        <f t="shared" si="1"/>
        <v>25</v>
      </c>
    </row>
    <row r="28" spans="1:11" ht="15" customHeight="1" x14ac:dyDescent="0.25">
      <c r="A28">
        <v>87</v>
      </c>
      <c r="B28">
        <v>87</v>
      </c>
      <c r="C28">
        <v>2014</v>
      </c>
      <c r="D28">
        <v>2015</v>
      </c>
      <c r="E28" t="s">
        <v>15</v>
      </c>
      <c r="F28">
        <v>56.5</v>
      </c>
      <c r="G28">
        <v>55</v>
      </c>
      <c r="H28" t="s">
        <v>48</v>
      </c>
      <c r="I28">
        <v>-1</v>
      </c>
      <c r="J28">
        <f t="shared" si="0"/>
        <v>3</v>
      </c>
      <c r="K28">
        <f t="shared" si="1"/>
        <v>5</v>
      </c>
    </row>
    <row r="29" spans="1:11" ht="15" customHeight="1" x14ac:dyDescent="0.25">
      <c r="A29">
        <v>88</v>
      </c>
      <c r="B29">
        <v>88</v>
      </c>
      <c r="C29">
        <v>2014</v>
      </c>
      <c r="D29">
        <v>2015</v>
      </c>
      <c r="E29" t="s">
        <v>27</v>
      </c>
      <c r="F29">
        <v>49.5</v>
      </c>
      <c r="G29">
        <v>49</v>
      </c>
      <c r="H29" t="s">
        <v>48</v>
      </c>
      <c r="I29">
        <v>-1</v>
      </c>
      <c r="J29">
        <f t="shared" si="0"/>
        <v>7</v>
      </c>
      <c r="K29">
        <f t="shared" si="1"/>
        <v>11</v>
      </c>
    </row>
    <row r="30" spans="1:11" ht="15" customHeight="1" x14ac:dyDescent="0.25">
      <c r="A30">
        <v>89</v>
      </c>
      <c r="B30">
        <v>89</v>
      </c>
      <c r="C30">
        <v>2014</v>
      </c>
      <c r="D30">
        <v>2015</v>
      </c>
      <c r="E30" t="s">
        <v>34</v>
      </c>
      <c r="F30">
        <v>25.5</v>
      </c>
      <c r="G30">
        <v>38</v>
      </c>
      <c r="H30" t="s">
        <v>47</v>
      </c>
      <c r="I30">
        <v>1</v>
      </c>
      <c r="J30">
        <f t="shared" si="0"/>
        <v>27</v>
      </c>
      <c r="K30">
        <f t="shared" si="1"/>
        <v>18</v>
      </c>
    </row>
    <row r="31" spans="1:11" ht="15" customHeight="1" x14ac:dyDescent="0.25">
      <c r="A31">
        <v>90</v>
      </c>
      <c r="B31">
        <v>90</v>
      </c>
      <c r="C31">
        <v>2014</v>
      </c>
      <c r="D31">
        <v>2015</v>
      </c>
      <c r="E31" t="s">
        <v>25</v>
      </c>
      <c r="F31">
        <v>49.5</v>
      </c>
      <c r="G31">
        <v>46</v>
      </c>
      <c r="H31" t="s">
        <v>48</v>
      </c>
      <c r="I31">
        <v>-1</v>
      </c>
      <c r="J31">
        <f t="shared" si="0"/>
        <v>7</v>
      </c>
      <c r="K31">
        <f t="shared" si="1"/>
        <v>12</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2"/>
  <sheetViews>
    <sheetView zoomScale="80" zoomScaleNormal="80" workbookViewId="0">
      <selection activeCell="I1" sqref="I1"/>
    </sheetView>
  </sheetViews>
  <sheetFormatPr defaultRowHeight="15" x14ac:dyDescent="0.25"/>
  <sheetData>
    <row r="1" spans="1:11" x14ac:dyDescent="0.25">
      <c r="A1" t="s">
        <v>46</v>
      </c>
      <c r="B1" t="s">
        <v>107</v>
      </c>
      <c r="C1" t="s">
        <v>109</v>
      </c>
      <c r="D1" s="6" t="s">
        <v>45</v>
      </c>
      <c r="E1" s="6" t="s">
        <v>42</v>
      </c>
      <c r="F1" t="s">
        <v>43</v>
      </c>
      <c r="G1" t="s">
        <v>44</v>
      </c>
      <c r="I1" s="4" t="s">
        <v>51</v>
      </c>
      <c r="J1" s="4" t="s">
        <v>50</v>
      </c>
    </row>
    <row r="2" spans="1:11" x14ac:dyDescent="0.25">
      <c r="A2">
        <v>61</v>
      </c>
      <c r="B2">
        <v>61</v>
      </c>
      <c r="C2" t="s">
        <v>108</v>
      </c>
      <c r="D2" t="str">
        <f>VLOOKUP(B2,d_win_totals!$B$2:$E$31,4,0)</f>
        <v>ATL</v>
      </c>
      <c r="E2">
        <f>VLOOKUP(D2,d_win_totals!$E$2:$G$31,2,0)</f>
        <v>40.5</v>
      </c>
      <c r="F2" t="s">
        <v>47</v>
      </c>
      <c r="G2">
        <v>3</v>
      </c>
      <c r="H2">
        <v>1</v>
      </c>
      <c r="I2">
        <f>ROUND(IF(F2="O",E2+(3-G2*1/10),E2-(3-G2*1/10)),0)</f>
        <v>43</v>
      </c>
      <c r="J2">
        <f>RANK(I2,I$2:I$31)</f>
        <v>15</v>
      </c>
      <c r="K2" s="3"/>
    </row>
    <row r="3" spans="1:11" x14ac:dyDescent="0.25">
      <c r="A3">
        <v>62</v>
      </c>
      <c r="B3">
        <v>62</v>
      </c>
      <c r="C3" t="s">
        <v>108</v>
      </c>
      <c r="D3" t="str">
        <f>VLOOKUP(B3,d_win_totals!$B$2:$E$31,4,0)</f>
        <v>BOS</v>
      </c>
      <c r="E3">
        <f>VLOOKUP(D3,d_win_totals!$E$2:$G$31,2,0)</f>
        <v>26.5</v>
      </c>
      <c r="F3" t="s">
        <v>48</v>
      </c>
      <c r="G3">
        <v>4</v>
      </c>
      <c r="H3">
        <v>0</v>
      </c>
      <c r="I3">
        <f t="shared" ref="I3:I31" si="0">ROUND(IF(F3="O",E3+(3-G3*1/10),E3-(3-G3*1/10)),0)</f>
        <v>24</v>
      </c>
      <c r="J3">
        <f t="shared" ref="J3:J31" si="1">RANK(I3,I$2:I$31)</f>
        <v>28</v>
      </c>
      <c r="K3" s="3"/>
    </row>
    <row r="4" spans="1:11" x14ac:dyDescent="0.25">
      <c r="A4">
        <v>63</v>
      </c>
      <c r="B4">
        <v>63</v>
      </c>
      <c r="C4" t="s">
        <v>108</v>
      </c>
      <c r="D4" t="str">
        <f>VLOOKUP(B4,d_win_totals!$B$2:$E$31,4,0)</f>
        <v>BKN</v>
      </c>
      <c r="E4">
        <f>VLOOKUP(D4,d_win_totals!$E$2:$G$31,2,0)</f>
        <v>41.5</v>
      </c>
      <c r="F4" t="s">
        <v>48</v>
      </c>
      <c r="G4">
        <v>15</v>
      </c>
      <c r="H4">
        <v>1</v>
      </c>
      <c r="I4">
        <f t="shared" si="0"/>
        <v>40</v>
      </c>
      <c r="J4">
        <f t="shared" si="1"/>
        <v>18</v>
      </c>
      <c r="K4" s="3"/>
    </row>
    <row r="5" spans="1:11" x14ac:dyDescent="0.25">
      <c r="A5">
        <v>64</v>
      </c>
      <c r="B5">
        <v>64</v>
      </c>
      <c r="C5" t="s">
        <v>108</v>
      </c>
      <c r="D5" t="str">
        <f>VLOOKUP(B5,d_win_totals!$B$2:$E$31,4,0)</f>
        <v>CHA</v>
      </c>
      <c r="E5">
        <f>VLOOKUP(D5,d_win_totals!$E$2:$G$31,2,0)</f>
        <v>45.5</v>
      </c>
      <c r="F5" t="s">
        <v>47</v>
      </c>
      <c r="G5">
        <v>14</v>
      </c>
      <c r="H5">
        <v>0</v>
      </c>
      <c r="I5">
        <f t="shared" si="0"/>
        <v>47</v>
      </c>
      <c r="J5">
        <f t="shared" si="1"/>
        <v>13</v>
      </c>
      <c r="K5" s="3"/>
    </row>
    <row r="6" spans="1:11" x14ac:dyDescent="0.25">
      <c r="A6">
        <v>65</v>
      </c>
      <c r="B6">
        <v>65</v>
      </c>
      <c r="C6" t="s">
        <v>108</v>
      </c>
      <c r="D6" t="str">
        <f>VLOOKUP(B6,d_win_totals!$B$2:$E$31,4,0)</f>
        <v>CHI</v>
      </c>
      <c r="E6">
        <f>VLOOKUP(D6,d_win_totals!$E$2:$G$31,2,0)</f>
        <v>55.5</v>
      </c>
      <c r="F6" t="s">
        <v>47</v>
      </c>
      <c r="G6">
        <v>21</v>
      </c>
      <c r="H6">
        <v>0</v>
      </c>
      <c r="I6">
        <f t="shared" si="0"/>
        <v>56</v>
      </c>
      <c r="J6">
        <f t="shared" si="1"/>
        <v>3</v>
      </c>
      <c r="K6" s="3"/>
    </row>
    <row r="7" spans="1:11" x14ac:dyDescent="0.25">
      <c r="A7">
        <v>66</v>
      </c>
      <c r="B7">
        <v>66</v>
      </c>
      <c r="C7" t="s">
        <v>108</v>
      </c>
      <c r="D7" t="str">
        <f>VLOOKUP(B7,d_win_totals!$B$2:$E$31,4,0)</f>
        <v>CLE</v>
      </c>
      <c r="E7">
        <f>VLOOKUP(D7,d_win_totals!$E$2:$G$31,2,0)</f>
        <v>58.5</v>
      </c>
      <c r="F7" t="s">
        <v>48</v>
      </c>
      <c r="G7">
        <v>22</v>
      </c>
      <c r="H7">
        <v>1</v>
      </c>
      <c r="I7">
        <f t="shared" si="0"/>
        <v>58</v>
      </c>
      <c r="J7">
        <f t="shared" si="1"/>
        <v>1</v>
      </c>
      <c r="K7" s="3"/>
    </row>
    <row r="8" spans="1:11" x14ac:dyDescent="0.25">
      <c r="A8">
        <v>67</v>
      </c>
      <c r="B8">
        <v>67</v>
      </c>
      <c r="C8" t="s">
        <v>108</v>
      </c>
      <c r="D8" t="str">
        <f>VLOOKUP(B8,d_win_totals!$B$2:$E$31,4,0)</f>
        <v>DAL</v>
      </c>
      <c r="E8">
        <f>VLOOKUP(D8,d_win_totals!$E$2:$G$31,2,0)</f>
        <v>49.5</v>
      </c>
      <c r="F8" t="s">
        <v>47</v>
      </c>
      <c r="G8">
        <v>5</v>
      </c>
      <c r="H8">
        <v>1</v>
      </c>
      <c r="I8">
        <f t="shared" si="0"/>
        <v>52</v>
      </c>
      <c r="J8">
        <f t="shared" si="1"/>
        <v>7</v>
      </c>
      <c r="K8" s="3"/>
    </row>
    <row r="9" spans="1:11" x14ac:dyDescent="0.25">
      <c r="A9">
        <v>68</v>
      </c>
      <c r="B9">
        <v>68</v>
      </c>
      <c r="C9" t="s">
        <v>108</v>
      </c>
      <c r="D9" t="str">
        <f>VLOOKUP(B9,d_win_totals!$B$2:$E$31,4,0)</f>
        <v>DEN</v>
      </c>
      <c r="E9">
        <f>VLOOKUP(D9,d_win_totals!$E$2:$G$31,2,0)</f>
        <v>40.5</v>
      </c>
      <c r="F9" t="s">
        <v>48</v>
      </c>
      <c r="G9">
        <v>29</v>
      </c>
      <c r="H9">
        <v>1</v>
      </c>
      <c r="I9">
        <f t="shared" si="0"/>
        <v>40</v>
      </c>
      <c r="J9">
        <f t="shared" si="1"/>
        <v>18</v>
      </c>
      <c r="K9" s="3"/>
    </row>
    <row r="10" spans="1:11" x14ac:dyDescent="0.25">
      <c r="A10">
        <v>69</v>
      </c>
      <c r="B10">
        <v>69</v>
      </c>
      <c r="C10" t="s">
        <v>108</v>
      </c>
      <c r="D10" t="str">
        <f>VLOOKUP(B10,d_win_totals!$B$2:$E$31,4,0)</f>
        <v>DET</v>
      </c>
      <c r="E10">
        <f>VLOOKUP(D10,d_win_totals!$E$2:$G$31,2,0)</f>
        <v>36.5</v>
      </c>
      <c r="F10" t="s">
        <v>48</v>
      </c>
      <c r="G10">
        <v>9</v>
      </c>
      <c r="H10">
        <v>1</v>
      </c>
      <c r="I10">
        <f t="shared" si="0"/>
        <v>34</v>
      </c>
      <c r="J10">
        <f t="shared" si="1"/>
        <v>21</v>
      </c>
      <c r="K10" s="3"/>
    </row>
    <row r="11" spans="1:11" x14ac:dyDescent="0.25">
      <c r="A11">
        <v>70</v>
      </c>
      <c r="B11">
        <v>70</v>
      </c>
      <c r="C11" t="s">
        <v>108</v>
      </c>
      <c r="D11" t="str">
        <f>VLOOKUP(B11,d_win_totals!$B$2:$E$31,4,0)</f>
        <v>GS</v>
      </c>
      <c r="E11">
        <f>VLOOKUP(D11,d_win_totals!$E$2:$G$31,2,0)</f>
        <v>50.5</v>
      </c>
      <c r="F11" t="s">
        <v>47</v>
      </c>
      <c r="G11">
        <v>8</v>
      </c>
      <c r="H11">
        <v>1</v>
      </c>
      <c r="I11">
        <f t="shared" si="0"/>
        <v>53</v>
      </c>
      <c r="J11">
        <f t="shared" si="1"/>
        <v>6</v>
      </c>
      <c r="K11" s="3"/>
    </row>
    <row r="12" spans="1:11" x14ac:dyDescent="0.25">
      <c r="A12">
        <v>71</v>
      </c>
      <c r="B12">
        <v>71</v>
      </c>
      <c r="C12" t="s">
        <v>108</v>
      </c>
      <c r="D12" t="str">
        <f>VLOOKUP(B12,d_win_totals!$B$2:$E$31,4,0)</f>
        <v>HOU</v>
      </c>
      <c r="E12">
        <f>VLOOKUP(D12,d_win_totals!$E$2:$G$31,2,0)</f>
        <v>49.5</v>
      </c>
      <c r="F12" t="s">
        <v>48</v>
      </c>
      <c r="G12">
        <v>13</v>
      </c>
      <c r="H12">
        <v>0</v>
      </c>
      <c r="I12">
        <f t="shared" si="0"/>
        <v>48</v>
      </c>
      <c r="J12">
        <f t="shared" si="1"/>
        <v>11</v>
      </c>
      <c r="K12" s="3"/>
    </row>
    <row r="13" spans="1:11" x14ac:dyDescent="0.25">
      <c r="A13">
        <v>72</v>
      </c>
      <c r="B13">
        <v>72</v>
      </c>
      <c r="C13" t="s">
        <v>108</v>
      </c>
      <c r="D13" t="str">
        <f>VLOOKUP(B13,d_win_totals!$B$2:$E$31,4,0)</f>
        <v>IND</v>
      </c>
      <c r="E13">
        <f>VLOOKUP(D13,d_win_totals!$E$2:$G$31,2,0)</f>
        <v>32.5</v>
      </c>
      <c r="F13" t="s">
        <v>48</v>
      </c>
      <c r="G13">
        <v>30</v>
      </c>
      <c r="H13">
        <v>0</v>
      </c>
      <c r="I13">
        <f t="shared" si="0"/>
        <v>33</v>
      </c>
      <c r="J13">
        <f t="shared" si="1"/>
        <v>22</v>
      </c>
      <c r="K13" s="3"/>
    </row>
    <row r="14" spans="1:11" x14ac:dyDescent="0.25">
      <c r="A14">
        <v>73</v>
      </c>
      <c r="B14">
        <v>73</v>
      </c>
      <c r="C14" t="s">
        <v>108</v>
      </c>
      <c r="D14" t="str">
        <f>VLOOKUP(B14,d_win_totals!$B$2:$E$31,4,0)</f>
        <v>LAC</v>
      </c>
      <c r="E14">
        <f>VLOOKUP(D14,d_win_totals!$E$2:$G$31,2,0)</f>
        <v>55.5</v>
      </c>
      <c r="F14" t="s">
        <v>47</v>
      </c>
      <c r="G14">
        <v>6</v>
      </c>
      <c r="H14">
        <v>1</v>
      </c>
      <c r="I14">
        <f t="shared" si="0"/>
        <v>58</v>
      </c>
      <c r="J14">
        <f t="shared" si="1"/>
        <v>1</v>
      </c>
      <c r="K14" s="3"/>
    </row>
    <row r="15" spans="1:11" x14ac:dyDescent="0.25">
      <c r="A15">
        <v>74</v>
      </c>
      <c r="B15">
        <v>74</v>
      </c>
      <c r="C15" t="s">
        <v>108</v>
      </c>
      <c r="D15" t="str">
        <f>VLOOKUP(B15,d_win_totals!$B$2:$E$31,4,0)</f>
        <v>LAL</v>
      </c>
      <c r="E15">
        <f>VLOOKUP(D15,d_win_totals!$E$2:$G$31,2,0)</f>
        <v>31.5</v>
      </c>
      <c r="F15" t="s">
        <v>48</v>
      </c>
      <c r="G15">
        <v>2</v>
      </c>
      <c r="H15">
        <v>1</v>
      </c>
      <c r="I15">
        <f t="shared" si="0"/>
        <v>29</v>
      </c>
      <c r="J15">
        <f t="shared" si="1"/>
        <v>23</v>
      </c>
      <c r="K15" s="3"/>
    </row>
    <row r="16" spans="1:11" x14ac:dyDescent="0.25">
      <c r="A16">
        <v>75</v>
      </c>
      <c r="B16">
        <v>75</v>
      </c>
      <c r="C16" t="s">
        <v>108</v>
      </c>
      <c r="D16" t="str">
        <f>VLOOKUP(B16,d_win_totals!$B$2:$E$31,4,0)</f>
        <v>MEM</v>
      </c>
      <c r="E16">
        <f>VLOOKUP(D16,d_win_totals!$E$2:$G$31,2,0)</f>
        <v>48.5</v>
      </c>
      <c r="F16" t="s">
        <v>47</v>
      </c>
      <c r="G16">
        <v>19</v>
      </c>
      <c r="H16">
        <v>1</v>
      </c>
      <c r="I16">
        <f t="shared" si="0"/>
        <v>50</v>
      </c>
      <c r="J16">
        <f t="shared" si="1"/>
        <v>9</v>
      </c>
      <c r="K16" s="3"/>
    </row>
    <row r="17" spans="1:11" x14ac:dyDescent="0.25">
      <c r="A17">
        <v>76</v>
      </c>
      <c r="B17">
        <v>76</v>
      </c>
      <c r="C17" t="s">
        <v>108</v>
      </c>
      <c r="D17" t="str">
        <f>VLOOKUP(B17,d_win_totals!$B$2:$E$31,4,0)</f>
        <v>MIA</v>
      </c>
      <c r="E17">
        <f>VLOOKUP(D17,d_win_totals!$E$2:$G$31,2,0)</f>
        <v>43.5</v>
      </c>
      <c r="F17" t="s">
        <v>47</v>
      </c>
      <c r="G17">
        <v>12</v>
      </c>
      <c r="H17">
        <v>0</v>
      </c>
      <c r="I17">
        <f t="shared" si="0"/>
        <v>45</v>
      </c>
      <c r="J17">
        <f t="shared" si="1"/>
        <v>14</v>
      </c>
      <c r="K17" s="3"/>
    </row>
    <row r="18" spans="1:11" x14ac:dyDescent="0.25">
      <c r="A18">
        <v>77</v>
      </c>
      <c r="B18">
        <v>77</v>
      </c>
      <c r="C18" t="s">
        <v>108</v>
      </c>
      <c r="D18" t="str">
        <f>VLOOKUP(B18,d_win_totals!$B$2:$E$31,4,0)</f>
        <v>MIL</v>
      </c>
      <c r="E18">
        <f>VLOOKUP(D18,d_win_totals!$E$2:$G$31,2,0)</f>
        <v>24.5</v>
      </c>
      <c r="F18" t="s">
        <v>47</v>
      </c>
      <c r="G18">
        <v>28</v>
      </c>
      <c r="H18">
        <v>1</v>
      </c>
      <c r="I18">
        <f t="shared" si="0"/>
        <v>25</v>
      </c>
      <c r="J18">
        <f t="shared" si="1"/>
        <v>27</v>
      </c>
      <c r="K18" s="3"/>
    </row>
    <row r="19" spans="1:11" x14ac:dyDescent="0.25">
      <c r="A19">
        <v>78</v>
      </c>
      <c r="B19">
        <v>78</v>
      </c>
      <c r="C19" t="s">
        <v>108</v>
      </c>
      <c r="D19" t="str">
        <f>VLOOKUP(B19,d_win_totals!$B$2:$E$31,4,0)</f>
        <v>MIN</v>
      </c>
      <c r="E19">
        <f>VLOOKUP(D19,d_win_totals!$E$2:$G$31,2,0)</f>
        <v>25.5</v>
      </c>
      <c r="F19" t="s">
        <v>48</v>
      </c>
      <c r="G19">
        <v>10</v>
      </c>
      <c r="H19">
        <v>1</v>
      </c>
      <c r="I19">
        <f t="shared" si="0"/>
        <v>24</v>
      </c>
      <c r="J19">
        <f t="shared" si="1"/>
        <v>28</v>
      </c>
      <c r="K19" s="3"/>
    </row>
    <row r="20" spans="1:11" x14ac:dyDescent="0.25">
      <c r="A20">
        <v>79</v>
      </c>
      <c r="B20">
        <v>79</v>
      </c>
      <c r="C20" t="s">
        <v>108</v>
      </c>
      <c r="D20" t="str">
        <f>VLOOKUP(B20,d_win_totals!$B$2:$E$31,4,0)</f>
        <v>NO</v>
      </c>
      <c r="E20">
        <f>VLOOKUP(D20,d_win_totals!$E$2:$G$31,2,0)</f>
        <v>41.5</v>
      </c>
      <c r="F20" t="s">
        <v>48</v>
      </c>
      <c r="G20">
        <v>25</v>
      </c>
      <c r="H20">
        <v>0</v>
      </c>
      <c r="I20">
        <f t="shared" si="0"/>
        <v>41</v>
      </c>
      <c r="J20">
        <f t="shared" si="1"/>
        <v>17</v>
      </c>
      <c r="K20" s="3"/>
    </row>
    <row r="21" spans="1:11" x14ac:dyDescent="0.25">
      <c r="A21">
        <v>80</v>
      </c>
      <c r="B21">
        <v>80</v>
      </c>
      <c r="C21" t="s">
        <v>108</v>
      </c>
      <c r="D21" t="str">
        <f>VLOOKUP(B21,d_win_totals!$B$2:$E$31,4,0)</f>
        <v>NY</v>
      </c>
      <c r="E21">
        <f>VLOOKUP(D21,d_win_totals!$E$2:$G$31,2,0)</f>
        <v>40.5</v>
      </c>
      <c r="F21" t="s">
        <v>48</v>
      </c>
      <c r="G21">
        <v>22</v>
      </c>
      <c r="H21">
        <v>1</v>
      </c>
      <c r="I21">
        <f t="shared" si="0"/>
        <v>40</v>
      </c>
      <c r="J21">
        <f t="shared" si="1"/>
        <v>18</v>
      </c>
      <c r="K21" s="3"/>
    </row>
    <row r="22" spans="1:11" x14ac:dyDescent="0.25">
      <c r="A22">
        <v>81</v>
      </c>
      <c r="B22">
        <v>81</v>
      </c>
      <c r="C22" t="s">
        <v>108</v>
      </c>
      <c r="D22" t="str">
        <f>VLOOKUP(B22,d_win_totals!$B$2:$E$31,4,0)</f>
        <v>OKC</v>
      </c>
      <c r="E22">
        <f>VLOOKUP(D22,d_win_totals!$E$2:$G$31,2,0)</f>
        <v>57.5</v>
      </c>
      <c r="F22" t="s">
        <v>48</v>
      </c>
      <c r="G22">
        <v>1</v>
      </c>
      <c r="H22">
        <v>1</v>
      </c>
      <c r="I22">
        <f t="shared" si="0"/>
        <v>55</v>
      </c>
      <c r="J22">
        <f t="shared" si="1"/>
        <v>5</v>
      </c>
      <c r="K22" s="3"/>
    </row>
    <row r="23" spans="1:11" x14ac:dyDescent="0.25">
      <c r="A23">
        <v>82</v>
      </c>
      <c r="B23">
        <v>82</v>
      </c>
      <c r="C23" t="s">
        <v>108</v>
      </c>
      <c r="D23" t="str">
        <f>VLOOKUP(B23,d_win_totals!$B$2:$E$31,4,0)</f>
        <v>ORL</v>
      </c>
      <c r="E23">
        <f>VLOOKUP(D23,d_win_totals!$E$2:$G$31,2,0)</f>
        <v>28.5</v>
      </c>
      <c r="F23" t="s">
        <v>48</v>
      </c>
      <c r="G23">
        <v>16</v>
      </c>
      <c r="H23">
        <v>1</v>
      </c>
      <c r="I23">
        <f t="shared" si="0"/>
        <v>27</v>
      </c>
      <c r="J23">
        <f t="shared" si="1"/>
        <v>25</v>
      </c>
      <c r="K23" s="3"/>
    </row>
    <row r="24" spans="1:11" x14ac:dyDescent="0.25">
      <c r="A24">
        <v>83</v>
      </c>
      <c r="B24">
        <v>83</v>
      </c>
      <c r="C24" t="s">
        <v>108</v>
      </c>
      <c r="D24" t="str">
        <f>VLOOKUP(B24,d_win_totals!$B$2:$E$31,4,0)</f>
        <v>PHI</v>
      </c>
      <c r="E24">
        <f>VLOOKUP(D24,d_win_totals!$E$2:$G$31,2,0)</f>
        <v>15.5</v>
      </c>
      <c r="F24" t="s">
        <v>48</v>
      </c>
      <c r="G24">
        <v>26</v>
      </c>
      <c r="H24">
        <v>0</v>
      </c>
      <c r="I24">
        <f t="shared" si="0"/>
        <v>15</v>
      </c>
      <c r="J24">
        <f t="shared" si="1"/>
        <v>30</v>
      </c>
      <c r="K24" s="3"/>
    </row>
    <row r="25" spans="1:11" x14ac:dyDescent="0.25">
      <c r="A25">
        <v>84</v>
      </c>
      <c r="B25">
        <v>84</v>
      </c>
      <c r="C25" t="s">
        <v>108</v>
      </c>
      <c r="D25" t="str">
        <f>VLOOKUP(B25,d_win_totals!$B$2:$E$31,4,0)</f>
        <v>PHX</v>
      </c>
      <c r="E25">
        <f>VLOOKUP(D25,d_win_totals!$E$2:$G$31,2,0)</f>
        <v>42.5</v>
      </c>
      <c r="F25" t="s">
        <v>47</v>
      </c>
      <c r="G25">
        <v>23</v>
      </c>
      <c r="H25">
        <v>0</v>
      </c>
      <c r="I25">
        <f t="shared" si="0"/>
        <v>43</v>
      </c>
      <c r="J25">
        <f t="shared" si="1"/>
        <v>15</v>
      </c>
      <c r="K25" s="3"/>
    </row>
    <row r="26" spans="1:11" x14ac:dyDescent="0.25">
      <c r="A26">
        <v>85</v>
      </c>
      <c r="B26">
        <v>85</v>
      </c>
      <c r="C26" t="s">
        <v>108</v>
      </c>
      <c r="D26" t="str">
        <f>VLOOKUP(B26,d_win_totals!$B$2:$E$31,4,0)</f>
        <v>POR</v>
      </c>
      <c r="E26">
        <f>VLOOKUP(D26,d_win_totals!$E$2:$G$31,2,0)</f>
        <v>48.5</v>
      </c>
      <c r="F26" t="s">
        <v>47</v>
      </c>
      <c r="G26">
        <v>27</v>
      </c>
      <c r="H26">
        <v>1</v>
      </c>
      <c r="I26">
        <f t="shared" si="0"/>
        <v>49</v>
      </c>
      <c r="J26">
        <f t="shared" si="1"/>
        <v>10</v>
      </c>
      <c r="K26" s="3"/>
    </row>
    <row r="27" spans="1:11" x14ac:dyDescent="0.25">
      <c r="A27">
        <v>86</v>
      </c>
      <c r="B27">
        <v>86</v>
      </c>
      <c r="C27" t="s">
        <v>108</v>
      </c>
      <c r="D27" t="str">
        <f>VLOOKUP(B27,d_win_totals!$B$2:$E$31,4,0)</f>
        <v>SAC</v>
      </c>
      <c r="E27">
        <f>VLOOKUP(D27,d_win_totals!$E$2:$G$31,2,0)</f>
        <v>30.5</v>
      </c>
      <c r="F27" t="s">
        <v>48</v>
      </c>
      <c r="G27">
        <v>11</v>
      </c>
      <c r="H27">
        <v>1</v>
      </c>
      <c r="I27">
        <f t="shared" si="0"/>
        <v>29</v>
      </c>
      <c r="J27">
        <f t="shared" si="1"/>
        <v>23</v>
      </c>
      <c r="K27" s="3"/>
    </row>
    <row r="28" spans="1:11" x14ac:dyDescent="0.25">
      <c r="A28">
        <v>87</v>
      </c>
      <c r="B28">
        <v>87</v>
      </c>
      <c r="C28" t="s">
        <v>108</v>
      </c>
      <c r="D28" t="str">
        <f>VLOOKUP(B28,d_win_totals!$B$2:$E$31,4,0)</f>
        <v>SA</v>
      </c>
      <c r="E28">
        <f>VLOOKUP(D28,d_win_totals!$E$2:$G$31,2,0)</f>
        <v>56.5</v>
      </c>
      <c r="F28" t="s">
        <v>48</v>
      </c>
      <c r="G28">
        <v>24</v>
      </c>
      <c r="H28">
        <v>1</v>
      </c>
      <c r="I28">
        <f t="shared" si="0"/>
        <v>56</v>
      </c>
      <c r="J28">
        <f t="shared" si="1"/>
        <v>3</v>
      </c>
      <c r="K28" s="3"/>
    </row>
    <row r="29" spans="1:11" x14ac:dyDescent="0.25">
      <c r="A29">
        <v>88</v>
      </c>
      <c r="B29">
        <v>88</v>
      </c>
      <c r="C29" t="s">
        <v>108</v>
      </c>
      <c r="D29" t="str">
        <f>VLOOKUP(B29,d_win_totals!$B$2:$E$31,4,0)</f>
        <v>TOR</v>
      </c>
      <c r="E29">
        <f>VLOOKUP(D29,d_win_totals!$E$2:$G$31,2,0)</f>
        <v>49.5</v>
      </c>
      <c r="F29" t="s">
        <v>47</v>
      </c>
      <c r="G29">
        <v>7</v>
      </c>
      <c r="H29">
        <v>0</v>
      </c>
      <c r="I29">
        <f t="shared" si="0"/>
        <v>52</v>
      </c>
      <c r="J29">
        <f t="shared" si="1"/>
        <v>7</v>
      </c>
      <c r="K29" s="3"/>
    </row>
    <row r="30" spans="1:11" x14ac:dyDescent="0.25">
      <c r="A30">
        <v>89</v>
      </c>
      <c r="B30">
        <v>89</v>
      </c>
      <c r="C30" t="s">
        <v>108</v>
      </c>
      <c r="D30" t="str">
        <f>VLOOKUP(B30,d_win_totals!$B$2:$E$31,4,0)</f>
        <v>UTAH</v>
      </c>
      <c r="E30">
        <f>VLOOKUP(D30,d_win_totals!$E$2:$G$31,2,0)</f>
        <v>25.5</v>
      </c>
      <c r="F30" t="s">
        <v>47</v>
      </c>
      <c r="G30">
        <v>18</v>
      </c>
      <c r="H30">
        <v>1</v>
      </c>
      <c r="I30">
        <f t="shared" si="0"/>
        <v>27</v>
      </c>
      <c r="J30">
        <f t="shared" si="1"/>
        <v>25</v>
      </c>
      <c r="K30" s="3"/>
    </row>
    <row r="31" spans="1:11" x14ac:dyDescent="0.25">
      <c r="A31">
        <v>90</v>
      </c>
      <c r="B31">
        <v>90</v>
      </c>
      <c r="C31" t="s">
        <v>108</v>
      </c>
      <c r="D31" t="str">
        <f>VLOOKUP(B31,d_win_totals!$B$2:$E$31,4,0)</f>
        <v>WSH</v>
      </c>
      <c r="E31">
        <f>VLOOKUP(D31,d_win_totals!$E$2:$G$31,2,0)</f>
        <v>49.5</v>
      </c>
      <c r="F31" t="s">
        <v>48</v>
      </c>
      <c r="G31">
        <v>17</v>
      </c>
      <c r="H31">
        <v>1</v>
      </c>
      <c r="I31">
        <f t="shared" si="0"/>
        <v>48</v>
      </c>
      <c r="J31">
        <f t="shared" si="1"/>
        <v>11</v>
      </c>
      <c r="K31" s="3"/>
    </row>
    <row r="32" spans="1:11" x14ac:dyDescent="0.25">
      <c r="K32"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AZ72"/>
  <sheetViews>
    <sheetView topLeftCell="H1" zoomScale="80" zoomScaleNormal="80" workbookViewId="0">
      <selection activeCell="U2" sqref="U2:U32"/>
    </sheetView>
  </sheetViews>
  <sheetFormatPr defaultRowHeight="15" x14ac:dyDescent="0.25"/>
  <cols>
    <col min="22" max="52" width="5.7109375" customWidth="1"/>
  </cols>
  <sheetData>
    <row r="1" spans="2:52" x14ac:dyDescent="0.25">
      <c r="C1" t="s">
        <v>117</v>
      </c>
      <c r="L1" t="s">
        <v>118</v>
      </c>
      <c r="S1" t="s">
        <v>127</v>
      </c>
      <c r="V1" t="s">
        <v>128</v>
      </c>
    </row>
    <row r="2" spans="2:52" x14ac:dyDescent="0.25">
      <c r="B2" t="str">
        <f>d_win_totals!A1</f>
        <v>record_id</v>
      </c>
      <c r="C2" t="str">
        <f>d_win_totals!B1</f>
        <v>pick_id</v>
      </c>
      <c r="D2" t="str">
        <f>d_win_totals!C1</f>
        <v>yr_start</v>
      </c>
      <c r="E2" t="str">
        <f>d_win_totals!D1</f>
        <v>yr_end</v>
      </c>
      <c r="F2" t="str">
        <f>d_win_totals!E1</f>
        <v>team</v>
      </c>
      <c r="G2" t="str">
        <f>d_win_totals!F1</f>
        <v>w_sportsbook</v>
      </c>
      <c r="H2" t="str">
        <f>d_win_totals!G1</f>
        <v>w</v>
      </c>
      <c r="I2" t="str">
        <f>d_win_totals!H1</f>
        <v>result_calc</v>
      </c>
      <c r="J2" t="str">
        <f>d_win_totals!I1</f>
        <v>result_bool_calc</v>
      </c>
      <c r="K2" s="2"/>
      <c r="L2" t="str">
        <f>p_win_totals!A1</f>
        <v>record_id</v>
      </c>
      <c r="M2" t="str">
        <f>p_win_totals!B1</f>
        <v>pick_id</v>
      </c>
      <c r="N2" t="str">
        <f>p_win_totals!C1</f>
        <v>person</v>
      </c>
      <c r="O2" t="str">
        <f>p_win_totals!D1</f>
        <v>team</v>
      </c>
      <c r="P2" t="str">
        <f>p_win_totals!E1</f>
        <v>win_total</v>
      </c>
      <c r="Q2" t="str">
        <f>p_win_totals!F1</f>
        <v>pick</v>
      </c>
      <c r="R2" t="str">
        <f>p_win_totals!G1</f>
        <v>confidence_rating</v>
      </c>
      <c r="S2" t="s">
        <v>51</v>
      </c>
      <c r="T2" t="s">
        <v>50</v>
      </c>
      <c r="U2" s="2"/>
      <c r="W2" t="s">
        <v>26</v>
      </c>
      <c r="X2" t="s">
        <v>22</v>
      </c>
      <c r="Y2" t="s">
        <v>23</v>
      </c>
      <c r="Z2" t="s">
        <v>18</v>
      </c>
      <c r="AA2" t="s">
        <v>30</v>
      </c>
      <c r="AB2" t="s">
        <v>40</v>
      </c>
      <c r="AC2" t="s">
        <v>14</v>
      </c>
      <c r="AD2" t="s">
        <v>32</v>
      </c>
      <c r="AE2" t="s">
        <v>33</v>
      </c>
      <c r="AF2" t="s">
        <v>36</v>
      </c>
      <c r="AG2" t="s">
        <v>16</v>
      </c>
      <c r="AH2" t="s">
        <v>20</v>
      </c>
      <c r="AI2" t="s">
        <v>41</v>
      </c>
      <c r="AJ2" t="s">
        <v>17</v>
      </c>
      <c r="AK2" t="s">
        <v>28</v>
      </c>
      <c r="AL2" t="s">
        <v>24</v>
      </c>
      <c r="AM2" t="s">
        <v>19</v>
      </c>
      <c r="AN2" t="s">
        <v>29</v>
      </c>
      <c r="AO2" t="s">
        <v>12</v>
      </c>
      <c r="AP2" t="s">
        <v>31</v>
      </c>
      <c r="AQ2" t="s">
        <v>38</v>
      </c>
      <c r="AR2" t="s">
        <v>13</v>
      </c>
      <c r="AS2" t="s">
        <v>21</v>
      </c>
      <c r="AT2" t="s">
        <v>35</v>
      </c>
      <c r="AU2" t="s">
        <v>39</v>
      </c>
      <c r="AV2" t="s">
        <v>37</v>
      </c>
      <c r="AW2" t="s">
        <v>15</v>
      </c>
      <c r="AX2" t="s">
        <v>27</v>
      </c>
      <c r="AY2" t="s">
        <v>34</v>
      </c>
      <c r="AZ2" t="s">
        <v>25</v>
      </c>
    </row>
    <row r="3" spans="2:52" x14ac:dyDescent="0.25">
      <c r="B3">
        <f>d_win_totals!A2</f>
        <v>61</v>
      </c>
      <c r="C3">
        <f>d_win_totals!B2</f>
        <v>61</v>
      </c>
      <c r="D3">
        <f>d_win_totals!C2</f>
        <v>2014</v>
      </c>
      <c r="E3">
        <f>d_win_totals!D2</f>
        <v>2015</v>
      </c>
      <c r="F3" t="str">
        <f>d_win_totals!E2</f>
        <v>ATL</v>
      </c>
      <c r="G3">
        <f>d_win_totals!F2</f>
        <v>40.5</v>
      </c>
      <c r="H3">
        <f>d_win_totals!G2</f>
        <v>60</v>
      </c>
      <c r="I3" t="str">
        <f>d_win_totals!H2</f>
        <v>O</v>
      </c>
      <c r="J3">
        <f>d_win_totals!I2</f>
        <v>1</v>
      </c>
      <c r="L3">
        <v>1</v>
      </c>
      <c r="M3">
        <f>p_win_totals!B2</f>
        <v>61</v>
      </c>
      <c r="N3" t="str">
        <f>p_win_totals!C2</f>
        <v>Tony</v>
      </c>
      <c r="O3" t="str">
        <f>p_win_totals!D2</f>
        <v>ATL</v>
      </c>
      <c r="P3">
        <f>p_win_totals!E2</f>
        <v>40.5</v>
      </c>
      <c r="Q3" t="str">
        <f>p_win_totals!F2</f>
        <v>O</v>
      </c>
      <c r="R3">
        <f>p_win_totals!G2</f>
        <v>3</v>
      </c>
      <c r="S3">
        <f>ROUND(IF(Q3="O",P3+(3-R3*1/10),P3-(3-R3*1/10)),0)</f>
        <v>43</v>
      </c>
      <c r="T3">
        <f>RANK(S3,S$3:S$32)</f>
        <v>15</v>
      </c>
      <c r="V3" t="s">
        <v>26</v>
      </c>
      <c r="W3">
        <f>VLOOKUP(VLOOKUP($V3,$O$3:$T$32,6,0),$V$42:$AZ$71,VLOOKUP(W$2,$O$3:$T$32,6,0)+1,0)</f>
        <v>0.5</v>
      </c>
      <c r="X3">
        <f>VLOOKUP(VLOOKUP($V3,$O$3:$T$32,6,0),$V$42:$AZ$71,VLOOKUP(X$2,$O$3:$T$32,6,0)+1,0)</f>
        <v>0.69708802310993623</v>
      </c>
      <c r="Y3">
        <f>VLOOKUP(VLOOKUP($V3,$O$3:$T$32,6,0),$V$42:$AZ$71,VLOOKUP(Y$2,$O$3:$T$32,6,0)+1,0)</f>
        <v>0.53928878009305825</v>
      </c>
      <c r="Z3">
        <f>VLOOKUP(VLOOKUP($V3,$O$3:$T$32,6,0),$V$42:$AZ$71,VLOOKUP(Z$2,$O$3:$T$32,6,0)+1,0)</f>
        <v>0.47688642828156308</v>
      </c>
      <c r="AA3">
        <f>VLOOKUP(VLOOKUP($V3,$O$3:$T$32,6,0),$V$42:$AZ$71,VLOOKUP(AA$2,$O$3:$T$32,6,0)+1,0)</f>
        <v>0.39734725240030316</v>
      </c>
      <c r="AB3">
        <f>VLOOKUP(VLOOKUP($V3,$O$3:$T$32,6,0),$V$42:$AZ$71,VLOOKUP(AB$2,$O$3:$T$32,6,0)+1,0)</f>
        <v>0.3875228826260283</v>
      </c>
      <c r="AC3">
        <f>VLOOKUP(VLOOKUP($V3,$O$3:$T$32,6,0),$V$42:$AZ$71,VLOOKUP(AC$2,$O$3:$T$32,6,0)+1,0)</f>
        <v>0.42248155809117843</v>
      </c>
      <c r="AD3">
        <f>VLOOKUP(VLOOKUP($V3,$O$3:$T$32,6,0),$V$42:$AZ$71,VLOOKUP(AD$2,$O$3:$T$32,6,0)+1,0)</f>
        <v>0.53928878009305825</v>
      </c>
      <c r="AE3">
        <f>VLOOKUP(VLOOKUP($V3,$O$3:$T$32,6,0),$V$42:$AZ$71,VLOOKUP(AE$2,$O$3:$T$32,6,0)+1,0)</f>
        <v>0.58346958313834041</v>
      </c>
      <c r="AF3">
        <f>VLOOKUP(VLOOKUP($V3,$O$3:$T$32,6,0),$V$42:$AZ$71,VLOOKUP(AF$2,$O$3:$T$32,6,0)+1,0)</f>
        <v>0.41544436809019553</v>
      </c>
      <c r="AG3">
        <f>VLOOKUP(VLOOKUP($V3,$O$3:$T$32,6,0),$V$42:$AZ$71,VLOOKUP(AG$2,$O$3:$T$32,6,0)+1,0)</f>
        <v>0.45630903898702979</v>
      </c>
      <c r="AH3">
        <f>VLOOKUP(VLOOKUP($V3,$O$3:$T$32,6,0),$V$42:$AZ$71,VLOOKUP(AH$2,$O$3:$T$32,6,0)+1,0)</f>
        <v>0.59907098078204846</v>
      </c>
      <c r="AI3">
        <f>VLOOKUP(VLOOKUP($V3,$O$3:$T$32,6,0),$V$42:$AZ$71,VLOOKUP(AI$2,$O$3:$T$32,6,0)+1,0)</f>
        <v>0.3875228826260283</v>
      </c>
      <c r="AJ3">
        <f>VLOOKUP(VLOOKUP($V3,$O$3:$T$32,6,0),$V$42:$AZ$71,VLOOKUP(AJ$2,$O$3:$T$32,6,0)+1,0)</f>
        <v>0.61500767730198336</v>
      </c>
      <c r="AK3">
        <f>VLOOKUP(VLOOKUP($V3,$O$3:$T$32,6,0),$V$42:$AZ$71,VLOOKUP(AK$2,$O$3:$T$32,6,0)+1,0)</f>
        <v>0.43821629112720617</v>
      </c>
      <c r="AL3">
        <f>VLOOKUP(VLOOKUP($V3,$O$3:$T$32,6,0),$V$42:$AZ$71,VLOOKUP(AL$2,$O$3:$T$32,6,0)+1,0)</f>
        <v>0.48812658255436298</v>
      </c>
      <c r="AM3">
        <f>VLOOKUP(VLOOKUP($V3,$O$3:$T$32,6,0),$V$42:$AZ$71,VLOOKUP(AM$2,$O$3:$T$32,6,0)+1,0)</f>
        <v>0.68061965309208583</v>
      </c>
      <c r="AN3">
        <f>VLOOKUP(VLOOKUP($V3,$O$3:$T$32,6,0),$V$42:$AZ$71,VLOOKUP(AN$2,$O$3:$T$32,6,0)+1,0)</f>
        <v>0.69708802310993623</v>
      </c>
      <c r="AO3">
        <f>VLOOKUP(VLOOKUP($V3,$O$3:$T$32,6,0),$V$42:$AZ$71,VLOOKUP(AO$2,$O$3:$T$32,6,0)+1,0)</f>
        <v>0.52560193997306337</v>
      </c>
      <c r="AP3">
        <f>VLOOKUP(VLOOKUP($V3,$O$3:$T$32,6,0),$V$42:$AZ$71,VLOOKUP(AP$2,$O$3:$T$32,6,0)+1,0)</f>
        <v>0.53928878009305825</v>
      </c>
      <c r="AQ3">
        <f>VLOOKUP(VLOOKUP($V3,$O$3:$T$32,6,0),$V$42:$AZ$71,VLOOKUP(AQ$2,$O$3:$T$32,6,0)+1,0)</f>
        <v>0.40892741206867239</v>
      </c>
      <c r="AR3">
        <f>VLOOKUP(VLOOKUP($V3,$O$3:$T$32,6,0),$V$42:$AZ$71,VLOOKUP(AR$2,$O$3:$T$32,6,0)+1,0)</f>
        <v>0.64759781623680968</v>
      </c>
      <c r="AS3">
        <f>VLOOKUP(VLOOKUP($V3,$O$3:$T$32,6,0),$V$42:$AZ$71,VLOOKUP(AS$2,$O$3:$T$32,6,0)+1,0)</f>
        <v>0.72953473790298751</v>
      </c>
      <c r="AT3">
        <f>VLOOKUP(VLOOKUP($V3,$O$3:$T$32,6,0),$V$42:$AZ$71,VLOOKUP(AT$2,$O$3:$T$32,6,0)+1,0)</f>
        <v>0.5</v>
      </c>
      <c r="AU3">
        <f>VLOOKUP(VLOOKUP($V3,$O$3:$T$32,6,0),$V$42:$AZ$71,VLOOKUP(AU$2,$O$3:$T$32,6,0)+1,0)</f>
        <v>0.44695853169533922</v>
      </c>
      <c r="AV3">
        <f>VLOOKUP(VLOOKUP($V3,$O$3:$T$32,6,0),$V$42:$AZ$71,VLOOKUP(AV$2,$O$3:$T$32,6,0)+1,0)</f>
        <v>0.61500767730198336</v>
      </c>
      <c r="AW3">
        <f>VLOOKUP(VLOOKUP($V3,$O$3:$T$32,6,0),$V$42:$AZ$71,VLOOKUP(AW$2,$O$3:$T$32,6,0)+1,0)</f>
        <v>0.39734725240030316</v>
      </c>
      <c r="AX3">
        <f>VLOOKUP(VLOOKUP($V3,$O$3:$T$32,6,0),$V$42:$AZ$71,VLOOKUP(AX$2,$O$3:$T$32,6,0)+1,0)</f>
        <v>0.42248155809117843</v>
      </c>
      <c r="AY3">
        <f>VLOOKUP(VLOOKUP($V3,$O$3:$T$32,6,0),$V$42:$AZ$71,VLOOKUP(AY$2,$O$3:$T$32,6,0)+1,0)</f>
        <v>0.64759781623680968</v>
      </c>
      <c r="AZ3">
        <f>VLOOKUP(VLOOKUP($V3,$O$3:$T$32,6,0),$V$42:$AZ$71,VLOOKUP(AZ$2,$O$3:$T$32,6,0)+1,0)</f>
        <v>0.45630903898702979</v>
      </c>
    </row>
    <row r="4" spans="2:52" x14ac:dyDescent="0.25">
      <c r="B4">
        <f>d_win_totals!A3</f>
        <v>62</v>
      </c>
      <c r="C4">
        <f>d_win_totals!B3</f>
        <v>62</v>
      </c>
      <c r="D4">
        <f>d_win_totals!C3</f>
        <v>2014</v>
      </c>
      <c r="E4">
        <f>d_win_totals!D3</f>
        <v>2015</v>
      </c>
      <c r="F4" t="str">
        <f>d_win_totals!E3</f>
        <v>BOS</v>
      </c>
      <c r="G4">
        <f>d_win_totals!F3</f>
        <v>26.5</v>
      </c>
      <c r="H4">
        <f>d_win_totals!G3</f>
        <v>40</v>
      </c>
      <c r="I4" t="str">
        <f>d_win_totals!H3</f>
        <v>O</v>
      </c>
      <c r="J4">
        <f>d_win_totals!I3</f>
        <v>1</v>
      </c>
      <c r="L4">
        <v>2</v>
      </c>
      <c r="M4">
        <f>p_win_totals!B3</f>
        <v>62</v>
      </c>
      <c r="N4" t="str">
        <f>p_win_totals!C3</f>
        <v>Tony</v>
      </c>
      <c r="O4" t="str">
        <f>p_win_totals!D3</f>
        <v>BOS</v>
      </c>
      <c r="P4">
        <f>p_win_totals!E3</f>
        <v>26.5</v>
      </c>
      <c r="Q4" t="str">
        <f>p_win_totals!F3</f>
        <v>U</v>
      </c>
      <c r="R4">
        <f>p_win_totals!G3</f>
        <v>4</v>
      </c>
      <c r="S4">
        <f>ROUND(IF(Q4="O",P4+(3-R4*1/10),P4-(3-R4*1/10)),0)</f>
        <v>24</v>
      </c>
      <c r="T4">
        <f t="shared" ref="T4:T32" si="0">RANK(S4,S$3:S$32)</f>
        <v>28</v>
      </c>
      <c r="V4" t="s">
        <v>22</v>
      </c>
      <c r="W4">
        <f>VLOOKUP(VLOOKUP($V4,$O$3:$T$32,6,0),$V$42:$AZ$71,VLOOKUP(W$2,$O$3:$T$32,6,0)+1,0)</f>
        <v>0.30291197689006377</v>
      </c>
      <c r="X4">
        <f>VLOOKUP(VLOOKUP($V4,$O$3:$T$32,6,0),$V$42:$AZ$71,VLOOKUP(X$2,$O$3:$T$32,6,0)+1,0)</f>
        <v>0.5</v>
      </c>
      <c r="Y4">
        <f>VLOOKUP(VLOOKUP($V4,$O$3:$T$32,6,0),$V$42:$AZ$71,VLOOKUP(Y$2,$O$3:$T$32,6,0)+1,0)</f>
        <v>0.33715695553306341</v>
      </c>
      <c r="Z4">
        <f>VLOOKUP(VLOOKUP($V4,$O$3:$T$32,6,0),$V$42:$AZ$71,VLOOKUP(Z$2,$O$3:$T$32,6,0)+1,0)</f>
        <v>0.28373903306292714</v>
      </c>
      <c r="AA4">
        <f>VLOOKUP(VLOOKUP($V4,$O$3:$T$32,6,0),$V$42:$AZ$71,VLOOKUP(AA$2,$O$3:$T$32,6,0)+1,0)</f>
        <v>0.22270013882530892</v>
      </c>
      <c r="AB4">
        <f>VLOOKUP(VLOOKUP($V4,$O$3:$T$32,6,0),$V$42:$AZ$71,VLOOKUP(AB$2,$O$3:$T$32,6,0)+1,0)</f>
        <v>0.21564873302704085</v>
      </c>
      <c r="AC4">
        <f>VLOOKUP(VLOOKUP($V4,$O$3:$T$32,6,0),$V$42:$AZ$71,VLOOKUP(AC$2,$O$3:$T$32,6,0)+1,0)</f>
        <v>0.24120874132126804</v>
      </c>
      <c r="AD4">
        <f>VLOOKUP(VLOOKUP($V4,$O$3:$T$32,6,0),$V$42:$AZ$71,VLOOKUP(AD$2,$O$3:$T$32,6,0)+1,0)</f>
        <v>0.33715695553306341</v>
      </c>
      <c r="AE4">
        <f>VLOOKUP(VLOOKUP($V4,$O$3:$T$32,6,0),$V$42:$AZ$71,VLOOKUP(AE$2,$O$3:$T$32,6,0)+1,0)</f>
        <v>0.37837844574949669</v>
      </c>
      <c r="AF4">
        <f>VLOOKUP(VLOOKUP($V4,$O$3:$T$32,6,0),$V$42:$AZ$71,VLOOKUP(AF$2,$O$3:$T$32,6,0)+1,0)</f>
        <v>0.23595732644921025</v>
      </c>
      <c r="AG4">
        <f>VLOOKUP(VLOOKUP($V4,$O$3:$T$32,6,0),$V$42:$AZ$71,VLOOKUP(AG$2,$O$3:$T$32,6,0)+1,0)</f>
        <v>0.267238229826881</v>
      </c>
      <c r="AH4">
        <f>VLOOKUP(VLOOKUP($V4,$O$3:$T$32,6,0),$V$42:$AZ$71,VLOOKUP(AH$2,$O$3:$T$32,6,0)+1,0)</f>
        <v>0.39367898728550332</v>
      </c>
      <c r="AI4">
        <f>VLOOKUP(VLOOKUP($V4,$O$3:$T$32,6,0),$V$42:$AZ$71,VLOOKUP(AI$2,$O$3:$T$32,6,0)+1,0)</f>
        <v>0.21564873302704085</v>
      </c>
      <c r="AJ4">
        <f>VLOOKUP(VLOOKUP($V4,$O$3:$T$32,6,0),$V$42:$AZ$71,VLOOKUP(AJ$2,$O$3:$T$32,6,0)+1,0)</f>
        <v>0.40973570236484297</v>
      </c>
      <c r="AK4">
        <f>VLOOKUP(VLOOKUP($V4,$O$3:$T$32,6,0),$V$42:$AZ$71,VLOOKUP(AK$2,$O$3:$T$32,6,0)+1,0)</f>
        <v>0.25315159149597988</v>
      </c>
      <c r="AL4">
        <f>VLOOKUP(VLOOKUP($V4,$O$3:$T$32,6,0),$V$42:$AZ$71,VLOOKUP(AL$2,$O$3:$T$32,6,0)+1,0)</f>
        <v>0.29297639017457672</v>
      </c>
      <c r="AM4">
        <f>VLOOKUP(VLOOKUP($V4,$O$3:$T$32,6,0),$V$42:$AZ$71,VLOOKUP(AM$2,$O$3:$T$32,6,0)+1,0)</f>
        <v>0.48079732495336996</v>
      </c>
      <c r="AN4">
        <f>VLOOKUP(VLOOKUP($V4,$O$3:$T$32,6,0),$V$42:$AZ$71,VLOOKUP(AN$2,$O$3:$T$32,6,0)+1,0)</f>
        <v>0.5</v>
      </c>
      <c r="AO4">
        <f>VLOOKUP(VLOOKUP($V4,$O$3:$T$32,6,0),$V$42:$AZ$71,VLOOKUP(AO$2,$O$3:$T$32,6,0)+1,0)</f>
        <v>0.32498145759955055</v>
      </c>
      <c r="AP4">
        <f>VLOOKUP(VLOOKUP($V4,$O$3:$T$32,6,0),$V$42:$AZ$71,VLOOKUP(AP$2,$O$3:$T$32,6,0)+1,0)</f>
        <v>0.33715695553306341</v>
      </c>
      <c r="AQ4">
        <f>VLOOKUP(VLOOKUP($V4,$O$3:$T$32,6,0),$V$42:$AZ$71,VLOOKUP(AQ$2,$O$3:$T$32,6,0)+1,0)</f>
        <v>0.23114261401714065</v>
      </c>
      <c r="AR4">
        <f>VLOOKUP(VLOOKUP($V4,$O$3:$T$32,6,0),$V$42:$AZ$71,VLOOKUP(AR$2,$O$3:$T$32,6,0)+1,0)</f>
        <v>0.44399285510679726</v>
      </c>
      <c r="AS4">
        <f>VLOOKUP(VLOOKUP($V4,$O$3:$T$32,6,0),$V$42:$AZ$71,VLOOKUP(AS$2,$O$3:$T$32,6,0)+1,0)</f>
        <v>0.53961526258126746</v>
      </c>
      <c r="AT4">
        <f>VLOOKUP(VLOOKUP($V4,$O$3:$T$32,6,0),$V$42:$AZ$71,VLOOKUP(AT$2,$O$3:$T$32,6,0)+1,0)</f>
        <v>0.30291197689006377</v>
      </c>
      <c r="AU4">
        <f>VLOOKUP(VLOOKUP($V4,$O$3:$T$32,6,0),$V$42:$AZ$71,VLOOKUP(AU$2,$O$3:$T$32,6,0)+1,0)</f>
        <v>0.25990995831593727</v>
      </c>
      <c r="AV4">
        <f>VLOOKUP(VLOOKUP($V4,$O$3:$T$32,6,0),$V$42:$AZ$71,VLOOKUP(AV$2,$O$3:$T$32,6,0)+1,0)</f>
        <v>0.40973570236484297</v>
      </c>
      <c r="AW4">
        <f>VLOOKUP(VLOOKUP($V4,$O$3:$T$32,6,0),$V$42:$AZ$71,VLOOKUP(AW$2,$O$3:$T$32,6,0)+1,0)</f>
        <v>0.22270013882530892</v>
      </c>
      <c r="AX4">
        <f>VLOOKUP(VLOOKUP($V4,$O$3:$T$32,6,0),$V$42:$AZ$71,VLOOKUP(AX$2,$O$3:$T$32,6,0)+1,0)</f>
        <v>0.24120874132126804</v>
      </c>
      <c r="AY4">
        <f>VLOOKUP(VLOOKUP($V4,$O$3:$T$32,6,0),$V$42:$AZ$71,VLOOKUP(AY$2,$O$3:$T$32,6,0)+1,0)</f>
        <v>0.44399285510679726</v>
      </c>
      <c r="AZ4">
        <f>VLOOKUP(VLOOKUP($V4,$O$3:$T$32,6,0),$V$42:$AZ$71,VLOOKUP(AZ$2,$O$3:$T$32,6,0)+1,0)</f>
        <v>0.267238229826881</v>
      </c>
    </row>
    <row r="5" spans="2:52" x14ac:dyDescent="0.25">
      <c r="B5">
        <f>d_win_totals!A4</f>
        <v>63</v>
      </c>
      <c r="C5">
        <f>d_win_totals!B4</f>
        <v>63</v>
      </c>
      <c r="D5">
        <f>d_win_totals!C4</f>
        <v>2014</v>
      </c>
      <c r="E5">
        <f>d_win_totals!D4</f>
        <v>2015</v>
      </c>
      <c r="F5" t="str">
        <f>d_win_totals!E4</f>
        <v>BKN</v>
      </c>
      <c r="G5">
        <f>d_win_totals!F4</f>
        <v>41.5</v>
      </c>
      <c r="H5">
        <f>d_win_totals!G4</f>
        <v>38</v>
      </c>
      <c r="I5" t="str">
        <f>d_win_totals!H4</f>
        <v>U</v>
      </c>
      <c r="J5">
        <f>d_win_totals!I4</f>
        <v>-1</v>
      </c>
      <c r="L5">
        <v>3</v>
      </c>
      <c r="M5">
        <f>p_win_totals!B4</f>
        <v>63</v>
      </c>
      <c r="N5" t="str">
        <f>p_win_totals!C4</f>
        <v>Tony</v>
      </c>
      <c r="O5" t="str">
        <f>p_win_totals!D4</f>
        <v>BKN</v>
      </c>
      <c r="P5">
        <f>p_win_totals!E4</f>
        <v>41.5</v>
      </c>
      <c r="Q5" t="str">
        <f>p_win_totals!F4</f>
        <v>U</v>
      </c>
      <c r="R5">
        <f>p_win_totals!G4</f>
        <v>15</v>
      </c>
      <c r="S5">
        <f>ROUND(IF(Q5="O",P5+(3-R5*1/10),P5-(3-R5*1/10)),0)</f>
        <v>40</v>
      </c>
      <c r="T5">
        <f t="shared" si="0"/>
        <v>18</v>
      </c>
      <c r="V5" t="s">
        <v>23</v>
      </c>
      <c r="W5">
        <f>VLOOKUP(VLOOKUP($V5,$O$3:$T$32,6,0),$V$42:$AZ$71,VLOOKUP(W$2,$O$3:$T$32,6,0)+1,0)</f>
        <v>0.46071121990694175</v>
      </c>
      <c r="X5">
        <f>VLOOKUP(VLOOKUP($V5,$O$3:$T$32,6,0),$V$42:$AZ$71,VLOOKUP(X$2,$O$3:$T$32,6,0)+1,0)</f>
        <v>0.66284304446693665</v>
      </c>
      <c r="Y5">
        <f>VLOOKUP(VLOOKUP($V5,$O$3:$T$32,6,0),$V$42:$AZ$71,VLOOKUP(Y$2,$O$3:$T$32,6,0)+1,0)</f>
        <v>0.5</v>
      </c>
      <c r="Z5">
        <f>VLOOKUP(VLOOKUP($V5,$O$3:$T$32,6,0),$V$42:$AZ$71,VLOOKUP(Z$2,$O$3:$T$32,6,0)+1,0)</f>
        <v>0.43782349911420193</v>
      </c>
      <c r="AA5">
        <f>VLOOKUP(VLOOKUP($V5,$O$3:$T$32,6,0),$V$42:$AZ$71,VLOOKUP(AA$2,$O$3:$T$32,6,0)+1,0)</f>
        <v>0.36031197606974674</v>
      </c>
      <c r="AB5">
        <f>VLOOKUP(VLOOKUP($V5,$O$3:$T$32,6,0),$V$42:$AZ$71,VLOOKUP(AB$2,$O$3:$T$32,6,0)+1,0)</f>
        <v>0.35087017426187905</v>
      </c>
      <c r="AC5">
        <f>VLOOKUP(VLOOKUP($V5,$O$3:$T$32,6,0),$V$42:$AZ$71,VLOOKUP(AC$2,$O$3:$T$32,6,0)+1,0)</f>
        <v>0.38459864577188729</v>
      </c>
      <c r="AD5">
        <f>VLOOKUP(VLOOKUP($V5,$O$3:$T$32,6,0),$V$42:$AZ$71,VLOOKUP(AD$2,$O$3:$T$32,6,0)+1,0)</f>
        <v>0.5</v>
      </c>
      <c r="AE5">
        <f>VLOOKUP(VLOOKUP($V5,$O$3:$T$32,6,0),$V$42:$AZ$71,VLOOKUP(AE$2,$O$3:$T$32,6,0)+1,0)</f>
        <v>0.54476805573373421</v>
      </c>
      <c r="AF5">
        <f>VLOOKUP(VLOOKUP($V5,$O$3:$T$32,6,0),$V$42:$AZ$71,VLOOKUP(AF$2,$O$3:$T$32,6,0)+1,0)</f>
        <v>0.37777969425937236</v>
      </c>
      <c r="AG5">
        <f>VLOOKUP(VLOOKUP($V5,$O$3:$T$32,6,0),$V$42:$AZ$71,VLOOKUP(AG$2,$O$3:$T$32,6,0)+1,0)</f>
        <v>0.41758613378174975</v>
      </c>
      <c r="AH5">
        <f>VLOOKUP(VLOOKUP($V5,$O$3:$T$32,6,0),$V$42:$AZ$71,VLOOKUP(AH$2,$O$3:$T$32,6,0)+1,0)</f>
        <v>0.56072770135857142</v>
      </c>
      <c r="AI5">
        <f>VLOOKUP(VLOOKUP($V5,$O$3:$T$32,6,0),$V$42:$AZ$71,VLOOKUP(AI$2,$O$3:$T$32,6,0)+1,0)</f>
        <v>0.35087017426187905</v>
      </c>
      <c r="AJ5">
        <f>VLOOKUP(VLOOKUP($V5,$O$3:$T$32,6,0),$V$42:$AZ$71,VLOOKUP(AJ$2,$O$3:$T$32,6,0)+1,0)</f>
        <v>0.57711263446281591</v>
      </c>
      <c r="AK5">
        <f>VLOOKUP(VLOOKUP($V5,$O$3:$T$32,6,0),$V$42:$AZ$71,VLOOKUP(AK$2,$O$3:$T$32,6,0)+1,0)</f>
        <v>0.39989944995796567</v>
      </c>
      <c r="AL5">
        <f>VLOOKUP(VLOOKUP($V5,$O$3:$T$32,6,0),$V$42:$AZ$71,VLOOKUP(AL$2,$O$3:$T$32,6,0)+1,0)</f>
        <v>0.4489330916958254</v>
      </c>
      <c r="AM5">
        <f>VLOOKUP(VLOOKUP($V5,$O$3:$T$32,6,0),$V$42:$AZ$71,VLOOKUP(AM$2,$O$3:$T$32,6,0)+1,0)</f>
        <v>0.64545979335474335</v>
      </c>
      <c r="AN5">
        <f>VLOOKUP(VLOOKUP($V5,$O$3:$T$32,6,0),$V$42:$AZ$71,VLOOKUP(AN$2,$O$3:$T$32,6,0)+1,0)</f>
        <v>0.66284304446693665</v>
      </c>
      <c r="AO5">
        <f>VLOOKUP(VLOOKUP($V5,$O$3:$T$32,6,0),$V$42:$AZ$71,VLOOKUP(AO$2,$O$3:$T$32,6,0)+1,0)</f>
        <v>0.48625786874528693</v>
      </c>
      <c r="AP5">
        <f>VLOOKUP(VLOOKUP($V5,$O$3:$T$32,6,0),$V$42:$AZ$71,VLOOKUP(AP$2,$O$3:$T$32,6,0)+1,0)</f>
        <v>0.5</v>
      </c>
      <c r="AQ5">
        <f>VLOOKUP(VLOOKUP($V5,$O$3:$T$32,6,0),$V$42:$AZ$71,VLOOKUP(AQ$2,$O$3:$T$32,6,0)+1,0)</f>
        <v>0.37147810462585762</v>
      </c>
      <c r="AR5">
        <f>VLOOKUP(VLOOKUP($V5,$O$3:$T$32,6,0),$V$42:$AZ$71,VLOOKUP(AR$2,$O$3:$T$32,6,0)+1,0)</f>
        <v>0.61088100448941873</v>
      </c>
      <c r="AS5">
        <f>VLOOKUP(VLOOKUP($V5,$O$3:$T$32,6,0),$V$42:$AZ$71,VLOOKUP(AS$2,$O$3:$T$32,6,0)+1,0)</f>
        <v>0.69736543414984997</v>
      </c>
      <c r="AT5">
        <f>VLOOKUP(VLOOKUP($V5,$O$3:$T$32,6,0),$V$42:$AZ$71,VLOOKUP(AT$2,$O$3:$T$32,6,0)+1,0)</f>
        <v>0.46071121990694175</v>
      </c>
      <c r="AU5">
        <f>VLOOKUP(VLOOKUP($V5,$O$3:$T$32,6,0),$V$42:$AZ$71,VLOOKUP(AU$2,$O$3:$T$32,6,0)+1,0)</f>
        <v>0.40843302990522401</v>
      </c>
      <c r="AV5">
        <f>VLOOKUP(VLOOKUP($V5,$O$3:$T$32,6,0),$V$42:$AZ$71,VLOOKUP(AV$2,$O$3:$T$32,6,0)+1,0)</f>
        <v>0.57711263446281591</v>
      </c>
      <c r="AW5">
        <f>VLOOKUP(VLOOKUP($V5,$O$3:$T$32,6,0),$V$42:$AZ$71,VLOOKUP(AW$2,$O$3:$T$32,6,0)+1,0)</f>
        <v>0.36031197606974674</v>
      </c>
      <c r="AX5">
        <f>VLOOKUP(VLOOKUP($V5,$O$3:$T$32,6,0),$V$42:$AZ$71,VLOOKUP(AX$2,$O$3:$T$32,6,0)+1,0)</f>
        <v>0.38459864577188729</v>
      </c>
      <c r="AY5">
        <f>VLOOKUP(VLOOKUP($V5,$O$3:$T$32,6,0),$V$42:$AZ$71,VLOOKUP(AY$2,$O$3:$T$32,6,0)+1,0)</f>
        <v>0.61088100448941873</v>
      </c>
      <c r="AZ5">
        <f>VLOOKUP(VLOOKUP($V5,$O$3:$T$32,6,0),$V$42:$AZ$71,VLOOKUP(AZ$2,$O$3:$T$32,6,0)+1,0)</f>
        <v>0.41758613378174975</v>
      </c>
    </row>
    <row r="6" spans="2:52" x14ac:dyDescent="0.25">
      <c r="B6">
        <f>d_win_totals!A5</f>
        <v>64</v>
      </c>
      <c r="C6">
        <f>d_win_totals!B5</f>
        <v>64</v>
      </c>
      <c r="D6">
        <f>d_win_totals!C5</f>
        <v>2014</v>
      </c>
      <c r="E6">
        <f>d_win_totals!D5</f>
        <v>2015</v>
      </c>
      <c r="F6" t="str">
        <f>d_win_totals!E5</f>
        <v>CHA</v>
      </c>
      <c r="G6">
        <f>d_win_totals!F5</f>
        <v>45.5</v>
      </c>
      <c r="H6">
        <f>d_win_totals!G5</f>
        <v>33</v>
      </c>
      <c r="I6" t="str">
        <f>d_win_totals!H5</f>
        <v>U</v>
      </c>
      <c r="J6">
        <f>d_win_totals!I5</f>
        <v>-1</v>
      </c>
      <c r="L6">
        <v>4</v>
      </c>
      <c r="M6">
        <f>p_win_totals!B5</f>
        <v>64</v>
      </c>
      <c r="N6" t="str">
        <f>p_win_totals!C5</f>
        <v>Tony</v>
      </c>
      <c r="O6" t="str">
        <f>p_win_totals!D5</f>
        <v>CHA</v>
      </c>
      <c r="P6">
        <f>p_win_totals!E5</f>
        <v>45.5</v>
      </c>
      <c r="Q6" t="str">
        <f>p_win_totals!F5</f>
        <v>O</v>
      </c>
      <c r="R6">
        <f>p_win_totals!G5</f>
        <v>14</v>
      </c>
      <c r="S6">
        <f>ROUND(IF(Q6="O",P6+(3-R6*1/10),P6-(3-R6*1/10)),0)</f>
        <v>47</v>
      </c>
      <c r="T6">
        <f t="shared" si="0"/>
        <v>13</v>
      </c>
      <c r="V6" t="s">
        <v>18</v>
      </c>
      <c r="W6">
        <f>VLOOKUP(VLOOKUP($V6,$O$3:$T$32,6,0),$V$42:$AZ$71,VLOOKUP(W$2,$O$3:$T$32,6,0)+1,0)</f>
        <v>0.52311357171843698</v>
      </c>
      <c r="X6">
        <f>VLOOKUP(VLOOKUP($V6,$O$3:$T$32,6,0),$V$42:$AZ$71,VLOOKUP(X$2,$O$3:$T$32,6,0)+1,0)</f>
        <v>0.71626096693707286</v>
      </c>
      <c r="Y6">
        <f>VLOOKUP(VLOOKUP($V6,$O$3:$T$32,6,0),$V$42:$AZ$71,VLOOKUP(Y$2,$O$3:$T$32,6,0)+1,0)</f>
        <v>0.56217650088579807</v>
      </c>
      <c r="Z6">
        <f>VLOOKUP(VLOOKUP($V6,$O$3:$T$32,6,0),$V$42:$AZ$71,VLOOKUP(Z$2,$O$3:$T$32,6,0)+1,0)</f>
        <v>0.5</v>
      </c>
      <c r="AA6">
        <f>VLOOKUP(VLOOKUP($V6,$O$3:$T$32,6,0),$V$42:$AZ$71,VLOOKUP(AA$2,$O$3:$T$32,6,0)+1,0)</f>
        <v>0.41969870974133011</v>
      </c>
      <c r="AB6">
        <f>VLOOKUP(VLOOKUP($V6,$O$3:$T$32,6,0),$V$42:$AZ$71,VLOOKUP(AB$2,$O$3:$T$32,6,0)+1,0)</f>
        <v>0.40969739834145852</v>
      </c>
      <c r="AC6">
        <f>VLOOKUP(VLOOKUP($V6,$O$3:$T$32,6,0),$V$42:$AZ$71,VLOOKUP(AC$2,$O$3:$T$32,6,0)+1,0)</f>
        <v>0.4452024002195884</v>
      </c>
      <c r="AD6">
        <f>VLOOKUP(VLOOKUP($V6,$O$3:$T$32,6,0),$V$42:$AZ$71,VLOOKUP(AD$2,$O$3:$T$32,6,0)+1,0)</f>
        <v>0.56217650088579807</v>
      </c>
      <c r="AE6">
        <f>VLOOKUP(VLOOKUP($V6,$O$3:$T$32,6,0),$V$42:$AZ$71,VLOOKUP(AE$2,$O$3:$T$32,6,0)+1,0)</f>
        <v>0.60576693861644582</v>
      </c>
      <c r="AF6">
        <f>VLOOKUP(VLOOKUP($V6,$O$3:$T$32,6,0),$V$42:$AZ$71,VLOOKUP(AF$2,$O$3:$T$32,6,0)+1,0)</f>
        <v>0.4380738300772628</v>
      </c>
      <c r="AG6">
        <f>VLOOKUP(VLOOKUP($V6,$O$3:$T$32,6,0),$V$42:$AZ$71,VLOOKUP(AG$2,$O$3:$T$32,6,0)+1,0)</f>
        <v>0.47933915293597207</v>
      </c>
      <c r="AH6">
        <f>VLOOKUP(VLOOKUP($V6,$O$3:$T$32,6,0),$V$42:$AZ$71,VLOOKUP(AH$2,$O$3:$T$32,6,0)+1,0)</f>
        <v>0.62107555647590951</v>
      </c>
      <c r="AI6">
        <f>VLOOKUP(VLOOKUP($V6,$O$3:$T$32,6,0),$V$42:$AZ$71,VLOOKUP(AI$2,$O$3:$T$32,6,0)+1,0)</f>
        <v>0.40969739834145852</v>
      </c>
      <c r="AJ6">
        <f>VLOOKUP(VLOOKUP($V6,$O$3:$T$32,6,0),$V$42:$AZ$71,VLOOKUP(AJ$2,$O$3:$T$32,6,0)+1,0)</f>
        <v>0.63666806394856001</v>
      </c>
      <c r="AK6">
        <f>VLOOKUP(VLOOKUP($V6,$O$3:$T$32,6,0),$V$42:$AZ$71,VLOOKUP(AK$2,$O$3:$T$32,6,0)+1,0)</f>
        <v>0.46110770348509866</v>
      </c>
      <c r="AL6">
        <f>VLOOKUP(VLOOKUP($V6,$O$3:$T$32,6,0),$V$42:$AZ$71,VLOOKUP(AL$2,$O$3:$T$32,6,0)+1,0)</f>
        <v>0.51125250669337374</v>
      </c>
      <c r="AM6">
        <f>VLOOKUP(VLOOKUP($V6,$O$3:$T$32,6,0),$V$42:$AZ$71,VLOOKUP(AM$2,$O$3:$T$32,6,0)+1,0)</f>
        <v>0.70038695085018321</v>
      </c>
      <c r="AN6">
        <f>VLOOKUP(VLOOKUP($V6,$O$3:$T$32,6,0),$V$42:$AZ$71,VLOOKUP(AN$2,$O$3:$T$32,6,0)+1,0)</f>
        <v>0.71626096693707286</v>
      </c>
      <c r="AO6">
        <f>VLOOKUP(VLOOKUP($V6,$O$3:$T$32,6,0),$V$42:$AZ$71,VLOOKUP(AO$2,$O$3:$T$32,6,0)+1,0)</f>
        <v>0.54860047392731426</v>
      </c>
      <c r="AP6">
        <f>VLOOKUP(VLOOKUP($V6,$O$3:$T$32,6,0),$V$42:$AZ$71,VLOOKUP(AP$2,$O$3:$T$32,6,0)+1,0)</f>
        <v>0.56217650088579807</v>
      </c>
      <c r="AQ6">
        <f>VLOOKUP(VLOOKUP($V6,$O$3:$T$32,6,0),$V$42:$AZ$71,VLOOKUP(AQ$2,$O$3:$T$32,6,0)+1,0)</f>
        <v>0.4314639063717029</v>
      </c>
      <c r="AR6">
        <f>VLOOKUP(VLOOKUP($V6,$O$3:$T$32,6,0),$V$42:$AZ$71,VLOOKUP(AR$2,$O$3:$T$32,6,0)+1,0)</f>
        <v>0.66841321269200027</v>
      </c>
      <c r="AS6">
        <f>VLOOKUP(VLOOKUP($V6,$O$3:$T$32,6,0),$V$42:$AZ$71,VLOOKUP(AS$2,$O$3:$T$32,6,0)+1,0)</f>
        <v>0.74739815693098044</v>
      </c>
      <c r="AT6">
        <f>VLOOKUP(VLOOKUP($V6,$O$3:$T$32,6,0),$V$42:$AZ$71,VLOOKUP(AT$2,$O$3:$T$32,6,0)+1,0)</f>
        <v>0.52311357171843698</v>
      </c>
      <c r="AU6">
        <f>VLOOKUP(VLOOKUP($V6,$O$3:$T$32,6,0),$V$42:$AZ$71,VLOOKUP(AU$2,$O$3:$T$32,6,0)+1,0)</f>
        <v>0.46992461640552319</v>
      </c>
      <c r="AV6">
        <f>VLOOKUP(VLOOKUP($V6,$O$3:$T$32,6,0),$V$42:$AZ$71,VLOOKUP(AV$2,$O$3:$T$32,6,0)+1,0)</f>
        <v>0.63666806394856001</v>
      </c>
      <c r="AW6">
        <f>VLOOKUP(VLOOKUP($V6,$O$3:$T$32,6,0),$V$42:$AZ$71,VLOOKUP(AW$2,$O$3:$T$32,6,0)+1,0)</f>
        <v>0.41969870974133011</v>
      </c>
      <c r="AX6">
        <f>VLOOKUP(VLOOKUP($V6,$O$3:$T$32,6,0),$V$42:$AZ$71,VLOOKUP(AX$2,$O$3:$T$32,6,0)+1,0)</f>
        <v>0.4452024002195884</v>
      </c>
      <c r="AY6">
        <f>VLOOKUP(VLOOKUP($V6,$O$3:$T$32,6,0),$V$42:$AZ$71,VLOOKUP(AY$2,$O$3:$T$32,6,0)+1,0)</f>
        <v>0.66841321269200027</v>
      </c>
      <c r="AZ6">
        <f>VLOOKUP(VLOOKUP($V6,$O$3:$T$32,6,0),$V$42:$AZ$71,VLOOKUP(AZ$2,$O$3:$T$32,6,0)+1,0)</f>
        <v>0.47933915293597207</v>
      </c>
    </row>
    <row r="7" spans="2:52" x14ac:dyDescent="0.25">
      <c r="B7">
        <f>d_win_totals!A6</f>
        <v>65</v>
      </c>
      <c r="C7">
        <f>d_win_totals!B6</f>
        <v>65</v>
      </c>
      <c r="D7">
        <f>d_win_totals!C6</f>
        <v>2014</v>
      </c>
      <c r="E7">
        <f>d_win_totals!D6</f>
        <v>2015</v>
      </c>
      <c r="F7" t="str">
        <f>d_win_totals!E6</f>
        <v>CHI</v>
      </c>
      <c r="G7">
        <f>d_win_totals!F6</f>
        <v>55.5</v>
      </c>
      <c r="H7">
        <f>d_win_totals!G6</f>
        <v>50</v>
      </c>
      <c r="I7" t="str">
        <f>d_win_totals!H6</f>
        <v>U</v>
      </c>
      <c r="J7">
        <f>d_win_totals!I6</f>
        <v>-1</v>
      </c>
      <c r="L7">
        <v>5</v>
      </c>
      <c r="M7">
        <f>p_win_totals!B6</f>
        <v>65</v>
      </c>
      <c r="N7" t="str">
        <f>p_win_totals!C6</f>
        <v>Tony</v>
      </c>
      <c r="O7" t="str">
        <f>p_win_totals!D6</f>
        <v>CHI</v>
      </c>
      <c r="P7">
        <f>p_win_totals!E6</f>
        <v>55.5</v>
      </c>
      <c r="Q7" t="str">
        <f>p_win_totals!F6</f>
        <v>O</v>
      </c>
      <c r="R7">
        <f>p_win_totals!G6</f>
        <v>21</v>
      </c>
      <c r="S7">
        <f>ROUND(IF(Q7="O",P7+(3-R7*1/10),P7-(3-R7*1/10)),0)</f>
        <v>56</v>
      </c>
      <c r="T7">
        <f t="shared" si="0"/>
        <v>3</v>
      </c>
      <c r="V7" t="s">
        <v>30</v>
      </c>
      <c r="W7">
        <f>VLOOKUP(VLOOKUP($V7,$O$3:$T$32,6,0),$V$42:$AZ$71,VLOOKUP(W$2,$O$3:$T$32,6,0)+1,0)</f>
        <v>0.60265274759969689</v>
      </c>
      <c r="X7">
        <f>VLOOKUP(VLOOKUP($V7,$O$3:$T$32,6,0),$V$42:$AZ$71,VLOOKUP(X$2,$O$3:$T$32,6,0)+1,0)</f>
        <v>0.77729986117469119</v>
      </c>
      <c r="Y7">
        <f>VLOOKUP(VLOOKUP($V7,$O$3:$T$32,6,0),$V$42:$AZ$71,VLOOKUP(Y$2,$O$3:$T$32,6,0)+1,0)</f>
        <v>0.63968802393025326</v>
      </c>
      <c r="Z7">
        <f>VLOOKUP(VLOOKUP($V7,$O$3:$T$32,6,0),$V$42:$AZ$71,VLOOKUP(Z$2,$O$3:$T$32,6,0)+1,0)</f>
        <v>0.58030129025866994</v>
      </c>
      <c r="AA7">
        <f>VLOOKUP(VLOOKUP($V7,$O$3:$T$32,6,0),$V$42:$AZ$71,VLOOKUP(AA$2,$O$3:$T$32,6,0)+1,0)</f>
        <v>0.5</v>
      </c>
      <c r="AB7">
        <f>VLOOKUP(VLOOKUP($V7,$O$3:$T$32,6,0),$V$42:$AZ$71,VLOOKUP(AB$2,$O$3:$T$32,6,0)+1,0)</f>
        <v>0.48969992820199154</v>
      </c>
      <c r="AC7">
        <f>VLOOKUP(VLOOKUP($V7,$O$3:$T$32,6,0),$V$42:$AZ$71,VLOOKUP(AC$2,$O$3:$T$32,6,0)+1,0)</f>
        <v>0.52596063059506537</v>
      </c>
      <c r="AD7">
        <f>VLOOKUP(VLOOKUP($V7,$O$3:$T$32,6,0),$V$42:$AZ$71,VLOOKUP(AD$2,$O$3:$T$32,6,0)+1,0)</f>
        <v>0.63968802393025326</v>
      </c>
      <c r="AE7">
        <f>VLOOKUP(VLOOKUP($V7,$O$3:$T$32,6,0),$V$42:$AZ$71,VLOOKUP(AE$2,$O$3:$T$32,6,0)+1,0)</f>
        <v>0.67995464996754418</v>
      </c>
      <c r="AF7">
        <f>VLOOKUP(VLOOKUP($V7,$O$3:$T$32,6,0),$V$42:$AZ$71,VLOOKUP(AF$2,$O$3:$T$32,6,0)+1,0)</f>
        <v>0.51874803765381217</v>
      </c>
      <c r="AG7">
        <f>VLOOKUP(VLOOKUP($V7,$O$3:$T$32,6,0),$V$42:$AZ$71,VLOOKUP(AG$2,$O$3:$T$32,6,0)+1,0)</f>
        <v>0.5600388834823441</v>
      </c>
      <c r="AH7">
        <f>VLOOKUP(VLOOKUP($V7,$O$3:$T$32,6,0),$V$42:$AZ$71,VLOOKUP(AH$2,$O$3:$T$32,6,0)+1,0)</f>
        <v>0.69383845122039145</v>
      </c>
      <c r="AI7">
        <f>VLOOKUP(VLOOKUP($V7,$O$3:$T$32,6,0),$V$42:$AZ$71,VLOOKUP(AI$2,$O$3:$T$32,6,0)+1,0)</f>
        <v>0.48969992820199154</v>
      </c>
      <c r="AJ7">
        <f>VLOOKUP(VLOOKUP($V7,$O$3:$T$32,6,0),$V$42:$AZ$71,VLOOKUP(AJ$2,$O$3:$T$32,6,0)+1,0)</f>
        <v>0.70784526159162375</v>
      </c>
      <c r="AK7">
        <f>VLOOKUP(VLOOKUP($V7,$O$3:$T$32,6,0),$V$42:$AZ$71,VLOOKUP(AK$2,$O$3:$T$32,6,0)+1,0)</f>
        <v>0.54193283576822526</v>
      </c>
      <c r="AL7">
        <f>VLOOKUP(VLOOKUP($V7,$O$3:$T$32,6,0),$V$42:$AZ$71,VLOOKUP(AL$2,$O$3:$T$32,6,0)+1,0)</f>
        <v>0.59122407999213222</v>
      </c>
      <c r="AM7">
        <f>VLOOKUP(VLOOKUP($V7,$O$3:$T$32,6,0),$V$42:$AZ$71,VLOOKUP(AM$2,$O$3:$T$32,6,0)+1,0)</f>
        <v>0.76371419200876312</v>
      </c>
      <c r="AN7">
        <f>VLOOKUP(VLOOKUP($V7,$O$3:$T$32,6,0),$V$42:$AZ$71,VLOOKUP(AN$2,$O$3:$T$32,6,0)+1,0)</f>
        <v>0.77729986117469119</v>
      </c>
      <c r="AO7">
        <f>VLOOKUP(VLOOKUP($V7,$O$3:$T$32,6,0),$V$42:$AZ$71,VLOOKUP(AO$2,$O$3:$T$32,6,0)+1,0)</f>
        <v>0.62692044428040861</v>
      </c>
      <c r="AP7">
        <f>VLOOKUP(VLOOKUP($V7,$O$3:$T$32,6,0),$V$42:$AZ$71,VLOOKUP(AP$2,$O$3:$T$32,6,0)+1,0)</f>
        <v>0.63968802393025326</v>
      </c>
      <c r="AQ7">
        <f>VLOOKUP(VLOOKUP($V7,$O$3:$T$32,6,0),$V$42:$AZ$71,VLOOKUP(AQ$2,$O$3:$T$32,6,0)+1,0)</f>
        <v>0.51203002742234893</v>
      </c>
      <c r="AR7">
        <f>VLOOKUP(VLOOKUP($V7,$O$3:$T$32,6,0),$V$42:$AZ$71,VLOOKUP(AR$2,$O$3:$T$32,6,0)+1,0)</f>
        <v>0.73595070405215601</v>
      </c>
      <c r="AS7">
        <f>VLOOKUP(VLOOKUP($V7,$O$3:$T$32,6,0),$V$42:$AZ$71,VLOOKUP(AS$2,$O$3:$T$32,6,0)+1,0)</f>
        <v>0.80357563767142925</v>
      </c>
      <c r="AT7">
        <f>VLOOKUP(VLOOKUP($V7,$O$3:$T$32,6,0),$V$42:$AZ$71,VLOOKUP(AT$2,$O$3:$T$32,6,0)+1,0)</f>
        <v>0.60265274759969689</v>
      </c>
      <c r="AU7">
        <f>VLOOKUP(VLOOKUP($V7,$O$3:$T$32,6,0),$V$42:$AZ$71,VLOOKUP(AU$2,$O$3:$T$32,6,0)+1,0)</f>
        <v>0.55071584036741195</v>
      </c>
      <c r="AV7">
        <f>VLOOKUP(VLOOKUP($V7,$O$3:$T$32,6,0),$V$42:$AZ$71,VLOOKUP(AV$2,$O$3:$T$32,6,0)+1,0)</f>
        <v>0.70784526159162375</v>
      </c>
      <c r="AW7">
        <f>VLOOKUP(VLOOKUP($V7,$O$3:$T$32,6,0),$V$42:$AZ$71,VLOOKUP(AW$2,$O$3:$T$32,6,0)+1,0)</f>
        <v>0.5</v>
      </c>
      <c r="AX7">
        <f>VLOOKUP(VLOOKUP($V7,$O$3:$T$32,6,0),$V$42:$AZ$71,VLOOKUP(AX$2,$O$3:$T$32,6,0)+1,0)</f>
        <v>0.52596063059506537</v>
      </c>
      <c r="AY7">
        <f>VLOOKUP(VLOOKUP($V7,$O$3:$T$32,6,0),$V$42:$AZ$71,VLOOKUP(AY$2,$O$3:$T$32,6,0)+1,0)</f>
        <v>0.73595070405215601</v>
      </c>
      <c r="AZ7">
        <f>VLOOKUP(VLOOKUP($V7,$O$3:$T$32,6,0),$V$42:$AZ$71,VLOOKUP(AZ$2,$O$3:$T$32,6,0)+1,0)</f>
        <v>0.5600388834823441</v>
      </c>
    </row>
    <row r="8" spans="2:52" x14ac:dyDescent="0.25">
      <c r="B8">
        <f>d_win_totals!A7</f>
        <v>66</v>
      </c>
      <c r="C8">
        <f>d_win_totals!B7</f>
        <v>66</v>
      </c>
      <c r="D8">
        <f>d_win_totals!C7</f>
        <v>2014</v>
      </c>
      <c r="E8">
        <f>d_win_totals!D7</f>
        <v>2015</v>
      </c>
      <c r="F8" t="str">
        <f>d_win_totals!E7</f>
        <v>CLE</v>
      </c>
      <c r="G8">
        <f>d_win_totals!F7</f>
        <v>58.5</v>
      </c>
      <c r="H8">
        <f>d_win_totals!G7</f>
        <v>53</v>
      </c>
      <c r="I8" t="str">
        <f>d_win_totals!H7</f>
        <v>U</v>
      </c>
      <c r="J8">
        <f>d_win_totals!I7</f>
        <v>-1</v>
      </c>
      <c r="L8">
        <v>6</v>
      </c>
      <c r="M8">
        <f>p_win_totals!B7</f>
        <v>66</v>
      </c>
      <c r="N8" t="str">
        <f>p_win_totals!C7</f>
        <v>Tony</v>
      </c>
      <c r="O8" t="str">
        <f>p_win_totals!D7</f>
        <v>CLE</v>
      </c>
      <c r="P8">
        <f>p_win_totals!E7</f>
        <v>58.5</v>
      </c>
      <c r="Q8" t="str">
        <f>p_win_totals!F7</f>
        <v>U</v>
      </c>
      <c r="R8">
        <f>p_win_totals!G7</f>
        <v>22</v>
      </c>
      <c r="S8">
        <f>ROUND(IF(Q8="O",P8+(3-R8*1/10),P8-(3-R8*1/10)),0)</f>
        <v>58</v>
      </c>
      <c r="T8">
        <f t="shared" si="0"/>
        <v>1</v>
      </c>
      <c r="V8" t="s">
        <v>40</v>
      </c>
      <c r="W8">
        <f>VLOOKUP(VLOOKUP($V8,$O$3:$T$32,6,0),$V$42:$AZ$71,VLOOKUP(W$2,$O$3:$T$32,6,0)+1,0)</f>
        <v>0.6124771173739717</v>
      </c>
      <c r="X8">
        <f>VLOOKUP(VLOOKUP($V8,$O$3:$T$32,6,0),$V$42:$AZ$71,VLOOKUP(X$2,$O$3:$T$32,6,0)+1,0)</f>
        <v>0.7843512669729592</v>
      </c>
      <c r="Y8">
        <f>VLOOKUP(VLOOKUP($V8,$O$3:$T$32,6,0),$V$42:$AZ$71,VLOOKUP(Y$2,$O$3:$T$32,6,0)+1,0)</f>
        <v>0.64912982573812106</v>
      </c>
      <c r="Z8">
        <f>VLOOKUP(VLOOKUP($V8,$O$3:$T$32,6,0),$V$42:$AZ$71,VLOOKUP(Z$2,$O$3:$T$32,6,0)+1,0)</f>
        <v>0.59030260165854143</v>
      </c>
      <c r="AA8">
        <f>VLOOKUP(VLOOKUP($V8,$O$3:$T$32,6,0),$V$42:$AZ$71,VLOOKUP(AA$2,$O$3:$T$32,6,0)+1,0)</f>
        <v>0.5103000717980084</v>
      </c>
      <c r="AB8">
        <f>VLOOKUP(VLOOKUP($V8,$O$3:$T$32,6,0),$V$42:$AZ$71,VLOOKUP(AB$2,$O$3:$T$32,6,0)+1,0)</f>
        <v>0.5</v>
      </c>
      <c r="AC8">
        <f>VLOOKUP(VLOOKUP($V8,$O$3:$T$32,6,0),$V$42:$AZ$71,VLOOKUP(AC$2,$O$3:$T$32,6,0)+1,0)</f>
        <v>0.53622195991228083</v>
      </c>
      <c r="AD8">
        <f>VLOOKUP(VLOOKUP($V8,$O$3:$T$32,6,0),$V$42:$AZ$71,VLOOKUP(AD$2,$O$3:$T$32,6,0)+1,0)</f>
        <v>0.64912982573812106</v>
      </c>
      <c r="AE8">
        <f>VLOOKUP(VLOOKUP($V8,$O$3:$T$32,6,0),$V$42:$AZ$71,VLOOKUP(AE$2,$O$3:$T$32,6,0)+1,0)</f>
        <v>0.68885451974663314</v>
      </c>
      <c r="AF8">
        <f>VLOOKUP(VLOOKUP($V8,$O$3:$T$32,6,0),$V$42:$AZ$71,VLOOKUP(AF$2,$O$3:$T$32,6,0)+1,0)</f>
        <v>0.52902568929724392</v>
      </c>
      <c r="AG8">
        <f>VLOOKUP(VLOOKUP($V8,$O$3:$T$32,6,0),$V$42:$AZ$71,VLOOKUP(AG$2,$O$3:$T$32,6,0)+1,0)</f>
        <v>0.57016539281455259</v>
      </c>
      <c r="AH8">
        <f>VLOOKUP(VLOOKUP($V8,$O$3:$T$32,6,0),$V$42:$AZ$71,VLOOKUP(AH$2,$O$3:$T$32,6,0)+1,0)</f>
        <v>0.70252114864958182</v>
      </c>
      <c r="AI8">
        <f>VLOOKUP(VLOOKUP($V8,$O$3:$T$32,6,0),$V$42:$AZ$71,VLOOKUP(AI$2,$O$3:$T$32,6,0)+1,0)</f>
        <v>0.5</v>
      </c>
      <c r="AJ8">
        <f>VLOOKUP(VLOOKUP($V8,$O$3:$T$32,6,0),$V$42:$AZ$71,VLOOKUP(AJ$2,$O$3:$T$32,6,0)+1,0)</f>
        <v>0.71629315358675483</v>
      </c>
      <c r="AK8">
        <f>VLOOKUP(VLOOKUP($V8,$O$3:$T$32,6,0),$V$42:$AZ$71,VLOOKUP(AK$2,$O$3:$T$32,6,0)+1,0)</f>
        <v>0.5521428232847434</v>
      </c>
      <c r="AL8">
        <f>VLOOKUP(VLOOKUP($V8,$O$3:$T$32,6,0),$V$42:$AZ$71,VLOOKUP(AL$2,$O$3:$T$32,6,0)+1,0)</f>
        <v>0.60114400626087006</v>
      </c>
      <c r="AM8">
        <f>VLOOKUP(VLOOKUP($V8,$O$3:$T$32,6,0),$V$42:$AZ$71,VLOOKUP(AM$2,$O$3:$T$32,6,0)+1,0)</f>
        <v>0.77106907112086653</v>
      </c>
      <c r="AN8">
        <f>VLOOKUP(VLOOKUP($V8,$O$3:$T$32,6,0),$V$42:$AZ$71,VLOOKUP(AN$2,$O$3:$T$32,6,0)+1,0)</f>
        <v>0.7843512669729592</v>
      </c>
      <c r="AO8">
        <f>VLOOKUP(VLOOKUP($V8,$O$3:$T$32,6,0),$V$42:$AZ$71,VLOOKUP(AO$2,$O$3:$T$32,6,0)+1,0)</f>
        <v>0.63650670086846906</v>
      </c>
      <c r="AP8">
        <f>VLOOKUP(VLOOKUP($V8,$O$3:$T$32,6,0),$V$42:$AZ$71,VLOOKUP(AP$2,$O$3:$T$32,6,0)+1,0)</f>
        <v>0.64912982573812106</v>
      </c>
      <c r="AQ8">
        <f>VLOOKUP(VLOOKUP($V8,$O$3:$T$32,6,0),$V$42:$AZ$71,VLOOKUP(AQ$2,$O$3:$T$32,6,0)+1,0)</f>
        <v>0.52231903699980808</v>
      </c>
      <c r="AR8">
        <f>VLOOKUP(VLOOKUP($V8,$O$3:$T$32,6,0),$V$42:$AZ$71,VLOOKUP(AR$2,$O$3:$T$32,6,0)+1,0)</f>
        <v>0.74387996100574205</v>
      </c>
      <c r="AS8">
        <f>VLOOKUP(VLOOKUP($V8,$O$3:$T$32,6,0),$V$42:$AZ$71,VLOOKUP(AS$2,$O$3:$T$32,6,0)+1,0)</f>
        <v>0.80999843398468707</v>
      </c>
      <c r="AT8">
        <f>VLOOKUP(VLOOKUP($V8,$O$3:$T$32,6,0),$V$42:$AZ$71,VLOOKUP(AT$2,$O$3:$T$32,6,0)+1,0)</f>
        <v>0.6124771173739717</v>
      </c>
      <c r="AU8">
        <f>VLOOKUP(VLOOKUP($V8,$O$3:$T$32,6,0),$V$42:$AZ$71,VLOOKUP(AU$2,$O$3:$T$32,6,0)+1,0)</f>
        <v>0.56088868482079979</v>
      </c>
      <c r="AV8">
        <f>VLOOKUP(VLOOKUP($V8,$O$3:$T$32,6,0),$V$42:$AZ$71,VLOOKUP(AV$2,$O$3:$T$32,6,0)+1,0)</f>
        <v>0.71629315358675483</v>
      </c>
      <c r="AW8">
        <f>VLOOKUP(VLOOKUP($V8,$O$3:$T$32,6,0),$V$42:$AZ$71,VLOOKUP(AW$2,$O$3:$T$32,6,0)+1,0)</f>
        <v>0.5103000717980084</v>
      </c>
      <c r="AX8">
        <f>VLOOKUP(VLOOKUP($V8,$O$3:$T$32,6,0),$V$42:$AZ$71,VLOOKUP(AX$2,$O$3:$T$32,6,0)+1,0)</f>
        <v>0.53622195991228083</v>
      </c>
      <c r="AY8">
        <f>VLOOKUP(VLOOKUP($V8,$O$3:$T$32,6,0),$V$42:$AZ$71,VLOOKUP(AY$2,$O$3:$T$32,6,0)+1,0)</f>
        <v>0.74387996100574205</v>
      </c>
      <c r="AZ8">
        <f>VLOOKUP(VLOOKUP($V8,$O$3:$T$32,6,0),$V$42:$AZ$71,VLOOKUP(AZ$2,$O$3:$T$32,6,0)+1,0)</f>
        <v>0.57016539281455259</v>
      </c>
    </row>
    <row r="9" spans="2:52" x14ac:dyDescent="0.25">
      <c r="B9">
        <f>d_win_totals!A8</f>
        <v>67</v>
      </c>
      <c r="C9">
        <f>d_win_totals!B8</f>
        <v>67</v>
      </c>
      <c r="D9">
        <f>d_win_totals!C8</f>
        <v>2014</v>
      </c>
      <c r="E9">
        <f>d_win_totals!D8</f>
        <v>2015</v>
      </c>
      <c r="F9" t="str">
        <f>d_win_totals!E8</f>
        <v>DAL</v>
      </c>
      <c r="G9">
        <f>d_win_totals!F8</f>
        <v>49.5</v>
      </c>
      <c r="H9">
        <f>d_win_totals!G8</f>
        <v>50</v>
      </c>
      <c r="I9" t="str">
        <f>d_win_totals!H8</f>
        <v>O</v>
      </c>
      <c r="J9">
        <f>d_win_totals!I8</f>
        <v>1</v>
      </c>
      <c r="L9">
        <v>7</v>
      </c>
      <c r="M9">
        <f>p_win_totals!B8</f>
        <v>67</v>
      </c>
      <c r="N9" t="str">
        <f>p_win_totals!C8</f>
        <v>Tony</v>
      </c>
      <c r="O9" t="str">
        <f>p_win_totals!D8</f>
        <v>DAL</v>
      </c>
      <c r="P9">
        <f>p_win_totals!E8</f>
        <v>49.5</v>
      </c>
      <c r="Q9" t="str">
        <f>p_win_totals!F8</f>
        <v>O</v>
      </c>
      <c r="R9">
        <f>p_win_totals!G8</f>
        <v>5</v>
      </c>
      <c r="S9">
        <f>ROUND(IF(Q9="O",P9+(3-R9*1/10),P9-(3-R9*1/10)),0)</f>
        <v>52</v>
      </c>
      <c r="T9">
        <f t="shared" si="0"/>
        <v>7</v>
      </c>
      <c r="V9" t="s">
        <v>14</v>
      </c>
      <c r="W9">
        <f>VLOOKUP(VLOOKUP($V9,$O$3:$T$32,6,0),$V$42:$AZ$71,VLOOKUP(W$2,$O$3:$T$32,6,0)+1,0)</f>
        <v>0.57751844190882151</v>
      </c>
      <c r="X9">
        <f>VLOOKUP(VLOOKUP($V9,$O$3:$T$32,6,0),$V$42:$AZ$71,VLOOKUP(X$2,$O$3:$T$32,6,0)+1,0)</f>
        <v>0.75879125867873198</v>
      </c>
      <c r="Y9">
        <f>VLOOKUP(VLOOKUP($V9,$O$3:$T$32,6,0),$V$42:$AZ$71,VLOOKUP(Y$2,$O$3:$T$32,6,0)+1,0)</f>
        <v>0.61540135422811282</v>
      </c>
      <c r="Z9">
        <f>VLOOKUP(VLOOKUP($V9,$O$3:$T$32,6,0),$V$42:$AZ$71,VLOOKUP(Z$2,$O$3:$T$32,6,0)+1,0)</f>
        <v>0.55479759978041154</v>
      </c>
      <c r="AA9">
        <f>VLOOKUP(VLOOKUP($V9,$O$3:$T$32,6,0),$V$42:$AZ$71,VLOOKUP(AA$2,$O$3:$T$32,6,0)+1,0)</f>
        <v>0.47403936940493457</v>
      </c>
      <c r="AB9">
        <f>VLOOKUP(VLOOKUP($V9,$O$3:$T$32,6,0),$V$42:$AZ$71,VLOOKUP(AB$2,$O$3:$T$32,6,0)+1,0)</f>
        <v>0.46377804008771911</v>
      </c>
      <c r="AC9">
        <f>VLOOKUP(VLOOKUP($V9,$O$3:$T$32,6,0),$V$42:$AZ$71,VLOOKUP(AC$2,$O$3:$T$32,6,0)+1,0)</f>
        <v>0.5</v>
      </c>
      <c r="AD9">
        <f>VLOOKUP(VLOOKUP($V9,$O$3:$T$32,6,0),$V$42:$AZ$71,VLOOKUP(AD$2,$O$3:$T$32,6,0)+1,0)</f>
        <v>0.61540135422811282</v>
      </c>
      <c r="AE9">
        <f>VLOOKUP(VLOOKUP($V9,$O$3:$T$32,6,0),$V$42:$AZ$71,VLOOKUP(AE$2,$O$3:$T$32,6,0)+1,0)</f>
        <v>0.65692649613824394</v>
      </c>
      <c r="AF9">
        <f>VLOOKUP(VLOOKUP($V9,$O$3:$T$32,6,0),$V$42:$AZ$71,VLOOKUP(AF$2,$O$3:$T$32,6,0)+1,0)</f>
        <v>0.49277333787842664</v>
      </c>
      <c r="AG9">
        <f>VLOOKUP(VLOOKUP($V9,$O$3:$T$32,6,0),$V$42:$AZ$71,VLOOKUP(AG$2,$O$3:$T$32,6,0)+1,0)</f>
        <v>0.53429204972678024</v>
      </c>
      <c r="AH9">
        <f>VLOOKUP(VLOOKUP($V9,$O$3:$T$32,6,0),$V$42:$AZ$71,VLOOKUP(AH$2,$O$3:$T$32,6,0)+1,0)</f>
        <v>0.67132639370189251</v>
      </c>
      <c r="AI9">
        <f>VLOOKUP(VLOOKUP($V9,$O$3:$T$32,6,0),$V$42:$AZ$71,VLOOKUP(AI$2,$O$3:$T$32,6,0)+1,0)</f>
        <v>0.46377804008771911</v>
      </c>
      <c r="AJ9">
        <f>VLOOKUP(VLOOKUP($V9,$O$3:$T$32,6,0),$V$42:$AZ$71,VLOOKUP(AJ$2,$O$3:$T$32,6,0)+1,0)</f>
        <v>0.68589687603228333</v>
      </c>
      <c r="AK9">
        <f>VLOOKUP(VLOOKUP($V9,$O$3:$T$32,6,0),$V$42:$AZ$71,VLOOKUP(AK$2,$O$3:$T$32,6,0)+1,0)</f>
        <v>0.51604205889789367</v>
      </c>
      <c r="AL9">
        <f>VLOOKUP(VLOOKUP($V9,$O$3:$T$32,6,0),$V$42:$AZ$71,VLOOKUP(AL$2,$O$3:$T$32,6,0)+1,0)</f>
        <v>0.56588759857073379</v>
      </c>
      <c r="AM9">
        <f>VLOOKUP(VLOOKUP($V9,$O$3:$T$32,6,0),$V$42:$AZ$71,VLOOKUP(AM$2,$O$3:$T$32,6,0)+1,0)</f>
        <v>0.74444769979948933</v>
      </c>
      <c r="AN9">
        <f>VLOOKUP(VLOOKUP($V9,$O$3:$T$32,6,0),$V$42:$AZ$71,VLOOKUP(AN$2,$O$3:$T$32,6,0)+1,0)</f>
        <v>0.75879125867873198</v>
      </c>
      <c r="AO9">
        <f>VLOOKUP(VLOOKUP($V9,$O$3:$T$32,6,0),$V$42:$AZ$71,VLOOKUP(AO$2,$O$3:$T$32,6,0)+1,0)</f>
        <v>0.60230820918773997</v>
      </c>
      <c r="AP9">
        <f>VLOOKUP(VLOOKUP($V9,$O$3:$T$32,6,0),$V$42:$AZ$71,VLOOKUP(AP$2,$O$3:$T$32,6,0)+1,0)</f>
        <v>0.61540135422811282</v>
      </c>
      <c r="AQ9">
        <f>VLOOKUP(VLOOKUP($V9,$O$3:$T$32,6,0),$V$42:$AZ$71,VLOOKUP(AQ$2,$O$3:$T$32,6,0)+1,0)</f>
        <v>0.48605197255538951</v>
      </c>
      <c r="AR9">
        <f>VLOOKUP(VLOOKUP($V9,$O$3:$T$32,6,0),$V$42:$AZ$71,VLOOKUP(AR$2,$O$3:$T$32,6,0)+1,0)</f>
        <v>0.71526442122822687</v>
      </c>
      <c r="AS9">
        <f>VLOOKUP(VLOOKUP($V9,$O$3:$T$32,6,0),$V$42:$AZ$71,VLOOKUP(AS$2,$O$3:$T$32,6,0)+1,0)</f>
        <v>0.78665142374290065</v>
      </c>
      <c r="AT9">
        <f>VLOOKUP(VLOOKUP($V9,$O$3:$T$32,6,0),$V$42:$AZ$71,VLOOKUP(AT$2,$O$3:$T$32,6,0)+1,0)</f>
        <v>0.57751844190882151</v>
      </c>
      <c r="AU9">
        <f>VLOOKUP(VLOOKUP($V9,$O$3:$T$32,6,0),$V$42:$AZ$71,VLOOKUP(AU$2,$O$3:$T$32,6,0)+1,0)</f>
        <v>0.52488627234984619</v>
      </c>
      <c r="AV9">
        <f>VLOOKUP(VLOOKUP($V9,$O$3:$T$32,6,0),$V$42:$AZ$71,VLOOKUP(AV$2,$O$3:$T$32,6,0)+1,0)</f>
        <v>0.68589687603228333</v>
      </c>
      <c r="AW9">
        <f>VLOOKUP(VLOOKUP($V9,$O$3:$T$32,6,0),$V$42:$AZ$71,VLOOKUP(AW$2,$O$3:$T$32,6,0)+1,0)</f>
        <v>0.47403936940493457</v>
      </c>
      <c r="AX9">
        <f>VLOOKUP(VLOOKUP($V9,$O$3:$T$32,6,0),$V$42:$AZ$71,VLOOKUP(AX$2,$O$3:$T$32,6,0)+1,0)</f>
        <v>0.5</v>
      </c>
      <c r="AY9">
        <f>VLOOKUP(VLOOKUP($V9,$O$3:$T$32,6,0),$V$42:$AZ$71,VLOOKUP(AY$2,$O$3:$T$32,6,0)+1,0)</f>
        <v>0.71526442122822687</v>
      </c>
      <c r="AZ9">
        <f>VLOOKUP(VLOOKUP($V9,$O$3:$T$32,6,0),$V$42:$AZ$71,VLOOKUP(AZ$2,$O$3:$T$32,6,0)+1,0)</f>
        <v>0.53429204972678024</v>
      </c>
    </row>
    <row r="10" spans="2:52" x14ac:dyDescent="0.25">
      <c r="B10">
        <f>d_win_totals!A9</f>
        <v>68</v>
      </c>
      <c r="C10">
        <f>d_win_totals!B9</f>
        <v>68</v>
      </c>
      <c r="D10">
        <f>d_win_totals!C9</f>
        <v>2014</v>
      </c>
      <c r="E10">
        <f>d_win_totals!D9</f>
        <v>2015</v>
      </c>
      <c r="F10" t="str">
        <f>d_win_totals!E9</f>
        <v>DEN</v>
      </c>
      <c r="G10">
        <f>d_win_totals!F9</f>
        <v>40.5</v>
      </c>
      <c r="H10">
        <f>d_win_totals!G9</f>
        <v>30</v>
      </c>
      <c r="I10" t="str">
        <f>d_win_totals!H9</f>
        <v>U</v>
      </c>
      <c r="J10">
        <f>d_win_totals!I9</f>
        <v>-1</v>
      </c>
      <c r="L10">
        <v>8</v>
      </c>
      <c r="M10">
        <f>p_win_totals!B9</f>
        <v>68</v>
      </c>
      <c r="N10" t="str">
        <f>p_win_totals!C9</f>
        <v>Tony</v>
      </c>
      <c r="O10" t="str">
        <f>p_win_totals!D9</f>
        <v>DEN</v>
      </c>
      <c r="P10">
        <f>p_win_totals!E9</f>
        <v>40.5</v>
      </c>
      <c r="Q10" t="str">
        <f>p_win_totals!F9</f>
        <v>U</v>
      </c>
      <c r="R10">
        <f>p_win_totals!G9</f>
        <v>29</v>
      </c>
      <c r="S10">
        <f>ROUND(IF(Q10="O",P10+(3-R10*1/10),P10-(3-R10*1/10)),0)</f>
        <v>40</v>
      </c>
      <c r="T10">
        <f t="shared" si="0"/>
        <v>18</v>
      </c>
      <c r="V10" t="s">
        <v>32</v>
      </c>
      <c r="W10">
        <f>VLOOKUP(VLOOKUP($V10,$O$3:$T$32,6,0),$V$42:$AZ$71,VLOOKUP(W$2,$O$3:$T$32,6,0)+1,0)</f>
        <v>0.46071121990694175</v>
      </c>
      <c r="X10">
        <f>VLOOKUP(VLOOKUP($V10,$O$3:$T$32,6,0),$V$42:$AZ$71,VLOOKUP(X$2,$O$3:$T$32,6,0)+1,0)</f>
        <v>0.66284304446693665</v>
      </c>
      <c r="Y10">
        <f>VLOOKUP(VLOOKUP($V10,$O$3:$T$32,6,0),$V$42:$AZ$71,VLOOKUP(Y$2,$O$3:$T$32,6,0)+1,0)</f>
        <v>0.5</v>
      </c>
      <c r="Z10">
        <f>VLOOKUP(VLOOKUP($V10,$O$3:$T$32,6,0),$V$42:$AZ$71,VLOOKUP(Z$2,$O$3:$T$32,6,0)+1,0)</f>
        <v>0.43782349911420193</v>
      </c>
      <c r="AA10">
        <f>VLOOKUP(VLOOKUP($V10,$O$3:$T$32,6,0),$V$42:$AZ$71,VLOOKUP(AA$2,$O$3:$T$32,6,0)+1,0)</f>
        <v>0.36031197606974674</v>
      </c>
      <c r="AB10">
        <f>VLOOKUP(VLOOKUP($V10,$O$3:$T$32,6,0),$V$42:$AZ$71,VLOOKUP(AB$2,$O$3:$T$32,6,0)+1,0)</f>
        <v>0.35087017426187905</v>
      </c>
      <c r="AC10">
        <f>VLOOKUP(VLOOKUP($V10,$O$3:$T$32,6,0),$V$42:$AZ$71,VLOOKUP(AC$2,$O$3:$T$32,6,0)+1,0)</f>
        <v>0.38459864577188729</v>
      </c>
      <c r="AD10">
        <f>VLOOKUP(VLOOKUP($V10,$O$3:$T$32,6,0),$V$42:$AZ$71,VLOOKUP(AD$2,$O$3:$T$32,6,0)+1,0)</f>
        <v>0.5</v>
      </c>
      <c r="AE10">
        <f>VLOOKUP(VLOOKUP($V10,$O$3:$T$32,6,0),$V$42:$AZ$71,VLOOKUP(AE$2,$O$3:$T$32,6,0)+1,0)</f>
        <v>0.54476805573373421</v>
      </c>
      <c r="AF10">
        <f>VLOOKUP(VLOOKUP($V10,$O$3:$T$32,6,0),$V$42:$AZ$71,VLOOKUP(AF$2,$O$3:$T$32,6,0)+1,0)</f>
        <v>0.37777969425937236</v>
      </c>
      <c r="AG10">
        <f>VLOOKUP(VLOOKUP($V10,$O$3:$T$32,6,0),$V$42:$AZ$71,VLOOKUP(AG$2,$O$3:$T$32,6,0)+1,0)</f>
        <v>0.41758613378174975</v>
      </c>
      <c r="AH10">
        <f>VLOOKUP(VLOOKUP($V10,$O$3:$T$32,6,0),$V$42:$AZ$71,VLOOKUP(AH$2,$O$3:$T$32,6,0)+1,0)</f>
        <v>0.56072770135857142</v>
      </c>
      <c r="AI10">
        <f>VLOOKUP(VLOOKUP($V10,$O$3:$T$32,6,0),$V$42:$AZ$71,VLOOKUP(AI$2,$O$3:$T$32,6,0)+1,0)</f>
        <v>0.35087017426187905</v>
      </c>
      <c r="AJ10">
        <f>VLOOKUP(VLOOKUP($V10,$O$3:$T$32,6,0),$V$42:$AZ$71,VLOOKUP(AJ$2,$O$3:$T$32,6,0)+1,0)</f>
        <v>0.57711263446281591</v>
      </c>
      <c r="AK10">
        <f>VLOOKUP(VLOOKUP($V10,$O$3:$T$32,6,0),$V$42:$AZ$71,VLOOKUP(AK$2,$O$3:$T$32,6,0)+1,0)</f>
        <v>0.39989944995796567</v>
      </c>
      <c r="AL10">
        <f>VLOOKUP(VLOOKUP($V10,$O$3:$T$32,6,0),$V$42:$AZ$71,VLOOKUP(AL$2,$O$3:$T$32,6,0)+1,0)</f>
        <v>0.4489330916958254</v>
      </c>
      <c r="AM10">
        <f>VLOOKUP(VLOOKUP($V10,$O$3:$T$32,6,0),$V$42:$AZ$71,VLOOKUP(AM$2,$O$3:$T$32,6,0)+1,0)</f>
        <v>0.64545979335474335</v>
      </c>
      <c r="AN10">
        <f>VLOOKUP(VLOOKUP($V10,$O$3:$T$32,6,0),$V$42:$AZ$71,VLOOKUP(AN$2,$O$3:$T$32,6,0)+1,0)</f>
        <v>0.66284304446693665</v>
      </c>
      <c r="AO10">
        <f>VLOOKUP(VLOOKUP($V10,$O$3:$T$32,6,0),$V$42:$AZ$71,VLOOKUP(AO$2,$O$3:$T$32,6,0)+1,0)</f>
        <v>0.48625786874528693</v>
      </c>
      <c r="AP10">
        <f>VLOOKUP(VLOOKUP($V10,$O$3:$T$32,6,0),$V$42:$AZ$71,VLOOKUP(AP$2,$O$3:$T$32,6,0)+1,0)</f>
        <v>0.5</v>
      </c>
      <c r="AQ10">
        <f>VLOOKUP(VLOOKUP($V10,$O$3:$T$32,6,0),$V$42:$AZ$71,VLOOKUP(AQ$2,$O$3:$T$32,6,0)+1,0)</f>
        <v>0.37147810462585762</v>
      </c>
      <c r="AR10">
        <f>VLOOKUP(VLOOKUP($V10,$O$3:$T$32,6,0),$V$42:$AZ$71,VLOOKUP(AR$2,$O$3:$T$32,6,0)+1,0)</f>
        <v>0.61088100448941873</v>
      </c>
      <c r="AS10">
        <f>VLOOKUP(VLOOKUP($V10,$O$3:$T$32,6,0),$V$42:$AZ$71,VLOOKUP(AS$2,$O$3:$T$32,6,0)+1,0)</f>
        <v>0.69736543414984997</v>
      </c>
      <c r="AT10">
        <f>VLOOKUP(VLOOKUP($V10,$O$3:$T$32,6,0),$V$42:$AZ$71,VLOOKUP(AT$2,$O$3:$T$32,6,0)+1,0)</f>
        <v>0.46071121990694175</v>
      </c>
      <c r="AU10">
        <f>VLOOKUP(VLOOKUP($V10,$O$3:$T$32,6,0),$V$42:$AZ$71,VLOOKUP(AU$2,$O$3:$T$32,6,0)+1,0)</f>
        <v>0.40843302990522401</v>
      </c>
      <c r="AV10">
        <f>VLOOKUP(VLOOKUP($V10,$O$3:$T$32,6,0),$V$42:$AZ$71,VLOOKUP(AV$2,$O$3:$T$32,6,0)+1,0)</f>
        <v>0.57711263446281591</v>
      </c>
      <c r="AW10">
        <f>VLOOKUP(VLOOKUP($V10,$O$3:$T$32,6,0),$V$42:$AZ$71,VLOOKUP(AW$2,$O$3:$T$32,6,0)+1,0)</f>
        <v>0.36031197606974674</v>
      </c>
      <c r="AX10">
        <f>VLOOKUP(VLOOKUP($V10,$O$3:$T$32,6,0),$V$42:$AZ$71,VLOOKUP(AX$2,$O$3:$T$32,6,0)+1,0)</f>
        <v>0.38459864577188729</v>
      </c>
      <c r="AY10">
        <f>VLOOKUP(VLOOKUP($V10,$O$3:$T$32,6,0),$V$42:$AZ$71,VLOOKUP(AY$2,$O$3:$T$32,6,0)+1,0)</f>
        <v>0.61088100448941873</v>
      </c>
      <c r="AZ10">
        <f>VLOOKUP(VLOOKUP($V10,$O$3:$T$32,6,0),$V$42:$AZ$71,VLOOKUP(AZ$2,$O$3:$T$32,6,0)+1,0)</f>
        <v>0.41758613378174975</v>
      </c>
    </row>
    <row r="11" spans="2:52" x14ac:dyDescent="0.25">
      <c r="B11">
        <f>d_win_totals!A10</f>
        <v>69</v>
      </c>
      <c r="C11">
        <f>d_win_totals!B10</f>
        <v>69</v>
      </c>
      <c r="D11">
        <f>d_win_totals!C10</f>
        <v>2014</v>
      </c>
      <c r="E11">
        <f>d_win_totals!D10</f>
        <v>2015</v>
      </c>
      <c r="F11" t="str">
        <f>d_win_totals!E10</f>
        <v>DET</v>
      </c>
      <c r="G11">
        <f>d_win_totals!F10</f>
        <v>36.5</v>
      </c>
      <c r="H11">
        <f>d_win_totals!G10</f>
        <v>32</v>
      </c>
      <c r="I11" t="str">
        <f>d_win_totals!H10</f>
        <v>U</v>
      </c>
      <c r="J11">
        <f>d_win_totals!I10</f>
        <v>-1</v>
      </c>
      <c r="L11">
        <v>9</v>
      </c>
      <c r="M11">
        <f>p_win_totals!B10</f>
        <v>69</v>
      </c>
      <c r="N11" t="str">
        <f>p_win_totals!C10</f>
        <v>Tony</v>
      </c>
      <c r="O11" t="str">
        <f>p_win_totals!D10</f>
        <v>DET</v>
      </c>
      <c r="P11">
        <f>p_win_totals!E10</f>
        <v>36.5</v>
      </c>
      <c r="Q11" t="str">
        <f>p_win_totals!F10</f>
        <v>U</v>
      </c>
      <c r="R11">
        <f>p_win_totals!G10</f>
        <v>9</v>
      </c>
      <c r="S11">
        <f>ROUND(IF(Q11="O",P11+(3-R11*1/10),P11-(3-R11*1/10)),0)</f>
        <v>34</v>
      </c>
      <c r="T11">
        <f t="shared" si="0"/>
        <v>21</v>
      </c>
      <c r="V11" t="s">
        <v>33</v>
      </c>
      <c r="W11">
        <f>VLOOKUP(VLOOKUP($V11,$O$3:$T$32,6,0),$V$42:$AZ$71,VLOOKUP(W$2,$O$3:$T$32,6,0)+1,0)</f>
        <v>0.41653041686165959</v>
      </c>
      <c r="X11">
        <f>VLOOKUP(VLOOKUP($V11,$O$3:$T$32,6,0),$V$42:$AZ$71,VLOOKUP(X$2,$O$3:$T$32,6,0)+1,0)</f>
        <v>0.62162155425050336</v>
      </c>
      <c r="Y11">
        <f>VLOOKUP(VLOOKUP($V11,$O$3:$T$32,6,0),$V$42:$AZ$71,VLOOKUP(Y$2,$O$3:$T$32,6,0)+1,0)</f>
        <v>0.45523194426626579</v>
      </c>
      <c r="Z11">
        <f>VLOOKUP(VLOOKUP($V11,$O$3:$T$32,6,0),$V$42:$AZ$71,VLOOKUP(Z$2,$O$3:$T$32,6,0)+1,0)</f>
        <v>0.39423306138355413</v>
      </c>
      <c r="AA11">
        <f>VLOOKUP(VLOOKUP($V11,$O$3:$T$32,6,0),$V$42:$AZ$71,VLOOKUP(AA$2,$O$3:$T$32,6,0)+1,0)</f>
        <v>0.32004535003245588</v>
      </c>
      <c r="AB11">
        <f>VLOOKUP(VLOOKUP($V11,$O$3:$T$32,6,0),$V$42:$AZ$71,VLOOKUP(AB$2,$O$3:$T$32,6,0)+1,0)</f>
        <v>0.31114548025336697</v>
      </c>
      <c r="AC11">
        <f>VLOOKUP(VLOOKUP($V11,$O$3:$T$32,6,0),$V$42:$AZ$71,VLOOKUP(AC$2,$O$3:$T$32,6,0)+1,0)</f>
        <v>0.34307350386175622</v>
      </c>
      <c r="AD11">
        <f>VLOOKUP(VLOOKUP($V11,$O$3:$T$32,6,0),$V$42:$AZ$71,VLOOKUP(AD$2,$O$3:$T$32,6,0)+1,0)</f>
        <v>0.45523194426626579</v>
      </c>
      <c r="AE11">
        <f>VLOOKUP(VLOOKUP($V11,$O$3:$T$32,6,0),$V$42:$AZ$71,VLOOKUP(AE$2,$O$3:$T$32,6,0)+1,0)</f>
        <v>0.5</v>
      </c>
      <c r="AF11">
        <f>VLOOKUP(VLOOKUP($V11,$O$3:$T$32,6,0),$V$42:$AZ$71,VLOOKUP(AF$2,$O$3:$T$32,6,0)+1,0)</f>
        <v>0.33658811385308857</v>
      </c>
      <c r="AG11">
        <f>VLOOKUP(VLOOKUP($V11,$O$3:$T$32,6,0),$V$42:$AZ$71,VLOOKUP(AG$2,$O$3:$T$32,6,0)+1,0)</f>
        <v>0.37466773589115104</v>
      </c>
      <c r="AH11">
        <f>VLOOKUP(VLOOKUP($V11,$O$3:$T$32,6,0),$V$42:$AZ$71,VLOOKUP(AH$2,$O$3:$T$32,6,0)+1,0)</f>
        <v>0.51613510920097938</v>
      </c>
      <c r="AI11">
        <f>VLOOKUP(VLOOKUP($V11,$O$3:$T$32,6,0),$V$42:$AZ$71,VLOOKUP(AI$2,$O$3:$T$32,6,0)+1,0)</f>
        <v>0.31114548025336697</v>
      </c>
      <c r="AJ11">
        <f>VLOOKUP(VLOOKUP($V11,$O$3:$T$32,6,0),$V$42:$AZ$71,VLOOKUP(AJ$2,$O$3:$T$32,6,0)+1,0)</f>
        <v>0.53279747016783385</v>
      </c>
      <c r="AK11">
        <f>VLOOKUP(VLOOKUP($V11,$O$3:$T$32,6,0),$V$42:$AZ$71,VLOOKUP(AK$2,$O$3:$T$32,6,0)+1,0)</f>
        <v>0.35768246842791368</v>
      </c>
      <c r="AL11">
        <f>VLOOKUP(VLOOKUP($V11,$O$3:$T$32,6,0),$V$42:$AZ$71,VLOOKUP(AL$2,$O$3:$T$32,6,0)+1,0)</f>
        <v>0.40503347301746906</v>
      </c>
      <c r="AM11">
        <f>VLOOKUP(VLOOKUP($V11,$O$3:$T$32,6,0),$V$42:$AZ$71,VLOOKUP(AM$2,$O$3:$T$32,6,0)+1,0)</f>
        <v>0.60338468202473983</v>
      </c>
      <c r="AN11">
        <f>VLOOKUP(VLOOKUP($V11,$O$3:$T$32,6,0),$V$42:$AZ$71,VLOOKUP(AN$2,$O$3:$T$32,6,0)+1,0)</f>
        <v>0.62162155425050336</v>
      </c>
      <c r="AO11">
        <f>VLOOKUP(VLOOKUP($V11,$O$3:$T$32,6,0),$V$42:$AZ$71,VLOOKUP(AO$2,$O$3:$T$32,6,0)+1,0)</f>
        <v>0.44163344341796507</v>
      </c>
      <c r="AP11">
        <f>VLOOKUP(VLOOKUP($V11,$O$3:$T$32,6,0),$V$42:$AZ$71,VLOOKUP(AP$2,$O$3:$T$32,6,0)+1,0)</f>
        <v>0.45523194426626579</v>
      </c>
      <c r="AQ11">
        <f>VLOOKUP(VLOOKUP($V11,$O$3:$T$32,6,0),$V$42:$AZ$71,VLOOKUP(AQ$2,$O$3:$T$32,6,0)+1,0)</f>
        <v>0.33060854271819196</v>
      </c>
      <c r="AR11">
        <f>VLOOKUP(VLOOKUP($V11,$O$3:$T$32,6,0),$V$42:$AZ$71,VLOOKUP(AR$2,$O$3:$T$32,6,0)+1,0)</f>
        <v>0.56745226115407632</v>
      </c>
      <c r="AS11">
        <f>VLOOKUP(VLOOKUP($V11,$O$3:$T$32,6,0),$V$42:$AZ$71,VLOOKUP(AS$2,$O$3:$T$32,6,0)+1,0)</f>
        <v>0.65818817024414811</v>
      </c>
      <c r="AT11">
        <f>VLOOKUP(VLOOKUP($V11,$O$3:$T$32,6,0),$V$42:$AZ$71,VLOOKUP(AT$2,$O$3:$T$32,6,0)+1,0)</f>
        <v>0.41653041686165959</v>
      </c>
      <c r="AU11">
        <f>VLOOKUP(VLOOKUP($V11,$O$3:$T$32,6,0),$V$42:$AZ$71,VLOOKUP(AU$2,$O$3:$T$32,6,0)+1,0)</f>
        <v>0.36586440898919931</v>
      </c>
      <c r="AV11">
        <f>VLOOKUP(VLOOKUP($V11,$O$3:$T$32,6,0),$V$42:$AZ$71,VLOOKUP(AV$2,$O$3:$T$32,6,0)+1,0)</f>
        <v>0.53279747016783385</v>
      </c>
      <c r="AW11">
        <f>VLOOKUP(VLOOKUP($V11,$O$3:$T$32,6,0),$V$42:$AZ$71,VLOOKUP(AW$2,$O$3:$T$32,6,0)+1,0)</f>
        <v>0.32004535003245588</v>
      </c>
      <c r="AX11">
        <f>VLOOKUP(VLOOKUP($V11,$O$3:$T$32,6,0),$V$42:$AZ$71,VLOOKUP(AX$2,$O$3:$T$32,6,0)+1,0)</f>
        <v>0.34307350386175622</v>
      </c>
      <c r="AY11">
        <f>VLOOKUP(VLOOKUP($V11,$O$3:$T$32,6,0),$V$42:$AZ$71,VLOOKUP(AY$2,$O$3:$T$32,6,0)+1,0)</f>
        <v>0.56745226115407632</v>
      </c>
      <c r="AZ11">
        <f>VLOOKUP(VLOOKUP($V11,$O$3:$T$32,6,0),$V$42:$AZ$71,VLOOKUP(AZ$2,$O$3:$T$32,6,0)+1,0)</f>
        <v>0.37466773589115104</v>
      </c>
    </row>
    <row r="12" spans="2:52" x14ac:dyDescent="0.25">
      <c r="B12">
        <f>d_win_totals!A11</f>
        <v>70</v>
      </c>
      <c r="C12">
        <f>d_win_totals!B11</f>
        <v>70</v>
      </c>
      <c r="D12">
        <f>d_win_totals!C11</f>
        <v>2014</v>
      </c>
      <c r="E12">
        <f>d_win_totals!D11</f>
        <v>2015</v>
      </c>
      <c r="F12" t="str">
        <f>d_win_totals!E11</f>
        <v>GS</v>
      </c>
      <c r="G12">
        <f>d_win_totals!F11</f>
        <v>50.5</v>
      </c>
      <c r="H12">
        <f>d_win_totals!G11</f>
        <v>67</v>
      </c>
      <c r="I12" t="str">
        <f>d_win_totals!H11</f>
        <v>O</v>
      </c>
      <c r="J12">
        <f>d_win_totals!I11</f>
        <v>1</v>
      </c>
      <c r="L12">
        <v>10</v>
      </c>
      <c r="M12">
        <f>p_win_totals!B11</f>
        <v>70</v>
      </c>
      <c r="N12" t="str">
        <f>p_win_totals!C11</f>
        <v>Tony</v>
      </c>
      <c r="O12" t="str">
        <f>p_win_totals!D11</f>
        <v>GS</v>
      </c>
      <c r="P12">
        <f>p_win_totals!E11</f>
        <v>50.5</v>
      </c>
      <c r="Q12" t="str">
        <f>p_win_totals!F11</f>
        <v>O</v>
      </c>
      <c r="R12">
        <f>p_win_totals!G11</f>
        <v>8</v>
      </c>
      <c r="S12">
        <f>ROUND(IF(Q12="O",P12+(3-R12*1/10),P12-(3-R12*1/10)),0)</f>
        <v>53</v>
      </c>
      <c r="T12">
        <f t="shared" si="0"/>
        <v>6</v>
      </c>
      <c r="V12" t="s">
        <v>36</v>
      </c>
      <c r="W12">
        <f>VLOOKUP(VLOOKUP($V12,$O$3:$T$32,6,0),$V$42:$AZ$71,VLOOKUP(W$2,$O$3:$T$32,6,0)+1,0)</f>
        <v>0.58455563190980453</v>
      </c>
      <c r="X12">
        <f>VLOOKUP(VLOOKUP($V12,$O$3:$T$32,6,0),$V$42:$AZ$71,VLOOKUP(X$2,$O$3:$T$32,6,0)+1,0)</f>
        <v>0.7640426735507897</v>
      </c>
      <c r="Y12">
        <f>VLOOKUP(VLOOKUP($V12,$O$3:$T$32,6,0),$V$42:$AZ$71,VLOOKUP(Y$2,$O$3:$T$32,6,0)+1,0)</f>
        <v>0.62222030574062748</v>
      </c>
      <c r="Z12">
        <f>VLOOKUP(VLOOKUP($V12,$O$3:$T$32,6,0),$V$42:$AZ$71,VLOOKUP(Z$2,$O$3:$T$32,6,0)+1,0)</f>
        <v>0.56192616992273725</v>
      </c>
      <c r="AA12">
        <f>VLOOKUP(VLOOKUP($V12,$O$3:$T$32,6,0),$V$42:$AZ$71,VLOOKUP(AA$2,$O$3:$T$32,6,0)+1,0)</f>
        <v>0.48125196234618794</v>
      </c>
      <c r="AB12">
        <f>VLOOKUP(VLOOKUP($V12,$O$3:$T$32,6,0),$V$42:$AZ$71,VLOOKUP(AB$2,$O$3:$T$32,6,0)+1,0)</f>
        <v>0.47097431070275608</v>
      </c>
      <c r="AC12">
        <f>VLOOKUP(VLOOKUP($V12,$O$3:$T$32,6,0),$V$42:$AZ$71,VLOOKUP(AC$2,$O$3:$T$32,6,0)+1,0)</f>
        <v>0.50722666212157341</v>
      </c>
      <c r="AD12">
        <f>VLOOKUP(VLOOKUP($V12,$O$3:$T$32,6,0),$V$42:$AZ$71,VLOOKUP(AD$2,$O$3:$T$32,6,0)+1,0)</f>
        <v>0.62222030574062748</v>
      </c>
      <c r="AE12">
        <f>VLOOKUP(VLOOKUP($V12,$O$3:$T$32,6,0),$V$42:$AZ$71,VLOOKUP(AE$2,$O$3:$T$32,6,0)+1,0)</f>
        <v>0.66341188614691138</v>
      </c>
      <c r="AF12">
        <f>VLOOKUP(VLOOKUP($V12,$O$3:$T$32,6,0),$V$42:$AZ$71,VLOOKUP(AF$2,$O$3:$T$32,6,0)+1,0)</f>
        <v>0.5</v>
      </c>
      <c r="AG12">
        <f>VLOOKUP(VLOOKUP($V12,$O$3:$T$32,6,0),$V$42:$AZ$71,VLOOKUP(AG$2,$O$3:$T$32,6,0)+1,0)</f>
        <v>0.54147759642487181</v>
      </c>
      <c r="AH12">
        <f>VLOOKUP(VLOOKUP($V12,$O$3:$T$32,6,0),$V$42:$AZ$71,VLOOKUP(AH$2,$O$3:$T$32,6,0)+1,0)</f>
        <v>0.67767313462764645</v>
      </c>
      <c r="AI12">
        <f>VLOOKUP(VLOOKUP($V12,$O$3:$T$32,6,0),$V$42:$AZ$71,VLOOKUP(AI$2,$O$3:$T$32,6,0)+1,0)</f>
        <v>0.47097431070275608</v>
      </c>
      <c r="AJ12">
        <f>VLOOKUP(VLOOKUP($V12,$O$3:$T$32,6,0),$V$42:$AZ$71,VLOOKUP(AJ$2,$O$3:$T$32,6,0)+1,0)</f>
        <v>0.69209130562404242</v>
      </c>
      <c r="AK12">
        <f>VLOOKUP(VLOOKUP($V12,$O$3:$T$32,6,0),$V$42:$AZ$71,VLOOKUP(AK$2,$O$3:$T$32,6,0)+1,0)</f>
        <v>0.5232579357992978</v>
      </c>
      <c r="AL12">
        <f>VLOOKUP(VLOOKUP($V12,$O$3:$T$32,6,0),$V$42:$AZ$71,VLOOKUP(AL$2,$O$3:$T$32,6,0)+1,0)</f>
        <v>0.57297527274302607</v>
      </c>
      <c r="AM12">
        <f>VLOOKUP(VLOOKUP($V12,$O$3:$T$32,6,0),$V$42:$AZ$71,VLOOKUP(AM$2,$O$3:$T$32,6,0)+1,0)</f>
        <v>0.74990846776994036</v>
      </c>
      <c r="AN12">
        <f>VLOOKUP(VLOOKUP($V12,$O$3:$T$32,6,0),$V$42:$AZ$71,VLOOKUP(AN$2,$O$3:$T$32,6,0)+1,0)</f>
        <v>0.7640426735507897</v>
      </c>
      <c r="AO12">
        <f>VLOOKUP(VLOOKUP($V12,$O$3:$T$32,6,0),$V$42:$AZ$71,VLOOKUP(AO$2,$O$3:$T$32,6,0)+1,0)</f>
        <v>0.60921188943915972</v>
      </c>
      <c r="AP12">
        <f>VLOOKUP(VLOOKUP($V12,$O$3:$T$32,6,0),$V$42:$AZ$71,VLOOKUP(AP$2,$O$3:$T$32,6,0)+1,0)</f>
        <v>0.62222030574062748</v>
      </c>
      <c r="AQ12">
        <f>VLOOKUP(VLOOKUP($V12,$O$3:$T$32,6,0),$V$42:$AZ$71,VLOOKUP(AQ$2,$O$3:$T$32,6,0)+1,0)</f>
        <v>0.49327592359171141</v>
      </c>
      <c r="AR12">
        <f>VLOOKUP(VLOOKUP($V12,$O$3:$T$32,6,0),$V$42:$AZ$71,VLOOKUP(AR$2,$O$3:$T$32,6,0)+1,0)</f>
        <v>0.72111517802286307</v>
      </c>
      <c r="AS12">
        <f>VLOOKUP(VLOOKUP($V12,$O$3:$T$32,6,0),$V$42:$AZ$71,VLOOKUP(AS$2,$O$3:$T$32,6,0)+1,0)</f>
        <v>0.79146298511296831</v>
      </c>
      <c r="AT12">
        <f>VLOOKUP(VLOOKUP($V12,$O$3:$T$32,6,0),$V$42:$AZ$71,VLOOKUP(AT$2,$O$3:$T$32,6,0)+1,0)</f>
        <v>0.58455563190980453</v>
      </c>
      <c r="AU12">
        <f>VLOOKUP(VLOOKUP($V12,$O$3:$T$32,6,0),$V$42:$AZ$71,VLOOKUP(AU$2,$O$3:$T$32,6,0)+1,0)</f>
        <v>0.53208984971618267</v>
      </c>
      <c r="AV12">
        <f>VLOOKUP(VLOOKUP($V12,$O$3:$T$32,6,0),$V$42:$AZ$71,VLOOKUP(AV$2,$O$3:$T$32,6,0)+1,0)</f>
        <v>0.69209130562404242</v>
      </c>
      <c r="AW12">
        <f>VLOOKUP(VLOOKUP($V12,$O$3:$T$32,6,0),$V$42:$AZ$71,VLOOKUP(AW$2,$O$3:$T$32,6,0)+1,0)</f>
        <v>0.48125196234618794</v>
      </c>
      <c r="AX12">
        <f>VLOOKUP(VLOOKUP($V12,$O$3:$T$32,6,0),$V$42:$AZ$71,VLOOKUP(AX$2,$O$3:$T$32,6,0)+1,0)</f>
        <v>0.50722666212157341</v>
      </c>
      <c r="AY12">
        <f>VLOOKUP(VLOOKUP($V12,$O$3:$T$32,6,0),$V$42:$AZ$71,VLOOKUP(AY$2,$O$3:$T$32,6,0)+1,0)</f>
        <v>0.72111517802286307</v>
      </c>
      <c r="AZ12">
        <f>VLOOKUP(VLOOKUP($V12,$O$3:$T$32,6,0),$V$42:$AZ$71,VLOOKUP(AZ$2,$O$3:$T$32,6,0)+1,0)</f>
        <v>0.54147759642487181</v>
      </c>
    </row>
    <row r="13" spans="2:52" x14ac:dyDescent="0.25">
      <c r="B13">
        <f>d_win_totals!A12</f>
        <v>71</v>
      </c>
      <c r="C13">
        <f>d_win_totals!B12</f>
        <v>71</v>
      </c>
      <c r="D13">
        <f>d_win_totals!C12</f>
        <v>2014</v>
      </c>
      <c r="E13">
        <f>d_win_totals!D12</f>
        <v>2015</v>
      </c>
      <c r="F13" t="str">
        <f>d_win_totals!E12</f>
        <v>HOU</v>
      </c>
      <c r="G13">
        <f>d_win_totals!F12</f>
        <v>49.5</v>
      </c>
      <c r="H13">
        <f>d_win_totals!G12</f>
        <v>56</v>
      </c>
      <c r="I13" t="str">
        <f>d_win_totals!H12</f>
        <v>O</v>
      </c>
      <c r="J13">
        <f>d_win_totals!I12</f>
        <v>1</v>
      </c>
      <c r="L13">
        <v>11</v>
      </c>
      <c r="M13">
        <f>p_win_totals!B12</f>
        <v>71</v>
      </c>
      <c r="N13" t="str">
        <f>p_win_totals!C12</f>
        <v>Tony</v>
      </c>
      <c r="O13" t="str">
        <f>p_win_totals!D12</f>
        <v>HOU</v>
      </c>
      <c r="P13">
        <f>p_win_totals!E12</f>
        <v>49.5</v>
      </c>
      <c r="Q13" t="str">
        <f>p_win_totals!F12</f>
        <v>U</v>
      </c>
      <c r="R13">
        <f>p_win_totals!G12</f>
        <v>13</v>
      </c>
      <c r="S13">
        <f>ROUND(IF(Q13="O",P13+(3-R13*1/10),P13-(3-R13*1/10)),0)</f>
        <v>48</v>
      </c>
      <c r="T13">
        <f t="shared" si="0"/>
        <v>11</v>
      </c>
      <c r="V13" t="s">
        <v>16</v>
      </c>
      <c r="W13">
        <f>VLOOKUP(VLOOKUP($V13,$O$3:$T$32,6,0),$V$42:$AZ$71,VLOOKUP(W$2,$O$3:$T$32,6,0)+1,0)</f>
        <v>0.54369096101297021</v>
      </c>
      <c r="X13">
        <f>VLOOKUP(VLOOKUP($V13,$O$3:$T$32,6,0),$V$42:$AZ$71,VLOOKUP(X$2,$O$3:$T$32,6,0)+1,0)</f>
        <v>0.73276177017311905</v>
      </c>
      <c r="Y13">
        <f>VLOOKUP(VLOOKUP($V13,$O$3:$T$32,6,0),$V$42:$AZ$71,VLOOKUP(Y$2,$O$3:$T$32,6,0)+1,0)</f>
        <v>0.5824138662182502</v>
      </c>
      <c r="Z13">
        <f>VLOOKUP(VLOOKUP($V13,$O$3:$T$32,6,0),$V$42:$AZ$71,VLOOKUP(Z$2,$O$3:$T$32,6,0)+1,0)</f>
        <v>0.52066084706402804</v>
      </c>
      <c r="AA13">
        <f>VLOOKUP(VLOOKUP($V13,$O$3:$T$32,6,0),$V$42:$AZ$71,VLOOKUP(AA$2,$O$3:$T$32,6,0)+1,0)</f>
        <v>0.43996111651765601</v>
      </c>
      <c r="AB13">
        <f>VLOOKUP(VLOOKUP($V13,$O$3:$T$32,6,0),$V$42:$AZ$71,VLOOKUP(AB$2,$O$3:$T$32,6,0)+1,0)</f>
        <v>0.42983460718544747</v>
      </c>
      <c r="AC13">
        <f>VLOOKUP(VLOOKUP($V13,$O$3:$T$32,6,0),$V$42:$AZ$71,VLOOKUP(AC$2,$O$3:$T$32,6,0)+1,0)</f>
        <v>0.46570795027321976</v>
      </c>
      <c r="AD13">
        <f>VLOOKUP(VLOOKUP($V13,$O$3:$T$32,6,0),$V$42:$AZ$71,VLOOKUP(AD$2,$O$3:$T$32,6,0)+1,0)</f>
        <v>0.5824138662182502</v>
      </c>
      <c r="AE13">
        <f>VLOOKUP(VLOOKUP($V13,$O$3:$T$32,6,0),$V$42:$AZ$71,VLOOKUP(AE$2,$O$3:$T$32,6,0)+1,0)</f>
        <v>0.6253322641088489</v>
      </c>
      <c r="AF13">
        <f>VLOOKUP(VLOOKUP($V13,$O$3:$T$32,6,0),$V$42:$AZ$71,VLOOKUP(AF$2,$O$3:$T$32,6,0)+1,0)</f>
        <v>0.45852240357512825</v>
      </c>
      <c r="AG13">
        <f>VLOOKUP(VLOOKUP($V13,$O$3:$T$32,6,0),$V$42:$AZ$71,VLOOKUP(AG$2,$O$3:$T$32,6,0)+1,0)</f>
        <v>0.5</v>
      </c>
      <c r="AH13">
        <f>VLOOKUP(VLOOKUP($V13,$O$3:$T$32,6,0),$V$42:$AZ$71,VLOOKUP(AH$2,$O$3:$T$32,6,0)+1,0)</f>
        <v>0.64033222606353968</v>
      </c>
      <c r="AI13">
        <f>VLOOKUP(VLOOKUP($V13,$O$3:$T$32,6,0),$V$42:$AZ$71,VLOOKUP(AI$2,$O$3:$T$32,6,0)+1,0)</f>
        <v>0.42983460718544747</v>
      </c>
      <c r="AJ13">
        <f>VLOOKUP(VLOOKUP($V13,$O$3:$T$32,6,0),$V$42:$AZ$71,VLOOKUP(AJ$2,$O$3:$T$32,6,0)+1,0)</f>
        <v>0.65557177266505795</v>
      </c>
      <c r="AK13">
        <f>VLOOKUP(VLOOKUP($V13,$O$3:$T$32,6,0),$V$42:$AZ$71,VLOOKUP(AK$2,$O$3:$T$32,6,0)+1,0)</f>
        <v>0.48170976222854806</v>
      </c>
      <c r="AL13">
        <f>VLOOKUP(VLOOKUP($V13,$O$3:$T$32,6,0),$V$42:$AZ$71,VLOOKUP(AL$2,$O$3:$T$32,6,0)+1,0)</f>
        <v>0.53188370365769178</v>
      </c>
      <c r="AM13">
        <f>VLOOKUP(VLOOKUP($V13,$O$3:$T$32,6,0),$V$42:$AZ$71,VLOOKUP(AM$2,$O$3:$T$32,6,0)+1,0)</f>
        <v>0.71744673717528584</v>
      </c>
      <c r="AN13">
        <f>VLOOKUP(VLOOKUP($V13,$O$3:$T$32,6,0),$V$42:$AZ$71,VLOOKUP(AN$2,$O$3:$T$32,6,0)+1,0)</f>
        <v>0.73276177017311905</v>
      </c>
      <c r="AO13">
        <f>VLOOKUP(VLOOKUP($V13,$O$3:$T$32,6,0),$V$42:$AZ$71,VLOOKUP(AO$2,$O$3:$T$32,6,0)+1,0)</f>
        <v>0.56898424522980195</v>
      </c>
      <c r="AP13">
        <f>VLOOKUP(VLOOKUP($V13,$O$3:$T$32,6,0),$V$42:$AZ$71,VLOOKUP(AP$2,$O$3:$T$32,6,0)+1,0)</f>
        <v>0.5824138662182502</v>
      </c>
      <c r="AQ13">
        <f>VLOOKUP(VLOOKUP($V13,$O$3:$T$32,6,0),$V$42:$AZ$71,VLOOKUP(AQ$2,$O$3:$T$32,6,0)+1,0)</f>
        <v>0.45185204074660917</v>
      </c>
      <c r="AR13">
        <f>VLOOKUP(VLOOKUP($V13,$O$3:$T$32,6,0),$V$42:$AZ$71,VLOOKUP(AR$2,$O$3:$T$32,6,0)+1,0)</f>
        <v>0.68647860603758082</v>
      </c>
      <c r="AS13">
        <f>VLOOKUP(VLOOKUP($V13,$O$3:$T$32,6,0),$V$42:$AZ$71,VLOOKUP(AS$2,$O$3:$T$32,6,0)+1,0)</f>
        <v>0.76268812927878615</v>
      </c>
      <c r="AT13">
        <f>VLOOKUP(VLOOKUP($V13,$O$3:$T$32,6,0),$V$42:$AZ$71,VLOOKUP(AT$2,$O$3:$T$32,6,0)+1,0)</f>
        <v>0.54369096101297021</v>
      </c>
      <c r="AU13">
        <f>VLOOKUP(VLOOKUP($V13,$O$3:$T$32,6,0),$V$42:$AZ$71,VLOOKUP(AU$2,$O$3:$T$32,6,0)+1,0)</f>
        <v>0.4905620050347928</v>
      </c>
      <c r="AV13">
        <f>VLOOKUP(VLOOKUP($V13,$O$3:$T$32,6,0),$V$42:$AZ$71,VLOOKUP(AV$2,$O$3:$T$32,6,0)+1,0)</f>
        <v>0.65557177266505795</v>
      </c>
      <c r="AW13">
        <f>VLOOKUP(VLOOKUP($V13,$O$3:$T$32,6,0),$V$42:$AZ$71,VLOOKUP(AW$2,$O$3:$T$32,6,0)+1,0)</f>
        <v>0.43996111651765601</v>
      </c>
      <c r="AX13">
        <f>VLOOKUP(VLOOKUP($V13,$O$3:$T$32,6,0),$V$42:$AZ$71,VLOOKUP(AX$2,$O$3:$T$32,6,0)+1,0)</f>
        <v>0.46570795027321976</v>
      </c>
      <c r="AY13">
        <f>VLOOKUP(VLOOKUP($V13,$O$3:$T$32,6,0),$V$42:$AZ$71,VLOOKUP(AY$2,$O$3:$T$32,6,0)+1,0)</f>
        <v>0.68647860603758082</v>
      </c>
      <c r="AZ13">
        <f>VLOOKUP(VLOOKUP($V13,$O$3:$T$32,6,0),$V$42:$AZ$71,VLOOKUP(AZ$2,$O$3:$T$32,6,0)+1,0)</f>
        <v>0.5</v>
      </c>
    </row>
    <row r="14" spans="2:52" x14ac:dyDescent="0.25">
      <c r="B14">
        <f>d_win_totals!A13</f>
        <v>72</v>
      </c>
      <c r="C14">
        <f>d_win_totals!B13</f>
        <v>72</v>
      </c>
      <c r="D14">
        <f>d_win_totals!C13</f>
        <v>2014</v>
      </c>
      <c r="E14">
        <f>d_win_totals!D13</f>
        <v>2015</v>
      </c>
      <c r="F14" t="str">
        <f>d_win_totals!E13</f>
        <v>IND</v>
      </c>
      <c r="G14">
        <f>d_win_totals!F13</f>
        <v>32.5</v>
      </c>
      <c r="H14">
        <f>d_win_totals!G13</f>
        <v>38</v>
      </c>
      <c r="I14" t="str">
        <f>d_win_totals!H13</f>
        <v>O</v>
      </c>
      <c r="J14">
        <f>d_win_totals!I13</f>
        <v>1</v>
      </c>
      <c r="L14">
        <v>12</v>
      </c>
      <c r="M14">
        <f>p_win_totals!B13</f>
        <v>72</v>
      </c>
      <c r="N14" t="str">
        <f>p_win_totals!C13</f>
        <v>Tony</v>
      </c>
      <c r="O14" t="str">
        <f>p_win_totals!D13</f>
        <v>IND</v>
      </c>
      <c r="P14">
        <f>p_win_totals!E13</f>
        <v>32.5</v>
      </c>
      <c r="Q14" t="str">
        <f>p_win_totals!F13</f>
        <v>U</v>
      </c>
      <c r="R14">
        <f>p_win_totals!G13</f>
        <v>30</v>
      </c>
      <c r="S14">
        <f>ROUND(IF(Q14="O",P14+(3-R14*1/10),P14-(3-R14*1/10)),0)</f>
        <v>33</v>
      </c>
      <c r="T14">
        <f t="shared" si="0"/>
        <v>22</v>
      </c>
      <c r="V14" t="s">
        <v>20</v>
      </c>
      <c r="W14">
        <f>VLOOKUP(VLOOKUP($V14,$O$3:$T$32,6,0),$V$42:$AZ$71,VLOOKUP(W$2,$O$3:$T$32,6,0)+1,0)</f>
        <v>0.40092901921795154</v>
      </c>
      <c r="X14">
        <f>VLOOKUP(VLOOKUP($V14,$O$3:$T$32,6,0),$V$42:$AZ$71,VLOOKUP(X$2,$O$3:$T$32,6,0)+1,0)</f>
        <v>0.60632101271449668</v>
      </c>
      <c r="Y14">
        <f>VLOOKUP(VLOOKUP($V14,$O$3:$T$32,6,0),$V$42:$AZ$71,VLOOKUP(Y$2,$O$3:$T$32,6,0)+1,0)</f>
        <v>0.43927229864142858</v>
      </c>
      <c r="Z14">
        <f>VLOOKUP(VLOOKUP($V14,$O$3:$T$32,6,0),$V$42:$AZ$71,VLOOKUP(Z$2,$O$3:$T$32,6,0)+1,0)</f>
        <v>0.37892444352409055</v>
      </c>
      <c r="AA14">
        <f>VLOOKUP(VLOOKUP($V14,$O$3:$T$32,6,0),$V$42:$AZ$71,VLOOKUP(AA$2,$O$3:$T$32,6,0)+1,0)</f>
        <v>0.30616154877960861</v>
      </c>
      <c r="AB14">
        <f>VLOOKUP(VLOOKUP($V14,$O$3:$T$32,6,0),$V$42:$AZ$71,VLOOKUP(AB$2,$O$3:$T$32,6,0)+1,0)</f>
        <v>0.29747885135041813</v>
      </c>
      <c r="AC14">
        <f>VLOOKUP(VLOOKUP($V14,$O$3:$T$32,6,0),$V$42:$AZ$71,VLOOKUP(AC$2,$O$3:$T$32,6,0)+1,0)</f>
        <v>0.32867360629810738</v>
      </c>
      <c r="AD14">
        <f>VLOOKUP(VLOOKUP($V14,$O$3:$T$32,6,0),$V$42:$AZ$71,VLOOKUP(AD$2,$O$3:$T$32,6,0)+1,0)</f>
        <v>0.43927229864142858</v>
      </c>
      <c r="AE14">
        <f>VLOOKUP(VLOOKUP($V14,$O$3:$T$32,6,0),$V$42:$AZ$71,VLOOKUP(AE$2,$O$3:$T$32,6,0)+1,0)</f>
        <v>0.48386489079902056</v>
      </c>
      <c r="AF14">
        <f>VLOOKUP(VLOOKUP($V14,$O$3:$T$32,6,0),$V$42:$AZ$71,VLOOKUP(AF$2,$O$3:$T$32,6,0)+1,0)</f>
        <v>0.32232686537235361</v>
      </c>
      <c r="AG14">
        <f>VLOOKUP(VLOOKUP($V14,$O$3:$T$32,6,0),$V$42:$AZ$71,VLOOKUP(AG$2,$O$3:$T$32,6,0)+1,0)</f>
        <v>0.35966777393646027</v>
      </c>
      <c r="AH14">
        <f>VLOOKUP(VLOOKUP($V14,$O$3:$T$32,6,0),$V$42:$AZ$71,VLOOKUP(AH$2,$O$3:$T$32,6,0)+1,0)</f>
        <v>0.5</v>
      </c>
      <c r="AI14">
        <f>VLOOKUP(VLOOKUP($V14,$O$3:$T$32,6,0),$V$42:$AZ$71,VLOOKUP(AI$2,$O$3:$T$32,6,0)+1,0)</f>
        <v>0.29747885135041813</v>
      </c>
      <c r="AJ14">
        <f>VLOOKUP(VLOOKUP($V14,$O$3:$T$32,6,0),$V$42:$AZ$71,VLOOKUP(AJ$2,$O$3:$T$32,6,0)+1,0)</f>
        <v>0.51669770605406096</v>
      </c>
      <c r="AK14">
        <f>VLOOKUP(VLOOKUP($V14,$O$3:$T$32,6,0),$V$42:$AZ$71,VLOOKUP(AK$2,$O$3:$T$32,6,0)+1,0)</f>
        <v>0.34298953732650117</v>
      </c>
      <c r="AL14">
        <f>VLOOKUP(VLOOKUP($V14,$O$3:$T$32,6,0),$V$42:$AZ$71,VLOOKUP(AL$2,$O$3:$T$32,6,0)+1,0)</f>
        <v>0.38957517755485771</v>
      </c>
      <c r="AM14">
        <f>VLOOKUP(VLOOKUP($V14,$O$3:$T$32,6,0),$V$42:$AZ$71,VLOOKUP(AM$2,$O$3:$T$32,6,0)+1,0)</f>
        <v>0.58783565558007556</v>
      </c>
      <c r="AN14">
        <f>VLOOKUP(VLOOKUP($V14,$O$3:$T$32,6,0),$V$42:$AZ$71,VLOOKUP(AN$2,$O$3:$T$32,6,0)+1,0)</f>
        <v>0.60632101271449668</v>
      </c>
      <c r="AO14">
        <f>VLOOKUP(VLOOKUP($V14,$O$3:$T$32,6,0),$V$42:$AZ$71,VLOOKUP(AO$2,$O$3:$T$32,6,0)+1,0)</f>
        <v>0.42577792898536088</v>
      </c>
      <c r="AP14">
        <f>VLOOKUP(VLOOKUP($V14,$O$3:$T$32,6,0),$V$42:$AZ$71,VLOOKUP(AP$2,$O$3:$T$32,6,0)+1,0)</f>
        <v>0.43927229864142858</v>
      </c>
      <c r="AQ14">
        <f>VLOOKUP(VLOOKUP($V14,$O$3:$T$32,6,0),$V$42:$AZ$71,VLOOKUP(AQ$2,$O$3:$T$32,6,0)+1,0)</f>
        <v>0.31647978635601037</v>
      </c>
      <c r="AR14">
        <f>VLOOKUP(VLOOKUP($V14,$O$3:$T$32,6,0),$V$42:$AZ$71,VLOOKUP(AR$2,$O$3:$T$32,6,0)+1,0)</f>
        <v>0.55154153277934415</v>
      </c>
      <c r="AS14">
        <f>VLOOKUP(VLOOKUP($V14,$O$3:$T$32,6,0),$V$42:$AZ$71,VLOOKUP(AS$2,$O$3:$T$32,6,0)+1,0)</f>
        <v>0.64351831611443899</v>
      </c>
      <c r="AT14">
        <f>VLOOKUP(VLOOKUP($V14,$O$3:$T$32,6,0),$V$42:$AZ$71,VLOOKUP(AT$2,$O$3:$T$32,6,0)+1,0)</f>
        <v>0.40092901921795154</v>
      </c>
      <c r="AU14">
        <f>VLOOKUP(VLOOKUP($V14,$O$3:$T$32,6,0),$V$42:$AZ$71,VLOOKUP(AU$2,$O$3:$T$32,6,0)+1,0)</f>
        <v>0.35101905311773113</v>
      </c>
      <c r="AV14">
        <f>VLOOKUP(VLOOKUP($V14,$O$3:$T$32,6,0),$V$42:$AZ$71,VLOOKUP(AV$2,$O$3:$T$32,6,0)+1,0)</f>
        <v>0.51669770605406096</v>
      </c>
      <c r="AW14">
        <f>VLOOKUP(VLOOKUP($V14,$O$3:$T$32,6,0),$V$42:$AZ$71,VLOOKUP(AW$2,$O$3:$T$32,6,0)+1,0)</f>
        <v>0.30616154877960861</v>
      </c>
      <c r="AX14">
        <f>VLOOKUP(VLOOKUP($V14,$O$3:$T$32,6,0),$V$42:$AZ$71,VLOOKUP(AX$2,$O$3:$T$32,6,0)+1,0)</f>
        <v>0.32867360629810738</v>
      </c>
      <c r="AY14">
        <f>VLOOKUP(VLOOKUP($V14,$O$3:$T$32,6,0),$V$42:$AZ$71,VLOOKUP(AY$2,$O$3:$T$32,6,0)+1,0)</f>
        <v>0.55154153277934415</v>
      </c>
      <c r="AZ14">
        <f>VLOOKUP(VLOOKUP($V14,$O$3:$T$32,6,0),$V$42:$AZ$71,VLOOKUP(AZ$2,$O$3:$T$32,6,0)+1,0)</f>
        <v>0.35966777393646027</v>
      </c>
    </row>
    <row r="15" spans="2:52" x14ac:dyDescent="0.25">
      <c r="B15">
        <f>d_win_totals!A14</f>
        <v>73</v>
      </c>
      <c r="C15">
        <f>d_win_totals!B14</f>
        <v>73</v>
      </c>
      <c r="D15">
        <f>d_win_totals!C14</f>
        <v>2014</v>
      </c>
      <c r="E15">
        <f>d_win_totals!D14</f>
        <v>2015</v>
      </c>
      <c r="F15" t="str">
        <f>d_win_totals!E14</f>
        <v>LAC</v>
      </c>
      <c r="G15">
        <f>d_win_totals!F14</f>
        <v>55.5</v>
      </c>
      <c r="H15">
        <f>d_win_totals!G14</f>
        <v>56</v>
      </c>
      <c r="I15" t="str">
        <f>d_win_totals!H14</f>
        <v>O</v>
      </c>
      <c r="J15">
        <f>d_win_totals!I14</f>
        <v>1</v>
      </c>
      <c r="L15">
        <v>13</v>
      </c>
      <c r="M15">
        <f>p_win_totals!B14</f>
        <v>73</v>
      </c>
      <c r="N15" t="str">
        <f>p_win_totals!C14</f>
        <v>Tony</v>
      </c>
      <c r="O15" t="str">
        <f>p_win_totals!D14</f>
        <v>LAC</v>
      </c>
      <c r="P15">
        <f>p_win_totals!E14</f>
        <v>55.5</v>
      </c>
      <c r="Q15" t="str">
        <f>p_win_totals!F14</f>
        <v>O</v>
      </c>
      <c r="R15">
        <f>p_win_totals!G14</f>
        <v>6</v>
      </c>
      <c r="S15">
        <f>ROUND(IF(Q15="O",P15+(3-R15*1/10),P15-(3-R15*1/10)),0)</f>
        <v>58</v>
      </c>
      <c r="T15">
        <f t="shared" si="0"/>
        <v>1</v>
      </c>
      <c r="V15" t="s">
        <v>41</v>
      </c>
      <c r="W15">
        <f>VLOOKUP(VLOOKUP($V15,$O$3:$T$32,6,0),$V$42:$AZ$71,VLOOKUP(W$2,$O$3:$T$32,6,0)+1,0)</f>
        <v>0.6124771173739717</v>
      </c>
      <c r="X15">
        <f>VLOOKUP(VLOOKUP($V15,$O$3:$T$32,6,0),$V$42:$AZ$71,VLOOKUP(X$2,$O$3:$T$32,6,0)+1,0)</f>
        <v>0.7843512669729592</v>
      </c>
      <c r="Y15">
        <f>VLOOKUP(VLOOKUP($V15,$O$3:$T$32,6,0),$V$42:$AZ$71,VLOOKUP(Y$2,$O$3:$T$32,6,0)+1,0)</f>
        <v>0.64912982573812106</v>
      </c>
      <c r="Z15">
        <f>VLOOKUP(VLOOKUP($V15,$O$3:$T$32,6,0),$V$42:$AZ$71,VLOOKUP(Z$2,$O$3:$T$32,6,0)+1,0)</f>
        <v>0.59030260165854143</v>
      </c>
      <c r="AA15">
        <f>VLOOKUP(VLOOKUP($V15,$O$3:$T$32,6,0),$V$42:$AZ$71,VLOOKUP(AA$2,$O$3:$T$32,6,0)+1,0)</f>
        <v>0.5103000717980084</v>
      </c>
      <c r="AB15">
        <f>VLOOKUP(VLOOKUP($V15,$O$3:$T$32,6,0),$V$42:$AZ$71,VLOOKUP(AB$2,$O$3:$T$32,6,0)+1,0)</f>
        <v>0.5</v>
      </c>
      <c r="AC15">
        <f>VLOOKUP(VLOOKUP($V15,$O$3:$T$32,6,0),$V$42:$AZ$71,VLOOKUP(AC$2,$O$3:$T$32,6,0)+1,0)</f>
        <v>0.53622195991228083</v>
      </c>
      <c r="AD15">
        <f>VLOOKUP(VLOOKUP($V15,$O$3:$T$32,6,0),$V$42:$AZ$71,VLOOKUP(AD$2,$O$3:$T$32,6,0)+1,0)</f>
        <v>0.64912982573812106</v>
      </c>
      <c r="AE15">
        <f>VLOOKUP(VLOOKUP($V15,$O$3:$T$32,6,0),$V$42:$AZ$71,VLOOKUP(AE$2,$O$3:$T$32,6,0)+1,0)</f>
        <v>0.68885451974663314</v>
      </c>
      <c r="AF15">
        <f>VLOOKUP(VLOOKUP($V15,$O$3:$T$32,6,0),$V$42:$AZ$71,VLOOKUP(AF$2,$O$3:$T$32,6,0)+1,0)</f>
        <v>0.52902568929724392</v>
      </c>
      <c r="AG15">
        <f>VLOOKUP(VLOOKUP($V15,$O$3:$T$32,6,0),$V$42:$AZ$71,VLOOKUP(AG$2,$O$3:$T$32,6,0)+1,0)</f>
        <v>0.57016539281455259</v>
      </c>
      <c r="AH15">
        <f>VLOOKUP(VLOOKUP($V15,$O$3:$T$32,6,0),$V$42:$AZ$71,VLOOKUP(AH$2,$O$3:$T$32,6,0)+1,0)</f>
        <v>0.70252114864958182</v>
      </c>
      <c r="AI15">
        <f>VLOOKUP(VLOOKUP($V15,$O$3:$T$32,6,0),$V$42:$AZ$71,VLOOKUP(AI$2,$O$3:$T$32,6,0)+1,0)</f>
        <v>0.5</v>
      </c>
      <c r="AJ15">
        <f>VLOOKUP(VLOOKUP($V15,$O$3:$T$32,6,0),$V$42:$AZ$71,VLOOKUP(AJ$2,$O$3:$T$32,6,0)+1,0)</f>
        <v>0.71629315358675483</v>
      </c>
      <c r="AK15">
        <f>VLOOKUP(VLOOKUP($V15,$O$3:$T$32,6,0),$V$42:$AZ$71,VLOOKUP(AK$2,$O$3:$T$32,6,0)+1,0)</f>
        <v>0.5521428232847434</v>
      </c>
      <c r="AL15">
        <f>VLOOKUP(VLOOKUP($V15,$O$3:$T$32,6,0),$V$42:$AZ$71,VLOOKUP(AL$2,$O$3:$T$32,6,0)+1,0)</f>
        <v>0.60114400626087006</v>
      </c>
      <c r="AM15">
        <f>VLOOKUP(VLOOKUP($V15,$O$3:$T$32,6,0),$V$42:$AZ$71,VLOOKUP(AM$2,$O$3:$T$32,6,0)+1,0)</f>
        <v>0.77106907112086653</v>
      </c>
      <c r="AN15">
        <f>VLOOKUP(VLOOKUP($V15,$O$3:$T$32,6,0),$V$42:$AZ$71,VLOOKUP(AN$2,$O$3:$T$32,6,0)+1,0)</f>
        <v>0.7843512669729592</v>
      </c>
      <c r="AO15">
        <f>VLOOKUP(VLOOKUP($V15,$O$3:$T$32,6,0),$V$42:$AZ$71,VLOOKUP(AO$2,$O$3:$T$32,6,0)+1,0)</f>
        <v>0.63650670086846906</v>
      </c>
      <c r="AP15">
        <f>VLOOKUP(VLOOKUP($V15,$O$3:$T$32,6,0),$V$42:$AZ$71,VLOOKUP(AP$2,$O$3:$T$32,6,0)+1,0)</f>
        <v>0.64912982573812106</v>
      </c>
      <c r="AQ15">
        <f>VLOOKUP(VLOOKUP($V15,$O$3:$T$32,6,0),$V$42:$AZ$71,VLOOKUP(AQ$2,$O$3:$T$32,6,0)+1,0)</f>
        <v>0.52231903699980808</v>
      </c>
      <c r="AR15">
        <f>VLOOKUP(VLOOKUP($V15,$O$3:$T$32,6,0),$V$42:$AZ$71,VLOOKUP(AR$2,$O$3:$T$32,6,0)+1,0)</f>
        <v>0.74387996100574205</v>
      </c>
      <c r="AS15">
        <f>VLOOKUP(VLOOKUP($V15,$O$3:$T$32,6,0),$V$42:$AZ$71,VLOOKUP(AS$2,$O$3:$T$32,6,0)+1,0)</f>
        <v>0.80999843398468707</v>
      </c>
      <c r="AT15">
        <f>VLOOKUP(VLOOKUP($V15,$O$3:$T$32,6,0),$V$42:$AZ$71,VLOOKUP(AT$2,$O$3:$T$32,6,0)+1,0)</f>
        <v>0.6124771173739717</v>
      </c>
      <c r="AU15">
        <f>VLOOKUP(VLOOKUP($V15,$O$3:$T$32,6,0),$V$42:$AZ$71,VLOOKUP(AU$2,$O$3:$T$32,6,0)+1,0)</f>
        <v>0.56088868482079979</v>
      </c>
      <c r="AV15">
        <f>VLOOKUP(VLOOKUP($V15,$O$3:$T$32,6,0),$V$42:$AZ$71,VLOOKUP(AV$2,$O$3:$T$32,6,0)+1,0)</f>
        <v>0.71629315358675483</v>
      </c>
      <c r="AW15">
        <f>VLOOKUP(VLOOKUP($V15,$O$3:$T$32,6,0),$V$42:$AZ$71,VLOOKUP(AW$2,$O$3:$T$32,6,0)+1,0)</f>
        <v>0.5103000717980084</v>
      </c>
      <c r="AX15">
        <f>VLOOKUP(VLOOKUP($V15,$O$3:$T$32,6,0),$V$42:$AZ$71,VLOOKUP(AX$2,$O$3:$T$32,6,0)+1,0)</f>
        <v>0.53622195991228083</v>
      </c>
      <c r="AY15">
        <f>VLOOKUP(VLOOKUP($V15,$O$3:$T$32,6,0),$V$42:$AZ$71,VLOOKUP(AY$2,$O$3:$T$32,6,0)+1,0)</f>
        <v>0.74387996100574205</v>
      </c>
      <c r="AZ15">
        <f>VLOOKUP(VLOOKUP($V15,$O$3:$T$32,6,0),$V$42:$AZ$71,VLOOKUP(AZ$2,$O$3:$T$32,6,0)+1,0)</f>
        <v>0.57016539281455259</v>
      </c>
    </row>
    <row r="16" spans="2:52" x14ac:dyDescent="0.25">
      <c r="B16">
        <f>d_win_totals!A15</f>
        <v>74</v>
      </c>
      <c r="C16">
        <f>d_win_totals!B15</f>
        <v>74</v>
      </c>
      <c r="D16">
        <f>d_win_totals!C15</f>
        <v>2014</v>
      </c>
      <c r="E16">
        <f>d_win_totals!D15</f>
        <v>2015</v>
      </c>
      <c r="F16" t="str">
        <f>d_win_totals!E15</f>
        <v>LAL</v>
      </c>
      <c r="G16">
        <f>d_win_totals!F15</f>
        <v>31.5</v>
      </c>
      <c r="H16">
        <f>d_win_totals!G15</f>
        <v>21</v>
      </c>
      <c r="I16" t="str">
        <f>d_win_totals!H15</f>
        <v>U</v>
      </c>
      <c r="J16">
        <f>d_win_totals!I15</f>
        <v>-1</v>
      </c>
      <c r="L16">
        <v>14</v>
      </c>
      <c r="M16">
        <f>p_win_totals!B15</f>
        <v>74</v>
      </c>
      <c r="N16" t="str">
        <f>p_win_totals!C15</f>
        <v>Tony</v>
      </c>
      <c r="O16" t="str">
        <f>p_win_totals!D15</f>
        <v>LAL</v>
      </c>
      <c r="P16">
        <f>p_win_totals!E15</f>
        <v>31.5</v>
      </c>
      <c r="Q16" t="str">
        <f>p_win_totals!F15</f>
        <v>U</v>
      </c>
      <c r="R16">
        <f>p_win_totals!G15</f>
        <v>2</v>
      </c>
      <c r="S16">
        <f>ROUND(IF(Q16="O",P16+(3-R16*1/10),P16-(3-R16*1/10)),0)</f>
        <v>29</v>
      </c>
      <c r="T16">
        <f t="shared" si="0"/>
        <v>23</v>
      </c>
      <c r="V16" t="s">
        <v>17</v>
      </c>
      <c r="W16">
        <f>VLOOKUP(VLOOKUP($V16,$O$3:$T$32,6,0),$V$42:$AZ$71,VLOOKUP(W$2,$O$3:$T$32,6,0)+1,0)</f>
        <v>0.38499232269801659</v>
      </c>
      <c r="X16">
        <f>VLOOKUP(VLOOKUP($V16,$O$3:$T$32,6,0),$V$42:$AZ$71,VLOOKUP(X$2,$O$3:$T$32,6,0)+1,0)</f>
        <v>0.59026429763515698</v>
      </c>
      <c r="Y16">
        <f>VLOOKUP(VLOOKUP($V16,$O$3:$T$32,6,0),$V$42:$AZ$71,VLOOKUP(Y$2,$O$3:$T$32,6,0)+1,0)</f>
        <v>0.42288736553718415</v>
      </c>
      <c r="Z16">
        <f>VLOOKUP(VLOOKUP($V16,$O$3:$T$32,6,0),$V$42:$AZ$71,VLOOKUP(Z$2,$O$3:$T$32,6,0)+1,0)</f>
        <v>0.36333193605144004</v>
      </c>
      <c r="AA16">
        <f>VLOOKUP(VLOOKUP($V16,$O$3:$T$32,6,0),$V$42:$AZ$71,VLOOKUP(AA$2,$O$3:$T$32,6,0)+1,0)</f>
        <v>0.29215473840837614</v>
      </c>
      <c r="AB16">
        <f>VLOOKUP(VLOOKUP($V16,$O$3:$T$32,6,0),$V$42:$AZ$71,VLOOKUP(AB$2,$O$3:$T$32,6,0)+1,0)</f>
        <v>0.28370684641324517</v>
      </c>
      <c r="AC16">
        <f>VLOOKUP(VLOOKUP($V16,$O$3:$T$32,6,0),$V$42:$AZ$71,VLOOKUP(AC$2,$O$3:$T$32,6,0)+1,0)</f>
        <v>0.31410312396771667</v>
      </c>
      <c r="AD16">
        <f>VLOOKUP(VLOOKUP($V16,$O$3:$T$32,6,0),$V$42:$AZ$71,VLOOKUP(AD$2,$O$3:$T$32,6,0)+1,0)</f>
        <v>0.42288736553718415</v>
      </c>
      <c r="AE16">
        <f>VLOOKUP(VLOOKUP($V16,$O$3:$T$32,6,0),$V$42:$AZ$71,VLOOKUP(AE$2,$O$3:$T$32,6,0)+1,0)</f>
        <v>0.46720252983216615</v>
      </c>
      <c r="AF16">
        <f>VLOOKUP(VLOOKUP($V16,$O$3:$T$32,6,0),$V$42:$AZ$71,VLOOKUP(AF$2,$O$3:$T$32,6,0)+1,0)</f>
        <v>0.30790869437595753</v>
      </c>
      <c r="AG16">
        <f>VLOOKUP(VLOOKUP($V16,$O$3:$T$32,6,0),$V$42:$AZ$71,VLOOKUP(AG$2,$O$3:$T$32,6,0)+1,0)</f>
        <v>0.34442822733494199</v>
      </c>
      <c r="AH16">
        <f>VLOOKUP(VLOOKUP($V16,$O$3:$T$32,6,0),$V$42:$AZ$71,VLOOKUP(AH$2,$O$3:$T$32,6,0)+1,0)</f>
        <v>0.48330229394593899</v>
      </c>
      <c r="AI16">
        <f>VLOOKUP(VLOOKUP($V16,$O$3:$T$32,6,0),$V$42:$AZ$71,VLOOKUP(AI$2,$O$3:$T$32,6,0)+1,0)</f>
        <v>0.28370684641324517</v>
      </c>
      <c r="AJ16">
        <f>VLOOKUP(VLOOKUP($V16,$O$3:$T$32,6,0),$V$42:$AZ$71,VLOOKUP(AJ$2,$O$3:$T$32,6,0)+1,0)</f>
        <v>0.5</v>
      </c>
      <c r="AK16">
        <f>VLOOKUP(VLOOKUP($V16,$O$3:$T$32,6,0),$V$42:$AZ$71,VLOOKUP(AK$2,$O$3:$T$32,6,0)+1,0)</f>
        <v>0.32809457904793099</v>
      </c>
      <c r="AL16">
        <f>VLOOKUP(VLOOKUP($V16,$O$3:$T$32,6,0),$V$42:$AZ$71,VLOOKUP(AL$2,$O$3:$T$32,6,0)+1,0)</f>
        <v>0.37380818220506512</v>
      </c>
      <c r="AM16">
        <f>VLOOKUP(VLOOKUP($V16,$O$3:$T$32,6,0),$V$42:$AZ$71,VLOOKUP(AM$2,$O$3:$T$32,6,0)+1,0)</f>
        <v>0.57155775136304665</v>
      </c>
      <c r="AN16">
        <f>VLOOKUP(VLOOKUP($V16,$O$3:$T$32,6,0),$V$42:$AZ$71,VLOOKUP(AN$2,$O$3:$T$32,6,0)+1,0)</f>
        <v>0.59026429763515698</v>
      </c>
      <c r="AO16">
        <f>VLOOKUP(VLOOKUP($V16,$O$3:$T$32,6,0),$V$42:$AZ$71,VLOOKUP(AO$2,$O$3:$T$32,6,0)+1,0)</f>
        <v>0.40952872102451271</v>
      </c>
      <c r="AP16">
        <f>VLOOKUP(VLOOKUP($V16,$O$3:$T$32,6,0),$V$42:$AZ$71,VLOOKUP(AP$2,$O$3:$T$32,6,0)+1,0)</f>
        <v>0.42288736553718415</v>
      </c>
      <c r="AQ16">
        <f>VLOOKUP(VLOOKUP($V16,$O$3:$T$32,6,0),$V$42:$AZ$71,VLOOKUP(AQ$2,$O$3:$T$32,6,0)+1,0)</f>
        <v>0.30220652713580148</v>
      </c>
      <c r="AR16">
        <f>VLOOKUP(VLOOKUP($V16,$O$3:$T$32,6,0),$V$42:$AZ$71,VLOOKUP(AR$2,$O$3:$T$32,6,0)+1,0)</f>
        <v>0.53496419100371084</v>
      </c>
      <c r="AS16">
        <f>VLOOKUP(VLOOKUP($V16,$O$3:$T$32,6,0),$V$42:$AZ$71,VLOOKUP(AS$2,$O$3:$T$32,6,0)+1,0)</f>
        <v>0.62804804101525269</v>
      </c>
      <c r="AT16">
        <f>VLOOKUP(VLOOKUP($V16,$O$3:$T$32,6,0),$V$42:$AZ$71,VLOOKUP(AT$2,$O$3:$T$32,6,0)+1,0)</f>
        <v>0.38499232269801659</v>
      </c>
      <c r="AU16">
        <f>VLOOKUP(VLOOKUP($V16,$O$3:$T$32,6,0),$V$42:$AZ$71,VLOOKUP(AU$2,$O$3:$T$32,6,0)+1,0)</f>
        <v>0.3359536996565311</v>
      </c>
      <c r="AV16">
        <f>VLOOKUP(VLOOKUP($V16,$O$3:$T$32,6,0),$V$42:$AZ$71,VLOOKUP(AV$2,$O$3:$T$32,6,0)+1,0)</f>
        <v>0.5</v>
      </c>
      <c r="AW16">
        <f>VLOOKUP(VLOOKUP($V16,$O$3:$T$32,6,0),$V$42:$AZ$71,VLOOKUP(AW$2,$O$3:$T$32,6,0)+1,0)</f>
        <v>0.29215473840837614</v>
      </c>
      <c r="AX16">
        <f>VLOOKUP(VLOOKUP($V16,$O$3:$T$32,6,0),$V$42:$AZ$71,VLOOKUP(AX$2,$O$3:$T$32,6,0)+1,0)</f>
        <v>0.31410312396771667</v>
      </c>
      <c r="AY16">
        <f>VLOOKUP(VLOOKUP($V16,$O$3:$T$32,6,0),$V$42:$AZ$71,VLOOKUP(AY$2,$O$3:$T$32,6,0)+1,0)</f>
        <v>0.53496419100371084</v>
      </c>
      <c r="AZ16">
        <f>VLOOKUP(VLOOKUP($V16,$O$3:$T$32,6,0),$V$42:$AZ$71,VLOOKUP(AZ$2,$O$3:$T$32,6,0)+1,0)</f>
        <v>0.34442822733494199</v>
      </c>
    </row>
    <row r="17" spans="2:52" x14ac:dyDescent="0.25">
      <c r="B17">
        <f>d_win_totals!A16</f>
        <v>75</v>
      </c>
      <c r="C17">
        <f>d_win_totals!B16</f>
        <v>75</v>
      </c>
      <c r="D17">
        <f>d_win_totals!C16</f>
        <v>2014</v>
      </c>
      <c r="E17">
        <f>d_win_totals!D16</f>
        <v>2015</v>
      </c>
      <c r="F17" t="str">
        <f>d_win_totals!E16</f>
        <v>MEM</v>
      </c>
      <c r="G17">
        <f>d_win_totals!F16</f>
        <v>48.5</v>
      </c>
      <c r="H17">
        <f>d_win_totals!G16</f>
        <v>55</v>
      </c>
      <c r="I17" t="str">
        <f>d_win_totals!H16</f>
        <v>O</v>
      </c>
      <c r="J17">
        <f>d_win_totals!I16</f>
        <v>1</v>
      </c>
      <c r="L17">
        <v>15</v>
      </c>
      <c r="M17">
        <f>p_win_totals!B16</f>
        <v>75</v>
      </c>
      <c r="N17" t="str">
        <f>p_win_totals!C16</f>
        <v>Tony</v>
      </c>
      <c r="O17" t="str">
        <f>p_win_totals!D16</f>
        <v>MEM</v>
      </c>
      <c r="P17">
        <f>p_win_totals!E16</f>
        <v>48.5</v>
      </c>
      <c r="Q17" t="str">
        <f>p_win_totals!F16</f>
        <v>O</v>
      </c>
      <c r="R17">
        <f>p_win_totals!G16</f>
        <v>19</v>
      </c>
      <c r="S17">
        <f>ROUND(IF(Q17="O",P17+(3-R17*1/10),P17-(3-R17*1/10)),0)</f>
        <v>50</v>
      </c>
      <c r="T17">
        <f t="shared" si="0"/>
        <v>9</v>
      </c>
      <c r="V17" t="s">
        <v>28</v>
      </c>
      <c r="W17">
        <f>VLOOKUP(VLOOKUP($V17,$O$3:$T$32,6,0),$V$42:$AZ$71,VLOOKUP(W$2,$O$3:$T$32,6,0)+1,0)</f>
        <v>0.56178370887279372</v>
      </c>
      <c r="X17">
        <f>VLOOKUP(VLOOKUP($V17,$O$3:$T$32,6,0),$V$42:$AZ$71,VLOOKUP(X$2,$O$3:$T$32,6,0)+1,0)</f>
        <v>0.74684840850402012</v>
      </c>
      <c r="Y17">
        <f>VLOOKUP(VLOOKUP($V17,$O$3:$T$32,6,0),$V$42:$AZ$71,VLOOKUP(Y$2,$O$3:$T$32,6,0)+1,0)</f>
        <v>0.60010055004203433</v>
      </c>
      <c r="Z17">
        <f>VLOOKUP(VLOOKUP($V17,$O$3:$T$32,6,0),$V$42:$AZ$71,VLOOKUP(Z$2,$O$3:$T$32,6,0)+1,0)</f>
        <v>0.53889229651490134</v>
      </c>
      <c r="AA17">
        <f>VLOOKUP(VLOOKUP($V17,$O$3:$T$32,6,0),$V$42:$AZ$71,VLOOKUP(AA$2,$O$3:$T$32,6,0)+1,0)</f>
        <v>0.45806716423177474</v>
      </c>
      <c r="AB17">
        <f>VLOOKUP(VLOOKUP($V17,$O$3:$T$32,6,0),$V$42:$AZ$71,VLOOKUP(AB$2,$O$3:$T$32,6,0)+1,0)</f>
        <v>0.44785717671525666</v>
      </c>
      <c r="AC17">
        <f>VLOOKUP(VLOOKUP($V17,$O$3:$T$32,6,0),$V$42:$AZ$71,VLOOKUP(AC$2,$O$3:$T$32,6,0)+1,0)</f>
        <v>0.48395794110210644</v>
      </c>
      <c r="AD17">
        <f>VLOOKUP(VLOOKUP($V17,$O$3:$T$32,6,0),$V$42:$AZ$71,VLOOKUP(AD$2,$O$3:$T$32,6,0)+1,0)</f>
        <v>0.60010055004203433</v>
      </c>
      <c r="AE17">
        <f>VLOOKUP(VLOOKUP($V17,$O$3:$T$32,6,0),$V$42:$AZ$71,VLOOKUP(AE$2,$O$3:$T$32,6,0)+1,0)</f>
        <v>0.64231753157208638</v>
      </c>
      <c r="AF17">
        <f>VLOOKUP(VLOOKUP($V17,$O$3:$T$32,6,0),$V$42:$AZ$71,VLOOKUP(AF$2,$O$3:$T$32,6,0)+1,0)</f>
        <v>0.4767420642007022</v>
      </c>
      <c r="AG17">
        <f>VLOOKUP(VLOOKUP($V17,$O$3:$T$32,6,0),$V$42:$AZ$71,VLOOKUP(AG$2,$O$3:$T$32,6,0)+1,0)</f>
        <v>0.51829023777145189</v>
      </c>
      <c r="AH17">
        <f>VLOOKUP(VLOOKUP($V17,$O$3:$T$32,6,0),$V$42:$AZ$71,VLOOKUP(AH$2,$O$3:$T$32,6,0)+1,0)</f>
        <v>0.65701046267349883</v>
      </c>
      <c r="AI17">
        <f>VLOOKUP(VLOOKUP($V17,$O$3:$T$32,6,0),$V$42:$AZ$71,VLOOKUP(AI$2,$O$3:$T$32,6,0)+1,0)</f>
        <v>0.44785717671525666</v>
      </c>
      <c r="AJ17">
        <f>VLOOKUP(VLOOKUP($V17,$O$3:$T$32,6,0),$V$42:$AZ$71,VLOOKUP(AJ$2,$O$3:$T$32,6,0)+1,0)</f>
        <v>0.67190542095206907</v>
      </c>
      <c r="AK17">
        <f>VLOOKUP(VLOOKUP($V17,$O$3:$T$32,6,0),$V$42:$AZ$71,VLOOKUP(AK$2,$O$3:$T$32,6,0)+1,0)</f>
        <v>0.5</v>
      </c>
      <c r="AL17">
        <f>VLOOKUP(VLOOKUP($V17,$O$3:$T$32,6,0),$V$42:$AZ$71,VLOOKUP(AL$2,$O$3:$T$32,6,0)+1,0)</f>
        <v>0.55005717595392067</v>
      </c>
      <c r="AM17">
        <f>VLOOKUP(VLOOKUP($V17,$O$3:$T$32,6,0),$V$42:$AZ$71,VLOOKUP(AM$2,$O$3:$T$32,6,0)+1,0)</f>
        <v>0.73204545428846324</v>
      </c>
      <c r="AN17">
        <f>VLOOKUP(VLOOKUP($V17,$O$3:$T$32,6,0),$V$42:$AZ$71,VLOOKUP(AN$2,$O$3:$T$32,6,0)+1,0)</f>
        <v>0.74684840850402012</v>
      </c>
      <c r="AO17">
        <f>VLOOKUP(VLOOKUP($V17,$O$3:$T$32,6,0),$V$42:$AZ$71,VLOOKUP(AO$2,$O$3:$T$32,6,0)+1,0)</f>
        <v>0.58683622465749607</v>
      </c>
      <c r="AP17">
        <f>VLOOKUP(VLOOKUP($V17,$O$3:$T$32,6,0),$V$42:$AZ$71,VLOOKUP(AP$2,$O$3:$T$32,6,0)+1,0)</f>
        <v>0.60010055004203433</v>
      </c>
      <c r="AQ17">
        <f>VLOOKUP(VLOOKUP($V17,$O$3:$T$32,6,0),$V$42:$AZ$71,VLOOKUP(AQ$2,$O$3:$T$32,6,0)+1,0)</f>
        <v>0.47003673139148761</v>
      </c>
      <c r="AR17">
        <f>VLOOKUP(VLOOKUP($V17,$O$3:$T$32,6,0),$V$42:$AZ$71,VLOOKUP(AR$2,$O$3:$T$32,6,0)+1,0)</f>
        <v>0.70201279293629204</v>
      </c>
      <c r="AS17">
        <f>VLOOKUP(VLOOKUP($V17,$O$3:$T$32,6,0),$V$42:$AZ$71,VLOOKUP(AS$2,$O$3:$T$32,6,0)+1,0)</f>
        <v>0.77568020337392563</v>
      </c>
      <c r="AT17">
        <f>VLOOKUP(VLOOKUP($V17,$O$3:$T$32,6,0),$V$42:$AZ$71,VLOOKUP(AT$2,$O$3:$T$32,6,0)+1,0)</f>
        <v>0.56178370887279372</v>
      </c>
      <c r="AU17">
        <f>VLOOKUP(VLOOKUP($V17,$O$3:$T$32,6,0),$V$42:$AZ$71,VLOOKUP(AU$2,$O$3:$T$32,6,0)+1,0)</f>
        <v>0.50885835943866475</v>
      </c>
      <c r="AV17">
        <f>VLOOKUP(VLOOKUP($V17,$O$3:$T$32,6,0),$V$42:$AZ$71,VLOOKUP(AV$2,$O$3:$T$32,6,0)+1,0)</f>
        <v>0.67190542095206907</v>
      </c>
      <c r="AW17">
        <f>VLOOKUP(VLOOKUP($V17,$O$3:$T$32,6,0),$V$42:$AZ$71,VLOOKUP(AW$2,$O$3:$T$32,6,0)+1,0)</f>
        <v>0.45806716423177474</v>
      </c>
      <c r="AX17">
        <f>VLOOKUP(VLOOKUP($V17,$O$3:$T$32,6,0),$V$42:$AZ$71,VLOOKUP(AX$2,$O$3:$T$32,6,0)+1,0)</f>
        <v>0.48395794110210644</v>
      </c>
      <c r="AY17">
        <f>VLOOKUP(VLOOKUP($V17,$O$3:$T$32,6,0),$V$42:$AZ$71,VLOOKUP(AY$2,$O$3:$T$32,6,0)+1,0)</f>
        <v>0.70201279293629204</v>
      </c>
      <c r="AZ17">
        <f>VLOOKUP(VLOOKUP($V17,$O$3:$T$32,6,0),$V$42:$AZ$71,VLOOKUP(AZ$2,$O$3:$T$32,6,0)+1,0)</f>
        <v>0.51829023777145189</v>
      </c>
    </row>
    <row r="18" spans="2:52" x14ac:dyDescent="0.25">
      <c r="B18">
        <f>d_win_totals!A17</f>
        <v>76</v>
      </c>
      <c r="C18">
        <f>d_win_totals!B17</f>
        <v>76</v>
      </c>
      <c r="D18">
        <f>d_win_totals!C17</f>
        <v>2014</v>
      </c>
      <c r="E18">
        <f>d_win_totals!D17</f>
        <v>2015</v>
      </c>
      <c r="F18" t="str">
        <f>d_win_totals!E17</f>
        <v>MIA</v>
      </c>
      <c r="G18">
        <f>d_win_totals!F17</f>
        <v>43.5</v>
      </c>
      <c r="H18">
        <f>d_win_totals!G17</f>
        <v>37</v>
      </c>
      <c r="I18" t="str">
        <f>d_win_totals!H17</f>
        <v>U</v>
      </c>
      <c r="J18">
        <f>d_win_totals!I17</f>
        <v>-1</v>
      </c>
      <c r="L18">
        <v>16</v>
      </c>
      <c r="M18">
        <f>p_win_totals!B17</f>
        <v>76</v>
      </c>
      <c r="N18" t="str">
        <f>p_win_totals!C17</f>
        <v>Tony</v>
      </c>
      <c r="O18" t="str">
        <f>p_win_totals!D17</f>
        <v>MIA</v>
      </c>
      <c r="P18">
        <f>p_win_totals!E17</f>
        <v>43.5</v>
      </c>
      <c r="Q18" t="str">
        <f>p_win_totals!F17</f>
        <v>O</v>
      </c>
      <c r="R18">
        <f>p_win_totals!G17</f>
        <v>12</v>
      </c>
      <c r="S18">
        <f>ROUND(IF(Q18="O",P18+(3-R18*1/10),P18-(3-R18*1/10)),0)</f>
        <v>45</v>
      </c>
      <c r="T18">
        <f t="shared" si="0"/>
        <v>14</v>
      </c>
      <c r="V18" t="s">
        <v>24</v>
      </c>
      <c r="W18">
        <f>VLOOKUP(VLOOKUP($V18,$O$3:$T$32,6,0),$V$42:$AZ$71,VLOOKUP(W$2,$O$3:$T$32,6,0)+1,0)</f>
        <v>0.51187341744563697</v>
      </c>
      <c r="X18">
        <f>VLOOKUP(VLOOKUP($V18,$O$3:$T$32,6,0),$V$42:$AZ$71,VLOOKUP(X$2,$O$3:$T$32,6,0)+1,0)</f>
        <v>0.70702360982542323</v>
      </c>
      <c r="Y18">
        <f>VLOOKUP(VLOOKUP($V18,$O$3:$T$32,6,0),$V$42:$AZ$71,VLOOKUP(Y$2,$O$3:$T$32,6,0)+1,0)</f>
        <v>0.5510669083041746</v>
      </c>
      <c r="Z18">
        <f>VLOOKUP(VLOOKUP($V18,$O$3:$T$32,6,0),$V$42:$AZ$71,VLOOKUP(Z$2,$O$3:$T$32,6,0)+1,0)</f>
        <v>0.4887474933066262</v>
      </c>
      <c r="AA18">
        <f>VLOOKUP(VLOOKUP($V18,$O$3:$T$32,6,0),$V$42:$AZ$71,VLOOKUP(AA$2,$O$3:$T$32,6,0)+1,0)</f>
        <v>0.40877592000786772</v>
      </c>
      <c r="AB18">
        <f>VLOOKUP(VLOOKUP($V18,$O$3:$T$32,6,0),$V$42:$AZ$71,VLOOKUP(AB$2,$O$3:$T$32,6,0)+1,0)</f>
        <v>0.39885599373912994</v>
      </c>
      <c r="AC18">
        <f>VLOOKUP(VLOOKUP($V18,$O$3:$T$32,6,0),$V$42:$AZ$71,VLOOKUP(AC$2,$O$3:$T$32,6,0)+1,0)</f>
        <v>0.43411240142926621</v>
      </c>
      <c r="AD18">
        <f>VLOOKUP(VLOOKUP($V18,$O$3:$T$32,6,0),$V$42:$AZ$71,VLOOKUP(AD$2,$O$3:$T$32,6,0)+1,0)</f>
        <v>0.5510669083041746</v>
      </c>
      <c r="AE18">
        <f>VLOOKUP(VLOOKUP($V18,$O$3:$T$32,6,0),$V$42:$AZ$71,VLOOKUP(AE$2,$O$3:$T$32,6,0)+1,0)</f>
        <v>0.59496652698253094</v>
      </c>
      <c r="AF18">
        <f>VLOOKUP(VLOOKUP($V18,$O$3:$T$32,6,0),$V$42:$AZ$71,VLOOKUP(AF$2,$O$3:$T$32,6,0)+1,0)</f>
        <v>0.42702472725697388</v>
      </c>
      <c r="AG18">
        <f>VLOOKUP(VLOOKUP($V18,$O$3:$T$32,6,0),$V$42:$AZ$71,VLOOKUP(AG$2,$O$3:$T$32,6,0)+1,0)</f>
        <v>0.46811629634230822</v>
      </c>
      <c r="AH18">
        <f>VLOOKUP(VLOOKUP($V18,$O$3:$T$32,6,0),$V$42:$AZ$71,VLOOKUP(AH$2,$O$3:$T$32,6,0)+1,0)</f>
        <v>0.61042482244514229</v>
      </c>
      <c r="AI18">
        <f>VLOOKUP(VLOOKUP($V18,$O$3:$T$32,6,0),$V$42:$AZ$71,VLOOKUP(AI$2,$O$3:$T$32,6,0)+1,0)</f>
        <v>0.39885599373912994</v>
      </c>
      <c r="AJ18">
        <f>VLOOKUP(VLOOKUP($V18,$O$3:$T$32,6,0),$V$42:$AZ$71,VLOOKUP(AJ$2,$O$3:$T$32,6,0)+1,0)</f>
        <v>0.62619181779493494</v>
      </c>
      <c r="AK18">
        <f>VLOOKUP(VLOOKUP($V18,$O$3:$T$32,6,0),$V$42:$AZ$71,VLOOKUP(AK$2,$O$3:$T$32,6,0)+1,0)</f>
        <v>0.44994282404607938</v>
      </c>
      <c r="AL18">
        <f>VLOOKUP(VLOOKUP($V18,$O$3:$T$32,6,0),$V$42:$AZ$71,VLOOKUP(AL$2,$O$3:$T$32,6,0)+1,0)</f>
        <v>0.5</v>
      </c>
      <c r="AM18">
        <f>VLOOKUP(VLOOKUP($V18,$O$3:$T$32,6,0),$V$42:$AZ$71,VLOOKUP(AM$2,$O$3:$T$32,6,0)+1,0)</f>
        <v>0.69085585364637281</v>
      </c>
      <c r="AN18">
        <f>VLOOKUP(VLOOKUP($V18,$O$3:$T$32,6,0),$V$42:$AZ$71,VLOOKUP(AN$2,$O$3:$T$32,6,0)+1,0)</f>
        <v>0.70702360982542323</v>
      </c>
      <c r="AO18">
        <f>VLOOKUP(VLOOKUP($V18,$O$3:$T$32,6,0),$V$42:$AZ$71,VLOOKUP(AO$2,$O$3:$T$32,6,0)+1,0)</f>
        <v>0.5374298453437496</v>
      </c>
      <c r="AP18">
        <f>VLOOKUP(VLOOKUP($V18,$O$3:$T$32,6,0),$V$42:$AZ$71,VLOOKUP(AP$2,$O$3:$T$32,6,0)+1,0)</f>
        <v>0.5510669083041746</v>
      </c>
      <c r="AQ18">
        <f>VLOOKUP(VLOOKUP($V18,$O$3:$T$32,6,0),$V$42:$AZ$71,VLOOKUP(AQ$2,$O$3:$T$32,6,0)+1,0)</f>
        <v>0.42045677552471189</v>
      </c>
      <c r="AR18">
        <f>VLOOKUP(VLOOKUP($V18,$O$3:$T$32,6,0),$V$42:$AZ$71,VLOOKUP(AR$2,$O$3:$T$32,6,0)+1,0)</f>
        <v>0.65836112820019976</v>
      </c>
      <c r="AS18">
        <f>VLOOKUP(VLOOKUP($V18,$O$3:$T$32,6,0),$V$42:$AZ$71,VLOOKUP(AS$2,$O$3:$T$32,6,0)+1,0)</f>
        <v>0.73880483706315025</v>
      </c>
      <c r="AT18">
        <f>VLOOKUP(VLOOKUP($V18,$O$3:$T$32,6,0),$V$42:$AZ$71,VLOOKUP(AT$2,$O$3:$T$32,6,0)+1,0)</f>
        <v>0.51187341744563697</v>
      </c>
      <c r="AU18">
        <f>VLOOKUP(VLOOKUP($V18,$O$3:$T$32,6,0),$V$42:$AZ$71,VLOOKUP(AU$2,$O$3:$T$32,6,0)+1,0)</f>
        <v>0.45872797939141957</v>
      </c>
      <c r="AV18">
        <f>VLOOKUP(VLOOKUP($V18,$O$3:$T$32,6,0),$V$42:$AZ$71,VLOOKUP(AV$2,$O$3:$T$32,6,0)+1,0)</f>
        <v>0.62619181779493494</v>
      </c>
      <c r="AW18">
        <f>VLOOKUP(VLOOKUP($V18,$O$3:$T$32,6,0),$V$42:$AZ$71,VLOOKUP(AW$2,$O$3:$T$32,6,0)+1,0)</f>
        <v>0.40877592000786772</v>
      </c>
      <c r="AX18">
        <f>VLOOKUP(VLOOKUP($V18,$O$3:$T$32,6,0),$V$42:$AZ$71,VLOOKUP(AX$2,$O$3:$T$32,6,0)+1,0)</f>
        <v>0.43411240142926621</v>
      </c>
      <c r="AY18">
        <f>VLOOKUP(VLOOKUP($V18,$O$3:$T$32,6,0),$V$42:$AZ$71,VLOOKUP(AY$2,$O$3:$T$32,6,0)+1,0)</f>
        <v>0.65836112820019976</v>
      </c>
      <c r="AZ18">
        <f>VLOOKUP(VLOOKUP($V18,$O$3:$T$32,6,0),$V$42:$AZ$71,VLOOKUP(AZ$2,$O$3:$T$32,6,0)+1,0)</f>
        <v>0.46811629634230822</v>
      </c>
    </row>
    <row r="19" spans="2:52" x14ac:dyDescent="0.25">
      <c r="B19">
        <f>d_win_totals!A18</f>
        <v>77</v>
      </c>
      <c r="C19">
        <f>d_win_totals!B18</f>
        <v>77</v>
      </c>
      <c r="D19">
        <f>d_win_totals!C18</f>
        <v>2014</v>
      </c>
      <c r="E19">
        <f>d_win_totals!D18</f>
        <v>2015</v>
      </c>
      <c r="F19" t="str">
        <f>d_win_totals!E18</f>
        <v>MIL</v>
      </c>
      <c r="G19">
        <f>d_win_totals!F18</f>
        <v>24.5</v>
      </c>
      <c r="H19">
        <f>d_win_totals!G18</f>
        <v>41</v>
      </c>
      <c r="I19" t="str">
        <f>d_win_totals!H18</f>
        <v>O</v>
      </c>
      <c r="J19">
        <f>d_win_totals!I18</f>
        <v>1</v>
      </c>
      <c r="L19">
        <v>17</v>
      </c>
      <c r="M19">
        <f>p_win_totals!B18</f>
        <v>77</v>
      </c>
      <c r="N19" t="str">
        <f>p_win_totals!C18</f>
        <v>Tony</v>
      </c>
      <c r="O19" t="str">
        <f>p_win_totals!D18</f>
        <v>MIL</v>
      </c>
      <c r="P19">
        <f>p_win_totals!E18</f>
        <v>24.5</v>
      </c>
      <c r="Q19" t="str">
        <f>p_win_totals!F18</f>
        <v>O</v>
      </c>
      <c r="R19">
        <f>p_win_totals!G18</f>
        <v>28</v>
      </c>
      <c r="S19">
        <f>ROUND(IF(Q19="O",P19+(3-R19*1/10),P19-(3-R19*1/10)),0)</f>
        <v>25</v>
      </c>
      <c r="T19">
        <f t="shared" si="0"/>
        <v>27</v>
      </c>
      <c r="V19" t="s">
        <v>19</v>
      </c>
      <c r="W19">
        <f>VLOOKUP(VLOOKUP($V19,$O$3:$T$32,6,0),$V$42:$AZ$71,VLOOKUP(W$2,$O$3:$T$32,6,0)+1,0)</f>
        <v>0.31938034690791411</v>
      </c>
      <c r="X19">
        <f>VLOOKUP(VLOOKUP($V19,$O$3:$T$32,6,0),$V$42:$AZ$71,VLOOKUP(X$2,$O$3:$T$32,6,0)+1,0)</f>
        <v>0.51920267504662998</v>
      </c>
      <c r="Y19">
        <f>VLOOKUP(VLOOKUP($V19,$O$3:$T$32,6,0),$V$42:$AZ$71,VLOOKUP(Y$2,$O$3:$T$32,6,0)+1,0)</f>
        <v>0.35454020664525671</v>
      </c>
      <c r="Z19">
        <f>VLOOKUP(VLOOKUP($V19,$O$3:$T$32,6,0),$V$42:$AZ$71,VLOOKUP(Z$2,$O$3:$T$32,6,0)+1,0)</f>
        <v>0.29961304914981679</v>
      </c>
      <c r="AA19">
        <f>VLOOKUP(VLOOKUP($V19,$O$3:$T$32,6,0),$V$42:$AZ$71,VLOOKUP(AA$2,$O$3:$T$32,6,0)+1,0)</f>
        <v>0.23628580799123672</v>
      </c>
      <c r="AB19">
        <f>VLOOKUP(VLOOKUP($V19,$O$3:$T$32,6,0),$V$42:$AZ$71,VLOOKUP(AB$2,$O$3:$T$32,6,0)+1,0)</f>
        <v>0.22893092887913349</v>
      </c>
      <c r="AC19">
        <f>VLOOKUP(VLOOKUP($V19,$O$3:$T$32,6,0),$V$42:$AZ$71,VLOOKUP(AC$2,$O$3:$T$32,6,0)+1,0)</f>
        <v>0.25555230020051067</v>
      </c>
      <c r="AD19">
        <f>VLOOKUP(VLOOKUP($V19,$O$3:$T$32,6,0),$V$42:$AZ$71,VLOOKUP(AD$2,$O$3:$T$32,6,0)+1,0)</f>
        <v>0.35454020664525671</v>
      </c>
      <c r="AE19">
        <f>VLOOKUP(VLOOKUP($V19,$O$3:$T$32,6,0),$V$42:$AZ$71,VLOOKUP(AE$2,$O$3:$T$32,6,0)+1,0)</f>
        <v>0.39661531797526017</v>
      </c>
      <c r="AF19">
        <f>VLOOKUP(VLOOKUP($V19,$O$3:$T$32,6,0),$V$42:$AZ$71,VLOOKUP(AF$2,$O$3:$T$32,6,0)+1,0)</f>
        <v>0.2500915322300597</v>
      </c>
      <c r="AG19">
        <f>VLOOKUP(VLOOKUP($V19,$O$3:$T$32,6,0),$V$42:$AZ$71,VLOOKUP(AG$2,$O$3:$T$32,6,0)+1,0)</f>
        <v>0.28255326282471421</v>
      </c>
      <c r="AH19">
        <f>VLOOKUP(VLOOKUP($V19,$O$3:$T$32,6,0),$V$42:$AZ$71,VLOOKUP(AH$2,$O$3:$T$32,6,0)+1,0)</f>
        <v>0.4121643444199245</v>
      </c>
      <c r="AI19">
        <f>VLOOKUP(VLOOKUP($V19,$O$3:$T$32,6,0),$V$42:$AZ$71,VLOOKUP(AI$2,$O$3:$T$32,6,0)+1,0)</f>
        <v>0.22893092887913349</v>
      </c>
      <c r="AJ19">
        <f>VLOOKUP(VLOOKUP($V19,$O$3:$T$32,6,0),$V$42:$AZ$71,VLOOKUP(AJ$2,$O$3:$T$32,6,0)+1,0)</f>
        <v>0.42844224863695335</v>
      </c>
      <c r="AK19">
        <f>VLOOKUP(VLOOKUP($V19,$O$3:$T$32,6,0),$V$42:$AZ$71,VLOOKUP(AK$2,$O$3:$T$32,6,0)+1,0)</f>
        <v>0.26795454571153682</v>
      </c>
      <c r="AL19">
        <f>VLOOKUP(VLOOKUP($V19,$O$3:$T$32,6,0),$V$42:$AZ$71,VLOOKUP(AL$2,$O$3:$T$32,6,0)+1,0)</f>
        <v>0.30914414635362719</v>
      </c>
      <c r="AM19">
        <f>VLOOKUP(VLOOKUP($V19,$O$3:$T$32,6,0),$V$42:$AZ$71,VLOOKUP(AM$2,$O$3:$T$32,6,0)+1,0)</f>
        <v>0.5</v>
      </c>
      <c r="AN19">
        <f>VLOOKUP(VLOOKUP($V19,$O$3:$T$32,6,0),$V$42:$AZ$71,VLOOKUP(AN$2,$O$3:$T$32,6,0)+1,0)</f>
        <v>0.51920267504662998</v>
      </c>
      <c r="AO19">
        <f>VLOOKUP(VLOOKUP($V19,$O$3:$T$32,6,0),$V$42:$AZ$71,VLOOKUP(AO$2,$O$3:$T$32,6,0)+1,0)</f>
        <v>0.34206091059294946</v>
      </c>
      <c r="AP19">
        <f>VLOOKUP(VLOOKUP($V19,$O$3:$T$32,6,0),$V$42:$AZ$71,VLOOKUP(AP$2,$O$3:$T$32,6,0)+1,0)</f>
        <v>0.35454020664525671</v>
      </c>
      <c r="AQ19">
        <f>VLOOKUP(VLOOKUP($V19,$O$3:$T$32,6,0),$V$42:$AZ$71,VLOOKUP(AQ$2,$O$3:$T$32,6,0)+1,0)</f>
        <v>0.24508092358960609</v>
      </c>
      <c r="AR19">
        <f>VLOOKUP(VLOOKUP($V19,$O$3:$T$32,6,0),$V$42:$AZ$71,VLOOKUP(AR$2,$O$3:$T$32,6,0)+1,0)</f>
        <v>0.46303651516321748</v>
      </c>
      <c r="AS19">
        <f>VLOOKUP(VLOOKUP($V19,$O$3:$T$32,6,0),$V$42:$AZ$71,VLOOKUP(AS$2,$O$3:$T$32,6,0)+1,0)</f>
        <v>0.5586395048824998</v>
      </c>
      <c r="AT19">
        <f>VLOOKUP(VLOOKUP($V19,$O$3:$T$32,6,0),$V$42:$AZ$71,VLOOKUP(AT$2,$O$3:$T$32,6,0)+1,0)</f>
        <v>0.31938034690791411</v>
      </c>
      <c r="AU19">
        <f>VLOOKUP(VLOOKUP($V19,$O$3:$T$32,6,0),$V$42:$AZ$71,VLOOKUP(AU$2,$O$3:$T$32,6,0)+1,0)</f>
        <v>0.27496260988622268</v>
      </c>
      <c r="AV19">
        <f>VLOOKUP(VLOOKUP($V19,$O$3:$T$32,6,0),$V$42:$AZ$71,VLOOKUP(AV$2,$O$3:$T$32,6,0)+1,0)</f>
        <v>0.42844224863695335</v>
      </c>
      <c r="AW19">
        <f>VLOOKUP(VLOOKUP($V19,$O$3:$T$32,6,0),$V$42:$AZ$71,VLOOKUP(AW$2,$O$3:$T$32,6,0)+1,0)</f>
        <v>0.23628580799123672</v>
      </c>
      <c r="AX19">
        <f>VLOOKUP(VLOOKUP($V19,$O$3:$T$32,6,0),$V$42:$AZ$71,VLOOKUP(AX$2,$O$3:$T$32,6,0)+1,0)</f>
        <v>0.25555230020051067</v>
      </c>
      <c r="AY19">
        <f>VLOOKUP(VLOOKUP($V19,$O$3:$T$32,6,0),$V$42:$AZ$71,VLOOKUP(AY$2,$O$3:$T$32,6,0)+1,0)</f>
        <v>0.46303651516321748</v>
      </c>
      <c r="AZ19">
        <f>VLOOKUP(VLOOKUP($V19,$O$3:$T$32,6,0),$V$42:$AZ$71,VLOOKUP(AZ$2,$O$3:$T$32,6,0)+1,0)</f>
        <v>0.28255326282471421</v>
      </c>
    </row>
    <row r="20" spans="2:52" x14ac:dyDescent="0.25">
      <c r="B20">
        <f>d_win_totals!A19</f>
        <v>78</v>
      </c>
      <c r="C20">
        <f>d_win_totals!B19</f>
        <v>78</v>
      </c>
      <c r="D20">
        <f>d_win_totals!C19</f>
        <v>2014</v>
      </c>
      <c r="E20">
        <f>d_win_totals!D19</f>
        <v>2015</v>
      </c>
      <c r="F20" t="str">
        <f>d_win_totals!E19</f>
        <v>MIN</v>
      </c>
      <c r="G20">
        <f>d_win_totals!F19</f>
        <v>25.5</v>
      </c>
      <c r="H20">
        <f>d_win_totals!G19</f>
        <v>16</v>
      </c>
      <c r="I20" t="str">
        <f>d_win_totals!H19</f>
        <v>U</v>
      </c>
      <c r="J20">
        <f>d_win_totals!I19</f>
        <v>-1</v>
      </c>
      <c r="L20">
        <v>18</v>
      </c>
      <c r="M20">
        <f>p_win_totals!B19</f>
        <v>78</v>
      </c>
      <c r="N20" t="str">
        <f>p_win_totals!C19</f>
        <v>Tony</v>
      </c>
      <c r="O20" t="str">
        <f>p_win_totals!D19</f>
        <v>MIN</v>
      </c>
      <c r="P20">
        <f>p_win_totals!E19</f>
        <v>25.5</v>
      </c>
      <c r="Q20" t="str">
        <f>p_win_totals!F19</f>
        <v>U</v>
      </c>
      <c r="R20">
        <f>p_win_totals!G19</f>
        <v>10</v>
      </c>
      <c r="S20">
        <f>ROUND(IF(Q20="O",P20+(3-R20*1/10),P20-(3-R20*1/10)),0)</f>
        <v>24</v>
      </c>
      <c r="T20">
        <f t="shared" si="0"/>
        <v>28</v>
      </c>
      <c r="V20" t="s">
        <v>29</v>
      </c>
      <c r="W20">
        <f>VLOOKUP(VLOOKUP($V20,$O$3:$T$32,6,0),$V$42:$AZ$71,VLOOKUP(W$2,$O$3:$T$32,6,0)+1,0)</f>
        <v>0.30291197689006377</v>
      </c>
      <c r="X20">
        <f>VLOOKUP(VLOOKUP($V20,$O$3:$T$32,6,0),$V$42:$AZ$71,VLOOKUP(X$2,$O$3:$T$32,6,0)+1,0)</f>
        <v>0.5</v>
      </c>
      <c r="Y20">
        <f>VLOOKUP(VLOOKUP($V20,$O$3:$T$32,6,0),$V$42:$AZ$71,VLOOKUP(Y$2,$O$3:$T$32,6,0)+1,0)</f>
        <v>0.33715695553306341</v>
      </c>
      <c r="Z20">
        <f>VLOOKUP(VLOOKUP($V20,$O$3:$T$32,6,0),$V$42:$AZ$71,VLOOKUP(Z$2,$O$3:$T$32,6,0)+1,0)</f>
        <v>0.28373903306292714</v>
      </c>
      <c r="AA20">
        <f>VLOOKUP(VLOOKUP($V20,$O$3:$T$32,6,0),$V$42:$AZ$71,VLOOKUP(AA$2,$O$3:$T$32,6,0)+1,0)</f>
        <v>0.22270013882530892</v>
      </c>
      <c r="AB20">
        <f>VLOOKUP(VLOOKUP($V20,$O$3:$T$32,6,0),$V$42:$AZ$71,VLOOKUP(AB$2,$O$3:$T$32,6,0)+1,0)</f>
        <v>0.21564873302704085</v>
      </c>
      <c r="AC20">
        <f>VLOOKUP(VLOOKUP($V20,$O$3:$T$32,6,0),$V$42:$AZ$71,VLOOKUP(AC$2,$O$3:$T$32,6,0)+1,0)</f>
        <v>0.24120874132126804</v>
      </c>
      <c r="AD20">
        <f>VLOOKUP(VLOOKUP($V20,$O$3:$T$32,6,0),$V$42:$AZ$71,VLOOKUP(AD$2,$O$3:$T$32,6,0)+1,0)</f>
        <v>0.33715695553306341</v>
      </c>
      <c r="AE20">
        <f>VLOOKUP(VLOOKUP($V20,$O$3:$T$32,6,0),$V$42:$AZ$71,VLOOKUP(AE$2,$O$3:$T$32,6,0)+1,0)</f>
        <v>0.37837844574949669</v>
      </c>
      <c r="AF20">
        <f>VLOOKUP(VLOOKUP($V20,$O$3:$T$32,6,0),$V$42:$AZ$71,VLOOKUP(AF$2,$O$3:$T$32,6,0)+1,0)</f>
        <v>0.23595732644921025</v>
      </c>
      <c r="AG20">
        <f>VLOOKUP(VLOOKUP($V20,$O$3:$T$32,6,0),$V$42:$AZ$71,VLOOKUP(AG$2,$O$3:$T$32,6,0)+1,0)</f>
        <v>0.267238229826881</v>
      </c>
      <c r="AH20">
        <f>VLOOKUP(VLOOKUP($V20,$O$3:$T$32,6,0),$V$42:$AZ$71,VLOOKUP(AH$2,$O$3:$T$32,6,0)+1,0)</f>
        <v>0.39367898728550332</v>
      </c>
      <c r="AI20">
        <f>VLOOKUP(VLOOKUP($V20,$O$3:$T$32,6,0),$V$42:$AZ$71,VLOOKUP(AI$2,$O$3:$T$32,6,0)+1,0)</f>
        <v>0.21564873302704085</v>
      </c>
      <c r="AJ20">
        <f>VLOOKUP(VLOOKUP($V20,$O$3:$T$32,6,0),$V$42:$AZ$71,VLOOKUP(AJ$2,$O$3:$T$32,6,0)+1,0)</f>
        <v>0.40973570236484297</v>
      </c>
      <c r="AK20">
        <f>VLOOKUP(VLOOKUP($V20,$O$3:$T$32,6,0),$V$42:$AZ$71,VLOOKUP(AK$2,$O$3:$T$32,6,0)+1,0)</f>
        <v>0.25315159149597988</v>
      </c>
      <c r="AL20">
        <f>VLOOKUP(VLOOKUP($V20,$O$3:$T$32,6,0),$V$42:$AZ$71,VLOOKUP(AL$2,$O$3:$T$32,6,0)+1,0)</f>
        <v>0.29297639017457672</v>
      </c>
      <c r="AM20">
        <f>VLOOKUP(VLOOKUP($V20,$O$3:$T$32,6,0),$V$42:$AZ$71,VLOOKUP(AM$2,$O$3:$T$32,6,0)+1,0)</f>
        <v>0.48079732495336996</v>
      </c>
      <c r="AN20">
        <f>VLOOKUP(VLOOKUP($V20,$O$3:$T$32,6,0),$V$42:$AZ$71,VLOOKUP(AN$2,$O$3:$T$32,6,0)+1,0)</f>
        <v>0.5</v>
      </c>
      <c r="AO20">
        <f>VLOOKUP(VLOOKUP($V20,$O$3:$T$32,6,0),$V$42:$AZ$71,VLOOKUP(AO$2,$O$3:$T$32,6,0)+1,0)</f>
        <v>0.32498145759955055</v>
      </c>
      <c r="AP20">
        <f>VLOOKUP(VLOOKUP($V20,$O$3:$T$32,6,0),$V$42:$AZ$71,VLOOKUP(AP$2,$O$3:$T$32,6,0)+1,0)</f>
        <v>0.33715695553306341</v>
      </c>
      <c r="AQ20">
        <f>VLOOKUP(VLOOKUP($V20,$O$3:$T$32,6,0),$V$42:$AZ$71,VLOOKUP(AQ$2,$O$3:$T$32,6,0)+1,0)</f>
        <v>0.23114261401714065</v>
      </c>
      <c r="AR20">
        <f>VLOOKUP(VLOOKUP($V20,$O$3:$T$32,6,0),$V$42:$AZ$71,VLOOKUP(AR$2,$O$3:$T$32,6,0)+1,0)</f>
        <v>0.44399285510679726</v>
      </c>
      <c r="AS20">
        <f>VLOOKUP(VLOOKUP($V20,$O$3:$T$32,6,0),$V$42:$AZ$71,VLOOKUP(AS$2,$O$3:$T$32,6,0)+1,0)</f>
        <v>0.53961526258126746</v>
      </c>
      <c r="AT20">
        <f>VLOOKUP(VLOOKUP($V20,$O$3:$T$32,6,0),$V$42:$AZ$71,VLOOKUP(AT$2,$O$3:$T$32,6,0)+1,0)</f>
        <v>0.30291197689006377</v>
      </c>
      <c r="AU20">
        <f>VLOOKUP(VLOOKUP($V20,$O$3:$T$32,6,0),$V$42:$AZ$71,VLOOKUP(AU$2,$O$3:$T$32,6,0)+1,0)</f>
        <v>0.25990995831593727</v>
      </c>
      <c r="AV20">
        <f>VLOOKUP(VLOOKUP($V20,$O$3:$T$32,6,0),$V$42:$AZ$71,VLOOKUP(AV$2,$O$3:$T$32,6,0)+1,0)</f>
        <v>0.40973570236484297</v>
      </c>
      <c r="AW20">
        <f>VLOOKUP(VLOOKUP($V20,$O$3:$T$32,6,0),$V$42:$AZ$71,VLOOKUP(AW$2,$O$3:$T$32,6,0)+1,0)</f>
        <v>0.22270013882530892</v>
      </c>
      <c r="AX20">
        <f>VLOOKUP(VLOOKUP($V20,$O$3:$T$32,6,0),$V$42:$AZ$71,VLOOKUP(AX$2,$O$3:$T$32,6,0)+1,0)</f>
        <v>0.24120874132126804</v>
      </c>
      <c r="AY20">
        <f>VLOOKUP(VLOOKUP($V20,$O$3:$T$32,6,0),$V$42:$AZ$71,VLOOKUP(AY$2,$O$3:$T$32,6,0)+1,0)</f>
        <v>0.44399285510679726</v>
      </c>
      <c r="AZ20">
        <f>VLOOKUP(VLOOKUP($V20,$O$3:$T$32,6,0),$V$42:$AZ$71,VLOOKUP(AZ$2,$O$3:$T$32,6,0)+1,0)</f>
        <v>0.267238229826881</v>
      </c>
    </row>
    <row r="21" spans="2:52" x14ac:dyDescent="0.25">
      <c r="B21">
        <f>d_win_totals!A20</f>
        <v>79</v>
      </c>
      <c r="C21">
        <f>d_win_totals!B20</f>
        <v>79</v>
      </c>
      <c r="D21">
        <f>d_win_totals!C20</f>
        <v>2014</v>
      </c>
      <c r="E21">
        <f>d_win_totals!D20</f>
        <v>2015</v>
      </c>
      <c r="F21" t="str">
        <f>d_win_totals!E20</f>
        <v>NO</v>
      </c>
      <c r="G21">
        <f>d_win_totals!F20</f>
        <v>41.5</v>
      </c>
      <c r="H21">
        <f>d_win_totals!G20</f>
        <v>45</v>
      </c>
      <c r="I21" t="str">
        <f>d_win_totals!H20</f>
        <v>O</v>
      </c>
      <c r="J21">
        <f>d_win_totals!I20</f>
        <v>1</v>
      </c>
      <c r="L21">
        <v>19</v>
      </c>
      <c r="M21">
        <f>p_win_totals!B20</f>
        <v>79</v>
      </c>
      <c r="N21" t="str">
        <f>p_win_totals!C20</f>
        <v>Tony</v>
      </c>
      <c r="O21" t="str">
        <f>p_win_totals!D20</f>
        <v>NO</v>
      </c>
      <c r="P21">
        <f>p_win_totals!E20</f>
        <v>41.5</v>
      </c>
      <c r="Q21" t="str">
        <f>p_win_totals!F20</f>
        <v>U</v>
      </c>
      <c r="R21">
        <f>p_win_totals!G20</f>
        <v>25</v>
      </c>
      <c r="S21">
        <f>ROUND(IF(Q21="O",P21+(3-R21*1/10),P21-(3-R21*1/10)),0)</f>
        <v>41</v>
      </c>
      <c r="T21">
        <f t="shared" si="0"/>
        <v>17</v>
      </c>
      <c r="V21" t="s">
        <v>12</v>
      </c>
      <c r="W21">
        <f>VLOOKUP(VLOOKUP($V21,$O$3:$T$32,6,0),$V$42:$AZ$71,VLOOKUP(W$2,$O$3:$T$32,6,0)+1,0)</f>
        <v>0.47439806002693663</v>
      </c>
      <c r="X21">
        <f>VLOOKUP(VLOOKUP($V21,$O$3:$T$32,6,0),$V$42:$AZ$71,VLOOKUP(X$2,$O$3:$T$32,6,0)+1,0)</f>
        <v>0.67501854240044945</v>
      </c>
      <c r="Y21">
        <f>VLOOKUP(VLOOKUP($V21,$O$3:$T$32,6,0),$V$42:$AZ$71,VLOOKUP(Y$2,$O$3:$T$32,6,0)+1,0)</f>
        <v>0.51374213125471302</v>
      </c>
      <c r="Z21">
        <f>VLOOKUP(VLOOKUP($V21,$O$3:$T$32,6,0),$V$42:$AZ$71,VLOOKUP(Z$2,$O$3:$T$32,6,0)+1,0)</f>
        <v>0.45139952607268569</v>
      </c>
      <c r="AA21">
        <f>VLOOKUP(VLOOKUP($V21,$O$3:$T$32,6,0),$V$42:$AZ$71,VLOOKUP(AA$2,$O$3:$T$32,6,0)+1,0)</f>
        <v>0.37307955571959134</v>
      </c>
      <c r="AB21">
        <f>VLOOKUP(VLOOKUP($V21,$O$3:$T$32,6,0),$V$42:$AZ$71,VLOOKUP(AB$2,$O$3:$T$32,6,0)+1,0)</f>
        <v>0.36349329913153089</v>
      </c>
      <c r="AC21">
        <f>VLOOKUP(VLOOKUP($V21,$O$3:$T$32,6,0),$V$42:$AZ$71,VLOOKUP(AC$2,$O$3:$T$32,6,0)+1,0)</f>
        <v>0.39769179081226008</v>
      </c>
      <c r="AD21">
        <f>VLOOKUP(VLOOKUP($V21,$O$3:$T$32,6,0),$V$42:$AZ$71,VLOOKUP(AD$2,$O$3:$T$32,6,0)+1,0)</f>
        <v>0.51374213125471302</v>
      </c>
      <c r="AE21">
        <f>VLOOKUP(VLOOKUP($V21,$O$3:$T$32,6,0),$V$42:$AZ$71,VLOOKUP(AE$2,$O$3:$T$32,6,0)+1,0)</f>
        <v>0.55836655658203493</v>
      </c>
      <c r="AF21">
        <f>VLOOKUP(VLOOKUP($V21,$O$3:$T$32,6,0),$V$42:$AZ$71,VLOOKUP(AF$2,$O$3:$T$32,6,0)+1,0)</f>
        <v>0.39078811056084028</v>
      </c>
      <c r="AG21">
        <f>VLOOKUP(VLOOKUP($V21,$O$3:$T$32,6,0),$V$42:$AZ$71,VLOOKUP(AG$2,$O$3:$T$32,6,0)+1,0)</f>
        <v>0.43101575477019799</v>
      </c>
      <c r="AH21">
        <f>VLOOKUP(VLOOKUP($V21,$O$3:$T$32,6,0),$V$42:$AZ$71,VLOOKUP(AH$2,$O$3:$T$32,6,0)+1,0)</f>
        <v>0.57422207101463918</v>
      </c>
      <c r="AI21">
        <f>VLOOKUP(VLOOKUP($V21,$O$3:$T$32,6,0),$V$42:$AZ$71,VLOOKUP(AI$2,$O$3:$T$32,6,0)+1,0)</f>
        <v>0.36349329913153089</v>
      </c>
      <c r="AJ21">
        <f>VLOOKUP(VLOOKUP($V21,$O$3:$T$32,6,0),$V$42:$AZ$71,VLOOKUP(AJ$2,$O$3:$T$32,6,0)+1,0)</f>
        <v>0.59047127897548735</v>
      </c>
      <c r="AK21">
        <f>VLOOKUP(VLOOKUP($V21,$O$3:$T$32,6,0),$V$42:$AZ$71,VLOOKUP(AK$2,$O$3:$T$32,6,0)+1,0)</f>
        <v>0.41316377534250398</v>
      </c>
      <c r="AL21">
        <f>VLOOKUP(VLOOKUP($V21,$O$3:$T$32,6,0),$V$42:$AZ$71,VLOOKUP(AL$2,$O$3:$T$32,6,0)+1,0)</f>
        <v>0.4625701546562504</v>
      </c>
      <c r="AM21">
        <f>VLOOKUP(VLOOKUP($V21,$O$3:$T$32,6,0),$V$42:$AZ$71,VLOOKUP(AM$2,$O$3:$T$32,6,0)+1,0)</f>
        <v>0.65793908940705059</v>
      </c>
      <c r="AN21">
        <f>VLOOKUP(VLOOKUP($V21,$O$3:$T$32,6,0),$V$42:$AZ$71,VLOOKUP(AN$2,$O$3:$T$32,6,0)+1,0)</f>
        <v>0.67501854240044945</v>
      </c>
      <c r="AO21">
        <f>VLOOKUP(VLOOKUP($V21,$O$3:$T$32,6,0),$V$42:$AZ$71,VLOOKUP(AO$2,$O$3:$T$32,6,0)+1,0)</f>
        <v>0.5</v>
      </c>
      <c r="AP21">
        <f>VLOOKUP(VLOOKUP($V21,$O$3:$T$32,6,0),$V$42:$AZ$71,VLOOKUP(AP$2,$O$3:$T$32,6,0)+1,0)</f>
        <v>0.51374213125471302</v>
      </c>
      <c r="AQ21">
        <f>VLOOKUP(VLOOKUP($V21,$O$3:$T$32,6,0),$V$42:$AZ$71,VLOOKUP(AQ$2,$O$3:$T$32,6,0)+1,0)</f>
        <v>0.38440358663606417</v>
      </c>
      <c r="AR21">
        <f>VLOOKUP(VLOOKUP($V21,$O$3:$T$32,6,0),$V$42:$AZ$71,VLOOKUP(AR$2,$O$3:$T$32,6,0)+1,0)</f>
        <v>0.62386816358907304</v>
      </c>
      <c r="AS21">
        <f>VLOOKUP(VLOOKUP($V21,$O$3:$T$32,6,0),$V$42:$AZ$71,VLOOKUP(AS$2,$O$3:$T$32,6,0)+1,0)</f>
        <v>0.70884186366552659</v>
      </c>
      <c r="AT21">
        <f>VLOOKUP(VLOOKUP($V21,$O$3:$T$32,6,0),$V$42:$AZ$71,VLOOKUP(AT$2,$O$3:$T$32,6,0)+1,0)</f>
        <v>0.47439806002693663</v>
      </c>
      <c r="AU21">
        <f>VLOOKUP(VLOOKUP($V21,$O$3:$T$32,6,0),$V$42:$AZ$71,VLOOKUP(AU$2,$O$3:$T$32,6,0)+1,0)</f>
        <v>0.42178146370054864</v>
      </c>
      <c r="AV21">
        <f>VLOOKUP(VLOOKUP($V21,$O$3:$T$32,6,0),$V$42:$AZ$71,VLOOKUP(AV$2,$O$3:$T$32,6,0)+1,0)</f>
        <v>0.59047127897548735</v>
      </c>
      <c r="AW21">
        <f>VLOOKUP(VLOOKUP($V21,$O$3:$T$32,6,0),$V$42:$AZ$71,VLOOKUP(AW$2,$O$3:$T$32,6,0)+1,0)</f>
        <v>0.37307955571959134</v>
      </c>
      <c r="AX21">
        <f>VLOOKUP(VLOOKUP($V21,$O$3:$T$32,6,0),$V$42:$AZ$71,VLOOKUP(AX$2,$O$3:$T$32,6,0)+1,0)</f>
        <v>0.39769179081226008</v>
      </c>
      <c r="AY21">
        <f>VLOOKUP(VLOOKUP($V21,$O$3:$T$32,6,0),$V$42:$AZ$71,VLOOKUP(AY$2,$O$3:$T$32,6,0)+1,0)</f>
        <v>0.62386816358907304</v>
      </c>
      <c r="AZ21">
        <f>VLOOKUP(VLOOKUP($V21,$O$3:$T$32,6,0),$V$42:$AZ$71,VLOOKUP(AZ$2,$O$3:$T$32,6,0)+1,0)</f>
        <v>0.43101575477019799</v>
      </c>
    </row>
    <row r="22" spans="2:52" x14ac:dyDescent="0.25">
      <c r="B22">
        <f>d_win_totals!A21</f>
        <v>80</v>
      </c>
      <c r="C22">
        <f>d_win_totals!B21</f>
        <v>80</v>
      </c>
      <c r="D22">
        <f>d_win_totals!C21</f>
        <v>2014</v>
      </c>
      <c r="E22">
        <f>d_win_totals!D21</f>
        <v>2015</v>
      </c>
      <c r="F22" t="str">
        <f>d_win_totals!E21</f>
        <v>NY</v>
      </c>
      <c r="G22">
        <f>d_win_totals!F21</f>
        <v>40.5</v>
      </c>
      <c r="H22">
        <f>d_win_totals!G21</f>
        <v>17</v>
      </c>
      <c r="I22" t="str">
        <f>d_win_totals!H21</f>
        <v>U</v>
      </c>
      <c r="J22">
        <f>d_win_totals!I21</f>
        <v>-1</v>
      </c>
      <c r="L22">
        <v>20</v>
      </c>
      <c r="M22">
        <f>p_win_totals!B21</f>
        <v>80</v>
      </c>
      <c r="N22" t="str">
        <f>p_win_totals!C21</f>
        <v>Tony</v>
      </c>
      <c r="O22" t="str">
        <f>p_win_totals!D21</f>
        <v>NY</v>
      </c>
      <c r="P22">
        <f>p_win_totals!E21</f>
        <v>40.5</v>
      </c>
      <c r="Q22" t="str">
        <f>p_win_totals!F21</f>
        <v>U</v>
      </c>
      <c r="R22">
        <f>p_win_totals!G21</f>
        <v>22</v>
      </c>
      <c r="S22">
        <f>ROUND(IF(Q22="O",P22+(3-R22*1/10),P22-(3-R22*1/10)),0)</f>
        <v>40</v>
      </c>
      <c r="T22">
        <f t="shared" si="0"/>
        <v>18</v>
      </c>
      <c r="V22" t="s">
        <v>31</v>
      </c>
      <c r="W22">
        <f>VLOOKUP(VLOOKUP($V22,$O$3:$T$32,6,0),$V$42:$AZ$71,VLOOKUP(W$2,$O$3:$T$32,6,0)+1,0)</f>
        <v>0.46071121990694175</v>
      </c>
      <c r="X22">
        <f>VLOOKUP(VLOOKUP($V22,$O$3:$T$32,6,0),$V$42:$AZ$71,VLOOKUP(X$2,$O$3:$T$32,6,0)+1,0)</f>
        <v>0.66284304446693665</v>
      </c>
      <c r="Y22">
        <f>VLOOKUP(VLOOKUP($V22,$O$3:$T$32,6,0),$V$42:$AZ$71,VLOOKUP(Y$2,$O$3:$T$32,6,0)+1,0)</f>
        <v>0.5</v>
      </c>
      <c r="Z22">
        <f>VLOOKUP(VLOOKUP($V22,$O$3:$T$32,6,0),$V$42:$AZ$71,VLOOKUP(Z$2,$O$3:$T$32,6,0)+1,0)</f>
        <v>0.43782349911420193</v>
      </c>
      <c r="AA22">
        <f>VLOOKUP(VLOOKUP($V22,$O$3:$T$32,6,0),$V$42:$AZ$71,VLOOKUP(AA$2,$O$3:$T$32,6,0)+1,0)</f>
        <v>0.36031197606974674</v>
      </c>
      <c r="AB22">
        <f>VLOOKUP(VLOOKUP($V22,$O$3:$T$32,6,0),$V$42:$AZ$71,VLOOKUP(AB$2,$O$3:$T$32,6,0)+1,0)</f>
        <v>0.35087017426187905</v>
      </c>
      <c r="AC22">
        <f>VLOOKUP(VLOOKUP($V22,$O$3:$T$32,6,0),$V$42:$AZ$71,VLOOKUP(AC$2,$O$3:$T$32,6,0)+1,0)</f>
        <v>0.38459864577188729</v>
      </c>
      <c r="AD22">
        <f>VLOOKUP(VLOOKUP($V22,$O$3:$T$32,6,0),$V$42:$AZ$71,VLOOKUP(AD$2,$O$3:$T$32,6,0)+1,0)</f>
        <v>0.5</v>
      </c>
      <c r="AE22">
        <f>VLOOKUP(VLOOKUP($V22,$O$3:$T$32,6,0),$V$42:$AZ$71,VLOOKUP(AE$2,$O$3:$T$32,6,0)+1,0)</f>
        <v>0.54476805573373421</v>
      </c>
      <c r="AF22">
        <f>VLOOKUP(VLOOKUP($V22,$O$3:$T$32,6,0),$V$42:$AZ$71,VLOOKUP(AF$2,$O$3:$T$32,6,0)+1,0)</f>
        <v>0.37777969425937236</v>
      </c>
      <c r="AG22">
        <f>VLOOKUP(VLOOKUP($V22,$O$3:$T$32,6,0),$V$42:$AZ$71,VLOOKUP(AG$2,$O$3:$T$32,6,0)+1,0)</f>
        <v>0.41758613378174975</v>
      </c>
      <c r="AH22">
        <f>VLOOKUP(VLOOKUP($V22,$O$3:$T$32,6,0),$V$42:$AZ$71,VLOOKUP(AH$2,$O$3:$T$32,6,0)+1,0)</f>
        <v>0.56072770135857142</v>
      </c>
      <c r="AI22">
        <f>VLOOKUP(VLOOKUP($V22,$O$3:$T$32,6,0),$V$42:$AZ$71,VLOOKUP(AI$2,$O$3:$T$32,6,0)+1,0)</f>
        <v>0.35087017426187905</v>
      </c>
      <c r="AJ22">
        <f>VLOOKUP(VLOOKUP($V22,$O$3:$T$32,6,0),$V$42:$AZ$71,VLOOKUP(AJ$2,$O$3:$T$32,6,0)+1,0)</f>
        <v>0.57711263446281591</v>
      </c>
      <c r="AK22">
        <f>VLOOKUP(VLOOKUP($V22,$O$3:$T$32,6,0),$V$42:$AZ$71,VLOOKUP(AK$2,$O$3:$T$32,6,0)+1,0)</f>
        <v>0.39989944995796567</v>
      </c>
      <c r="AL22">
        <f>VLOOKUP(VLOOKUP($V22,$O$3:$T$32,6,0),$V$42:$AZ$71,VLOOKUP(AL$2,$O$3:$T$32,6,0)+1,0)</f>
        <v>0.4489330916958254</v>
      </c>
      <c r="AM22">
        <f>VLOOKUP(VLOOKUP($V22,$O$3:$T$32,6,0),$V$42:$AZ$71,VLOOKUP(AM$2,$O$3:$T$32,6,0)+1,0)</f>
        <v>0.64545979335474335</v>
      </c>
      <c r="AN22">
        <f>VLOOKUP(VLOOKUP($V22,$O$3:$T$32,6,0),$V$42:$AZ$71,VLOOKUP(AN$2,$O$3:$T$32,6,0)+1,0)</f>
        <v>0.66284304446693665</v>
      </c>
      <c r="AO22">
        <f>VLOOKUP(VLOOKUP($V22,$O$3:$T$32,6,0),$V$42:$AZ$71,VLOOKUP(AO$2,$O$3:$T$32,6,0)+1,0)</f>
        <v>0.48625786874528693</v>
      </c>
      <c r="AP22">
        <f>VLOOKUP(VLOOKUP($V22,$O$3:$T$32,6,0),$V$42:$AZ$71,VLOOKUP(AP$2,$O$3:$T$32,6,0)+1,0)</f>
        <v>0.5</v>
      </c>
      <c r="AQ22">
        <f>VLOOKUP(VLOOKUP($V22,$O$3:$T$32,6,0),$V$42:$AZ$71,VLOOKUP(AQ$2,$O$3:$T$32,6,0)+1,0)</f>
        <v>0.37147810462585762</v>
      </c>
      <c r="AR22">
        <f>VLOOKUP(VLOOKUP($V22,$O$3:$T$32,6,0),$V$42:$AZ$71,VLOOKUP(AR$2,$O$3:$T$32,6,0)+1,0)</f>
        <v>0.61088100448941873</v>
      </c>
      <c r="AS22">
        <f>VLOOKUP(VLOOKUP($V22,$O$3:$T$32,6,0),$V$42:$AZ$71,VLOOKUP(AS$2,$O$3:$T$32,6,0)+1,0)</f>
        <v>0.69736543414984997</v>
      </c>
      <c r="AT22">
        <f>VLOOKUP(VLOOKUP($V22,$O$3:$T$32,6,0),$V$42:$AZ$71,VLOOKUP(AT$2,$O$3:$T$32,6,0)+1,0)</f>
        <v>0.46071121990694175</v>
      </c>
      <c r="AU22">
        <f>VLOOKUP(VLOOKUP($V22,$O$3:$T$32,6,0),$V$42:$AZ$71,VLOOKUP(AU$2,$O$3:$T$32,6,0)+1,0)</f>
        <v>0.40843302990522401</v>
      </c>
      <c r="AV22">
        <f>VLOOKUP(VLOOKUP($V22,$O$3:$T$32,6,0),$V$42:$AZ$71,VLOOKUP(AV$2,$O$3:$T$32,6,0)+1,0)</f>
        <v>0.57711263446281591</v>
      </c>
      <c r="AW22">
        <f>VLOOKUP(VLOOKUP($V22,$O$3:$T$32,6,0),$V$42:$AZ$71,VLOOKUP(AW$2,$O$3:$T$32,6,0)+1,0)</f>
        <v>0.36031197606974674</v>
      </c>
      <c r="AX22">
        <f>VLOOKUP(VLOOKUP($V22,$O$3:$T$32,6,0),$V$42:$AZ$71,VLOOKUP(AX$2,$O$3:$T$32,6,0)+1,0)</f>
        <v>0.38459864577188729</v>
      </c>
      <c r="AY22">
        <f>VLOOKUP(VLOOKUP($V22,$O$3:$T$32,6,0),$V$42:$AZ$71,VLOOKUP(AY$2,$O$3:$T$32,6,0)+1,0)</f>
        <v>0.61088100448941873</v>
      </c>
      <c r="AZ22">
        <f>VLOOKUP(VLOOKUP($V22,$O$3:$T$32,6,0),$V$42:$AZ$71,VLOOKUP(AZ$2,$O$3:$T$32,6,0)+1,0)</f>
        <v>0.41758613378174975</v>
      </c>
    </row>
    <row r="23" spans="2:52" x14ac:dyDescent="0.25">
      <c r="B23">
        <f>d_win_totals!A22</f>
        <v>81</v>
      </c>
      <c r="C23">
        <f>d_win_totals!B22</f>
        <v>81</v>
      </c>
      <c r="D23">
        <f>d_win_totals!C22</f>
        <v>2014</v>
      </c>
      <c r="E23">
        <f>d_win_totals!D22</f>
        <v>2015</v>
      </c>
      <c r="F23" t="str">
        <f>d_win_totals!E22</f>
        <v>OKC</v>
      </c>
      <c r="G23">
        <f>d_win_totals!F22</f>
        <v>57.5</v>
      </c>
      <c r="H23">
        <f>d_win_totals!G22</f>
        <v>45</v>
      </c>
      <c r="I23" t="str">
        <f>d_win_totals!H22</f>
        <v>U</v>
      </c>
      <c r="J23">
        <f>d_win_totals!I22</f>
        <v>-1</v>
      </c>
      <c r="L23">
        <v>21</v>
      </c>
      <c r="M23">
        <f>p_win_totals!B22</f>
        <v>81</v>
      </c>
      <c r="N23" t="str">
        <f>p_win_totals!C22</f>
        <v>Tony</v>
      </c>
      <c r="O23" t="str">
        <f>p_win_totals!D22</f>
        <v>OKC</v>
      </c>
      <c r="P23">
        <f>p_win_totals!E22</f>
        <v>57.5</v>
      </c>
      <c r="Q23" t="str">
        <f>p_win_totals!F22</f>
        <v>U</v>
      </c>
      <c r="R23">
        <f>p_win_totals!G22</f>
        <v>1</v>
      </c>
      <c r="S23">
        <f>ROUND(IF(Q23="O",P23+(3-R23*1/10),P23-(3-R23*1/10)),0)</f>
        <v>55</v>
      </c>
      <c r="T23">
        <f t="shared" si="0"/>
        <v>5</v>
      </c>
      <c r="V23" t="s">
        <v>38</v>
      </c>
      <c r="W23">
        <f>VLOOKUP(VLOOKUP($V23,$O$3:$T$32,6,0),$V$42:$AZ$71,VLOOKUP(W$2,$O$3:$T$32,6,0)+1,0)</f>
        <v>0.59107258793132766</v>
      </c>
      <c r="X23">
        <f>VLOOKUP(VLOOKUP($V23,$O$3:$T$32,6,0),$V$42:$AZ$71,VLOOKUP(X$2,$O$3:$T$32,6,0)+1,0)</f>
        <v>0.76885738598285935</v>
      </c>
      <c r="Y23">
        <f>VLOOKUP(VLOOKUP($V23,$O$3:$T$32,6,0),$V$42:$AZ$71,VLOOKUP(Y$2,$O$3:$T$32,6,0)+1,0)</f>
        <v>0.62852189537414238</v>
      </c>
      <c r="Z23">
        <f>VLOOKUP(VLOOKUP($V23,$O$3:$T$32,6,0),$V$42:$AZ$71,VLOOKUP(Z$2,$O$3:$T$32,6,0)+1,0)</f>
        <v>0.56853609362829716</v>
      </c>
      <c r="AA23">
        <f>VLOOKUP(VLOOKUP($V23,$O$3:$T$32,6,0),$V$42:$AZ$71,VLOOKUP(AA$2,$O$3:$T$32,6,0)+1,0)</f>
        <v>0.48796997257765107</v>
      </c>
      <c r="AB23">
        <f>VLOOKUP(VLOOKUP($V23,$O$3:$T$32,6,0),$V$42:$AZ$71,VLOOKUP(AB$2,$O$3:$T$32,6,0)+1,0)</f>
        <v>0.47768096300019181</v>
      </c>
      <c r="AC23">
        <f>VLOOKUP(VLOOKUP($V23,$O$3:$T$32,6,0),$V$42:$AZ$71,VLOOKUP(AC$2,$O$3:$T$32,6,0)+1,0)</f>
        <v>0.51394802744461043</v>
      </c>
      <c r="AD23">
        <f>VLOOKUP(VLOOKUP($V23,$O$3:$T$32,6,0),$V$42:$AZ$71,VLOOKUP(AD$2,$O$3:$T$32,6,0)+1,0)</f>
        <v>0.62852189537414238</v>
      </c>
      <c r="AE23">
        <f>VLOOKUP(VLOOKUP($V23,$O$3:$T$32,6,0),$V$42:$AZ$71,VLOOKUP(AE$2,$O$3:$T$32,6,0)+1,0)</f>
        <v>0.66939145728180804</v>
      </c>
      <c r="AF23">
        <f>VLOOKUP(VLOOKUP($V23,$O$3:$T$32,6,0),$V$42:$AZ$71,VLOOKUP(AF$2,$O$3:$T$32,6,0)+1,0)</f>
        <v>0.50672407640828865</v>
      </c>
      <c r="AG23">
        <f>VLOOKUP(VLOOKUP($V23,$O$3:$T$32,6,0),$V$42:$AZ$71,VLOOKUP(AG$2,$O$3:$T$32,6,0)+1,0)</f>
        <v>0.54814795925339088</v>
      </c>
      <c r="AH23">
        <f>VLOOKUP(VLOOKUP($V23,$O$3:$T$32,6,0),$V$42:$AZ$71,VLOOKUP(AH$2,$O$3:$T$32,6,0)+1,0)</f>
        <v>0.68352021364398963</v>
      </c>
      <c r="AI23">
        <f>VLOOKUP(VLOOKUP($V23,$O$3:$T$32,6,0),$V$42:$AZ$71,VLOOKUP(AI$2,$O$3:$T$32,6,0)+1,0)</f>
        <v>0.47768096300019181</v>
      </c>
      <c r="AJ23">
        <f>VLOOKUP(VLOOKUP($V23,$O$3:$T$32,6,0),$V$42:$AZ$71,VLOOKUP(AJ$2,$O$3:$T$32,6,0)+1,0)</f>
        <v>0.69779347286419835</v>
      </c>
      <c r="AK23">
        <f>VLOOKUP(VLOOKUP($V23,$O$3:$T$32,6,0),$V$42:$AZ$71,VLOOKUP(AK$2,$O$3:$T$32,6,0)+1,0)</f>
        <v>0.52996326860851239</v>
      </c>
      <c r="AL23">
        <f>VLOOKUP(VLOOKUP($V23,$O$3:$T$32,6,0),$V$42:$AZ$71,VLOOKUP(AL$2,$O$3:$T$32,6,0)+1,0)</f>
        <v>0.57954322447528805</v>
      </c>
      <c r="AM23">
        <f>VLOOKUP(VLOOKUP($V23,$O$3:$T$32,6,0),$V$42:$AZ$71,VLOOKUP(AM$2,$O$3:$T$32,6,0)+1,0)</f>
        <v>0.75491907641039391</v>
      </c>
      <c r="AN23">
        <f>VLOOKUP(VLOOKUP($V23,$O$3:$T$32,6,0),$V$42:$AZ$71,VLOOKUP(AN$2,$O$3:$T$32,6,0)+1,0)</f>
        <v>0.76885738598285935</v>
      </c>
      <c r="AO23">
        <f>VLOOKUP(VLOOKUP($V23,$O$3:$T$32,6,0),$V$42:$AZ$71,VLOOKUP(AO$2,$O$3:$T$32,6,0)+1,0)</f>
        <v>0.61559641336393578</v>
      </c>
      <c r="AP23">
        <f>VLOOKUP(VLOOKUP($V23,$O$3:$T$32,6,0),$V$42:$AZ$71,VLOOKUP(AP$2,$O$3:$T$32,6,0)+1,0)</f>
        <v>0.62852189537414238</v>
      </c>
      <c r="AQ23">
        <f>VLOOKUP(VLOOKUP($V23,$O$3:$T$32,6,0),$V$42:$AZ$71,VLOOKUP(AQ$2,$O$3:$T$32,6,0)+1,0)</f>
        <v>0.5</v>
      </c>
      <c r="AR23">
        <f>VLOOKUP(VLOOKUP($V23,$O$3:$T$32,6,0),$V$42:$AZ$71,VLOOKUP(AR$2,$O$3:$T$32,6,0)+1,0)</f>
        <v>0.72649226385047183</v>
      </c>
      <c r="AS23">
        <f>VLOOKUP(VLOOKUP($V23,$O$3:$T$32,6,0),$V$42:$AZ$71,VLOOKUP(AS$2,$O$3:$T$32,6,0)+1,0)</f>
        <v>0.79586767272311343</v>
      </c>
      <c r="AT23">
        <f>VLOOKUP(VLOOKUP($V23,$O$3:$T$32,6,0),$V$42:$AZ$71,VLOOKUP(AT$2,$O$3:$T$32,6,0)+1,0)</f>
        <v>0.59107258793132766</v>
      </c>
      <c r="AU23">
        <f>VLOOKUP(VLOOKUP($V23,$O$3:$T$32,6,0),$V$42:$AZ$71,VLOOKUP(AU$2,$O$3:$T$32,6,0)+1,0)</f>
        <v>0.5387804547757824</v>
      </c>
      <c r="AV23">
        <f>VLOOKUP(VLOOKUP($V23,$O$3:$T$32,6,0),$V$42:$AZ$71,VLOOKUP(AV$2,$O$3:$T$32,6,0)+1,0)</f>
        <v>0.69779347286419835</v>
      </c>
      <c r="AW23">
        <f>VLOOKUP(VLOOKUP($V23,$O$3:$T$32,6,0),$V$42:$AZ$71,VLOOKUP(AW$2,$O$3:$T$32,6,0)+1,0)</f>
        <v>0.48796997257765107</v>
      </c>
      <c r="AX23">
        <f>VLOOKUP(VLOOKUP($V23,$O$3:$T$32,6,0),$V$42:$AZ$71,VLOOKUP(AX$2,$O$3:$T$32,6,0)+1,0)</f>
        <v>0.51394802744461043</v>
      </c>
      <c r="AY23">
        <f>VLOOKUP(VLOOKUP($V23,$O$3:$T$32,6,0),$V$42:$AZ$71,VLOOKUP(AY$2,$O$3:$T$32,6,0)+1,0)</f>
        <v>0.72649226385047183</v>
      </c>
      <c r="AZ23">
        <f>VLOOKUP(VLOOKUP($V23,$O$3:$T$32,6,0),$V$42:$AZ$71,VLOOKUP(AZ$2,$O$3:$T$32,6,0)+1,0)</f>
        <v>0.54814795925339088</v>
      </c>
    </row>
    <row r="24" spans="2:52" x14ac:dyDescent="0.25">
      <c r="B24">
        <f>d_win_totals!A23</f>
        <v>82</v>
      </c>
      <c r="C24">
        <f>d_win_totals!B23</f>
        <v>82</v>
      </c>
      <c r="D24">
        <f>d_win_totals!C23</f>
        <v>2014</v>
      </c>
      <c r="E24">
        <f>d_win_totals!D23</f>
        <v>2015</v>
      </c>
      <c r="F24" t="str">
        <f>d_win_totals!E23</f>
        <v>ORL</v>
      </c>
      <c r="G24">
        <f>d_win_totals!F23</f>
        <v>28.5</v>
      </c>
      <c r="H24">
        <f>d_win_totals!G23</f>
        <v>25</v>
      </c>
      <c r="I24" t="str">
        <f>d_win_totals!H23</f>
        <v>U</v>
      </c>
      <c r="J24">
        <f>d_win_totals!I23</f>
        <v>-1</v>
      </c>
      <c r="L24">
        <v>22</v>
      </c>
      <c r="M24">
        <f>p_win_totals!B23</f>
        <v>82</v>
      </c>
      <c r="N24" t="str">
        <f>p_win_totals!C23</f>
        <v>Tony</v>
      </c>
      <c r="O24" t="str">
        <f>p_win_totals!D23</f>
        <v>ORL</v>
      </c>
      <c r="P24">
        <f>p_win_totals!E23</f>
        <v>28.5</v>
      </c>
      <c r="Q24" t="str">
        <f>p_win_totals!F23</f>
        <v>U</v>
      </c>
      <c r="R24">
        <f>p_win_totals!G23</f>
        <v>16</v>
      </c>
      <c r="S24">
        <f>ROUND(IF(Q24="O",P24+(3-R24*1/10),P24-(3-R24*1/10)),0)</f>
        <v>27</v>
      </c>
      <c r="T24">
        <f t="shared" si="0"/>
        <v>25</v>
      </c>
      <c r="V24" t="s">
        <v>13</v>
      </c>
      <c r="W24">
        <f>VLOOKUP(VLOOKUP($V24,$O$3:$T$32,6,0),$V$42:$AZ$71,VLOOKUP(W$2,$O$3:$T$32,6,0)+1,0)</f>
        <v>0.35240218376319032</v>
      </c>
      <c r="X24">
        <f>VLOOKUP(VLOOKUP($V24,$O$3:$T$32,6,0),$V$42:$AZ$71,VLOOKUP(X$2,$O$3:$T$32,6,0)+1,0)</f>
        <v>0.5560071448932028</v>
      </c>
      <c r="Y24">
        <f>VLOOKUP(VLOOKUP($V24,$O$3:$T$32,6,0),$V$42:$AZ$71,VLOOKUP(Y$2,$O$3:$T$32,6,0)+1,0)</f>
        <v>0.38911899551058127</v>
      </c>
      <c r="Z24">
        <f>VLOOKUP(VLOOKUP($V24,$O$3:$T$32,6,0),$V$42:$AZ$71,VLOOKUP(Z$2,$O$3:$T$32,6,0)+1,0)</f>
        <v>0.33158678730799973</v>
      </c>
      <c r="AA24">
        <f>VLOOKUP(VLOOKUP($V24,$O$3:$T$32,6,0),$V$42:$AZ$71,VLOOKUP(AA$2,$O$3:$T$32,6,0)+1,0)</f>
        <v>0.26404929594784404</v>
      </c>
      <c r="AB24">
        <f>VLOOKUP(VLOOKUP($V24,$O$3:$T$32,6,0),$V$42:$AZ$71,VLOOKUP(AB$2,$O$3:$T$32,6,0)+1,0)</f>
        <v>0.25612003899425795</v>
      </c>
      <c r="AC24">
        <f>VLOOKUP(VLOOKUP($V24,$O$3:$T$32,6,0),$V$42:$AZ$71,VLOOKUP(AC$2,$O$3:$T$32,6,0)+1,0)</f>
        <v>0.28473557877177313</v>
      </c>
      <c r="AD24">
        <f>VLOOKUP(VLOOKUP($V24,$O$3:$T$32,6,0),$V$42:$AZ$71,VLOOKUP(AD$2,$O$3:$T$32,6,0)+1,0)</f>
        <v>0.38911899551058127</v>
      </c>
      <c r="AE24">
        <f>VLOOKUP(VLOOKUP($V24,$O$3:$T$32,6,0),$V$42:$AZ$71,VLOOKUP(AE$2,$O$3:$T$32,6,0)+1,0)</f>
        <v>0.43254773884592373</v>
      </c>
      <c r="AF24">
        <f>VLOOKUP(VLOOKUP($V24,$O$3:$T$32,6,0),$V$42:$AZ$71,VLOOKUP(AF$2,$O$3:$T$32,6,0)+1,0)</f>
        <v>0.27888482197713693</v>
      </c>
      <c r="AG24">
        <f>VLOOKUP(VLOOKUP($V24,$O$3:$T$32,6,0),$V$42:$AZ$71,VLOOKUP(AG$2,$O$3:$T$32,6,0)+1,0)</f>
        <v>0.31352139396241918</v>
      </c>
      <c r="AH24">
        <f>VLOOKUP(VLOOKUP($V24,$O$3:$T$32,6,0),$V$42:$AZ$71,VLOOKUP(AH$2,$O$3:$T$32,6,0)+1,0)</f>
        <v>0.44845846722065585</v>
      </c>
      <c r="AI24">
        <f>VLOOKUP(VLOOKUP($V24,$O$3:$T$32,6,0),$V$42:$AZ$71,VLOOKUP(AI$2,$O$3:$T$32,6,0)+1,0)</f>
        <v>0.25612003899425795</v>
      </c>
      <c r="AJ24">
        <f>VLOOKUP(VLOOKUP($V24,$O$3:$T$32,6,0),$V$42:$AZ$71,VLOOKUP(AJ$2,$O$3:$T$32,6,0)+1,0)</f>
        <v>0.46503580899628916</v>
      </c>
      <c r="AK24">
        <f>VLOOKUP(VLOOKUP($V24,$O$3:$T$32,6,0),$V$42:$AZ$71,VLOOKUP(AK$2,$O$3:$T$32,6,0)+1,0)</f>
        <v>0.29798720706370802</v>
      </c>
      <c r="AL24">
        <f>VLOOKUP(VLOOKUP($V24,$O$3:$T$32,6,0),$V$42:$AZ$71,VLOOKUP(AL$2,$O$3:$T$32,6,0)+1,0)</f>
        <v>0.34163887179980024</v>
      </c>
      <c r="AM24">
        <f>VLOOKUP(VLOOKUP($V24,$O$3:$T$32,6,0),$V$42:$AZ$71,VLOOKUP(AM$2,$O$3:$T$32,6,0)+1,0)</f>
        <v>0.53696348483678247</v>
      </c>
      <c r="AN24">
        <f>VLOOKUP(VLOOKUP($V24,$O$3:$T$32,6,0),$V$42:$AZ$71,VLOOKUP(AN$2,$O$3:$T$32,6,0)+1,0)</f>
        <v>0.5560071448932028</v>
      </c>
      <c r="AO24">
        <f>VLOOKUP(VLOOKUP($V24,$O$3:$T$32,6,0),$V$42:$AZ$71,VLOOKUP(AO$2,$O$3:$T$32,6,0)+1,0)</f>
        <v>0.37613183641092696</v>
      </c>
      <c r="AP24">
        <f>VLOOKUP(VLOOKUP($V24,$O$3:$T$32,6,0),$V$42:$AZ$71,VLOOKUP(AP$2,$O$3:$T$32,6,0)+1,0)</f>
        <v>0.38911899551058127</v>
      </c>
      <c r="AQ24">
        <f>VLOOKUP(VLOOKUP($V24,$O$3:$T$32,6,0),$V$42:$AZ$71,VLOOKUP(AQ$2,$O$3:$T$32,6,0)+1,0)</f>
        <v>0.27350773614952834</v>
      </c>
      <c r="AR24">
        <f>VLOOKUP(VLOOKUP($V24,$O$3:$T$32,6,0),$V$42:$AZ$71,VLOOKUP(AR$2,$O$3:$T$32,6,0)+1,0)</f>
        <v>0.5</v>
      </c>
      <c r="AS24">
        <f>VLOOKUP(VLOOKUP($V24,$O$3:$T$32,6,0),$V$42:$AZ$71,VLOOKUP(AS$2,$O$3:$T$32,6,0)+1,0)</f>
        <v>0.59478122871339911</v>
      </c>
      <c r="AT24">
        <f>VLOOKUP(VLOOKUP($V24,$O$3:$T$32,6,0),$V$42:$AZ$71,VLOOKUP(AT$2,$O$3:$T$32,6,0)+1,0)</f>
        <v>0.35240218376319032</v>
      </c>
      <c r="AU24">
        <f>VLOOKUP(VLOOKUP($V24,$O$3:$T$32,6,0),$V$42:$AZ$71,VLOOKUP(AU$2,$O$3:$T$32,6,0)+1,0)</f>
        <v>0.305452997556169</v>
      </c>
      <c r="AV24">
        <f>VLOOKUP(VLOOKUP($V24,$O$3:$T$32,6,0),$V$42:$AZ$71,VLOOKUP(AV$2,$O$3:$T$32,6,0)+1,0)</f>
        <v>0.46503580899628916</v>
      </c>
      <c r="AW24">
        <f>VLOOKUP(VLOOKUP($V24,$O$3:$T$32,6,0),$V$42:$AZ$71,VLOOKUP(AW$2,$O$3:$T$32,6,0)+1,0)</f>
        <v>0.26404929594784404</v>
      </c>
      <c r="AX24">
        <f>VLOOKUP(VLOOKUP($V24,$O$3:$T$32,6,0),$V$42:$AZ$71,VLOOKUP(AX$2,$O$3:$T$32,6,0)+1,0)</f>
        <v>0.28473557877177313</v>
      </c>
      <c r="AY24">
        <f>VLOOKUP(VLOOKUP($V24,$O$3:$T$32,6,0),$V$42:$AZ$71,VLOOKUP(AY$2,$O$3:$T$32,6,0)+1,0)</f>
        <v>0.5</v>
      </c>
      <c r="AZ24">
        <f>VLOOKUP(VLOOKUP($V24,$O$3:$T$32,6,0),$V$42:$AZ$71,VLOOKUP(AZ$2,$O$3:$T$32,6,0)+1,0)</f>
        <v>0.31352139396241918</v>
      </c>
    </row>
    <row r="25" spans="2:52" x14ac:dyDescent="0.25">
      <c r="B25">
        <f>d_win_totals!A24</f>
        <v>83</v>
      </c>
      <c r="C25">
        <f>d_win_totals!B24</f>
        <v>83</v>
      </c>
      <c r="D25">
        <f>d_win_totals!C24</f>
        <v>2014</v>
      </c>
      <c r="E25">
        <f>d_win_totals!D24</f>
        <v>2015</v>
      </c>
      <c r="F25" t="str">
        <f>d_win_totals!E24</f>
        <v>PHI</v>
      </c>
      <c r="G25">
        <f>d_win_totals!F24</f>
        <v>15.5</v>
      </c>
      <c r="H25">
        <f>d_win_totals!G24</f>
        <v>18</v>
      </c>
      <c r="I25" t="str">
        <f>d_win_totals!H24</f>
        <v>O</v>
      </c>
      <c r="J25">
        <f>d_win_totals!I24</f>
        <v>1</v>
      </c>
      <c r="L25">
        <v>23</v>
      </c>
      <c r="M25">
        <f>p_win_totals!B24</f>
        <v>83</v>
      </c>
      <c r="N25" t="str">
        <f>p_win_totals!C24</f>
        <v>Tony</v>
      </c>
      <c r="O25" t="str">
        <f>p_win_totals!D24</f>
        <v>PHI</v>
      </c>
      <c r="P25">
        <f>p_win_totals!E24</f>
        <v>15.5</v>
      </c>
      <c r="Q25" t="str">
        <f>p_win_totals!F24</f>
        <v>U</v>
      </c>
      <c r="R25">
        <f>p_win_totals!G24</f>
        <v>26</v>
      </c>
      <c r="S25">
        <f>ROUND(IF(Q25="O",P25+(3-R25*1/10),P25-(3-R25*1/10)),0)</f>
        <v>15</v>
      </c>
      <c r="T25">
        <f t="shared" si="0"/>
        <v>30</v>
      </c>
      <c r="V25" t="s">
        <v>21</v>
      </c>
      <c r="W25">
        <f>VLOOKUP(VLOOKUP($V25,$O$3:$T$32,6,0),$V$42:$AZ$71,VLOOKUP(W$2,$O$3:$T$32,6,0)+1,0)</f>
        <v>0.27046526209701249</v>
      </c>
      <c r="X25">
        <f>VLOOKUP(VLOOKUP($V25,$O$3:$T$32,6,0),$V$42:$AZ$71,VLOOKUP(X$2,$O$3:$T$32,6,0)+1,0)</f>
        <v>0.46038473741873248</v>
      </c>
      <c r="Y25">
        <f>VLOOKUP(VLOOKUP($V25,$O$3:$T$32,6,0),$V$42:$AZ$71,VLOOKUP(Y$2,$O$3:$T$32,6,0)+1,0)</f>
        <v>0.30263456585015008</v>
      </c>
      <c r="Z25">
        <f>VLOOKUP(VLOOKUP($V25,$O$3:$T$32,6,0),$V$42:$AZ$71,VLOOKUP(Z$2,$O$3:$T$32,6,0)+1,0)</f>
        <v>0.25260184306901956</v>
      </c>
      <c r="AA25">
        <f>VLOOKUP(VLOOKUP($V25,$O$3:$T$32,6,0),$V$42:$AZ$71,VLOOKUP(AA$2,$O$3:$T$32,6,0)+1,0)</f>
        <v>0.19642436232857072</v>
      </c>
      <c r="AB25">
        <f>VLOOKUP(VLOOKUP($V25,$O$3:$T$32,6,0),$V$42:$AZ$71,VLOOKUP(AB$2,$O$3:$T$32,6,0)+1,0)</f>
        <v>0.19000156601531293</v>
      </c>
      <c r="AC25">
        <f>VLOOKUP(VLOOKUP($V25,$O$3:$T$32,6,0),$V$42:$AZ$71,VLOOKUP(AC$2,$O$3:$T$32,6,0)+1,0)</f>
        <v>0.21334857625709938</v>
      </c>
      <c r="AD25">
        <f>VLOOKUP(VLOOKUP($V25,$O$3:$T$32,6,0),$V$42:$AZ$71,VLOOKUP(AD$2,$O$3:$T$32,6,0)+1,0)</f>
        <v>0.30263456585015008</v>
      </c>
      <c r="AE25">
        <f>VLOOKUP(VLOOKUP($V25,$O$3:$T$32,6,0),$V$42:$AZ$71,VLOOKUP(AE$2,$O$3:$T$32,6,0)+1,0)</f>
        <v>0.34181182975585189</v>
      </c>
      <c r="AF25">
        <f>VLOOKUP(VLOOKUP($V25,$O$3:$T$32,6,0),$V$42:$AZ$71,VLOOKUP(AF$2,$O$3:$T$32,6,0)+1,0)</f>
        <v>0.20853701488703166</v>
      </c>
      <c r="AG25">
        <f>VLOOKUP(VLOOKUP($V25,$O$3:$T$32,6,0),$V$42:$AZ$71,VLOOKUP(AG$2,$O$3:$T$32,6,0)+1,0)</f>
        <v>0.23731187072121385</v>
      </c>
      <c r="AH25">
        <f>VLOOKUP(VLOOKUP($V25,$O$3:$T$32,6,0),$V$42:$AZ$71,VLOOKUP(AH$2,$O$3:$T$32,6,0)+1,0)</f>
        <v>0.35648168388556095</v>
      </c>
      <c r="AI25">
        <f>VLOOKUP(VLOOKUP($V25,$O$3:$T$32,6,0),$V$42:$AZ$71,VLOOKUP(AI$2,$O$3:$T$32,6,0)+1,0)</f>
        <v>0.19000156601531293</v>
      </c>
      <c r="AJ25">
        <f>VLOOKUP(VLOOKUP($V25,$O$3:$T$32,6,0),$V$42:$AZ$71,VLOOKUP(AJ$2,$O$3:$T$32,6,0)+1,0)</f>
        <v>0.37195195898474726</v>
      </c>
      <c r="AK25">
        <f>VLOOKUP(VLOOKUP($V25,$O$3:$T$32,6,0),$V$42:$AZ$71,VLOOKUP(AK$2,$O$3:$T$32,6,0)+1,0)</f>
        <v>0.22431979662607437</v>
      </c>
      <c r="AL25">
        <f>VLOOKUP(VLOOKUP($V25,$O$3:$T$32,6,0),$V$42:$AZ$71,VLOOKUP(AL$2,$O$3:$T$32,6,0)+1,0)</f>
        <v>0.26119516293684975</v>
      </c>
      <c r="AM25">
        <f>VLOOKUP(VLOOKUP($V25,$O$3:$T$32,6,0),$V$42:$AZ$71,VLOOKUP(AM$2,$O$3:$T$32,6,0)+1,0)</f>
        <v>0.44136049511750025</v>
      </c>
      <c r="AN25">
        <f>VLOOKUP(VLOOKUP($V25,$O$3:$T$32,6,0),$V$42:$AZ$71,VLOOKUP(AN$2,$O$3:$T$32,6,0)+1,0)</f>
        <v>0.46038473741873248</v>
      </c>
      <c r="AO25">
        <f>VLOOKUP(VLOOKUP($V25,$O$3:$T$32,6,0),$V$42:$AZ$71,VLOOKUP(AO$2,$O$3:$T$32,6,0)+1,0)</f>
        <v>0.29115813633447341</v>
      </c>
      <c r="AP25">
        <f>VLOOKUP(VLOOKUP($V25,$O$3:$T$32,6,0),$V$42:$AZ$71,VLOOKUP(AP$2,$O$3:$T$32,6,0)+1,0)</f>
        <v>0.30263456585015008</v>
      </c>
      <c r="AQ25">
        <f>VLOOKUP(VLOOKUP($V25,$O$3:$T$32,6,0),$V$42:$AZ$71,VLOOKUP(AQ$2,$O$3:$T$32,6,0)+1,0)</f>
        <v>0.20413232727688654</v>
      </c>
      <c r="AR25">
        <f>VLOOKUP(VLOOKUP($V25,$O$3:$T$32,6,0),$V$42:$AZ$71,VLOOKUP(AR$2,$O$3:$T$32,6,0)+1,0)</f>
        <v>0.40521877128660083</v>
      </c>
      <c r="AS25">
        <f>VLOOKUP(VLOOKUP($V25,$O$3:$T$32,6,0),$V$42:$AZ$71,VLOOKUP(AS$2,$O$3:$T$32,6,0)+1,0)</f>
        <v>0.5</v>
      </c>
      <c r="AT25">
        <f>VLOOKUP(VLOOKUP($V25,$O$3:$T$32,6,0),$V$42:$AZ$71,VLOOKUP(AT$2,$O$3:$T$32,6,0)+1,0)</f>
        <v>0.27046526209701249</v>
      </c>
      <c r="AU25">
        <f>VLOOKUP(VLOOKUP($V25,$O$3:$T$32,6,0),$V$42:$AZ$71,VLOOKUP(AU$2,$O$3:$T$32,6,0)+1,0)</f>
        <v>0.2305460497630403</v>
      </c>
      <c r="AV25">
        <f>VLOOKUP(VLOOKUP($V25,$O$3:$T$32,6,0),$V$42:$AZ$71,VLOOKUP(AV$2,$O$3:$T$32,6,0)+1,0)</f>
        <v>0.37195195898474726</v>
      </c>
      <c r="AW25">
        <f>VLOOKUP(VLOOKUP($V25,$O$3:$T$32,6,0),$V$42:$AZ$71,VLOOKUP(AW$2,$O$3:$T$32,6,0)+1,0)</f>
        <v>0.19642436232857072</v>
      </c>
      <c r="AX25">
        <f>VLOOKUP(VLOOKUP($V25,$O$3:$T$32,6,0),$V$42:$AZ$71,VLOOKUP(AX$2,$O$3:$T$32,6,0)+1,0)</f>
        <v>0.21334857625709938</v>
      </c>
      <c r="AY25">
        <f>VLOOKUP(VLOOKUP($V25,$O$3:$T$32,6,0),$V$42:$AZ$71,VLOOKUP(AY$2,$O$3:$T$32,6,0)+1,0)</f>
        <v>0.40521877128660083</v>
      </c>
      <c r="AZ25">
        <f>VLOOKUP(VLOOKUP($V25,$O$3:$T$32,6,0),$V$42:$AZ$71,VLOOKUP(AZ$2,$O$3:$T$32,6,0)+1,0)</f>
        <v>0.23731187072121385</v>
      </c>
    </row>
    <row r="26" spans="2:52" x14ac:dyDescent="0.25">
      <c r="B26">
        <f>d_win_totals!A25</f>
        <v>84</v>
      </c>
      <c r="C26">
        <f>d_win_totals!B25</f>
        <v>84</v>
      </c>
      <c r="D26">
        <f>d_win_totals!C25</f>
        <v>2014</v>
      </c>
      <c r="E26">
        <f>d_win_totals!D25</f>
        <v>2015</v>
      </c>
      <c r="F26" t="str">
        <f>d_win_totals!E25</f>
        <v>PHX</v>
      </c>
      <c r="G26">
        <f>d_win_totals!F25</f>
        <v>42.5</v>
      </c>
      <c r="H26">
        <f>d_win_totals!G25</f>
        <v>39</v>
      </c>
      <c r="I26" t="str">
        <f>d_win_totals!H25</f>
        <v>U</v>
      </c>
      <c r="J26">
        <f>d_win_totals!I25</f>
        <v>-1</v>
      </c>
      <c r="L26">
        <v>24</v>
      </c>
      <c r="M26">
        <f>p_win_totals!B25</f>
        <v>84</v>
      </c>
      <c r="N26" t="str">
        <f>p_win_totals!C25</f>
        <v>Tony</v>
      </c>
      <c r="O26" t="str">
        <f>p_win_totals!D25</f>
        <v>PHX</v>
      </c>
      <c r="P26">
        <f>p_win_totals!E25</f>
        <v>42.5</v>
      </c>
      <c r="Q26" t="str">
        <f>p_win_totals!F25</f>
        <v>O</v>
      </c>
      <c r="R26">
        <f>p_win_totals!G25</f>
        <v>23</v>
      </c>
      <c r="S26">
        <f>ROUND(IF(Q26="O",P26+(3-R26*1/10),P26-(3-R26*1/10)),0)</f>
        <v>43</v>
      </c>
      <c r="T26">
        <f t="shared" si="0"/>
        <v>15</v>
      </c>
      <c r="V26" t="s">
        <v>35</v>
      </c>
      <c r="W26">
        <f>VLOOKUP(VLOOKUP($V26,$O$3:$T$32,6,0),$V$42:$AZ$71,VLOOKUP(W$2,$O$3:$T$32,6,0)+1,0)</f>
        <v>0.5</v>
      </c>
      <c r="X26">
        <f>VLOOKUP(VLOOKUP($V26,$O$3:$T$32,6,0),$V$42:$AZ$71,VLOOKUP(X$2,$O$3:$T$32,6,0)+1,0)</f>
        <v>0.69708802310993623</v>
      </c>
      <c r="Y26">
        <f>VLOOKUP(VLOOKUP($V26,$O$3:$T$32,6,0),$V$42:$AZ$71,VLOOKUP(Y$2,$O$3:$T$32,6,0)+1,0)</f>
        <v>0.53928878009305825</v>
      </c>
      <c r="Z26">
        <f>VLOOKUP(VLOOKUP($V26,$O$3:$T$32,6,0),$V$42:$AZ$71,VLOOKUP(Z$2,$O$3:$T$32,6,0)+1,0)</f>
        <v>0.47688642828156308</v>
      </c>
      <c r="AA26">
        <f>VLOOKUP(VLOOKUP($V26,$O$3:$T$32,6,0),$V$42:$AZ$71,VLOOKUP(AA$2,$O$3:$T$32,6,0)+1,0)</f>
        <v>0.39734725240030316</v>
      </c>
      <c r="AB26">
        <f>VLOOKUP(VLOOKUP($V26,$O$3:$T$32,6,0),$V$42:$AZ$71,VLOOKUP(AB$2,$O$3:$T$32,6,0)+1,0)</f>
        <v>0.3875228826260283</v>
      </c>
      <c r="AC26">
        <f>VLOOKUP(VLOOKUP($V26,$O$3:$T$32,6,0),$V$42:$AZ$71,VLOOKUP(AC$2,$O$3:$T$32,6,0)+1,0)</f>
        <v>0.42248155809117843</v>
      </c>
      <c r="AD26">
        <f>VLOOKUP(VLOOKUP($V26,$O$3:$T$32,6,0),$V$42:$AZ$71,VLOOKUP(AD$2,$O$3:$T$32,6,0)+1,0)</f>
        <v>0.53928878009305825</v>
      </c>
      <c r="AE26">
        <f>VLOOKUP(VLOOKUP($V26,$O$3:$T$32,6,0),$V$42:$AZ$71,VLOOKUP(AE$2,$O$3:$T$32,6,0)+1,0)</f>
        <v>0.58346958313834041</v>
      </c>
      <c r="AF26">
        <f>VLOOKUP(VLOOKUP($V26,$O$3:$T$32,6,0),$V$42:$AZ$71,VLOOKUP(AF$2,$O$3:$T$32,6,0)+1,0)</f>
        <v>0.41544436809019553</v>
      </c>
      <c r="AG26">
        <f>VLOOKUP(VLOOKUP($V26,$O$3:$T$32,6,0),$V$42:$AZ$71,VLOOKUP(AG$2,$O$3:$T$32,6,0)+1,0)</f>
        <v>0.45630903898702979</v>
      </c>
      <c r="AH26">
        <f>VLOOKUP(VLOOKUP($V26,$O$3:$T$32,6,0),$V$42:$AZ$71,VLOOKUP(AH$2,$O$3:$T$32,6,0)+1,0)</f>
        <v>0.59907098078204846</v>
      </c>
      <c r="AI26">
        <f>VLOOKUP(VLOOKUP($V26,$O$3:$T$32,6,0),$V$42:$AZ$71,VLOOKUP(AI$2,$O$3:$T$32,6,0)+1,0)</f>
        <v>0.3875228826260283</v>
      </c>
      <c r="AJ26">
        <f>VLOOKUP(VLOOKUP($V26,$O$3:$T$32,6,0),$V$42:$AZ$71,VLOOKUP(AJ$2,$O$3:$T$32,6,0)+1,0)</f>
        <v>0.61500767730198336</v>
      </c>
      <c r="AK26">
        <f>VLOOKUP(VLOOKUP($V26,$O$3:$T$32,6,0),$V$42:$AZ$71,VLOOKUP(AK$2,$O$3:$T$32,6,0)+1,0)</f>
        <v>0.43821629112720617</v>
      </c>
      <c r="AL26">
        <f>VLOOKUP(VLOOKUP($V26,$O$3:$T$32,6,0),$V$42:$AZ$71,VLOOKUP(AL$2,$O$3:$T$32,6,0)+1,0)</f>
        <v>0.48812658255436298</v>
      </c>
      <c r="AM26">
        <f>VLOOKUP(VLOOKUP($V26,$O$3:$T$32,6,0),$V$42:$AZ$71,VLOOKUP(AM$2,$O$3:$T$32,6,0)+1,0)</f>
        <v>0.68061965309208583</v>
      </c>
      <c r="AN26">
        <f>VLOOKUP(VLOOKUP($V26,$O$3:$T$32,6,0),$V$42:$AZ$71,VLOOKUP(AN$2,$O$3:$T$32,6,0)+1,0)</f>
        <v>0.69708802310993623</v>
      </c>
      <c r="AO26">
        <f>VLOOKUP(VLOOKUP($V26,$O$3:$T$32,6,0),$V$42:$AZ$71,VLOOKUP(AO$2,$O$3:$T$32,6,0)+1,0)</f>
        <v>0.52560193997306337</v>
      </c>
      <c r="AP26">
        <f>VLOOKUP(VLOOKUP($V26,$O$3:$T$32,6,0),$V$42:$AZ$71,VLOOKUP(AP$2,$O$3:$T$32,6,0)+1,0)</f>
        <v>0.53928878009305825</v>
      </c>
      <c r="AQ26">
        <f>VLOOKUP(VLOOKUP($V26,$O$3:$T$32,6,0),$V$42:$AZ$71,VLOOKUP(AQ$2,$O$3:$T$32,6,0)+1,0)</f>
        <v>0.40892741206867239</v>
      </c>
      <c r="AR26">
        <f>VLOOKUP(VLOOKUP($V26,$O$3:$T$32,6,0),$V$42:$AZ$71,VLOOKUP(AR$2,$O$3:$T$32,6,0)+1,0)</f>
        <v>0.64759781623680968</v>
      </c>
      <c r="AS26">
        <f>VLOOKUP(VLOOKUP($V26,$O$3:$T$32,6,0),$V$42:$AZ$71,VLOOKUP(AS$2,$O$3:$T$32,6,0)+1,0)</f>
        <v>0.72953473790298751</v>
      </c>
      <c r="AT26">
        <f>VLOOKUP(VLOOKUP($V26,$O$3:$T$32,6,0),$V$42:$AZ$71,VLOOKUP(AT$2,$O$3:$T$32,6,0)+1,0)</f>
        <v>0.5</v>
      </c>
      <c r="AU26">
        <f>VLOOKUP(VLOOKUP($V26,$O$3:$T$32,6,0),$V$42:$AZ$71,VLOOKUP(AU$2,$O$3:$T$32,6,0)+1,0)</f>
        <v>0.44695853169533922</v>
      </c>
      <c r="AV26">
        <f>VLOOKUP(VLOOKUP($V26,$O$3:$T$32,6,0),$V$42:$AZ$71,VLOOKUP(AV$2,$O$3:$T$32,6,0)+1,0)</f>
        <v>0.61500767730198336</v>
      </c>
      <c r="AW26">
        <f>VLOOKUP(VLOOKUP($V26,$O$3:$T$32,6,0),$V$42:$AZ$71,VLOOKUP(AW$2,$O$3:$T$32,6,0)+1,0)</f>
        <v>0.39734725240030316</v>
      </c>
      <c r="AX26">
        <f>VLOOKUP(VLOOKUP($V26,$O$3:$T$32,6,0),$V$42:$AZ$71,VLOOKUP(AX$2,$O$3:$T$32,6,0)+1,0)</f>
        <v>0.42248155809117843</v>
      </c>
      <c r="AY26">
        <f>VLOOKUP(VLOOKUP($V26,$O$3:$T$32,6,0),$V$42:$AZ$71,VLOOKUP(AY$2,$O$3:$T$32,6,0)+1,0)</f>
        <v>0.64759781623680968</v>
      </c>
      <c r="AZ26">
        <f>VLOOKUP(VLOOKUP($V26,$O$3:$T$32,6,0),$V$42:$AZ$71,VLOOKUP(AZ$2,$O$3:$T$32,6,0)+1,0)</f>
        <v>0.45630903898702979</v>
      </c>
    </row>
    <row r="27" spans="2:52" x14ac:dyDescent="0.25">
      <c r="B27">
        <f>d_win_totals!A26</f>
        <v>85</v>
      </c>
      <c r="C27">
        <f>d_win_totals!B26</f>
        <v>85</v>
      </c>
      <c r="D27">
        <f>d_win_totals!C26</f>
        <v>2014</v>
      </c>
      <c r="E27">
        <f>d_win_totals!D26</f>
        <v>2015</v>
      </c>
      <c r="F27" t="str">
        <f>d_win_totals!E26</f>
        <v>POR</v>
      </c>
      <c r="G27">
        <f>d_win_totals!F26</f>
        <v>48.5</v>
      </c>
      <c r="H27">
        <f>d_win_totals!G26</f>
        <v>51</v>
      </c>
      <c r="I27" t="str">
        <f>d_win_totals!H26</f>
        <v>O</v>
      </c>
      <c r="J27">
        <f>d_win_totals!I26</f>
        <v>1</v>
      </c>
      <c r="L27">
        <v>25</v>
      </c>
      <c r="M27">
        <f>p_win_totals!B26</f>
        <v>85</v>
      </c>
      <c r="N27" t="str">
        <f>p_win_totals!C26</f>
        <v>Tony</v>
      </c>
      <c r="O27" t="str">
        <f>p_win_totals!D26</f>
        <v>POR</v>
      </c>
      <c r="P27">
        <f>p_win_totals!E26</f>
        <v>48.5</v>
      </c>
      <c r="Q27" t="str">
        <f>p_win_totals!F26</f>
        <v>O</v>
      </c>
      <c r="R27">
        <f>p_win_totals!G26</f>
        <v>27</v>
      </c>
      <c r="S27">
        <f>ROUND(IF(Q27="O",P27+(3-R27*1/10),P27-(3-R27*1/10)),0)</f>
        <v>49</v>
      </c>
      <c r="T27">
        <f t="shared" si="0"/>
        <v>10</v>
      </c>
      <c r="V27" t="s">
        <v>39</v>
      </c>
      <c r="W27">
        <f>VLOOKUP(VLOOKUP($V27,$O$3:$T$32,6,0),$V$42:$AZ$71,VLOOKUP(W$2,$O$3:$T$32,6,0)+1,0)</f>
        <v>0.55304146830466083</v>
      </c>
      <c r="X27">
        <f>VLOOKUP(VLOOKUP($V27,$O$3:$T$32,6,0),$V$42:$AZ$71,VLOOKUP(X$2,$O$3:$T$32,6,0)+1,0)</f>
        <v>0.74009004168406278</v>
      </c>
      <c r="Y27">
        <f>VLOOKUP(VLOOKUP($V27,$O$3:$T$32,6,0),$V$42:$AZ$71,VLOOKUP(Y$2,$O$3:$T$32,6,0)+1,0)</f>
        <v>0.59156697009477588</v>
      </c>
      <c r="Z27">
        <f>VLOOKUP(VLOOKUP($V27,$O$3:$T$32,6,0),$V$42:$AZ$71,VLOOKUP(Z$2,$O$3:$T$32,6,0)+1,0)</f>
        <v>0.53007538359447692</v>
      </c>
      <c r="AA27">
        <f>VLOOKUP(VLOOKUP($V27,$O$3:$T$32,6,0),$V$42:$AZ$71,VLOOKUP(AA$2,$O$3:$T$32,6,0)+1,0)</f>
        <v>0.44928415963258811</v>
      </c>
      <c r="AB27">
        <f>VLOOKUP(VLOOKUP($V27,$O$3:$T$32,6,0),$V$42:$AZ$71,VLOOKUP(AB$2,$O$3:$T$32,6,0)+1,0)</f>
        <v>0.43911131517920021</v>
      </c>
      <c r="AC27">
        <f>VLOOKUP(VLOOKUP($V27,$O$3:$T$32,6,0),$V$42:$AZ$71,VLOOKUP(AC$2,$O$3:$T$32,6,0)+1,0)</f>
        <v>0.47511372765015386</v>
      </c>
      <c r="AD27">
        <f>VLOOKUP(VLOOKUP($V27,$O$3:$T$32,6,0),$V$42:$AZ$71,VLOOKUP(AD$2,$O$3:$T$32,6,0)+1,0)</f>
        <v>0.59156697009477588</v>
      </c>
      <c r="AE27">
        <f>VLOOKUP(VLOOKUP($V27,$O$3:$T$32,6,0),$V$42:$AZ$71,VLOOKUP(AE$2,$O$3:$T$32,6,0)+1,0)</f>
        <v>0.63413559101080075</v>
      </c>
      <c r="AF27">
        <f>VLOOKUP(VLOOKUP($V27,$O$3:$T$32,6,0),$V$42:$AZ$71,VLOOKUP(AF$2,$O$3:$T$32,6,0)+1,0)</f>
        <v>0.46791015028381738</v>
      </c>
      <c r="AG27">
        <f>VLOOKUP(VLOOKUP($V27,$O$3:$T$32,6,0),$V$42:$AZ$71,VLOOKUP(AG$2,$O$3:$T$32,6,0)+1,0)</f>
        <v>0.50943799496520714</v>
      </c>
      <c r="AH27">
        <f>VLOOKUP(VLOOKUP($V27,$O$3:$T$32,6,0),$V$42:$AZ$71,VLOOKUP(AH$2,$O$3:$T$32,6,0)+1,0)</f>
        <v>0.64898094688226893</v>
      </c>
      <c r="AI27">
        <f>VLOOKUP(VLOOKUP($V27,$O$3:$T$32,6,0),$V$42:$AZ$71,VLOOKUP(AI$2,$O$3:$T$32,6,0)+1,0)</f>
        <v>0.43911131517920021</v>
      </c>
      <c r="AJ27">
        <f>VLOOKUP(VLOOKUP($V27,$O$3:$T$32,6,0),$V$42:$AZ$71,VLOOKUP(AJ$2,$O$3:$T$32,6,0)+1,0)</f>
        <v>0.6640463003434689</v>
      </c>
      <c r="AK27">
        <f>VLOOKUP(VLOOKUP($V27,$O$3:$T$32,6,0),$V$42:$AZ$71,VLOOKUP(AK$2,$O$3:$T$32,6,0)+1,0)</f>
        <v>0.49114164056133519</v>
      </c>
      <c r="AL27">
        <f>VLOOKUP(VLOOKUP($V27,$O$3:$T$32,6,0),$V$42:$AZ$71,VLOOKUP(AL$2,$O$3:$T$32,6,0)+1,0)</f>
        <v>0.54127202060858037</v>
      </c>
      <c r="AM27">
        <f>VLOOKUP(VLOOKUP($V27,$O$3:$T$32,6,0),$V$42:$AZ$71,VLOOKUP(AM$2,$O$3:$T$32,6,0)+1,0)</f>
        <v>0.72503739011377732</v>
      </c>
      <c r="AN27">
        <f>VLOOKUP(VLOOKUP($V27,$O$3:$T$32,6,0),$V$42:$AZ$71,VLOOKUP(AN$2,$O$3:$T$32,6,0)+1,0)</f>
        <v>0.74009004168406278</v>
      </c>
      <c r="AO27">
        <f>VLOOKUP(VLOOKUP($V27,$O$3:$T$32,6,0),$V$42:$AZ$71,VLOOKUP(AO$2,$O$3:$T$32,6,0)+1,0)</f>
        <v>0.57821853629945141</v>
      </c>
      <c r="AP27">
        <f>VLOOKUP(VLOOKUP($V27,$O$3:$T$32,6,0),$V$42:$AZ$71,VLOOKUP(AP$2,$O$3:$T$32,6,0)+1,0)</f>
        <v>0.59156697009477588</v>
      </c>
      <c r="AQ27">
        <f>VLOOKUP(VLOOKUP($V27,$O$3:$T$32,6,0),$V$42:$AZ$71,VLOOKUP(AQ$2,$O$3:$T$32,6,0)+1,0)</f>
        <v>0.46121954522421765</v>
      </c>
      <c r="AR27">
        <f>VLOOKUP(VLOOKUP($V27,$O$3:$T$32,6,0),$V$42:$AZ$71,VLOOKUP(AR$2,$O$3:$T$32,6,0)+1,0)</f>
        <v>0.69454700244383094</v>
      </c>
      <c r="AS27">
        <f>VLOOKUP(VLOOKUP($V27,$O$3:$T$32,6,0),$V$42:$AZ$71,VLOOKUP(AS$2,$O$3:$T$32,6,0)+1,0)</f>
        <v>0.76945395023695973</v>
      </c>
      <c r="AT27">
        <f>VLOOKUP(VLOOKUP($V27,$O$3:$T$32,6,0),$V$42:$AZ$71,VLOOKUP(AT$2,$O$3:$T$32,6,0)+1,0)</f>
        <v>0.55304146830466083</v>
      </c>
      <c r="AU27">
        <f>VLOOKUP(VLOOKUP($V27,$O$3:$T$32,6,0),$V$42:$AZ$71,VLOOKUP(AU$2,$O$3:$T$32,6,0)+1,0)</f>
        <v>0.5</v>
      </c>
      <c r="AV27">
        <f>VLOOKUP(VLOOKUP($V27,$O$3:$T$32,6,0),$V$42:$AZ$71,VLOOKUP(AV$2,$O$3:$T$32,6,0)+1,0)</f>
        <v>0.6640463003434689</v>
      </c>
      <c r="AW27">
        <f>VLOOKUP(VLOOKUP($V27,$O$3:$T$32,6,0),$V$42:$AZ$71,VLOOKUP(AW$2,$O$3:$T$32,6,0)+1,0)</f>
        <v>0.44928415963258811</v>
      </c>
      <c r="AX27">
        <f>VLOOKUP(VLOOKUP($V27,$O$3:$T$32,6,0),$V$42:$AZ$71,VLOOKUP(AX$2,$O$3:$T$32,6,0)+1,0)</f>
        <v>0.47511372765015386</v>
      </c>
      <c r="AY27">
        <f>VLOOKUP(VLOOKUP($V27,$O$3:$T$32,6,0),$V$42:$AZ$71,VLOOKUP(AY$2,$O$3:$T$32,6,0)+1,0)</f>
        <v>0.69454700244383094</v>
      </c>
      <c r="AZ27">
        <f>VLOOKUP(VLOOKUP($V27,$O$3:$T$32,6,0),$V$42:$AZ$71,VLOOKUP(AZ$2,$O$3:$T$32,6,0)+1,0)</f>
        <v>0.50943799496520714</v>
      </c>
    </row>
    <row r="28" spans="2:52" x14ac:dyDescent="0.25">
      <c r="B28">
        <f>d_win_totals!A27</f>
        <v>86</v>
      </c>
      <c r="C28">
        <f>d_win_totals!B27</f>
        <v>86</v>
      </c>
      <c r="D28">
        <f>d_win_totals!C27</f>
        <v>2014</v>
      </c>
      <c r="E28">
        <f>d_win_totals!D27</f>
        <v>2015</v>
      </c>
      <c r="F28" t="str">
        <f>d_win_totals!E27</f>
        <v>SAC</v>
      </c>
      <c r="G28">
        <f>d_win_totals!F27</f>
        <v>30.5</v>
      </c>
      <c r="H28">
        <f>d_win_totals!G27</f>
        <v>29</v>
      </c>
      <c r="I28" t="str">
        <f>d_win_totals!H27</f>
        <v>U</v>
      </c>
      <c r="J28">
        <f>d_win_totals!I27</f>
        <v>-1</v>
      </c>
      <c r="L28">
        <v>26</v>
      </c>
      <c r="M28">
        <f>p_win_totals!B27</f>
        <v>86</v>
      </c>
      <c r="N28" t="str">
        <f>p_win_totals!C27</f>
        <v>Tony</v>
      </c>
      <c r="O28" t="str">
        <f>p_win_totals!D27</f>
        <v>SAC</v>
      </c>
      <c r="P28">
        <f>p_win_totals!E27</f>
        <v>30.5</v>
      </c>
      <c r="Q28" t="str">
        <f>p_win_totals!F27</f>
        <v>U</v>
      </c>
      <c r="R28">
        <f>p_win_totals!G27</f>
        <v>11</v>
      </c>
      <c r="S28">
        <f>ROUND(IF(Q28="O",P28+(3-R28*1/10),P28-(3-R28*1/10)),0)</f>
        <v>29</v>
      </c>
      <c r="T28">
        <f t="shared" si="0"/>
        <v>23</v>
      </c>
      <c r="V28" t="s">
        <v>37</v>
      </c>
      <c r="W28">
        <f>VLOOKUP(VLOOKUP($V28,$O$3:$T$32,6,0),$V$42:$AZ$71,VLOOKUP(W$2,$O$3:$T$32,6,0)+1,0)</f>
        <v>0.38499232269801659</v>
      </c>
      <c r="X28">
        <f>VLOOKUP(VLOOKUP($V28,$O$3:$T$32,6,0),$V$42:$AZ$71,VLOOKUP(X$2,$O$3:$T$32,6,0)+1,0)</f>
        <v>0.59026429763515698</v>
      </c>
      <c r="Y28">
        <f>VLOOKUP(VLOOKUP($V28,$O$3:$T$32,6,0),$V$42:$AZ$71,VLOOKUP(Y$2,$O$3:$T$32,6,0)+1,0)</f>
        <v>0.42288736553718415</v>
      </c>
      <c r="Z28">
        <f>VLOOKUP(VLOOKUP($V28,$O$3:$T$32,6,0),$V$42:$AZ$71,VLOOKUP(Z$2,$O$3:$T$32,6,0)+1,0)</f>
        <v>0.36333193605144004</v>
      </c>
      <c r="AA28">
        <f>VLOOKUP(VLOOKUP($V28,$O$3:$T$32,6,0),$V$42:$AZ$71,VLOOKUP(AA$2,$O$3:$T$32,6,0)+1,0)</f>
        <v>0.29215473840837614</v>
      </c>
      <c r="AB28">
        <f>VLOOKUP(VLOOKUP($V28,$O$3:$T$32,6,0),$V$42:$AZ$71,VLOOKUP(AB$2,$O$3:$T$32,6,0)+1,0)</f>
        <v>0.28370684641324517</v>
      </c>
      <c r="AC28">
        <f>VLOOKUP(VLOOKUP($V28,$O$3:$T$32,6,0),$V$42:$AZ$71,VLOOKUP(AC$2,$O$3:$T$32,6,0)+1,0)</f>
        <v>0.31410312396771667</v>
      </c>
      <c r="AD28">
        <f>VLOOKUP(VLOOKUP($V28,$O$3:$T$32,6,0),$V$42:$AZ$71,VLOOKUP(AD$2,$O$3:$T$32,6,0)+1,0)</f>
        <v>0.42288736553718415</v>
      </c>
      <c r="AE28">
        <f>VLOOKUP(VLOOKUP($V28,$O$3:$T$32,6,0),$V$42:$AZ$71,VLOOKUP(AE$2,$O$3:$T$32,6,0)+1,0)</f>
        <v>0.46720252983216615</v>
      </c>
      <c r="AF28">
        <f>VLOOKUP(VLOOKUP($V28,$O$3:$T$32,6,0),$V$42:$AZ$71,VLOOKUP(AF$2,$O$3:$T$32,6,0)+1,0)</f>
        <v>0.30790869437595753</v>
      </c>
      <c r="AG28">
        <f>VLOOKUP(VLOOKUP($V28,$O$3:$T$32,6,0),$V$42:$AZ$71,VLOOKUP(AG$2,$O$3:$T$32,6,0)+1,0)</f>
        <v>0.34442822733494199</v>
      </c>
      <c r="AH28">
        <f>VLOOKUP(VLOOKUP($V28,$O$3:$T$32,6,0),$V$42:$AZ$71,VLOOKUP(AH$2,$O$3:$T$32,6,0)+1,0)</f>
        <v>0.48330229394593899</v>
      </c>
      <c r="AI28">
        <f>VLOOKUP(VLOOKUP($V28,$O$3:$T$32,6,0),$V$42:$AZ$71,VLOOKUP(AI$2,$O$3:$T$32,6,0)+1,0)</f>
        <v>0.28370684641324517</v>
      </c>
      <c r="AJ28">
        <f>VLOOKUP(VLOOKUP($V28,$O$3:$T$32,6,0),$V$42:$AZ$71,VLOOKUP(AJ$2,$O$3:$T$32,6,0)+1,0)</f>
        <v>0.5</v>
      </c>
      <c r="AK28">
        <f>VLOOKUP(VLOOKUP($V28,$O$3:$T$32,6,0),$V$42:$AZ$71,VLOOKUP(AK$2,$O$3:$T$32,6,0)+1,0)</f>
        <v>0.32809457904793099</v>
      </c>
      <c r="AL28">
        <f>VLOOKUP(VLOOKUP($V28,$O$3:$T$32,6,0),$V$42:$AZ$71,VLOOKUP(AL$2,$O$3:$T$32,6,0)+1,0)</f>
        <v>0.37380818220506512</v>
      </c>
      <c r="AM28">
        <f>VLOOKUP(VLOOKUP($V28,$O$3:$T$32,6,0),$V$42:$AZ$71,VLOOKUP(AM$2,$O$3:$T$32,6,0)+1,0)</f>
        <v>0.57155775136304665</v>
      </c>
      <c r="AN28">
        <f>VLOOKUP(VLOOKUP($V28,$O$3:$T$32,6,0),$V$42:$AZ$71,VLOOKUP(AN$2,$O$3:$T$32,6,0)+1,0)</f>
        <v>0.59026429763515698</v>
      </c>
      <c r="AO28">
        <f>VLOOKUP(VLOOKUP($V28,$O$3:$T$32,6,0),$V$42:$AZ$71,VLOOKUP(AO$2,$O$3:$T$32,6,0)+1,0)</f>
        <v>0.40952872102451271</v>
      </c>
      <c r="AP28">
        <f>VLOOKUP(VLOOKUP($V28,$O$3:$T$32,6,0),$V$42:$AZ$71,VLOOKUP(AP$2,$O$3:$T$32,6,0)+1,0)</f>
        <v>0.42288736553718415</v>
      </c>
      <c r="AQ28">
        <f>VLOOKUP(VLOOKUP($V28,$O$3:$T$32,6,0),$V$42:$AZ$71,VLOOKUP(AQ$2,$O$3:$T$32,6,0)+1,0)</f>
        <v>0.30220652713580148</v>
      </c>
      <c r="AR28">
        <f>VLOOKUP(VLOOKUP($V28,$O$3:$T$32,6,0),$V$42:$AZ$71,VLOOKUP(AR$2,$O$3:$T$32,6,0)+1,0)</f>
        <v>0.53496419100371084</v>
      </c>
      <c r="AS28">
        <f>VLOOKUP(VLOOKUP($V28,$O$3:$T$32,6,0),$V$42:$AZ$71,VLOOKUP(AS$2,$O$3:$T$32,6,0)+1,0)</f>
        <v>0.62804804101525269</v>
      </c>
      <c r="AT28">
        <f>VLOOKUP(VLOOKUP($V28,$O$3:$T$32,6,0),$V$42:$AZ$71,VLOOKUP(AT$2,$O$3:$T$32,6,0)+1,0)</f>
        <v>0.38499232269801659</v>
      </c>
      <c r="AU28">
        <f>VLOOKUP(VLOOKUP($V28,$O$3:$T$32,6,0),$V$42:$AZ$71,VLOOKUP(AU$2,$O$3:$T$32,6,0)+1,0)</f>
        <v>0.3359536996565311</v>
      </c>
      <c r="AV28">
        <f>VLOOKUP(VLOOKUP($V28,$O$3:$T$32,6,0),$V$42:$AZ$71,VLOOKUP(AV$2,$O$3:$T$32,6,0)+1,0)</f>
        <v>0.5</v>
      </c>
      <c r="AW28">
        <f>VLOOKUP(VLOOKUP($V28,$O$3:$T$32,6,0),$V$42:$AZ$71,VLOOKUP(AW$2,$O$3:$T$32,6,0)+1,0)</f>
        <v>0.29215473840837614</v>
      </c>
      <c r="AX28">
        <f>VLOOKUP(VLOOKUP($V28,$O$3:$T$32,6,0),$V$42:$AZ$71,VLOOKUP(AX$2,$O$3:$T$32,6,0)+1,0)</f>
        <v>0.31410312396771667</v>
      </c>
      <c r="AY28">
        <f>VLOOKUP(VLOOKUP($V28,$O$3:$T$32,6,0),$V$42:$AZ$71,VLOOKUP(AY$2,$O$3:$T$32,6,0)+1,0)</f>
        <v>0.53496419100371084</v>
      </c>
      <c r="AZ28">
        <f>VLOOKUP(VLOOKUP($V28,$O$3:$T$32,6,0),$V$42:$AZ$71,VLOOKUP(AZ$2,$O$3:$T$32,6,0)+1,0)</f>
        <v>0.34442822733494199</v>
      </c>
    </row>
    <row r="29" spans="2:52" x14ac:dyDescent="0.25">
      <c r="B29">
        <f>d_win_totals!A28</f>
        <v>87</v>
      </c>
      <c r="C29">
        <f>d_win_totals!B28</f>
        <v>87</v>
      </c>
      <c r="D29">
        <f>d_win_totals!C28</f>
        <v>2014</v>
      </c>
      <c r="E29">
        <f>d_win_totals!D28</f>
        <v>2015</v>
      </c>
      <c r="F29" t="str">
        <f>d_win_totals!E28</f>
        <v>SA</v>
      </c>
      <c r="G29">
        <f>d_win_totals!F28</f>
        <v>56.5</v>
      </c>
      <c r="H29">
        <f>d_win_totals!G28</f>
        <v>55</v>
      </c>
      <c r="I29" t="str">
        <f>d_win_totals!H28</f>
        <v>U</v>
      </c>
      <c r="J29">
        <f>d_win_totals!I28</f>
        <v>-1</v>
      </c>
      <c r="L29">
        <v>27</v>
      </c>
      <c r="M29">
        <f>p_win_totals!B28</f>
        <v>87</v>
      </c>
      <c r="N29" t="str">
        <f>p_win_totals!C28</f>
        <v>Tony</v>
      </c>
      <c r="O29" t="str">
        <f>p_win_totals!D28</f>
        <v>SA</v>
      </c>
      <c r="P29">
        <f>p_win_totals!E28</f>
        <v>56.5</v>
      </c>
      <c r="Q29" t="str">
        <f>p_win_totals!F28</f>
        <v>U</v>
      </c>
      <c r="R29">
        <f>p_win_totals!G28</f>
        <v>24</v>
      </c>
      <c r="S29">
        <f>ROUND(IF(Q29="O",P29+(3-R29*1/10),P29-(3-R29*1/10)),0)</f>
        <v>56</v>
      </c>
      <c r="T29">
        <f t="shared" si="0"/>
        <v>3</v>
      </c>
      <c r="V29" t="s">
        <v>15</v>
      </c>
      <c r="W29">
        <f>VLOOKUP(VLOOKUP($V29,$O$3:$T$32,6,0),$V$42:$AZ$71,VLOOKUP(W$2,$O$3:$T$32,6,0)+1,0)</f>
        <v>0.60265274759969689</v>
      </c>
      <c r="X29">
        <f>VLOOKUP(VLOOKUP($V29,$O$3:$T$32,6,0),$V$42:$AZ$71,VLOOKUP(X$2,$O$3:$T$32,6,0)+1,0)</f>
        <v>0.77729986117469119</v>
      </c>
      <c r="Y29">
        <f>VLOOKUP(VLOOKUP($V29,$O$3:$T$32,6,0),$V$42:$AZ$71,VLOOKUP(Y$2,$O$3:$T$32,6,0)+1,0)</f>
        <v>0.63968802393025326</v>
      </c>
      <c r="Z29">
        <f>VLOOKUP(VLOOKUP($V29,$O$3:$T$32,6,0),$V$42:$AZ$71,VLOOKUP(Z$2,$O$3:$T$32,6,0)+1,0)</f>
        <v>0.58030129025866994</v>
      </c>
      <c r="AA29">
        <f>VLOOKUP(VLOOKUP($V29,$O$3:$T$32,6,0),$V$42:$AZ$71,VLOOKUP(AA$2,$O$3:$T$32,6,0)+1,0)</f>
        <v>0.5</v>
      </c>
      <c r="AB29">
        <f>VLOOKUP(VLOOKUP($V29,$O$3:$T$32,6,0),$V$42:$AZ$71,VLOOKUP(AB$2,$O$3:$T$32,6,0)+1,0)</f>
        <v>0.48969992820199154</v>
      </c>
      <c r="AC29">
        <f>VLOOKUP(VLOOKUP($V29,$O$3:$T$32,6,0),$V$42:$AZ$71,VLOOKUP(AC$2,$O$3:$T$32,6,0)+1,0)</f>
        <v>0.52596063059506537</v>
      </c>
      <c r="AD29">
        <f>VLOOKUP(VLOOKUP($V29,$O$3:$T$32,6,0),$V$42:$AZ$71,VLOOKUP(AD$2,$O$3:$T$32,6,0)+1,0)</f>
        <v>0.63968802393025326</v>
      </c>
      <c r="AE29">
        <f>VLOOKUP(VLOOKUP($V29,$O$3:$T$32,6,0),$V$42:$AZ$71,VLOOKUP(AE$2,$O$3:$T$32,6,0)+1,0)</f>
        <v>0.67995464996754418</v>
      </c>
      <c r="AF29">
        <f>VLOOKUP(VLOOKUP($V29,$O$3:$T$32,6,0),$V$42:$AZ$71,VLOOKUP(AF$2,$O$3:$T$32,6,0)+1,0)</f>
        <v>0.51874803765381217</v>
      </c>
      <c r="AG29">
        <f>VLOOKUP(VLOOKUP($V29,$O$3:$T$32,6,0),$V$42:$AZ$71,VLOOKUP(AG$2,$O$3:$T$32,6,0)+1,0)</f>
        <v>0.5600388834823441</v>
      </c>
      <c r="AH29">
        <f>VLOOKUP(VLOOKUP($V29,$O$3:$T$32,6,0),$V$42:$AZ$71,VLOOKUP(AH$2,$O$3:$T$32,6,0)+1,0)</f>
        <v>0.69383845122039145</v>
      </c>
      <c r="AI29">
        <f>VLOOKUP(VLOOKUP($V29,$O$3:$T$32,6,0),$V$42:$AZ$71,VLOOKUP(AI$2,$O$3:$T$32,6,0)+1,0)</f>
        <v>0.48969992820199154</v>
      </c>
      <c r="AJ29">
        <f>VLOOKUP(VLOOKUP($V29,$O$3:$T$32,6,0),$V$42:$AZ$71,VLOOKUP(AJ$2,$O$3:$T$32,6,0)+1,0)</f>
        <v>0.70784526159162375</v>
      </c>
      <c r="AK29">
        <f>VLOOKUP(VLOOKUP($V29,$O$3:$T$32,6,0),$V$42:$AZ$71,VLOOKUP(AK$2,$O$3:$T$32,6,0)+1,0)</f>
        <v>0.54193283576822526</v>
      </c>
      <c r="AL29">
        <f>VLOOKUP(VLOOKUP($V29,$O$3:$T$32,6,0),$V$42:$AZ$71,VLOOKUP(AL$2,$O$3:$T$32,6,0)+1,0)</f>
        <v>0.59122407999213222</v>
      </c>
      <c r="AM29">
        <f>VLOOKUP(VLOOKUP($V29,$O$3:$T$32,6,0),$V$42:$AZ$71,VLOOKUP(AM$2,$O$3:$T$32,6,0)+1,0)</f>
        <v>0.76371419200876312</v>
      </c>
      <c r="AN29">
        <f>VLOOKUP(VLOOKUP($V29,$O$3:$T$32,6,0),$V$42:$AZ$71,VLOOKUP(AN$2,$O$3:$T$32,6,0)+1,0)</f>
        <v>0.77729986117469119</v>
      </c>
      <c r="AO29">
        <f>VLOOKUP(VLOOKUP($V29,$O$3:$T$32,6,0),$V$42:$AZ$71,VLOOKUP(AO$2,$O$3:$T$32,6,0)+1,0)</f>
        <v>0.62692044428040861</v>
      </c>
      <c r="AP29">
        <f>VLOOKUP(VLOOKUP($V29,$O$3:$T$32,6,0),$V$42:$AZ$71,VLOOKUP(AP$2,$O$3:$T$32,6,0)+1,0)</f>
        <v>0.63968802393025326</v>
      </c>
      <c r="AQ29">
        <f>VLOOKUP(VLOOKUP($V29,$O$3:$T$32,6,0),$V$42:$AZ$71,VLOOKUP(AQ$2,$O$3:$T$32,6,0)+1,0)</f>
        <v>0.51203002742234893</v>
      </c>
      <c r="AR29">
        <f>VLOOKUP(VLOOKUP($V29,$O$3:$T$32,6,0),$V$42:$AZ$71,VLOOKUP(AR$2,$O$3:$T$32,6,0)+1,0)</f>
        <v>0.73595070405215601</v>
      </c>
      <c r="AS29">
        <f>VLOOKUP(VLOOKUP($V29,$O$3:$T$32,6,0),$V$42:$AZ$71,VLOOKUP(AS$2,$O$3:$T$32,6,0)+1,0)</f>
        <v>0.80357563767142925</v>
      </c>
      <c r="AT29">
        <f>VLOOKUP(VLOOKUP($V29,$O$3:$T$32,6,0),$V$42:$AZ$71,VLOOKUP(AT$2,$O$3:$T$32,6,0)+1,0)</f>
        <v>0.60265274759969689</v>
      </c>
      <c r="AU29">
        <f>VLOOKUP(VLOOKUP($V29,$O$3:$T$32,6,0),$V$42:$AZ$71,VLOOKUP(AU$2,$O$3:$T$32,6,0)+1,0)</f>
        <v>0.55071584036741195</v>
      </c>
      <c r="AV29">
        <f>VLOOKUP(VLOOKUP($V29,$O$3:$T$32,6,0),$V$42:$AZ$71,VLOOKUP(AV$2,$O$3:$T$32,6,0)+1,0)</f>
        <v>0.70784526159162375</v>
      </c>
      <c r="AW29">
        <f>VLOOKUP(VLOOKUP($V29,$O$3:$T$32,6,0),$V$42:$AZ$71,VLOOKUP(AW$2,$O$3:$T$32,6,0)+1,0)</f>
        <v>0.5</v>
      </c>
      <c r="AX29">
        <f>VLOOKUP(VLOOKUP($V29,$O$3:$T$32,6,0),$V$42:$AZ$71,VLOOKUP(AX$2,$O$3:$T$32,6,0)+1,0)</f>
        <v>0.52596063059506537</v>
      </c>
      <c r="AY29">
        <f>VLOOKUP(VLOOKUP($V29,$O$3:$T$32,6,0),$V$42:$AZ$71,VLOOKUP(AY$2,$O$3:$T$32,6,0)+1,0)</f>
        <v>0.73595070405215601</v>
      </c>
      <c r="AZ29">
        <f>VLOOKUP(VLOOKUP($V29,$O$3:$T$32,6,0),$V$42:$AZ$71,VLOOKUP(AZ$2,$O$3:$T$32,6,0)+1,0)</f>
        <v>0.5600388834823441</v>
      </c>
    </row>
    <row r="30" spans="2:52" x14ac:dyDescent="0.25">
      <c r="B30">
        <f>d_win_totals!A29</f>
        <v>88</v>
      </c>
      <c r="C30">
        <f>d_win_totals!B29</f>
        <v>88</v>
      </c>
      <c r="D30">
        <f>d_win_totals!C29</f>
        <v>2014</v>
      </c>
      <c r="E30">
        <f>d_win_totals!D29</f>
        <v>2015</v>
      </c>
      <c r="F30" t="str">
        <f>d_win_totals!E29</f>
        <v>TOR</v>
      </c>
      <c r="G30">
        <f>d_win_totals!F29</f>
        <v>49.5</v>
      </c>
      <c r="H30">
        <f>d_win_totals!G29</f>
        <v>49</v>
      </c>
      <c r="I30" t="str">
        <f>d_win_totals!H29</f>
        <v>U</v>
      </c>
      <c r="J30">
        <f>d_win_totals!I29</f>
        <v>-1</v>
      </c>
      <c r="L30">
        <v>28</v>
      </c>
      <c r="M30">
        <f>p_win_totals!B29</f>
        <v>88</v>
      </c>
      <c r="N30" t="str">
        <f>p_win_totals!C29</f>
        <v>Tony</v>
      </c>
      <c r="O30" t="str">
        <f>p_win_totals!D29</f>
        <v>TOR</v>
      </c>
      <c r="P30">
        <f>p_win_totals!E29</f>
        <v>49.5</v>
      </c>
      <c r="Q30" t="str">
        <f>p_win_totals!F29</f>
        <v>O</v>
      </c>
      <c r="R30">
        <f>p_win_totals!G29</f>
        <v>7</v>
      </c>
      <c r="S30">
        <f>ROUND(IF(Q30="O",P30+(3-R30*1/10),P30-(3-R30*1/10)),0)</f>
        <v>52</v>
      </c>
      <c r="T30">
        <f t="shared" si="0"/>
        <v>7</v>
      </c>
      <c r="V30" t="s">
        <v>27</v>
      </c>
      <c r="W30">
        <f>VLOOKUP(VLOOKUP($V30,$O$3:$T$32,6,0),$V$42:$AZ$71,VLOOKUP(W$2,$O$3:$T$32,6,0)+1,0)</f>
        <v>0.57751844190882151</v>
      </c>
      <c r="X30">
        <f>VLOOKUP(VLOOKUP($V30,$O$3:$T$32,6,0),$V$42:$AZ$71,VLOOKUP(X$2,$O$3:$T$32,6,0)+1,0)</f>
        <v>0.75879125867873198</v>
      </c>
      <c r="Y30">
        <f>VLOOKUP(VLOOKUP($V30,$O$3:$T$32,6,0),$V$42:$AZ$71,VLOOKUP(Y$2,$O$3:$T$32,6,0)+1,0)</f>
        <v>0.61540135422811282</v>
      </c>
      <c r="Z30">
        <f>VLOOKUP(VLOOKUP($V30,$O$3:$T$32,6,0),$V$42:$AZ$71,VLOOKUP(Z$2,$O$3:$T$32,6,0)+1,0)</f>
        <v>0.55479759978041154</v>
      </c>
      <c r="AA30">
        <f>VLOOKUP(VLOOKUP($V30,$O$3:$T$32,6,0),$V$42:$AZ$71,VLOOKUP(AA$2,$O$3:$T$32,6,0)+1,0)</f>
        <v>0.47403936940493457</v>
      </c>
      <c r="AB30">
        <f>VLOOKUP(VLOOKUP($V30,$O$3:$T$32,6,0),$V$42:$AZ$71,VLOOKUP(AB$2,$O$3:$T$32,6,0)+1,0)</f>
        <v>0.46377804008771911</v>
      </c>
      <c r="AC30">
        <f>VLOOKUP(VLOOKUP($V30,$O$3:$T$32,6,0),$V$42:$AZ$71,VLOOKUP(AC$2,$O$3:$T$32,6,0)+1,0)</f>
        <v>0.5</v>
      </c>
      <c r="AD30">
        <f>VLOOKUP(VLOOKUP($V30,$O$3:$T$32,6,0),$V$42:$AZ$71,VLOOKUP(AD$2,$O$3:$T$32,6,0)+1,0)</f>
        <v>0.61540135422811282</v>
      </c>
      <c r="AE30">
        <f>VLOOKUP(VLOOKUP($V30,$O$3:$T$32,6,0),$V$42:$AZ$71,VLOOKUP(AE$2,$O$3:$T$32,6,0)+1,0)</f>
        <v>0.65692649613824394</v>
      </c>
      <c r="AF30">
        <f>VLOOKUP(VLOOKUP($V30,$O$3:$T$32,6,0),$V$42:$AZ$71,VLOOKUP(AF$2,$O$3:$T$32,6,0)+1,0)</f>
        <v>0.49277333787842664</v>
      </c>
      <c r="AG30">
        <f>VLOOKUP(VLOOKUP($V30,$O$3:$T$32,6,0),$V$42:$AZ$71,VLOOKUP(AG$2,$O$3:$T$32,6,0)+1,0)</f>
        <v>0.53429204972678024</v>
      </c>
      <c r="AH30">
        <f>VLOOKUP(VLOOKUP($V30,$O$3:$T$32,6,0),$V$42:$AZ$71,VLOOKUP(AH$2,$O$3:$T$32,6,0)+1,0)</f>
        <v>0.67132639370189251</v>
      </c>
      <c r="AI30">
        <f>VLOOKUP(VLOOKUP($V30,$O$3:$T$32,6,0),$V$42:$AZ$71,VLOOKUP(AI$2,$O$3:$T$32,6,0)+1,0)</f>
        <v>0.46377804008771911</v>
      </c>
      <c r="AJ30">
        <f>VLOOKUP(VLOOKUP($V30,$O$3:$T$32,6,0),$V$42:$AZ$71,VLOOKUP(AJ$2,$O$3:$T$32,6,0)+1,0)</f>
        <v>0.68589687603228333</v>
      </c>
      <c r="AK30">
        <f>VLOOKUP(VLOOKUP($V30,$O$3:$T$32,6,0),$V$42:$AZ$71,VLOOKUP(AK$2,$O$3:$T$32,6,0)+1,0)</f>
        <v>0.51604205889789367</v>
      </c>
      <c r="AL30">
        <f>VLOOKUP(VLOOKUP($V30,$O$3:$T$32,6,0),$V$42:$AZ$71,VLOOKUP(AL$2,$O$3:$T$32,6,0)+1,0)</f>
        <v>0.56588759857073379</v>
      </c>
      <c r="AM30">
        <f>VLOOKUP(VLOOKUP($V30,$O$3:$T$32,6,0),$V$42:$AZ$71,VLOOKUP(AM$2,$O$3:$T$32,6,0)+1,0)</f>
        <v>0.74444769979948933</v>
      </c>
      <c r="AN30">
        <f>VLOOKUP(VLOOKUP($V30,$O$3:$T$32,6,0),$V$42:$AZ$71,VLOOKUP(AN$2,$O$3:$T$32,6,0)+1,0)</f>
        <v>0.75879125867873198</v>
      </c>
      <c r="AO30">
        <f>VLOOKUP(VLOOKUP($V30,$O$3:$T$32,6,0),$V$42:$AZ$71,VLOOKUP(AO$2,$O$3:$T$32,6,0)+1,0)</f>
        <v>0.60230820918773997</v>
      </c>
      <c r="AP30">
        <f>VLOOKUP(VLOOKUP($V30,$O$3:$T$32,6,0),$V$42:$AZ$71,VLOOKUP(AP$2,$O$3:$T$32,6,0)+1,0)</f>
        <v>0.61540135422811282</v>
      </c>
      <c r="AQ30">
        <f>VLOOKUP(VLOOKUP($V30,$O$3:$T$32,6,0),$V$42:$AZ$71,VLOOKUP(AQ$2,$O$3:$T$32,6,0)+1,0)</f>
        <v>0.48605197255538951</v>
      </c>
      <c r="AR30">
        <f>VLOOKUP(VLOOKUP($V30,$O$3:$T$32,6,0),$V$42:$AZ$71,VLOOKUP(AR$2,$O$3:$T$32,6,0)+1,0)</f>
        <v>0.71526442122822687</v>
      </c>
      <c r="AS30">
        <f>VLOOKUP(VLOOKUP($V30,$O$3:$T$32,6,0),$V$42:$AZ$71,VLOOKUP(AS$2,$O$3:$T$32,6,0)+1,0)</f>
        <v>0.78665142374290065</v>
      </c>
      <c r="AT30">
        <f>VLOOKUP(VLOOKUP($V30,$O$3:$T$32,6,0),$V$42:$AZ$71,VLOOKUP(AT$2,$O$3:$T$32,6,0)+1,0)</f>
        <v>0.57751844190882151</v>
      </c>
      <c r="AU30">
        <f>VLOOKUP(VLOOKUP($V30,$O$3:$T$32,6,0),$V$42:$AZ$71,VLOOKUP(AU$2,$O$3:$T$32,6,0)+1,0)</f>
        <v>0.52488627234984619</v>
      </c>
      <c r="AV30">
        <f>VLOOKUP(VLOOKUP($V30,$O$3:$T$32,6,0),$V$42:$AZ$71,VLOOKUP(AV$2,$O$3:$T$32,6,0)+1,0)</f>
        <v>0.68589687603228333</v>
      </c>
      <c r="AW30">
        <f>VLOOKUP(VLOOKUP($V30,$O$3:$T$32,6,0),$V$42:$AZ$71,VLOOKUP(AW$2,$O$3:$T$32,6,0)+1,0)</f>
        <v>0.47403936940493457</v>
      </c>
      <c r="AX30">
        <f>VLOOKUP(VLOOKUP($V30,$O$3:$T$32,6,0),$V$42:$AZ$71,VLOOKUP(AX$2,$O$3:$T$32,6,0)+1,0)</f>
        <v>0.5</v>
      </c>
      <c r="AY30">
        <f>VLOOKUP(VLOOKUP($V30,$O$3:$T$32,6,0),$V$42:$AZ$71,VLOOKUP(AY$2,$O$3:$T$32,6,0)+1,0)</f>
        <v>0.71526442122822687</v>
      </c>
      <c r="AZ30">
        <f>VLOOKUP(VLOOKUP($V30,$O$3:$T$32,6,0),$V$42:$AZ$71,VLOOKUP(AZ$2,$O$3:$T$32,6,0)+1,0)</f>
        <v>0.53429204972678024</v>
      </c>
    </row>
    <row r="31" spans="2:52" x14ac:dyDescent="0.25">
      <c r="B31">
        <f>d_win_totals!A30</f>
        <v>89</v>
      </c>
      <c r="C31">
        <f>d_win_totals!B30</f>
        <v>89</v>
      </c>
      <c r="D31">
        <f>d_win_totals!C30</f>
        <v>2014</v>
      </c>
      <c r="E31">
        <f>d_win_totals!D30</f>
        <v>2015</v>
      </c>
      <c r="F31" t="str">
        <f>d_win_totals!E30</f>
        <v>UTAH</v>
      </c>
      <c r="G31">
        <f>d_win_totals!F30</f>
        <v>25.5</v>
      </c>
      <c r="H31">
        <f>d_win_totals!G30</f>
        <v>38</v>
      </c>
      <c r="I31" t="str">
        <f>d_win_totals!H30</f>
        <v>O</v>
      </c>
      <c r="J31">
        <f>d_win_totals!I30</f>
        <v>1</v>
      </c>
      <c r="L31">
        <v>29</v>
      </c>
      <c r="M31">
        <f>p_win_totals!B30</f>
        <v>89</v>
      </c>
      <c r="N31" t="str">
        <f>p_win_totals!C30</f>
        <v>Tony</v>
      </c>
      <c r="O31" t="str">
        <f>p_win_totals!D30</f>
        <v>UTAH</v>
      </c>
      <c r="P31">
        <f>p_win_totals!E30</f>
        <v>25.5</v>
      </c>
      <c r="Q31" t="str">
        <f>p_win_totals!F30</f>
        <v>O</v>
      </c>
      <c r="R31">
        <f>p_win_totals!G30</f>
        <v>18</v>
      </c>
      <c r="S31">
        <f>ROUND(IF(Q31="O",P31+(3-R31*1/10),P31-(3-R31*1/10)),0)</f>
        <v>27</v>
      </c>
      <c r="T31">
        <f t="shared" si="0"/>
        <v>25</v>
      </c>
      <c r="V31" t="s">
        <v>34</v>
      </c>
      <c r="W31">
        <f>VLOOKUP(VLOOKUP($V31,$O$3:$T$32,6,0),$V$42:$AZ$71,VLOOKUP(W$2,$O$3:$T$32,6,0)+1,0)</f>
        <v>0.35240218376319032</v>
      </c>
      <c r="X31">
        <f>VLOOKUP(VLOOKUP($V31,$O$3:$T$32,6,0),$V$42:$AZ$71,VLOOKUP(X$2,$O$3:$T$32,6,0)+1,0)</f>
        <v>0.5560071448932028</v>
      </c>
      <c r="Y31">
        <f>VLOOKUP(VLOOKUP($V31,$O$3:$T$32,6,0),$V$42:$AZ$71,VLOOKUP(Y$2,$O$3:$T$32,6,0)+1,0)</f>
        <v>0.38911899551058127</v>
      </c>
      <c r="Z31">
        <f>VLOOKUP(VLOOKUP($V31,$O$3:$T$32,6,0),$V$42:$AZ$71,VLOOKUP(Z$2,$O$3:$T$32,6,0)+1,0)</f>
        <v>0.33158678730799973</v>
      </c>
      <c r="AA31">
        <f>VLOOKUP(VLOOKUP($V31,$O$3:$T$32,6,0),$V$42:$AZ$71,VLOOKUP(AA$2,$O$3:$T$32,6,0)+1,0)</f>
        <v>0.26404929594784404</v>
      </c>
      <c r="AB31">
        <f>VLOOKUP(VLOOKUP($V31,$O$3:$T$32,6,0),$V$42:$AZ$71,VLOOKUP(AB$2,$O$3:$T$32,6,0)+1,0)</f>
        <v>0.25612003899425795</v>
      </c>
      <c r="AC31">
        <f>VLOOKUP(VLOOKUP($V31,$O$3:$T$32,6,0),$V$42:$AZ$71,VLOOKUP(AC$2,$O$3:$T$32,6,0)+1,0)</f>
        <v>0.28473557877177313</v>
      </c>
      <c r="AD31">
        <f>VLOOKUP(VLOOKUP($V31,$O$3:$T$32,6,0),$V$42:$AZ$71,VLOOKUP(AD$2,$O$3:$T$32,6,0)+1,0)</f>
        <v>0.38911899551058127</v>
      </c>
      <c r="AE31">
        <f>VLOOKUP(VLOOKUP($V31,$O$3:$T$32,6,0),$V$42:$AZ$71,VLOOKUP(AE$2,$O$3:$T$32,6,0)+1,0)</f>
        <v>0.43254773884592373</v>
      </c>
      <c r="AF31">
        <f>VLOOKUP(VLOOKUP($V31,$O$3:$T$32,6,0),$V$42:$AZ$71,VLOOKUP(AF$2,$O$3:$T$32,6,0)+1,0)</f>
        <v>0.27888482197713693</v>
      </c>
      <c r="AG31">
        <f>VLOOKUP(VLOOKUP($V31,$O$3:$T$32,6,0),$V$42:$AZ$71,VLOOKUP(AG$2,$O$3:$T$32,6,0)+1,0)</f>
        <v>0.31352139396241918</v>
      </c>
      <c r="AH31">
        <f>VLOOKUP(VLOOKUP($V31,$O$3:$T$32,6,0),$V$42:$AZ$71,VLOOKUP(AH$2,$O$3:$T$32,6,0)+1,0)</f>
        <v>0.44845846722065585</v>
      </c>
      <c r="AI31">
        <f>VLOOKUP(VLOOKUP($V31,$O$3:$T$32,6,0),$V$42:$AZ$71,VLOOKUP(AI$2,$O$3:$T$32,6,0)+1,0)</f>
        <v>0.25612003899425795</v>
      </c>
      <c r="AJ31">
        <f>VLOOKUP(VLOOKUP($V31,$O$3:$T$32,6,0),$V$42:$AZ$71,VLOOKUP(AJ$2,$O$3:$T$32,6,0)+1,0)</f>
        <v>0.46503580899628916</v>
      </c>
      <c r="AK31">
        <f>VLOOKUP(VLOOKUP($V31,$O$3:$T$32,6,0),$V$42:$AZ$71,VLOOKUP(AK$2,$O$3:$T$32,6,0)+1,0)</f>
        <v>0.29798720706370802</v>
      </c>
      <c r="AL31">
        <f>VLOOKUP(VLOOKUP($V31,$O$3:$T$32,6,0),$V$42:$AZ$71,VLOOKUP(AL$2,$O$3:$T$32,6,0)+1,0)</f>
        <v>0.34163887179980024</v>
      </c>
      <c r="AM31">
        <f>VLOOKUP(VLOOKUP($V31,$O$3:$T$32,6,0),$V$42:$AZ$71,VLOOKUP(AM$2,$O$3:$T$32,6,0)+1,0)</f>
        <v>0.53696348483678247</v>
      </c>
      <c r="AN31">
        <f>VLOOKUP(VLOOKUP($V31,$O$3:$T$32,6,0),$V$42:$AZ$71,VLOOKUP(AN$2,$O$3:$T$32,6,0)+1,0)</f>
        <v>0.5560071448932028</v>
      </c>
      <c r="AO31">
        <f>VLOOKUP(VLOOKUP($V31,$O$3:$T$32,6,0),$V$42:$AZ$71,VLOOKUP(AO$2,$O$3:$T$32,6,0)+1,0)</f>
        <v>0.37613183641092696</v>
      </c>
      <c r="AP31">
        <f>VLOOKUP(VLOOKUP($V31,$O$3:$T$32,6,0),$V$42:$AZ$71,VLOOKUP(AP$2,$O$3:$T$32,6,0)+1,0)</f>
        <v>0.38911899551058127</v>
      </c>
      <c r="AQ31">
        <f>VLOOKUP(VLOOKUP($V31,$O$3:$T$32,6,0),$V$42:$AZ$71,VLOOKUP(AQ$2,$O$3:$T$32,6,0)+1,0)</f>
        <v>0.27350773614952834</v>
      </c>
      <c r="AR31">
        <f>VLOOKUP(VLOOKUP($V31,$O$3:$T$32,6,0),$V$42:$AZ$71,VLOOKUP(AR$2,$O$3:$T$32,6,0)+1,0)</f>
        <v>0.5</v>
      </c>
      <c r="AS31">
        <f>VLOOKUP(VLOOKUP($V31,$O$3:$T$32,6,0),$V$42:$AZ$71,VLOOKUP(AS$2,$O$3:$T$32,6,0)+1,0)</f>
        <v>0.59478122871339911</v>
      </c>
      <c r="AT31">
        <f>VLOOKUP(VLOOKUP($V31,$O$3:$T$32,6,0),$V$42:$AZ$71,VLOOKUP(AT$2,$O$3:$T$32,6,0)+1,0)</f>
        <v>0.35240218376319032</v>
      </c>
      <c r="AU31">
        <f>VLOOKUP(VLOOKUP($V31,$O$3:$T$32,6,0),$V$42:$AZ$71,VLOOKUP(AU$2,$O$3:$T$32,6,0)+1,0)</f>
        <v>0.305452997556169</v>
      </c>
      <c r="AV31">
        <f>VLOOKUP(VLOOKUP($V31,$O$3:$T$32,6,0),$V$42:$AZ$71,VLOOKUP(AV$2,$O$3:$T$32,6,0)+1,0)</f>
        <v>0.46503580899628916</v>
      </c>
      <c r="AW31">
        <f>VLOOKUP(VLOOKUP($V31,$O$3:$T$32,6,0),$V$42:$AZ$71,VLOOKUP(AW$2,$O$3:$T$32,6,0)+1,0)</f>
        <v>0.26404929594784404</v>
      </c>
      <c r="AX31">
        <f>VLOOKUP(VLOOKUP($V31,$O$3:$T$32,6,0),$V$42:$AZ$71,VLOOKUP(AX$2,$O$3:$T$32,6,0)+1,0)</f>
        <v>0.28473557877177313</v>
      </c>
      <c r="AY31">
        <f>VLOOKUP(VLOOKUP($V31,$O$3:$T$32,6,0),$V$42:$AZ$71,VLOOKUP(AY$2,$O$3:$T$32,6,0)+1,0)</f>
        <v>0.5</v>
      </c>
      <c r="AZ31">
        <f>VLOOKUP(VLOOKUP($V31,$O$3:$T$32,6,0),$V$42:$AZ$71,VLOOKUP(AZ$2,$O$3:$T$32,6,0)+1,0)</f>
        <v>0.31352139396241918</v>
      </c>
    </row>
    <row r="32" spans="2:52" x14ac:dyDescent="0.25">
      <c r="B32">
        <f>d_win_totals!A31</f>
        <v>90</v>
      </c>
      <c r="C32">
        <f>d_win_totals!B31</f>
        <v>90</v>
      </c>
      <c r="D32">
        <f>d_win_totals!C31</f>
        <v>2014</v>
      </c>
      <c r="E32">
        <f>d_win_totals!D31</f>
        <v>2015</v>
      </c>
      <c r="F32" t="str">
        <f>d_win_totals!E31</f>
        <v>WSH</v>
      </c>
      <c r="G32">
        <f>d_win_totals!F31</f>
        <v>49.5</v>
      </c>
      <c r="H32">
        <f>d_win_totals!G31</f>
        <v>46</v>
      </c>
      <c r="I32" t="str">
        <f>d_win_totals!H31</f>
        <v>U</v>
      </c>
      <c r="J32">
        <f>d_win_totals!I31</f>
        <v>-1</v>
      </c>
      <c r="L32">
        <v>30</v>
      </c>
      <c r="M32">
        <f>p_win_totals!B31</f>
        <v>90</v>
      </c>
      <c r="N32" t="str">
        <f>p_win_totals!C31</f>
        <v>Tony</v>
      </c>
      <c r="O32" t="str">
        <f>p_win_totals!D31</f>
        <v>WSH</v>
      </c>
      <c r="P32">
        <f>p_win_totals!E31</f>
        <v>49.5</v>
      </c>
      <c r="Q32" t="str">
        <f>p_win_totals!F31</f>
        <v>U</v>
      </c>
      <c r="R32">
        <f>p_win_totals!G31</f>
        <v>17</v>
      </c>
      <c r="S32">
        <f>ROUND(IF(Q32="O",P32+(3-R32*1/10),P32-(3-R32*1/10)),0)</f>
        <v>48</v>
      </c>
      <c r="T32">
        <f t="shared" si="0"/>
        <v>11</v>
      </c>
      <c r="V32" t="s">
        <v>25</v>
      </c>
      <c r="W32">
        <f>VLOOKUP(VLOOKUP($V32,$O$3:$T$32,6,0),$V$42:$AZ$71,VLOOKUP(W$2,$O$3:$T$32,6,0)+1,0)</f>
        <v>0.54369096101297021</v>
      </c>
      <c r="X32">
        <f>VLOOKUP(VLOOKUP($V32,$O$3:$T$32,6,0),$V$42:$AZ$71,VLOOKUP(X$2,$O$3:$T$32,6,0)+1,0)</f>
        <v>0.73276177017311905</v>
      </c>
      <c r="Y32">
        <f>VLOOKUP(VLOOKUP($V32,$O$3:$T$32,6,0),$V$42:$AZ$71,VLOOKUP(Y$2,$O$3:$T$32,6,0)+1,0)</f>
        <v>0.5824138662182502</v>
      </c>
      <c r="Z32">
        <f>VLOOKUP(VLOOKUP($V32,$O$3:$T$32,6,0),$V$42:$AZ$71,VLOOKUP(Z$2,$O$3:$T$32,6,0)+1,0)</f>
        <v>0.52066084706402804</v>
      </c>
      <c r="AA32">
        <f>VLOOKUP(VLOOKUP($V32,$O$3:$T$32,6,0),$V$42:$AZ$71,VLOOKUP(AA$2,$O$3:$T$32,6,0)+1,0)</f>
        <v>0.43996111651765601</v>
      </c>
      <c r="AB32">
        <f>VLOOKUP(VLOOKUP($V32,$O$3:$T$32,6,0),$V$42:$AZ$71,VLOOKUP(AB$2,$O$3:$T$32,6,0)+1,0)</f>
        <v>0.42983460718544747</v>
      </c>
      <c r="AC32">
        <f>VLOOKUP(VLOOKUP($V32,$O$3:$T$32,6,0),$V$42:$AZ$71,VLOOKUP(AC$2,$O$3:$T$32,6,0)+1,0)</f>
        <v>0.46570795027321976</v>
      </c>
      <c r="AD32">
        <f>VLOOKUP(VLOOKUP($V32,$O$3:$T$32,6,0),$V$42:$AZ$71,VLOOKUP(AD$2,$O$3:$T$32,6,0)+1,0)</f>
        <v>0.5824138662182502</v>
      </c>
      <c r="AE32">
        <f>VLOOKUP(VLOOKUP($V32,$O$3:$T$32,6,0),$V$42:$AZ$71,VLOOKUP(AE$2,$O$3:$T$32,6,0)+1,0)</f>
        <v>0.6253322641088489</v>
      </c>
      <c r="AF32">
        <f>VLOOKUP(VLOOKUP($V32,$O$3:$T$32,6,0),$V$42:$AZ$71,VLOOKUP(AF$2,$O$3:$T$32,6,0)+1,0)</f>
        <v>0.45852240357512825</v>
      </c>
      <c r="AG32">
        <f>VLOOKUP(VLOOKUP($V32,$O$3:$T$32,6,0),$V$42:$AZ$71,VLOOKUP(AG$2,$O$3:$T$32,6,0)+1,0)</f>
        <v>0.5</v>
      </c>
      <c r="AH32">
        <f>VLOOKUP(VLOOKUP($V32,$O$3:$T$32,6,0),$V$42:$AZ$71,VLOOKUP(AH$2,$O$3:$T$32,6,0)+1,0)</f>
        <v>0.64033222606353968</v>
      </c>
      <c r="AI32">
        <f>VLOOKUP(VLOOKUP($V32,$O$3:$T$32,6,0),$V$42:$AZ$71,VLOOKUP(AI$2,$O$3:$T$32,6,0)+1,0)</f>
        <v>0.42983460718544747</v>
      </c>
      <c r="AJ32">
        <f>VLOOKUP(VLOOKUP($V32,$O$3:$T$32,6,0),$V$42:$AZ$71,VLOOKUP(AJ$2,$O$3:$T$32,6,0)+1,0)</f>
        <v>0.65557177266505795</v>
      </c>
      <c r="AK32">
        <f>VLOOKUP(VLOOKUP($V32,$O$3:$T$32,6,0),$V$42:$AZ$71,VLOOKUP(AK$2,$O$3:$T$32,6,0)+1,0)</f>
        <v>0.48170976222854806</v>
      </c>
      <c r="AL32">
        <f>VLOOKUP(VLOOKUP($V32,$O$3:$T$32,6,0),$V$42:$AZ$71,VLOOKUP(AL$2,$O$3:$T$32,6,0)+1,0)</f>
        <v>0.53188370365769178</v>
      </c>
      <c r="AM32">
        <f>VLOOKUP(VLOOKUP($V32,$O$3:$T$32,6,0),$V$42:$AZ$71,VLOOKUP(AM$2,$O$3:$T$32,6,0)+1,0)</f>
        <v>0.71744673717528584</v>
      </c>
      <c r="AN32">
        <f>VLOOKUP(VLOOKUP($V32,$O$3:$T$32,6,0),$V$42:$AZ$71,VLOOKUP(AN$2,$O$3:$T$32,6,0)+1,0)</f>
        <v>0.73276177017311905</v>
      </c>
      <c r="AO32">
        <f>VLOOKUP(VLOOKUP($V32,$O$3:$T$32,6,0),$V$42:$AZ$71,VLOOKUP(AO$2,$O$3:$T$32,6,0)+1,0)</f>
        <v>0.56898424522980195</v>
      </c>
      <c r="AP32">
        <f>VLOOKUP(VLOOKUP($V32,$O$3:$T$32,6,0),$V$42:$AZ$71,VLOOKUP(AP$2,$O$3:$T$32,6,0)+1,0)</f>
        <v>0.5824138662182502</v>
      </c>
      <c r="AQ32">
        <f>VLOOKUP(VLOOKUP($V32,$O$3:$T$32,6,0),$V$42:$AZ$71,VLOOKUP(AQ$2,$O$3:$T$32,6,0)+1,0)</f>
        <v>0.45185204074660917</v>
      </c>
      <c r="AR32">
        <f>VLOOKUP(VLOOKUP($V32,$O$3:$T$32,6,0),$V$42:$AZ$71,VLOOKUP(AR$2,$O$3:$T$32,6,0)+1,0)</f>
        <v>0.68647860603758082</v>
      </c>
      <c r="AS32">
        <f>VLOOKUP(VLOOKUP($V32,$O$3:$T$32,6,0),$V$42:$AZ$71,VLOOKUP(AS$2,$O$3:$T$32,6,0)+1,0)</f>
        <v>0.76268812927878615</v>
      </c>
      <c r="AT32">
        <f>VLOOKUP(VLOOKUP($V32,$O$3:$T$32,6,0),$V$42:$AZ$71,VLOOKUP(AT$2,$O$3:$T$32,6,0)+1,0)</f>
        <v>0.54369096101297021</v>
      </c>
      <c r="AU32">
        <f>VLOOKUP(VLOOKUP($V32,$O$3:$T$32,6,0),$V$42:$AZ$71,VLOOKUP(AU$2,$O$3:$T$32,6,0)+1,0)</f>
        <v>0.4905620050347928</v>
      </c>
      <c r="AV32">
        <f>VLOOKUP(VLOOKUP($V32,$O$3:$T$32,6,0),$V$42:$AZ$71,VLOOKUP(AV$2,$O$3:$T$32,6,0)+1,0)</f>
        <v>0.65557177266505795</v>
      </c>
      <c r="AW32">
        <f>VLOOKUP(VLOOKUP($V32,$O$3:$T$32,6,0),$V$42:$AZ$71,VLOOKUP(AW$2,$O$3:$T$32,6,0)+1,0)</f>
        <v>0.43996111651765601</v>
      </c>
      <c r="AX32">
        <f>VLOOKUP(VLOOKUP($V32,$O$3:$T$32,6,0),$V$42:$AZ$71,VLOOKUP(AX$2,$O$3:$T$32,6,0)+1,0)</f>
        <v>0.46570795027321976</v>
      </c>
      <c r="AY32">
        <f>VLOOKUP(VLOOKUP($V32,$O$3:$T$32,6,0),$V$42:$AZ$71,VLOOKUP(AY$2,$O$3:$T$32,6,0)+1,0)</f>
        <v>0.68647860603758082</v>
      </c>
      <c r="AZ32">
        <f>VLOOKUP(VLOOKUP($V32,$O$3:$T$32,6,0),$V$42:$AZ$71,VLOOKUP(AZ$2,$O$3:$T$32,6,0)+1,0)</f>
        <v>0.5</v>
      </c>
    </row>
    <row r="33" spans="1:52" x14ac:dyDescent="0.25">
      <c r="A33" t="s">
        <v>49</v>
      </c>
      <c r="G33">
        <f>SUM(G3:G32)</f>
        <v>1242</v>
      </c>
      <c r="H33">
        <f>SUM(H3:H32)</f>
        <v>1230</v>
      </c>
      <c r="J33">
        <f t="shared" ref="J33" si="1">SUM(J3:J32)</f>
        <v>-4</v>
      </c>
      <c r="R33">
        <f>SUM(R3:R32)</f>
        <v>467</v>
      </c>
      <c r="S33">
        <f>SUM(S3:S32)</f>
        <v>1241</v>
      </c>
      <c r="T33">
        <f>SUM(T3:T32)</f>
        <v>454</v>
      </c>
    </row>
    <row r="34" spans="1:52" x14ac:dyDescent="0.25">
      <c r="A34" t="s">
        <v>119</v>
      </c>
      <c r="G34">
        <f>AVERAGE(G3:G32)</f>
        <v>41.4</v>
      </c>
      <c r="H34">
        <f>AVERAGE(H3:H32)</f>
        <v>41</v>
      </c>
      <c r="J34">
        <f t="shared" ref="J34" si="2">AVERAGE(J3:J32)</f>
        <v>-0.13333333333333333</v>
      </c>
      <c r="R34">
        <f>AVERAGE(R3:R32)</f>
        <v>15.566666666666666</v>
      </c>
      <c r="S34">
        <f>AVERAGE(S3:S32)</f>
        <v>41.366666666666667</v>
      </c>
      <c r="T34">
        <f>AVERAGE(T3:T32)</f>
        <v>15.133333333333333</v>
      </c>
    </row>
    <row r="35" spans="1:52" x14ac:dyDescent="0.25">
      <c r="A35" t="s">
        <v>120</v>
      </c>
      <c r="G35">
        <f>_xlfn.STDEV.P(G3:G32)</f>
        <v>11.28228700219951</v>
      </c>
      <c r="H35">
        <f>_xlfn.STDEV.P(H3:H32)</f>
        <v>13.228756555322953</v>
      </c>
      <c r="J35">
        <f t="shared" ref="J35" si="3">_xlfn.STDEV.P(J3:J32)</f>
        <v>0.99107124982123374</v>
      </c>
      <c r="R35">
        <f>_xlfn.STDEV.P(R3:R32)</f>
        <v>8.6974453465115591</v>
      </c>
      <c r="S35">
        <f>_xlfn.STDEV.P(S3:S32)</f>
        <v>11.853222721643633</v>
      </c>
      <c r="T35">
        <f>_xlfn.STDEV.P(T3:T32)</f>
        <v>8.6360999428111196</v>
      </c>
    </row>
    <row r="37" spans="1:52" x14ac:dyDescent="0.25">
      <c r="A37" t="s">
        <v>121</v>
      </c>
      <c r="B37">
        <v>1</v>
      </c>
      <c r="C37">
        <v>82</v>
      </c>
    </row>
    <row r="38" spans="1:52" x14ac:dyDescent="0.25">
      <c r="A38" t="s">
        <v>122</v>
      </c>
      <c r="B38">
        <v>0.1</v>
      </c>
      <c r="C38">
        <v>0.1</v>
      </c>
    </row>
    <row r="39" spans="1:52" x14ac:dyDescent="0.25">
      <c r="A39" t="s">
        <v>123</v>
      </c>
      <c r="B39">
        <v>15.5</v>
      </c>
      <c r="C39">
        <v>15.5</v>
      </c>
    </row>
    <row r="41" spans="1:52" x14ac:dyDescent="0.25">
      <c r="A41" t="s">
        <v>76</v>
      </c>
      <c r="B41" t="s">
        <v>124</v>
      </c>
      <c r="C41" t="s">
        <v>124</v>
      </c>
      <c r="W41">
        <v>1</v>
      </c>
      <c r="X41">
        <v>2</v>
      </c>
      <c r="Y41">
        <v>3</v>
      </c>
      <c r="Z41">
        <v>4</v>
      </c>
      <c r="AA41">
        <v>5</v>
      </c>
      <c r="AB41">
        <v>6</v>
      </c>
      <c r="AC41">
        <v>7</v>
      </c>
      <c r="AD41">
        <v>8</v>
      </c>
      <c r="AE41">
        <v>9</v>
      </c>
      <c r="AF41">
        <v>10</v>
      </c>
      <c r="AG41">
        <v>11</v>
      </c>
      <c r="AH41">
        <v>12</v>
      </c>
      <c r="AI41">
        <v>13</v>
      </c>
      <c r="AJ41">
        <v>14</v>
      </c>
      <c r="AK41">
        <v>15</v>
      </c>
      <c r="AL41">
        <v>16</v>
      </c>
      <c r="AM41">
        <v>17</v>
      </c>
      <c r="AN41">
        <v>18</v>
      </c>
      <c r="AO41">
        <v>19</v>
      </c>
      <c r="AP41">
        <v>20</v>
      </c>
      <c r="AQ41">
        <v>21</v>
      </c>
      <c r="AR41">
        <v>22</v>
      </c>
      <c r="AS41">
        <v>23</v>
      </c>
      <c r="AT41">
        <v>24</v>
      </c>
      <c r="AU41">
        <v>25</v>
      </c>
      <c r="AV41">
        <v>26</v>
      </c>
      <c r="AW41">
        <v>27</v>
      </c>
      <c r="AX41">
        <v>28</v>
      </c>
      <c r="AY41">
        <v>29</v>
      </c>
      <c r="AZ41">
        <v>30</v>
      </c>
    </row>
    <row r="42" spans="1:52" x14ac:dyDescent="0.25">
      <c r="A42">
        <v>1</v>
      </c>
      <c r="B42">
        <f>B$37-B$37/(1+EXP(-B$38*($A42-B$39)))</f>
        <v>0.80999843398468707</v>
      </c>
      <c r="C42">
        <f>C$37-C$37/(1+EXP(-C$38*($A42-C$39)))</f>
        <v>66.419871586744335</v>
      </c>
      <c r="V42">
        <v>1</v>
      </c>
      <c r="W42">
        <f>VLOOKUP($V42,$A$42:$C$71,2,0)/(VLOOKUP($V42,$A$42:$C$71,2,0)+VLOOKUP(W$41,$A$42:$C$71,2,0))</f>
        <v>0.5</v>
      </c>
      <c r="X42">
        <f>VLOOKUP($V42,$A$42:$C$71,2,0)/(VLOOKUP($V42,$A$42:$C$71,2,0)+VLOOKUP(X$41,$A$42:$C$71,2,0))</f>
        <v>0.5049462403157613</v>
      </c>
      <c r="Y42">
        <f>VLOOKUP($V42,$A$42:$C$71,2,0)/(VLOOKUP($V42,$A$42:$C$71,2,0)+VLOOKUP(Y$41,$A$42:$C$71,2,0))</f>
        <v>0.5103000717980084</v>
      </c>
      <c r="Z42">
        <f>VLOOKUP($V42,$A$42:$C$71,2,0)/(VLOOKUP($V42,$A$42:$C$71,2,0)+VLOOKUP(Z$41,$A$42:$C$71,2,0))</f>
        <v>0.51608385353216846</v>
      </c>
      <c r="AA42">
        <f>VLOOKUP($V42,$A$42:$C$71,2,0)/(VLOOKUP($V42,$A$42:$C$71,2,0)+VLOOKUP(AA$41,$A$42:$C$71,2,0))</f>
        <v>0.52231903699980808</v>
      </c>
      <c r="AB42">
        <f>VLOOKUP($V42,$A$42:$C$71,2,0)/(VLOOKUP($V42,$A$42:$C$71,2,0)+VLOOKUP(AB$41,$A$42:$C$71,2,0))</f>
        <v>0.52902568929724392</v>
      </c>
      <c r="AC42">
        <f>VLOOKUP($V42,$A$42:$C$71,2,0)/(VLOOKUP($V42,$A$42:$C$71,2,0)+VLOOKUP(AC$41,$A$42:$C$71,2,0))</f>
        <v>0.53622195991228083</v>
      </c>
      <c r="AD42">
        <f>VLOOKUP($V42,$A$42:$C$71,2,0)/(VLOOKUP($V42,$A$42:$C$71,2,0)+VLOOKUP(AD$41,$A$42:$C$71,2,0))</f>
        <v>0.54392349704285703</v>
      </c>
      <c r="AE42">
        <f>VLOOKUP($V42,$A$42:$C$71,2,0)/(VLOOKUP($V42,$A$42:$C$71,2,0)+VLOOKUP(AE$41,$A$42:$C$71,2,0))</f>
        <v>0.5521428232847434</v>
      </c>
      <c r="AF42">
        <f>VLOOKUP($V42,$A$42:$C$71,2,0)/(VLOOKUP($V42,$A$42:$C$71,2,0)+VLOOKUP(AF$41,$A$42:$C$71,2,0))</f>
        <v>0.56088868482079979</v>
      </c>
      <c r="AG42">
        <f>VLOOKUP($V42,$A$42:$C$71,2,0)/(VLOOKUP($V42,$A$42:$C$71,2,0)+VLOOKUP(AG$41,$A$42:$C$71,2,0))</f>
        <v>0.57016539281455259</v>
      </c>
      <c r="AH42">
        <f>VLOOKUP($V42,$A$42:$C$71,2,0)/(VLOOKUP($V42,$A$42:$C$71,2,0)+VLOOKUP(AH$41,$A$42:$C$71,2,0))</f>
        <v>0.57997218025704711</v>
      </c>
      <c r="AI42">
        <f>VLOOKUP($V42,$A$42:$C$71,2,0)/(VLOOKUP($V42,$A$42:$C$71,2,0)+VLOOKUP(AI$41,$A$42:$C$71,2,0))</f>
        <v>0.59030260165854143</v>
      </c>
      <c r="AJ42">
        <f>VLOOKUP($V42,$A$42:$C$71,2,0)/(VLOOKUP($V42,$A$42:$C$71,2,0)+VLOOKUP(AJ$41,$A$42:$C$71,2,0))</f>
        <v>0.60114400626087006</v>
      </c>
      <c r="AK42">
        <f>VLOOKUP($V42,$A$42:$C$71,2,0)/(VLOOKUP($V42,$A$42:$C$71,2,0)+VLOOKUP(AK$41,$A$42:$C$71,2,0))</f>
        <v>0.6124771173739717</v>
      </c>
      <c r="AL42">
        <f>VLOOKUP($V42,$A$42:$C$71,2,0)/(VLOOKUP($V42,$A$42:$C$71,2,0)+VLOOKUP(AL$41,$A$42:$C$71,2,0))</f>
        <v>0.6242757505189197</v>
      </c>
      <c r="AM42">
        <f>VLOOKUP($V42,$A$42:$C$71,2,0)/(VLOOKUP($V42,$A$42:$C$71,2,0)+VLOOKUP(AM$41,$A$42:$C$71,2,0))</f>
        <v>0.63650670086846906</v>
      </c>
      <c r="AN42">
        <f>VLOOKUP($V42,$A$42:$C$71,2,0)/(VLOOKUP($V42,$A$42:$C$71,2,0)+VLOOKUP(AN$41,$A$42:$C$71,2,0))</f>
        <v>0.64912982573812106</v>
      </c>
      <c r="AO42">
        <f>VLOOKUP($V42,$A$42:$C$71,2,0)/(VLOOKUP($V42,$A$42:$C$71,2,0)+VLOOKUP(AO$41,$A$42:$C$71,2,0))</f>
        <v>0.66209834053688055</v>
      </c>
      <c r="AP42">
        <f>VLOOKUP($V42,$A$42:$C$71,2,0)/(VLOOKUP($V42,$A$42:$C$71,2,0)+VLOOKUP(AP$41,$A$42:$C$71,2,0))</f>
        <v>0.67535933685315919</v>
      </c>
      <c r="AQ42">
        <f>VLOOKUP($V42,$A$42:$C$71,2,0)/(VLOOKUP($V42,$A$42:$C$71,2,0)+VLOOKUP(AQ$41,$A$42:$C$71,2,0))</f>
        <v>0.68885451974663314</v>
      </c>
      <c r="AR42">
        <f>VLOOKUP($V42,$A$42:$C$71,2,0)/(VLOOKUP($V42,$A$42:$C$71,2,0)+VLOOKUP(AR$41,$A$42:$C$71,2,0))</f>
        <v>0.70252114864958182</v>
      </c>
      <c r="AS42">
        <f>VLOOKUP($V42,$A$42:$C$71,2,0)/(VLOOKUP($V42,$A$42:$C$71,2,0)+VLOOKUP(AS$41,$A$42:$C$71,2,0))</f>
        <v>0.71629315358675483</v>
      </c>
      <c r="AT42">
        <f>VLOOKUP($V42,$A$42:$C$71,2,0)/(VLOOKUP($V42,$A$42:$C$71,2,0)+VLOOKUP(AT$41,$A$42:$C$71,2,0))</f>
        <v>0.73010238685598194</v>
      </c>
      <c r="AU42">
        <f>VLOOKUP($V42,$A$42:$C$71,2,0)/(VLOOKUP($V42,$A$42:$C$71,2,0)+VLOOKUP(AU$41,$A$42:$C$71,2,0))</f>
        <v>0.74387996100574205</v>
      </c>
      <c r="AV42">
        <f>VLOOKUP($V42,$A$42:$C$71,2,0)/(VLOOKUP($V42,$A$42:$C$71,2,0)+VLOOKUP(AV$41,$A$42:$C$71,2,0))</f>
        <v>0.75755761785984232</v>
      </c>
      <c r="AW42">
        <f>VLOOKUP($V42,$A$42:$C$71,2,0)/(VLOOKUP($V42,$A$42:$C$71,2,0)+VLOOKUP(AW$41,$A$42:$C$71,2,0))</f>
        <v>0.77106907112086653</v>
      </c>
      <c r="AX42">
        <f>VLOOKUP($V42,$A$42:$C$71,2,0)/(VLOOKUP($V42,$A$42:$C$71,2,0)+VLOOKUP(AX$41,$A$42:$C$71,2,0))</f>
        <v>0.7843512669729592</v>
      </c>
      <c r="AY42">
        <f>VLOOKUP($V42,$A$42:$C$71,2,0)/(VLOOKUP($V42,$A$42:$C$71,2,0)+VLOOKUP(AY$41,$A$42:$C$71,2,0))</f>
        <v>0.7973455128964857</v>
      </c>
      <c r="AZ42">
        <f>VLOOKUP($V42,$A$42:$C$71,2,0)/(VLOOKUP($V42,$A$42:$C$71,2,0)+VLOOKUP(AZ$41,$A$42:$C$71,2,0))</f>
        <v>0.80999843398468707</v>
      </c>
    </row>
    <row r="43" spans="1:52" x14ac:dyDescent="0.25">
      <c r="A43">
        <v>2</v>
      </c>
      <c r="B43">
        <f>B$37-B$37/(1+EXP(-B$38*($A43-B$39)))</f>
        <v>0.79412962819905264</v>
      </c>
      <c r="C43">
        <f>C$37-C$37/(1+EXP(-C$38*($A43-C$39)))</f>
        <v>65.118629512322315</v>
      </c>
      <c r="V43">
        <v>2</v>
      </c>
      <c r="W43">
        <f>VLOOKUP($V43,$A$42:$C$71,2,0)/(VLOOKUP($V43,$A$42:$C$71,2,0)+VLOOKUP(W$41,$A$42:$C$71,2,0))</f>
        <v>0.4950537596842387</v>
      </c>
      <c r="X43">
        <f>VLOOKUP($V43,$A$42:$C$71,2,0)/(VLOOKUP($V43,$A$42:$C$71,2,0)+VLOOKUP(X$41,$A$42:$C$71,2,0))</f>
        <v>0.5</v>
      </c>
      <c r="Y43">
        <f>VLOOKUP($V43,$A$42:$C$71,2,0)/(VLOOKUP($V43,$A$42:$C$71,2,0)+VLOOKUP(Y$41,$A$42:$C$71,2,0))</f>
        <v>0.50535492274332605</v>
      </c>
      <c r="Z43">
        <f>VLOOKUP($V43,$A$42:$C$71,2,0)/(VLOOKUP($V43,$A$42:$C$71,2,0)+VLOOKUP(Z$41,$A$42:$C$71,2,0))</f>
        <v>0.51114115853826414</v>
      </c>
      <c r="AA43">
        <f>VLOOKUP($V43,$A$42:$C$71,2,0)/(VLOOKUP($V43,$A$42:$C$71,2,0)+VLOOKUP(AA$41,$A$42:$C$71,2,0))</f>
        <v>0.5173804715749748</v>
      </c>
      <c r="AB43">
        <f>VLOOKUP($V43,$A$42:$C$71,2,0)/(VLOOKUP($V43,$A$42:$C$71,2,0)+VLOOKUP(AB$41,$A$42:$C$71,2,0))</f>
        <v>0.52409328508382835</v>
      </c>
      <c r="AC43">
        <f>VLOOKUP($V43,$A$42:$C$71,2,0)/(VLOOKUP($V43,$A$42:$C$71,2,0)+VLOOKUP(AC$41,$A$42:$C$71,2,0))</f>
        <v>0.53129814941760756</v>
      </c>
      <c r="AD43">
        <f>VLOOKUP($V43,$A$42:$C$71,2,0)/(VLOOKUP($V43,$A$42:$C$71,2,0)+VLOOKUP(AD$41,$A$42:$C$71,2,0))</f>
        <v>0.53901115838682301</v>
      </c>
      <c r="AE43">
        <f>VLOOKUP($V43,$A$42:$C$71,2,0)/(VLOOKUP($V43,$A$42:$C$71,2,0)+VLOOKUP(AE$41,$A$42:$C$71,2,0))</f>
        <v>0.54724532331096509</v>
      </c>
      <c r="AF43">
        <f>VLOOKUP($V43,$A$42:$C$71,2,0)/(VLOOKUP($V43,$A$42:$C$71,2,0)+VLOOKUP(AF$41,$A$42:$C$71,2,0))</f>
        <v>0.55600991854886872</v>
      </c>
      <c r="AG43">
        <f>VLOOKUP($V43,$A$42:$C$71,2,0)/(VLOOKUP($V43,$A$42:$C$71,2,0)+VLOOKUP(AG$41,$A$42:$C$71,2,0))</f>
        <v>0.56530981686525417</v>
      </c>
      <c r="AH43">
        <f>VLOOKUP($V43,$A$42:$C$71,2,0)/(VLOOKUP($V43,$A$42:$C$71,2,0)+VLOOKUP(AH$41,$A$42:$C$71,2,0))</f>
        <v>0.57514483759670265</v>
      </c>
      <c r="AI43">
        <f>VLOOKUP($V43,$A$42:$C$71,2,0)/(VLOOKUP($V43,$A$42:$C$71,2,0)+VLOOKUP(AI$41,$A$42:$C$71,2,0))</f>
        <v>0.58550913482554334</v>
      </c>
      <c r="AJ43">
        <f>VLOOKUP($V43,$A$42:$C$71,2,0)/(VLOOKUP($V43,$A$42:$C$71,2,0)+VLOOKUP(AJ$41,$A$42:$C$71,2,0))</f>
        <v>0.59639065620265419</v>
      </c>
      <c r="AK43">
        <f>VLOOKUP($V43,$A$42:$C$71,2,0)/(VLOOKUP($V43,$A$42:$C$71,2,0)+VLOOKUP(AK$41,$A$42:$C$71,2,0))</f>
        <v>0.60777070518004639</v>
      </c>
      <c r="AL43">
        <f>VLOOKUP($V43,$A$42:$C$71,2,0)/(VLOOKUP($V43,$A$42:$C$71,2,0)+VLOOKUP(AL$41,$A$42:$C$71,2,0))</f>
        <v>0.61962363972112011</v>
      </c>
      <c r="AM43">
        <f>VLOOKUP($V43,$A$42:$C$71,2,0)/(VLOOKUP($V43,$A$42:$C$71,2,0)+VLOOKUP(AM$41,$A$42:$C$71,2,0))</f>
        <v>0.6319167386141652</v>
      </c>
      <c r="AN43">
        <f>VLOOKUP($V43,$A$42:$C$71,2,0)/(VLOOKUP($V43,$A$42:$C$71,2,0)+VLOOKUP(AN$41,$A$42:$C$71,2,0))</f>
        <v>0.64461026202429994</v>
      </c>
      <c r="AO43">
        <f>VLOOKUP($V43,$A$42:$C$71,2,0)/(VLOOKUP($V43,$A$42:$C$71,2,0)+VLOOKUP(AO$41,$A$42:$C$71,2,0))</f>
        <v>0.65765772579365422</v>
      </c>
      <c r="AP43">
        <f>VLOOKUP($V43,$A$42:$C$71,2,0)/(VLOOKUP($V43,$A$42:$C$71,2,0)+VLOOKUP(AP$41,$A$42:$C$71,2,0))</f>
        <v>0.67100639942449314</v>
      </c>
      <c r="AQ43">
        <f>VLOOKUP($V43,$A$42:$C$71,2,0)/(VLOOKUP($V43,$A$42:$C$71,2,0)+VLOOKUP(AQ$41,$A$42:$C$71,2,0))</f>
        <v>0.68459802614500498</v>
      </c>
      <c r="AR43">
        <f>VLOOKUP($V43,$A$42:$C$71,2,0)/(VLOOKUP($V43,$A$42:$C$71,2,0)+VLOOKUP(AR$41,$A$42:$C$71,2,0))</f>
        <v>0.69836975074817398</v>
      </c>
      <c r="AS43">
        <f>VLOOKUP($V43,$A$42:$C$71,2,0)/(VLOOKUP($V43,$A$42:$C$71,2,0)+VLOOKUP(AS$41,$A$42:$C$71,2,0))</f>
        <v>0.71225522803452535</v>
      </c>
      <c r="AT43">
        <f>VLOOKUP($V43,$A$42:$C$71,2,0)/(VLOOKUP($V43,$A$42:$C$71,2,0)+VLOOKUP(AT$41,$A$42:$C$71,2,0))</f>
        <v>0.72618587283790192</v>
      </c>
      <c r="AU43">
        <f>VLOOKUP($V43,$A$42:$C$71,2,0)/(VLOOKUP($V43,$A$42:$C$71,2,0)+VLOOKUP(AU$41,$A$42:$C$71,2,0))</f>
        <v>0.74009220292294864</v>
      </c>
      <c r="AV43">
        <f>VLOOKUP($V43,$A$42:$C$71,2,0)/(VLOOKUP($V43,$A$42:$C$71,2,0)+VLOOKUP(AV$41,$A$42:$C$71,2,0))</f>
        <v>0.7539052195077891</v>
      </c>
      <c r="AW43">
        <f>VLOOKUP($V43,$A$42:$C$71,2,0)/(VLOOKUP($V43,$A$42:$C$71,2,0)+VLOOKUP(AW$41,$A$42:$C$71,2,0))</f>
        <v>0.76755776747904569</v>
      </c>
      <c r="AX43">
        <f>VLOOKUP($V43,$A$42:$C$71,2,0)/(VLOOKUP($V43,$A$42:$C$71,2,0)+VLOOKUP(AX$41,$A$42:$C$71,2,0))</f>
        <v>0.78098581881899864</v>
      </c>
      <c r="AY43">
        <f>VLOOKUP($V43,$A$42:$C$71,2,0)/(VLOOKUP($V43,$A$42:$C$71,2,0)+VLOOKUP(AY$41,$A$42:$C$71,2,0))</f>
        <v>0.79412962819905275</v>
      </c>
      <c r="AZ43">
        <f>VLOOKUP($V43,$A$42:$C$71,2,0)/(VLOOKUP($V43,$A$42:$C$71,2,0)+VLOOKUP(AZ$41,$A$42:$C$71,2,0))</f>
        <v>0.80693471852907617</v>
      </c>
    </row>
    <row r="44" spans="1:52" x14ac:dyDescent="0.25">
      <c r="A44">
        <v>3</v>
      </c>
      <c r="B44">
        <f>B$37-B$37/(1+EXP(-B$38*($A44-B$39)))</f>
        <v>0.77729986117469119</v>
      </c>
      <c r="C44">
        <f>C$37-C$37/(1+EXP(-C$38*($A44-C$39)))</f>
        <v>63.738588616324677</v>
      </c>
      <c r="V44">
        <v>3</v>
      </c>
      <c r="W44">
        <f>VLOOKUP($V44,$A$42:$C$71,2,0)/(VLOOKUP($V44,$A$42:$C$71,2,0)+VLOOKUP(W$41,$A$42:$C$71,2,0))</f>
        <v>0.48969992820199154</v>
      </c>
      <c r="X44">
        <f>VLOOKUP($V44,$A$42:$C$71,2,0)/(VLOOKUP($V44,$A$42:$C$71,2,0)+VLOOKUP(X$41,$A$42:$C$71,2,0))</f>
        <v>0.49464507725667389</v>
      </c>
      <c r="Y44">
        <f>VLOOKUP($V44,$A$42:$C$71,2,0)/(VLOOKUP($V44,$A$42:$C$71,2,0)+VLOOKUP(Y$41,$A$42:$C$71,2,0))</f>
        <v>0.5</v>
      </c>
      <c r="Z44">
        <f>VLOOKUP($V44,$A$42:$C$71,2,0)/(VLOOKUP($V44,$A$42:$C$71,2,0)+VLOOKUP(Z$41,$A$42:$C$71,2,0))</f>
        <v>0.5057876169528488</v>
      </c>
      <c r="AA44">
        <f>VLOOKUP($V44,$A$42:$C$71,2,0)/(VLOOKUP($V44,$A$42:$C$71,2,0)+VLOOKUP(AA$41,$A$42:$C$71,2,0))</f>
        <v>0.51203002742234893</v>
      </c>
      <c r="AB44">
        <f>VLOOKUP($V44,$A$42:$C$71,2,0)/(VLOOKUP($V44,$A$42:$C$71,2,0)+VLOOKUP(AB$41,$A$42:$C$71,2,0))</f>
        <v>0.51874803765381217</v>
      </c>
      <c r="AC44">
        <f>VLOOKUP($V44,$A$42:$C$71,2,0)/(VLOOKUP($V44,$A$42:$C$71,2,0)+VLOOKUP(AC$41,$A$42:$C$71,2,0))</f>
        <v>0.52596063059506537</v>
      </c>
      <c r="AD44">
        <f>VLOOKUP($V44,$A$42:$C$71,2,0)/(VLOOKUP($V44,$A$42:$C$71,2,0)+VLOOKUP(AD$41,$A$42:$C$71,2,0))</f>
        <v>0.53368438254790151</v>
      </c>
      <c r="AE44">
        <f>VLOOKUP($V44,$A$42:$C$71,2,0)/(VLOOKUP($V44,$A$42:$C$71,2,0)+VLOOKUP(AE$41,$A$42:$C$71,2,0))</f>
        <v>0.54193283576822526</v>
      </c>
      <c r="AF44">
        <f>VLOOKUP($V44,$A$42:$C$71,2,0)/(VLOOKUP($V44,$A$42:$C$71,2,0)+VLOOKUP(AF$41,$A$42:$C$71,2,0))</f>
        <v>0.55071584036741195</v>
      </c>
      <c r="AG44">
        <f>VLOOKUP($V44,$A$42:$C$71,2,0)/(VLOOKUP($V44,$A$42:$C$71,2,0)+VLOOKUP(AG$41,$A$42:$C$71,2,0))</f>
        <v>0.5600388834823441</v>
      </c>
      <c r="AH44">
        <f>VLOOKUP($V44,$A$42:$C$71,2,0)/(VLOOKUP($V44,$A$42:$C$71,2,0)+VLOOKUP(AH$41,$A$42:$C$71,2,0))</f>
        <v>0.56990242834804428</v>
      </c>
      <c r="AI44">
        <f>VLOOKUP($V44,$A$42:$C$71,2,0)/(VLOOKUP($V44,$A$42:$C$71,2,0)+VLOOKUP(AI$41,$A$42:$C$71,2,0))</f>
        <v>0.58030129025866994</v>
      </c>
      <c r="AJ44">
        <f>VLOOKUP($V44,$A$42:$C$71,2,0)/(VLOOKUP($V44,$A$42:$C$71,2,0)+VLOOKUP(AJ$41,$A$42:$C$71,2,0))</f>
        <v>0.59122407999213222</v>
      </c>
      <c r="AK44">
        <f>VLOOKUP($V44,$A$42:$C$71,2,0)/(VLOOKUP($V44,$A$42:$C$71,2,0)+VLOOKUP(AK$41,$A$42:$C$71,2,0))</f>
        <v>0.60265274759969689</v>
      </c>
      <c r="AL44">
        <f>VLOOKUP($V44,$A$42:$C$71,2,0)/(VLOOKUP($V44,$A$42:$C$71,2,0)+VLOOKUP(AL$41,$A$42:$C$71,2,0))</f>
        <v>0.61456226001655523</v>
      </c>
      <c r="AM44">
        <f>VLOOKUP($V44,$A$42:$C$71,2,0)/(VLOOKUP($V44,$A$42:$C$71,2,0)+VLOOKUP(AM$41,$A$42:$C$71,2,0))</f>
        <v>0.62692044428040861</v>
      </c>
      <c r="AN44">
        <f>VLOOKUP($V44,$A$42:$C$71,2,0)/(VLOOKUP($V44,$A$42:$C$71,2,0)+VLOOKUP(AN$41,$A$42:$C$71,2,0))</f>
        <v>0.63968802393025326</v>
      </c>
      <c r="AO44">
        <f>VLOOKUP($V44,$A$42:$C$71,2,0)/(VLOOKUP($V44,$A$42:$C$71,2,0)+VLOOKUP(AO$41,$A$42:$C$71,2,0))</f>
        <v>0.65281886927975719</v>
      </c>
      <c r="AP44">
        <f>VLOOKUP($V44,$A$42:$C$71,2,0)/(VLOOKUP($V44,$A$42:$C$71,2,0)+VLOOKUP(AP$41,$A$42:$C$71,2,0))</f>
        <v>0.66626047287054802</v>
      </c>
      <c r="AQ44">
        <f>VLOOKUP($V44,$A$42:$C$71,2,0)/(VLOOKUP($V44,$A$42:$C$71,2,0)+VLOOKUP(AQ$41,$A$42:$C$71,2,0))</f>
        <v>0.67995464996754418</v>
      </c>
      <c r="AR44">
        <f>VLOOKUP($V44,$A$42:$C$71,2,0)/(VLOOKUP($V44,$A$42:$C$71,2,0)+VLOOKUP(AR$41,$A$42:$C$71,2,0))</f>
        <v>0.69383845122039145</v>
      </c>
      <c r="AS44">
        <f>VLOOKUP($V44,$A$42:$C$71,2,0)/(VLOOKUP($V44,$A$42:$C$71,2,0)+VLOOKUP(AS$41,$A$42:$C$71,2,0))</f>
        <v>0.70784526159162375</v>
      </c>
      <c r="AT44">
        <f>VLOOKUP($V44,$A$42:$C$71,2,0)/(VLOOKUP($V44,$A$42:$C$71,2,0)+VLOOKUP(AT$41,$A$42:$C$71,2,0))</f>
        <v>0.72190604750327503</v>
      </c>
      <c r="AU44">
        <f>VLOOKUP($V44,$A$42:$C$71,2,0)/(VLOOKUP($V44,$A$42:$C$71,2,0)+VLOOKUP(AU$41,$A$42:$C$71,2,0))</f>
        <v>0.73595070405215601</v>
      </c>
      <c r="AV44">
        <f>VLOOKUP($V44,$A$42:$C$71,2,0)/(VLOOKUP($V44,$A$42:$C$71,2,0)+VLOOKUP(AV$41,$A$42:$C$71,2,0))</f>
        <v>0.7499094471207608</v>
      </c>
      <c r="AW44">
        <f>VLOOKUP($V44,$A$42:$C$71,2,0)/(VLOOKUP($V44,$A$42:$C$71,2,0)+VLOOKUP(AW$41,$A$42:$C$71,2,0))</f>
        <v>0.76371419200876312</v>
      </c>
      <c r="AX44">
        <f>VLOOKUP($V44,$A$42:$C$71,2,0)/(VLOOKUP($V44,$A$42:$C$71,2,0)+VLOOKUP(AX$41,$A$42:$C$71,2,0))</f>
        <v>0.77729986117469119</v>
      </c>
      <c r="AY44">
        <f>VLOOKUP($V44,$A$42:$C$71,2,0)/(VLOOKUP($V44,$A$42:$C$71,2,0)+VLOOKUP(AY$41,$A$42:$C$71,2,0))</f>
        <v>0.79060556870414478</v>
      </c>
      <c r="AZ44">
        <f>VLOOKUP($V44,$A$42:$C$71,2,0)/(VLOOKUP($V44,$A$42:$C$71,2,0)+VLOOKUP(AZ$41,$A$42:$C$71,2,0))</f>
        <v>0.80357563767142925</v>
      </c>
    </row>
    <row r="45" spans="1:52" x14ac:dyDescent="0.25">
      <c r="A45">
        <v>4</v>
      </c>
      <c r="B45">
        <f>B$37-B$37/(1+EXP(-B$38*($A45-B$39)))</f>
        <v>0.7595109169491111</v>
      </c>
      <c r="C45">
        <f>C$37-C$37/(1+EXP(-C$38*($A45-C$39)))</f>
        <v>62.279895189827116</v>
      </c>
      <c r="V45">
        <v>4</v>
      </c>
      <c r="W45">
        <f>VLOOKUP($V45,$A$42:$C$71,2,0)/(VLOOKUP($V45,$A$42:$C$71,2,0)+VLOOKUP(W$41,$A$42:$C$71,2,0))</f>
        <v>0.4839161464678316</v>
      </c>
      <c r="X45">
        <f>VLOOKUP($V45,$A$42:$C$71,2,0)/(VLOOKUP($V45,$A$42:$C$71,2,0)+VLOOKUP(X$41,$A$42:$C$71,2,0))</f>
        <v>0.48885884146173592</v>
      </c>
      <c r="Y45">
        <f>VLOOKUP($V45,$A$42:$C$71,2,0)/(VLOOKUP($V45,$A$42:$C$71,2,0)+VLOOKUP(Y$41,$A$42:$C$71,2,0))</f>
        <v>0.4942123830471512</v>
      </c>
      <c r="Z45">
        <f>VLOOKUP($V45,$A$42:$C$71,2,0)/(VLOOKUP($V45,$A$42:$C$71,2,0)+VLOOKUP(Z$41,$A$42:$C$71,2,0))</f>
        <v>0.5</v>
      </c>
      <c r="AA45">
        <f>VLOOKUP($V45,$A$42:$C$71,2,0)/(VLOOKUP($V45,$A$42:$C$71,2,0)+VLOOKUP(AA$41,$A$42:$C$71,2,0))</f>
        <v>0.50624414946988938</v>
      </c>
      <c r="AB45">
        <f>VLOOKUP($V45,$A$42:$C$71,2,0)/(VLOOKUP($V45,$A$42:$C$71,2,0)+VLOOKUP(AB$41,$A$42:$C$71,2,0))</f>
        <v>0.51296604830099757</v>
      </c>
      <c r="AC45">
        <f>VLOOKUP($V45,$A$42:$C$71,2,0)/(VLOOKUP($V45,$A$42:$C$71,2,0)+VLOOKUP(AC$41,$A$42:$C$71,2,0))</f>
        <v>0.52018514492931578</v>
      </c>
      <c r="AD45">
        <f>VLOOKUP($V45,$A$42:$C$71,2,0)/(VLOOKUP($V45,$A$42:$C$71,2,0)+VLOOKUP(AD$41,$A$42:$C$71,2,0))</f>
        <v>0.52791853672723188</v>
      </c>
      <c r="AE45">
        <f>VLOOKUP($V45,$A$42:$C$71,2,0)/(VLOOKUP($V45,$A$42:$C$71,2,0)+VLOOKUP(AE$41,$A$42:$C$71,2,0))</f>
        <v>0.53618034141599769</v>
      </c>
      <c r="AF45">
        <f>VLOOKUP($V45,$A$42:$C$71,2,0)/(VLOOKUP($V45,$A$42:$C$71,2,0)+VLOOKUP(AF$41,$A$42:$C$71,2,0))</f>
        <v>0.54498103544271093</v>
      </c>
      <c r="AG45">
        <f>VLOOKUP($V45,$A$42:$C$71,2,0)/(VLOOKUP($V45,$A$42:$C$71,2,0)+VLOOKUP(AG$41,$A$42:$C$71,2,0))</f>
        <v>0.55432677685080056</v>
      </c>
      <c r="AH45">
        <f>VLOOKUP($V45,$A$42:$C$71,2,0)/(VLOOKUP($V45,$A$42:$C$71,2,0)+VLOOKUP(AH$41,$A$42:$C$71,2,0))</f>
        <v>0.56421873489889152</v>
      </c>
      <c r="AI45">
        <f>VLOOKUP($V45,$A$42:$C$71,2,0)/(VLOOKUP($V45,$A$42:$C$71,2,0)+VLOOKUP(AI$41,$A$42:$C$71,2,0))</f>
        <v>0.57465245314454594</v>
      </c>
      <c r="AJ45">
        <f>VLOOKUP($V45,$A$42:$C$71,2,0)/(VLOOKUP($V45,$A$42:$C$71,2,0)+VLOOKUP(AJ$41,$A$42:$C$71,2,0))</f>
        <v>0.58561727646401696</v>
      </c>
      <c r="AK45">
        <f>VLOOKUP($V45,$A$42:$C$71,2,0)/(VLOOKUP($V45,$A$42:$C$71,2,0)+VLOOKUP(AK$41,$A$42:$C$71,2,0))</f>
        <v>0.59709587502544614</v>
      </c>
      <c r="AL45">
        <f>VLOOKUP($V45,$A$42:$C$71,2,0)/(VLOOKUP($V45,$A$42:$C$71,2,0)+VLOOKUP(AL$41,$A$42:$C$71,2,0))</f>
        <v>0.60906389905536606</v>
      </c>
      <c r="AM45">
        <f>VLOOKUP($V45,$A$42:$C$71,2,0)/(VLOOKUP($V45,$A$42:$C$71,2,0)+VLOOKUP(AM$41,$A$42:$C$71,2,0))</f>
        <v>0.62148979686870964</v>
      </c>
      <c r="AN45">
        <f>VLOOKUP($V45,$A$42:$C$71,2,0)/(VLOOKUP($V45,$A$42:$C$71,2,0)+VLOOKUP(AN$41,$A$42:$C$71,2,0))</f>
        <v>0.63433482472364633</v>
      </c>
      <c r="AO45">
        <f>VLOOKUP($V45,$A$42:$C$71,2,0)/(VLOOKUP($V45,$A$42:$C$71,2,0)+VLOOKUP(AO$41,$A$42:$C$71,2,0))</f>
        <v>0.64755327046501754</v>
      </c>
      <c r="AP45">
        <f>VLOOKUP($V45,$A$42:$C$71,2,0)/(VLOOKUP($V45,$A$42:$C$71,2,0)+VLOOKUP(AP$41,$A$42:$C$71,2,0))</f>
        <v>0.66109290374875085</v>
      </c>
      <c r="AQ45">
        <f>VLOOKUP($V45,$A$42:$C$71,2,0)/(VLOOKUP($V45,$A$42:$C$71,2,0)+VLOOKUP(AQ$41,$A$42:$C$71,2,0))</f>
        <v>0.67489565431501664</v>
      </c>
      <c r="AR45">
        <f>VLOOKUP($V45,$A$42:$C$71,2,0)/(VLOOKUP($V45,$A$42:$C$71,2,0)+VLOOKUP(AR$41,$A$42:$C$71,2,0))</f>
        <v>0.68889850702886168</v>
      </c>
      <c r="AS45">
        <f>VLOOKUP($V45,$A$42:$C$71,2,0)/(VLOOKUP($V45,$A$42:$C$71,2,0)+VLOOKUP(AS$41,$A$42:$C$71,2,0))</f>
        <v>0.70303458922502959</v>
      </c>
      <c r="AT45">
        <f>VLOOKUP($V45,$A$42:$C$71,2,0)/(VLOOKUP($V45,$A$42:$C$71,2,0)+VLOOKUP(AT$41,$A$42:$C$71,2,0))</f>
        <v>0.71723441343763528</v>
      </c>
      <c r="AU45">
        <f>VLOOKUP($V45,$A$42:$C$71,2,0)/(VLOOKUP($V45,$A$42:$C$71,2,0)+VLOOKUP(AU$41,$A$42:$C$71,2,0))</f>
        <v>0.73142722805708205</v>
      </c>
      <c r="AV45">
        <f>VLOOKUP($V45,$A$42:$C$71,2,0)/(VLOOKUP($V45,$A$42:$C$71,2,0)+VLOOKUP(AV$41,$A$42:$C$71,2,0))</f>
        <v>0.74554242090501455</v>
      </c>
      <c r="AW45">
        <f>VLOOKUP($V45,$A$42:$C$71,2,0)/(VLOOKUP($V45,$A$42:$C$71,2,0)+VLOOKUP(AW$41,$A$42:$C$71,2,0))</f>
        <v>0.7595109169491111</v>
      </c>
      <c r="AX45">
        <f>VLOOKUP($V45,$A$42:$C$71,2,0)/(VLOOKUP($V45,$A$42:$C$71,2,0)+VLOOKUP(AX$41,$A$42:$C$71,2,0))</f>
        <v>0.77326651179901251</v>
      </c>
      <c r="AY45">
        <f>VLOOKUP($V45,$A$42:$C$71,2,0)/(VLOOKUP($V45,$A$42:$C$71,2,0)+VLOOKUP(AY$41,$A$42:$C$71,2,0))</f>
        <v>0.78674708718717667</v>
      </c>
      <c r="AZ45">
        <f>VLOOKUP($V45,$A$42:$C$71,2,0)/(VLOOKUP($V45,$A$42:$C$71,2,0)+VLOOKUP(AZ$41,$A$42:$C$71,2,0))</f>
        <v>0.79989566285414293</v>
      </c>
    </row>
    <row r="46" spans="1:52" x14ac:dyDescent="0.25">
      <c r="A46">
        <v>5</v>
      </c>
      <c r="B46">
        <f>B$37-B$37/(1+EXP(-B$38*($A46-B$39)))</f>
        <v>0.740774899182154</v>
      </c>
      <c r="C46">
        <f>C$37-C$37/(1+EXP(-C$38*($A46-C$39)))</f>
        <v>60.743541732936627</v>
      </c>
      <c r="V46">
        <v>5</v>
      </c>
      <c r="W46">
        <f>VLOOKUP($V46,$A$42:$C$71,2,0)/(VLOOKUP($V46,$A$42:$C$71,2,0)+VLOOKUP(W$41,$A$42:$C$71,2,0))</f>
        <v>0.47768096300019181</v>
      </c>
      <c r="X46">
        <f>VLOOKUP($V46,$A$42:$C$71,2,0)/(VLOOKUP($V46,$A$42:$C$71,2,0)+VLOOKUP(X$41,$A$42:$C$71,2,0))</f>
        <v>0.48261952842502509</v>
      </c>
      <c r="Y46">
        <f>VLOOKUP($V46,$A$42:$C$71,2,0)/(VLOOKUP($V46,$A$42:$C$71,2,0)+VLOOKUP(Y$41,$A$42:$C$71,2,0))</f>
        <v>0.48796997257765107</v>
      </c>
      <c r="Z46">
        <f>VLOOKUP($V46,$A$42:$C$71,2,0)/(VLOOKUP($V46,$A$42:$C$71,2,0)+VLOOKUP(Z$41,$A$42:$C$71,2,0))</f>
        <v>0.49375585053011067</v>
      </c>
      <c r="AA46">
        <f>VLOOKUP($V46,$A$42:$C$71,2,0)/(VLOOKUP($V46,$A$42:$C$71,2,0)+VLOOKUP(AA$41,$A$42:$C$71,2,0))</f>
        <v>0.5</v>
      </c>
      <c r="AB46">
        <f>VLOOKUP($V46,$A$42:$C$71,2,0)/(VLOOKUP($V46,$A$42:$C$71,2,0)+VLOOKUP(AB$41,$A$42:$C$71,2,0))</f>
        <v>0.50672407640828865</v>
      </c>
      <c r="AC46">
        <f>VLOOKUP($V46,$A$42:$C$71,2,0)/(VLOOKUP($V46,$A$42:$C$71,2,0)+VLOOKUP(AC$41,$A$42:$C$71,2,0))</f>
        <v>0.51394802744461043</v>
      </c>
      <c r="AD46">
        <f>VLOOKUP($V46,$A$42:$C$71,2,0)/(VLOOKUP($V46,$A$42:$C$71,2,0)+VLOOKUP(AD$41,$A$42:$C$71,2,0))</f>
        <v>0.52168951157207144</v>
      </c>
      <c r="AE46">
        <f>VLOOKUP($V46,$A$42:$C$71,2,0)/(VLOOKUP($V46,$A$42:$C$71,2,0)+VLOOKUP(AE$41,$A$42:$C$71,2,0))</f>
        <v>0.52996326860851239</v>
      </c>
      <c r="AF46">
        <f>VLOOKUP($V46,$A$42:$C$71,2,0)/(VLOOKUP($V46,$A$42:$C$71,2,0)+VLOOKUP(AF$41,$A$42:$C$71,2,0))</f>
        <v>0.5387804547757824</v>
      </c>
      <c r="AG46">
        <f>VLOOKUP($V46,$A$42:$C$71,2,0)/(VLOOKUP($V46,$A$42:$C$71,2,0)+VLOOKUP(AG$41,$A$42:$C$71,2,0))</f>
        <v>0.54814795925339088</v>
      </c>
      <c r="AH46">
        <f>VLOOKUP($V46,$A$42:$C$71,2,0)/(VLOOKUP($V46,$A$42:$C$71,2,0)+VLOOKUP(AH$41,$A$42:$C$71,2,0))</f>
        <v>0.55806772405609117</v>
      </c>
      <c r="AI46">
        <f>VLOOKUP($V46,$A$42:$C$71,2,0)/(VLOOKUP($V46,$A$42:$C$71,2,0)+VLOOKUP(AI$41,$A$42:$C$71,2,0))</f>
        <v>0.56853609362829716</v>
      </c>
      <c r="AJ46">
        <f>VLOOKUP($V46,$A$42:$C$71,2,0)/(VLOOKUP($V46,$A$42:$C$71,2,0)+VLOOKUP(AJ$41,$A$42:$C$71,2,0))</f>
        <v>0.57954322447528805</v>
      </c>
      <c r="AK46">
        <f>VLOOKUP($V46,$A$42:$C$71,2,0)/(VLOOKUP($V46,$A$42:$C$71,2,0)+VLOOKUP(AK$41,$A$42:$C$71,2,0))</f>
        <v>0.59107258793132766</v>
      </c>
      <c r="AL46">
        <f>VLOOKUP($V46,$A$42:$C$71,2,0)/(VLOOKUP($V46,$A$42:$C$71,2,0)+VLOOKUP(AL$41,$A$42:$C$71,2,0))</f>
        <v>0.60310060027560763</v>
      </c>
      <c r="AM46">
        <f>VLOOKUP($V46,$A$42:$C$71,2,0)/(VLOOKUP($V46,$A$42:$C$71,2,0)+VLOOKUP(AM$41,$A$42:$C$71,2,0))</f>
        <v>0.61559641336393578</v>
      </c>
      <c r="AN46">
        <f>VLOOKUP($V46,$A$42:$C$71,2,0)/(VLOOKUP($V46,$A$42:$C$71,2,0)+VLOOKUP(AN$41,$A$42:$C$71,2,0))</f>
        <v>0.62852189537414238</v>
      </c>
      <c r="AO46">
        <f>VLOOKUP($V46,$A$42:$C$71,2,0)/(VLOOKUP($V46,$A$42:$C$71,2,0)+VLOOKUP(AO$41,$A$42:$C$71,2,0))</f>
        <v>0.64183182498221436</v>
      </c>
      <c r="AP46">
        <f>VLOOKUP($V46,$A$42:$C$71,2,0)/(VLOOKUP($V46,$A$42:$C$71,2,0)+VLOOKUP(AP$41,$A$42:$C$71,2,0))</f>
        <v>0.65547431336880524</v>
      </c>
      <c r="AQ46">
        <f>VLOOKUP($V46,$A$42:$C$71,2,0)/(VLOOKUP($V46,$A$42:$C$71,2,0)+VLOOKUP(AQ$41,$A$42:$C$71,2,0))</f>
        <v>0.66939145728180804</v>
      </c>
      <c r="AR46">
        <f>VLOOKUP($V46,$A$42:$C$71,2,0)/(VLOOKUP($V46,$A$42:$C$71,2,0)+VLOOKUP(AR$41,$A$42:$C$71,2,0))</f>
        <v>0.68352021364398963</v>
      </c>
      <c r="AS46">
        <f>VLOOKUP($V46,$A$42:$C$71,2,0)/(VLOOKUP($V46,$A$42:$C$71,2,0)+VLOOKUP(AS$41,$A$42:$C$71,2,0))</f>
        <v>0.69779347286419835</v>
      </c>
      <c r="AT46">
        <f>VLOOKUP($V46,$A$42:$C$71,2,0)/(VLOOKUP($V46,$A$42:$C$71,2,0)+VLOOKUP(AT$41,$A$42:$C$71,2,0))</f>
        <v>0.71214129524124503</v>
      </c>
      <c r="AU46">
        <f>VLOOKUP($V46,$A$42:$C$71,2,0)/(VLOOKUP($V46,$A$42:$C$71,2,0)+VLOOKUP(AU$41,$A$42:$C$71,2,0))</f>
        <v>0.72649226385047183</v>
      </c>
      <c r="AV46">
        <f>VLOOKUP($V46,$A$42:$C$71,2,0)/(VLOOKUP($V46,$A$42:$C$71,2,0)+VLOOKUP(AV$41,$A$42:$C$71,2,0))</f>
        <v>0.740774899182154</v>
      </c>
      <c r="AW46">
        <f>VLOOKUP($V46,$A$42:$C$71,2,0)/(VLOOKUP($V46,$A$42:$C$71,2,0)+VLOOKUP(AW$41,$A$42:$C$71,2,0))</f>
        <v>0.75491907641039391</v>
      </c>
      <c r="AX46">
        <f>VLOOKUP($V46,$A$42:$C$71,2,0)/(VLOOKUP($V46,$A$42:$C$71,2,0)+VLOOKUP(AX$41,$A$42:$C$71,2,0))</f>
        <v>0.76885738598285935</v>
      </c>
      <c r="AY46">
        <f>VLOOKUP($V46,$A$42:$C$71,2,0)/(VLOOKUP($V46,$A$42:$C$71,2,0)+VLOOKUP(AY$41,$A$42:$C$71,2,0))</f>
        <v>0.7825263822559968</v>
      </c>
      <c r="AZ46">
        <f>VLOOKUP($V46,$A$42:$C$71,2,0)/(VLOOKUP($V46,$A$42:$C$71,2,0)+VLOOKUP(AZ$41,$A$42:$C$71,2,0))</f>
        <v>0.79586767272311343</v>
      </c>
    </row>
    <row r="47" spans="1:52" x14ac:dyDescent="0.25">
      <c r="A47">
        <v>6</v>
      </c>
      <c r="B47">
        <f>B$37-B$37/(1+EXP(-B$38*($A47-B$39)))</f>
        <v>0.72111517802286307</v>
      </c>
      <c r="C47">
        <f>C$37-C$37/(1+EXP(-C$38*($A47-C$39)))</f>
        <v>59.131444597874776</v>
      </c>
      <c r="V47">
        <v>6</v>
      </c>
      <c r="W47">
        <f>VLOOKUP($V47,$A$42:$C$71,2,0)/(VLOOKUP($V47,$A$42:$C$71,2,0)+VLOOKUP(W$41,$A$42:$C$71,2,0))</f>
        <v>0.47097431070275608</v>
      </c>
      <c r="X47">
        <f>VLOOKUP($V47,$A$42:$C$71,2,0)/(VLOOKUP($V47,$A$42:$C$71,2,0)+VLOOKUP(X$41,$A$42:$C$71,2,0))</f>
        <v>0.4759067149161717</v>
      </c>
      <c r="Y47">
        <f>VLOOKUP($V47,$A$42:$C$71,2,0)/(VLOOKUP($V47,$A$42:$C$71,2,0)+VLOOKUP(Y$41,$A$42:$C$71,2,0))</f>
        <v>0.48125196234618794</v>
      </c>
      <c r="Z47">
        <f>VLOOKUP($V47,$A$42:$C$71,2,0)/(VLOOKUP($V47,$A$42:$C$71,2,0)+VLOOKUP(Z$41,$A$42:$C$71,2,0))</f>
        <v>0.48703395169900238</v>
      </c>
      <c r="AA47">
        <f>VLOOKUP($V47,$A$42:$C$71,2,0)/(VLOOKUP($V47,$A$42:$C$71,2,0)+VLOOKUP(AA$41,$A$42:$C$71,2,0))</f>
        <v>0.49327592359171141</v>
      </c>
      <c r="AB47">
        <f>VLOOKUP($V47,$A$42:$C$71,2,0)/(VLOOKUP($V47,$A$42:$C$71,2,0)+VLOOKUP(AB$41,$A$42:$C$71,2,0))</f>
        <v>0.5</v>
      </c>
      <c r="AC47">
        <f>VLOOKUP($V47,$A$42:$C$71,2,0)/(VLOOKUP($V47,$A$42:$C$71,2,0)+VLOOKUP(AC$41,$A$42:$C$71,2,0))</f>
        <v>0.50722666212157341</v>
      </c>
      <c r="AD47">
        <f>VLOOKUP($V47,$A$42:$C$71,2,0)/(VLOOKUP($V47,$A$42:$C$71,2,0)+VLOOKUP(AD$41,$A$42:$C$71,2,0))</f>
        <v>0.51497417061173534</v>
      </c>
      <c r="AE47">
        <f>VLOOKUP($V47,$A$42:$C$71,2,0)/(VLOOKUP($V47,$A$42:$C$71,2,0)+VLOOKUP(AE$41,$A$42:$C$71,2,0))</f>
        <v>0.5232579357992978</v>
      </c>
      <c r="AF47">
        <f>VLOOKUP($V47,$A$42:$C$71,2,0)/(VLOOKUP($V47,$A$42:$C$71,2,0)+VLOOKUP(AF$41,$A$42:$C$71,2,0))</f>
        <v>0.53208984971618267</v>
      </c>
      <c r="AG47">
        <f>VLOOKUP($V47,$A$42:$C$71,2,0)/(VLOOKUP($V47,$A$42:$C$71,2,0)+VLOOKUP(AG$41,$A$42:$C$71,2,0))</f>
        <v>0.54147759642487181</v>
      </c>
      <c r="AH47">
        <f>VLOOKUP($V47,$A$42:$C$71,2,0)/(VLOOKUP($V47,$A$42:$C$71,2,0)+VLOOKUP(AH$41,$A$42:$C$71,2,0))</f>
        <v>0.55142396196460963</v>
      </c>
      <c r="AI47">
        <f>VLOOKUP($V47,$A$42:$C$71,2,0)/(VLOOKUP($V47,$A$42:$C$71,2,0)+VLOOKUP(AI$41,$A$42:$C$71,2,0))</f>
        <v>0.56192616992273725</v>
      </c>
      <c r="AJ47">
        <f>VLOOKUP($V47,$A$42:$C$71,2,0)/(VLOOKUP($V47,$A$42:$C$71,2,0)+VLOOKUP(AJ$41,$A$42:$C$71,2,0))</f>
        <v>0.57297527274302607</v>
      </c>
      <c r="AK47">
        <f>VLOOKUP($V47,$A$42:$C$71,2,0)/(VLOOKUP($V47,$A$42:$C$71,2,0)+VLOOKUP(AK$41,$A$42:$C$71,2,0))</f>
        <v>0.58455563190980453</v>
      </c>
      <c r="AL47">
        <f>VLOOKUP($V47,$A$42:$C$71,2,0)/(VLOOKUP($V47,$A$42:$C$71,2,0)+VLOOKUP(AL$41,$A$42:$C$71,2,0))</f>
        <v>0.5966445215664743</v>
      </c>
      <c r="AM47">
        <f>VLOOKUP($V47,$A$42:$C$71,2,0)/(VLOOKUP($V47,$A$42:$C$71,2,0)+VLOOKUP(AM$41,$A$42:$C$71,2,0))</f>
        <v>0.60921188943915972</v>
      </c>
      <c r="AN47">
        <f>VLOOKUP($V47,$A$42:$C$71,2,0)/(VLOOKUP($V47,$A$42:$C$71,2,0)+VLOOKUP(AN$41,$A$42:$C$71,2,0))</f>
        <v>0.62222030574062748</v>
      </c>
      <c r="AO47">
        <f>VLOOKUP($V47,$A$42:$C$71,2,0)/(VLOOKUP($V47,$A$42:$C$71,2,0)+VLOOKUP(AO$41,$A$42:$C$71,2,0))</f>
        <v>0.63562512480538425</v>
      </c>
      <c r="AP47">
        <f>VLOOKUP($V47,$A$42:$C$71,2,0)/(VLOOKUP($V47,$A$42:$C$71,2,0)+VLOOKUP(AP$41,$A$42:$C$71,2,0))</f>
        <v>0.64937487558491624</v>
      </c>
      <c r="AQ47">
        <f>VLOOKUP($V47,$A$42:$C$71,2,0)/(VLOOKUP($V47,$A$42:$C$71,2,0)+VLOOKUP(AQ$41,$A$42:$C$71,2,0))</f>
        <v>0.66341188614691138</v>
      </c>
      <c r="AR47">
        <f>VLOOKUP($V47,$A$42:$C$71,2,0)/(VLOOKUP($V47,$A$42:$C$71,2,0)+VLOOKUP(AR$41,$A$42:$C$71,2,0))</f>
        <v>0.67767313462764645</v>
      </c>
      <c r="AS47">
        <f>VLOOKUP($V47,$A$42:$C$71,2,0)/(VLOOKUP($V47,$A$42:$C$71,2,0)+VLOOKUP(AS$41,$A$42:$C$71,2,0))</f>
        <v>0.69209130562404242</v>
      </c>
      <c r="AT47">
        <f>VLOOKUP($V47,$A$42:$C$71,2,0)/(VLOOKUP($V47,$A$42:$C$71,2,0)+VLOOKUP(AT$41,$A$42:$C$71,2,0))</f>
        <v>0.70659601792777893</v>
      </c>
      <c r="AU47">
        <f>VLOOKUP($V47,$A$42:$C$71,2,0)/(VLOOKUP($V47,$A$42:$C$71,2,0)+VLOOKUP(AU$41,$A$42:$C$71,2,0))</f>
        <v>0.72111517802286307</v>
      </c>
      <c r="AV47">
        <f>VLOOKUP($V47,$A$42:$C$71,2,0)/(VLOOKUP($V47,$A$42:$C$71,2,0)+VLOOKUP(AV$41,$A$42:$C$71,2,0))</f>
        <v>0.73557640503724908</v>
      </c>
      <c r="AW47">
        <f>VLOOKUP($V47,$A$42:$C$71,2,0)/(VLOOKUP($V47,$A$42:$C$71,2,0)+VLOOKUP(AW$41,$A$42:$C$71,2,0))</f>
        <v>0.74990846776994036</v>
      </c>
      <c r="AX47">
        <f>VLOOKUP($V47,$A$42:$C$71,2,0)/(VLOOKUP($V47,$A$42:$C$71,2,0)+VLOOKUP(AX$41,$A$42:$C$71,2,0))</f>
        <v>0.7640426735507897</v>
      </c>
      <c r="AY47">
        <f>VLOOKUP($V47,$A$42:$C$71,2,0)/(VLOOKUP($V47,$A$42:$C$71,2,0)+VLOOKUP(AY$41,$A$42:$C$71,2,0))</f>
        <v>0.77791415212451098</v>
      </c>
      <c r="AZ47">
        <f>VLOOKUP($V47,$A$42:$C$71,2,0)/(VLOOKUP($V47,$A$42:$C$71,2,0)+VLOOKUP(AZ$41,$A$42:$C$71,2,0))</f>
        <v>0.79146298511296831</v>
      </c>
    </row>
    <row r="48" spans="1:52" x14ac:dyDescent="0.25">
      <c r="A48">
        <v>7</v>
      </c>
      <c r="B48">
        <f>B$37-B$37/(1+EXP(-B$38*($A48-B$39)))</f>
        <v>0.700567142473973</v>
      </c>
      <c r="C48">
        <f>C$37-C$37/(1+EXP(-C$38*($A48-C$39)))</f>
        <v>57.446505682865784</v>
      </c>
      <c r="V48">
        <v>7</v>
      </c>
      <c r="W48">
        <f>VLOOKUP($V48,$A$42:$C$71,2,0)/(VLOOKUP($V48,$A$42:$C$71,2,0)+VLOOKUP(W$41,$A$42:$C$71,2,0))</f>
        <v>0.46377804008771911</v>
      </c>
      <c r="X48">
        <f>VLOOKUP($V48,$A$42:$C$71,2,0)/(VLOOKUP($V48,$A$42:$C$71,2,0)+VLOOKUP(X$41,$A$42:$C$71,2,0))</f>
        <v>0.46870185058239244</v>
      </c>
      <c r="Y48">
        <f>VLOOKUP($V48,$A$42:$C$71,2,0)/(VLOOKUP($V48,$A$42:$C$71,2,0)+VLOOKUP(Y$41,$A$42:$C$71,2,0))</f>
        <v>0.47403936940493457</v>
      </c>
      <c r="Z48">
        <f>VLOOKUP($V48,$A$42:$C$71,2,0)/(VLOOKUP($V48,$A$42:$C$71,2,0)+VLOOKUP(Z$41,$A$42:$C$71,2,0))</f>
        <v>0.47981485507068428</v>
      </c>
      <c r="AA48">
        <f>VLOOKUP($V48,$A$42:$C$71,2,0)/(VLOOKUP($V48,$A$42:$C$71,2,0)+VLOOKUP(AA$41,$A$42:$C$71,2,0))</f>
        <v>0.48605197255538951</v>
      </c>
      <c r="AB48">
        <f>VLOOKUP($V48,$A$42:$C$71,2,0)/(VLOOKUP($V48,$A$42:$C$71,2,0)+VLOOKUP(AB$41,$A$42:$C$71,2,0))</f>
        <v>0.49277333787842664</v>
      </c>
      <c r="AC48">
        <f>VLOOKUP($V48,$A$42:$C$71,2,0)/(VLOOKUP($V48,$A$42:$C$71,2,0)+VLOOKUP(AC$41,$A$42:$C$71,2,0))</f>
        <v>0.5</v>
      </c>
      <c r="AD48">
        <f>VLOOKUP($V48,$A$42:$C$71,2,0)/(VLOOKUP($V48,$A$42:$C$71,2,0)+VLOOKUP(AD$41,$A$42:$C$71,2,0))</f>
        <v>0.50775086347533838</v>
      </c>
      <c r="AE48">
        <f>VLOOKUP($V48,$A$42:$C$71,2,0)/(VLOOKUP($V48,$A$42:$C$71,2,0)+VLOOKUP(AE$41,$A$42:$C$71,2,0))</f>
        <v>0.51604205889789367</v>
      </c>
      <c r="AF48">
        <f>VLOOKUP($V48,$A$42:$C$71,2,0)/(VLOOKUP($V48,$A$42:$C$71,2,0)+VLOOKUP(AF$41,$A$42:$C$71,2,0))</f>
        <v>0.52488627234984619</v>
      </c>
      <c r="AG48">
        <f>VLOOKUP($V48,$A$42:$C$71,2,0)/(VLOOKUP($V48,$A$42:$C$71,2,0)+VLOOKUP(AG$41,$A$42:$C$71,2,0))</f>
        <v>0.53429204972678024</v>
      </c>
      <c r="AH48">
        <f>VLOOKUP($V48,$A$42:$C$71,2,0)/(VLOOKUP($V48,$A$42:$C$71,2,0)+VLOOKUP(AH$41,$A$42:$C$71,2,0))</f>
        <v>0.54426309668804806</v>
      </c>
      <c r="AI48">
        <f>VLOOKUP($V48,$A$42:$C$71,2,0)/(VLOOKUP($V48,$A$42:$C$71,2,0)+VLOOKUP(AI$41,$A$42:$C$71,2,0))</f>
        <v>0.55479759978041154</v>
      </c>
      <c r="AJ48">
        <f>VLOOKUP($V48,$A$42:$C$71,2,0)/(VLOOKUP($V48,$A$42:$C$71,2,0)+VLOOKUP(AJ$41,$A$42:$C$71,2,0))</f>
        <v>0.56588759857073379</v>
      </c>
      <c r="AK48">
        <f>VLOOKUP($V48,$A$42:$C$71,2,0)/(VLOOKUP($V48,$A$42:$C$71,2,0)+VLOOKUP(AK$41,$A$42:$C$71,2,0))</f>
        <v>0.57751844190882151</v>
      </c>
      <c r="AL48">
        <f>VLOOKUP($V48,$A$42:$C$71,2,0)/(VLOOKUP($V48,$A$42:$C$71,2,0)+VLOOKUP(AL$41,$A$42:$C$71,2,0))</f>
        <v>0.58966836319053073</v>
      </c>
      <c r="AM48">
        <f>VLOOKUP($V48,$A$42:$C$71,2,0)/(VLOOKUP($V48,$A$42:$C$71,2,0)+VLOOKUP(AM$41,$A$42:$C$71,2,0))</f>
        <v>0.60230820918773997</v>
      </c>
      <c r="AN48">
        <f>VLOOKUP($V48,$A$42:$C$71,2,0)/(VLOOKUP($V48,$A$42:$C$71,2,0)+VLOOKUP(AN$41,$A$42:$C$71,2,0))</f>
        <v>0.61540135422811282</v>
      </c>
      <c r="AO48">
        <f>VLOOKUP($V48,$A$42:$C$71,2,0)/(VLOOKUP($V48,$A$42:$C$71,2,0)+VLOOKUP(AO$41,$A$42:$C$71,2,0))</f>
        <v>0.62890382598399397</v>
      </c>
      <c r="AP48">
        <f>VLOOKUP($V48,$A$42:$C$71,2,0)/(VLOOKUP($V48,$A$42:$C$71,2,0)+VLOOKUP(AP$41,$A$42:$C$71,2,0))</f>
        <v>0.64276466085010253</v>
      </c>
      <c r="AQ48">
        <f>VLOOKUP($V48,$A$42:$C$71,2,0)/(VLOOKUP($V48,$A$42:$C$71,2,0)+VLOOKUP(AQ$41,$A$42:$C$71,2,0))</f>
        <v>0.65692649613824394</v>
      </c>
      <c r="AR48">
        <f>VLOOKUP($V48,$A$42:$C$71,2,0)/(VLOOKUP($V48,$A$42:$C$71,2,0)+VLOOKUP(AR$41,$A$42:$C$71,2,0))</f>
        <v>0.67132639370189251</v>
      </c>
      <c r="AS48">
        <f>VLOOKUP($V48,$A$42:$C$71,2,0)/(VLOOKUP($V48,$A$42:$C$71,2,0)+VLOOKUP(AS$41,$A$42:$C$71,2,0))</f>
        <v>0.68589687603228333</v>
      </c>
      <c r="AT48">
        <f>VLOOKUP($V48,$A$42:$C$71,2,0)/(VLOOKUP($V48,$A$42:$C$71,2,0)+VLOOKUP(AT$41,$A$42:$C$71,2,0))</f>
        <v>0.700567142473973</v>
      </c>
      <c r="AU48">
        <f>VLOOKUP($V48,$A$42:$C$71,2,0)/(VLOOKUP($V48,$A$42:$C$71,2,0)+VLOOKUP(AU$41,$A$42:$C$71,2,0))</f>
        <v>0.71526442122822687</v>
      </c>
      <c r="AV48">
        <f>VLOOKUP($V48,$A$42:$C$71,2,0)/(VLOOKUP($V48,$A$42:$C$71,2,0)+VLOOKUP(AV$41,$A$42:$C$71,2,0))</f>
        <v>0.72991540343275085</v>
      </c>
      <c r="AW48">
        <f>VLOOKUP($V48,$A$42:$C$71,2,0)/(VLOOKUP($V48,$A$42:$C$71,2,0)+VLOOKUP(AW$41,$A$42:$C$71,2,0))</f>
        <v>0.74444769979948933</v>
      </c>
      <c r="AX48">
        <f>VLOOKUP($V48,$A$42:$C$71,2,0)/(VLOOKUP($V48,$A$42:$C$71,2,0)+VLOOKUP(AX$41,$A$42:$C$71,2,0))</f>
        <v>0.75879125867873198</v>
      </c>
      <c r="AY48">
        <f>VLOOKUP($V48,$A$42:$C$71,2,0)/(VLOOKUP($V48,$A$42:$C$71,2,0)+VLOOKUP(AY$41,$A$42:$C$71,2,0))</f>
        <v>0.77287968717222877</v>
      </c>
      <c r="AZ48">
        <f>VLOOKUP($V48,$A$42:$C$71,2,0)/(VLOOKUP($V48,$A$42:$C$71,2,0)+VLOOKUP(AZ$41,$A$42:$C$71,2,0))</f>
        <v>0.78665142374290065</v>
      </c>
    </row>
    <row r="49" spans="1:52" x14ac:dyDescent="0.25">
      <c r="A49">
        <v>8</v>
      </c>
      <c r="B49">
        <f>B$37-B$37/(1+EXP(-B$38*($A49-B$39)))</f>
        <v>0.67917869917539297</v>
      </c>
      <c r="C49">
        <f>C$37-C$37/(1+EXP(-C$38*($A49-C$39)))</f>
        <v>55.692653332382221</v>
      </c>
      <c r="V49">
        <v>8</v>
      </c>
      <c r="W49">
        <f>VLOOKUP($V49,$A$42:$C$71,2,0)/(VLOOKUP($V49,$A$42:$C$71,2,0)+VLOOKUP(W$41,$A$42:$C$71,2,0))</f>
        <v>0.45607650295714297</v>
      </c>
      <c r="X49">
        <f>VLOOKUP($V49,$A$42:$C$71,2,0)/(VLOOKUP($V49,$A$42:$C$71,2,0)+VLOOKUP(X$41,$A$42:$C$71,2,0))</f>
        <v>0.46098884161317694</v>
      </c>
      <c r="Y49">
        <f>VLOOKUP($V49,$A$42:$C$71,2,0)/(VLOOKUP($V49,$A$42:$C$71,2,0)+VLOOKUP(Y$41,$A$42:$C$71,2,0))</f>
        <v>0.46631561745209843</v>
      </c>
      <c r="Z49">
        <f>VLOOKUP($V49,$A$42:$C$71,2,0)/(VLOOKUP($V49,$A$42:$C$71,2,0)+VLOOKUP(Z$41,$A$42:$C$71,2,0))</f>
        <v>0.47208146327276818</v>
      </c>
      <c r="AA49">
        <f>VLOOKUP($V49,$A$42:$C$71,2,0)/(VLOOKUP($V49,$A$42:$C$71,2,0)+VLOOKUP(AA$41,$A$42:$C$71,2,0))</f>
        <v>0.4783104884279285</v>
      </c>
      <c r="AB49">
        <f>VLOOKUP($V49,$A$42:$C$71,2,0)/(VLOOKUP($V49,$A$42:$C$71,2,0)+VLOOKUP(AB$41,$A$42:$C$71,2,0))</f>
        <v>0.48502582938826466</v>
      </c>
      <c r="AC49">
        <f>VLOOKUP($V49,$A$42:$C$71,2,0)/(VLOOKUP($V49,$A$42:$C$71,2,0)+VLOOKUP(AC$41,$A$42:$C$71,2,0))</f>
        <v>0.49224913652466168</v>
      </c>
      <c r="AD49">
        <f>VLOOKUP($V49,$A$42:$C$71,2,0)/(VLOOKUP($V49,$A$42:$C$71,2,0)+VLOOKUP(AD$41,$A$42:$C$71,2,0))</f>
        <v>0.5</v>
      </c>
      <c r="AE49">
        <f>VLOOKUP($V49,$A$42:$C$71,2,0)/(VLOOKUP($V49,$A$42:$C$71,2,0)+VLOOKUP(AE$41,$A$42:$C$71,2,0))</f>
        <v>0.50829532117713783</v>
      </c>
      <c r="AF49">
        <f>VLOOKUP($V49,$A$42:$C$71,2,0)/(VLOOKUP($V49,$A$42:$C$71,2,0)+VLOOKUP(AF$41,$A$42:$C$71,2,0))</f>
        <v>0.51714864008607053</v>
      </c>
      <c r="AG49">
        <f>VLOOKUP($V49,$A$42:$C$71,2,0)/(VLOOKUP($V49,$A$42:$C$71,2,0)+VLOOKUP(AG$41,$A$42:$C$71,2,0))</f>
        <v>0.52656943412940949</v>
      </c>
      <c r="AH49">
        <f>VLOOKUP($V49,$A$42:$C$71,2,0)/(VLOOKUP($V49,$A$42:$C$71,2,0)+VLOOKUP(AH$41,$A$42:$C$71,2,0))</f>
        <v>0.53656240812997658</v>
      </c>
      <c r="AI49">
        <f>VLOOKUP($V49,$A$42:$C$71,2,0)/(VLOOKUP($V49,$A$42:$C$71,2,0)+VLOOKUP(AI$41,$A$42:$C$71,2,0))</f>
        <v>0.54712680072707121</v>
      </c>
      <c r="AJ49">
        <f>VLOOKUP($V49,$A$42:$C$71,2,0)/(VLOOKUP($V49,$A$42:$C$71,2,0)+VLOOKUP(AJ$41,$A$42:$C$71,2,0))</f>
        <v>0.55825573660082617</v>
      </c>
      <c r="AK49">
        <f>VLOOKUP($V49,$A$42:$C$71,2,0)/(VLOOKUP($V49,$A$42:$C$71,2,0)+VLOOKUP(AK$41,$A$42:$C$71,2,0))</f>
        <v>0.56993565755756936</v>
      </c>
      <c r="AL49">
        <f>VLOOKUP($V49,$A$42:$C$71,2,0)/(VLOOKUP($V49,$A$42:$C$71,2,0)+VLOOKUP(AL$41,$A$42:$C$71,2,0))</f>
        <v>0.58214586760645959</v>
      </c>
      <c r="AM49">
        <f>VLOOKUP($V49,$A$42:$C$71,2,0)/(VLOOKUP($V49,$A$42:$C$71,2,0)+VLOOKUP(AM$41,$A$42:$C$71,2,0))</f>
        <v>0.59485822726785176</v>
      </c>
      <c r="AN49">
        <f>VLOOKUP($V49,$A$42:$C$71,2,0)/(VLOOKUP($V49,$A$42:$C$71,2,0)+VLOOKUP(AN$41,$A$42:$C$71,2,0))</f>
        <v>0.60803703002141152</v>
      </c>
      <c r="AO49">
        <f>VLOOKUP($V49,$A$42:$C$71,2,0)/(VLOOKUP($V49,$A$42:$C$71,2,0)+VLOOKUP(AO$41,$A$42:$C$71,2,0))</f>
        <v>0.62163908872665263</v>
      </c>
      <c r="AP49">
        <f>VLOOKUP($V49,$A$42:$C$71,2,0)/(VLOOKUP($V49,$A$42:$C$71,2,0)+VLOOKUP(AP$41,$A$42:$C$71,2,0))</f>
        <v>0.63561405196357035</v>
      </c>
      <c r="AQ49">
        <f>VLOOKUP($V49,$A$42:$C$71,2,0)/(VLOOKUP($V49,$A$42:$C$71,2,0)+VLOOKUP(AQ$41,$A$42:$C$71,2,0))</f>
        <v>0.64990495977551932</v>
      </c>
      <c r="AR49">
        <f>VLOOKUP($V49,$A$42:$C$71,2,0)/(VLOOKUP($V49,$A$42:$C$71,2,0)+VLOOKUP(AR$41,$A$42:$C$71,2,0))</f>
        <v>0.66444903580618586</v>
      </c>
      <c r="AS49">
        <f>VLOOKUP($V49,$A$42:$C$71,2,0)/(VLOOKUP($V49,$A$42:$C$71,2,0)+VLOOKUP(AS$41,$A$42:$C$71,2,0))</f>
        <v>0.67917869917539297</v>
      </c>
      <c r="AT49">
        <f>VLOOKUP($V49,$A$42:$C$71,2,0)/(VLOOKUP($V49,$A$42:$C$71,2,0)+VLOOKUP(AT$41,$A$42:$C$71,2,0))</f>
        <v>0.69402276574852906</v>
      </c>
      <c r="AU49">
        <f>VLOOKUP($V49,$A$42:$C$71,2,0)/(VLOOKUP($V49,$A$42:$C$71,2,0)+VLOOKUP(AU$41,$A$42:$C$71,2,0))</f>
        <v>0.70890779596571585</v>
      </c>
      <c r="AV49">
        <f>VLOOKUP($V49,$A$42:$C$71,2,0)/(VLOOKUP($V49,$A$42:$C$71,2,0)+VLOOKUP(AV$41,$A$42:$C$71,2,0))</f>
        <v>0.72375953633210599</v>
      </c>
      <c r="AW49">
        <f>VLOOKUP($V49,$A$42:$C$71,2,0)/(VLOOKUP($V49,$A$42:$C$71,2,0)+VLOOKUP(AW$41,$A$42:$C$71,2,0))</f>
        <v>0.73850439506674237</v>
      </c>
      <c r="AX49">
        <f>VLOOKUP($V49,$A$42:$C$71,2,0)/(VLOOKUP($V49,$A$42:$C$71,2,0)+VLOOKUP(AX$41,$A$42:$C$71,2,0))</f>
        <v>0.75307088996677884</v>
      </c>
      <c r="AY49">
        <f>VLOOKUP($V49,$A$42:$C$71,2,0)/(VLOOKUP($V49,$A$42:$C$71,2,0)+VLOOKUP(AY$41,$A$42:$C$71,2,0))</f>
        <v>0.76739100853036124</v>
      </c>
      <c r="AZ49">
        <f>VLOOKUP($V49,$A$42:$C$71,2,0)/(VLOOKUP($V49,$A$42:$C$71,2,0)+VLOOKUP(AZ$41,$A$42:$C$71,2,0))</f>
        <v>0.78140142658022171</v>
      </c>
    </row>
    <row r="50" spans="1:52" x14ac:dyDescent="0.25">
      <c r="A50">
        <v>9</v>
      </c>
      <c r="B50">
        <f>B$37-B$37/(1+EXP(-B$38*($A50-B$39)))</f>
        <v>0.65701046267349883</v>
      </c>
      <c r="C50">
        <f>C$37-C$37/(1+EXP(-C$38*($A50-C$39)))</f>
        <v>53.874857939226899</v>
      </c>
      <c r="V50">
        <v>9</v>
      </c>
      <c r="W50">
        <f>VLOOKUP($V50,$A$42:$C$71,2,0)/(VLOOKUP($V50,$A$42:$C$71,2,0)+VLOOKUP(W$41,$A$42:$C$71,2,0))</f>
        <v>0.44785717671525666</v>
      </c>
      <c r="X50">
        <f>VLOOKUP($V50,$A$42:$C$71,2,0)/(VLOOKUP($V50,$A$42:$C$71,2,0)+VLOOKUP(X$41,$A$42:$C$71,2,0))</f>
        <v>0.45275467668903496</v>
      </c>
      <c r="Y50">
        <f>VLOOKUP($V50,$A$42:$C$71,2,0)/(VLOOKUP($V50,$A$42:$C$71,2,0)+VLOOKUP(Y$41,$A$42:$C$71,2,0))</f>
        <v>0.45806716423177474</v>
      </c>
      <c r="Z50">
        <f>VLOOKUP($V50,$A$42:$C$71,2,0)/(VLOOKUP($V50,$A$42:$C$71,2,0)+VLOOKUP(Z$41,$A$42:$C$71,2,0))</f>
        <v>0.46381965858400226</v>
      </c>
      <c r="AA50">
        <f>VLOOKUP($V50,$A$42:$C$71,2,0)/(VLOOKUP($V50,$A$42:$C$71,2,0)+VLOOKUP(AA$41,$A$42:$C$71,2,0))</f>
        <v>0.47003673139148761</v>
      </c>
      <c r="AB50">
        <f>VLOOKUP($V50,$A$42:$C$71,2,0)/(VLOOKUP($V50,$A$42:$C$71,2,0)+VLOOKUP(AB$41,$A$42:$C$71,2,0))</f>
        <v>0.4767420642007022</v>
      </c>
      <c r="AC50">
        <f>VLOOKUP($V50,$A$42:$C$71,2,0)/(VLOOKUP($V50,$A$42:$C$71,2,0)+VLOOKUP(AC$41,$A$42:$C$71,2,0))</f>
        <v>0.48395794110210644</v>
      </c>
      <c r="AD50">
        <f>VLOOKUP($V50,$A$42:$C$71,2,0)/(VLOOKUP($V50,$A$42:$C$71,2,0)+VLOOKUP(AD$41,$A$42:$C$71,2,0))</f>
        <v>0.49170467882286228</v>
      </c>
      <c r="AE50">
        <f>VLOOKUP($V50,$A$42:$C$71,2,0)/(VLOOKUP($V50,$A$42:$C$71,2,0)+VLOOKUP(AE$41,$A$42:$C$71,2,0))</f>
        <v>0.5</v>
      </c>
      <c r="AF50">
        <f>VLOOKUP($V50,$A$42:$C$71,2,0)/(VLOOKUP($V50,$A$42:$C$71,2,0)+VLOOKUP(AF$41,$A$42:$C$71,2,0))</f>
        <v>0.50885835943866475</v>
      </c>
      <c r="AG50">
        <f>VLOOKUP($V50,$A$42:$C$71,2,0)/(VLOOKUP($V50,$A$42:$C$71,2,0)+VLOOKUP(AG$41,$A$42:$C$71,2,0))</f>
        <v>0.51829023777145189</v>
      </c>
      <c r="AH50">
        <f>VLOOKUP($V50,$A$42:$C$71,2,0)/(VLOOKUP($V50,$A$42:$C$71,2,0)+VLOOKUP(AH$41,$A$42:$C$71,2,0))</f>
        <v>0.5283014218890254</v>
      </c>
      <c r="AI50">
        <f>VLOOKUP($V50,$A$42:$C$71,2,0)/(VLOOKUP($V50,$A$42:$C$71,2,0)+VLOOKUP(AI$41,$A$42:$C$71,2,0))</f>
        <v>0.53889229651490134</v>
      </c>
      <c r="AJ50">
        <f>VLOOKUP($V50,$A$42:$C$71,2,0)/(VLOOKUP($V50,$A$42:$C$71,2,0)+VLOOKUP(AJ$41,$A$42:$C$71,2,0))</f>
        <v>0.55005717595392067</v>
      </c>
      <c r="AK50">
        <f>VLOOKUP($V50,$A$42:$C$71,2,0)/(VLOOKUP($V50,$A$42:$C$71,2,0)+VLOOKUP(AK$41,$A$42:$C$71,2,0))</f>
        <v>0.56178370887279372</v>
      </c>
      <c r="AL50">
        <f>VLOOKUP($V50,$A$42:$C$71,2,0)/(VLOOKUP($V50,$A$42:$C$71,2,0)+VLOOKUP(AL$41,$A$42:$C$71,2,0))</f>
        <v>0.57405239143406794</v>
      </c>
      <c r="AM50">
        <f>VLOOKUP($V50,$A$42:$C$71,2,0)/(VLOOKUP($V50,$A$42:$C$71,2,0)+VLOOKUP(AM$41,$A$42:$C$71,2,0))</f>
        <v>0.58683622465749607</v>
      </c>
      <c r="AN50">
        <f>VLOOKUP($V50,$A$42:$C$71,2,0)/(VLOOKUP($V50,$A$42:$C$71,2,0)+VLOOKUP(AN$41,$A$42:$C$71,2,0))</f>
        <v>0.60010055004203433</v>
      </c>
      <c r="AO50">
        <f>VLOOKUP($V50,$A$42:$C$71,2,0)/(VLOOKUP($V50,$A$42:$C$71,2,0)+VLOOKUP(AO$41,$A$42:$C$71,2,0))</f>
        <v>0.61380309290543011</v>
      </c>
      <c r="AP50">
        <f>VLOOKUP($V50,$A$42:$C$71,2,0)/(VLOOKUP($V50,$A$42:$C$71,2,0)+VLOOKUP(AP$41,$A$42:$C$71,2,0))</f>
        <v>0.62789423546604783</v>
      </c>
      <c r="AQ50">
        <f>VLOOKUP($V50,$A$42:$C$71,2,0)/(VLOOKUP($V50,$A$42:$C$71,2,0)+VLOOKUP(AQ$41,$A$42:$C$71,2,0))</f>
        <v>0.64231753157208638</v>
      </c>
      <c r="AR50">
        <f>VLOOKUP($V50,$A$42:$C$71,2,0)/(VLOOKUP($V50,$A$42:$C$71,2,0)+VLOOKUP(AR$41,$A$42:$C$71,2,0))</f>
        <v>0.65701046267349883</v>
      </c>
      <c r="AS50">
        <f>VLOOKUP($V50,$A$42:$C$71,2,0)/(VLOOKUP($V50,$A$42:$C$71,2,0)+VLOOKUP(AS$41,$A$42:$C$71,2,0))</f>
        <v>0.67190542095206907</v>
      </c>
      <c r="AT50">
        <f>VLOOKUP($V50,$A$42:$C$71,2,0)/(VLOOKUP($V50,$A$42:$C$71,2,0)+VLOOKUP(AT$41,$A$42:$C$71,2,0))</f>
        <v>0.68693089156233367</v>
      </c>
      <c r="AU50">
        <f>VLOOKUP($V50,$A$42:$C$71,2,0)/(VLOOKUP($V50,$A$42:$C$71,2,0)+VLOOKUP(AU$41,$A$42:$C$71,2,0))</f>
        <v>0.70201279293629204</v>
      </c>
      <c r="AV50">
        <f>VLOOKUP($V50,$A$42:$C$71,2,0)/(VLOOKUP($V50,$A$42:$C$71,2,0)+VLOOKUP(AV$41,$A$42:$C$71,2,0))</f>
        <v>0.71707592332471737</v>
      </c>
      <c r="AW50">
        <f>VLOOKUP($V50,$A$42:$C$71,2,0)/(VLOOKUP($V50,$A$42:$C$71,2,0)+VLOOKUP(AW$41,$A$42:$C$71,2,0))</f>
        <v>0.73204545428846324</v>
      </c>
      <c r="AX50">
        <f>VLOOKUP($V50,$A$42:$C$71,2,0)/(VLOOKUP($V50,$A$42:$C$71,2,0)+VLOOKUP(AX$41,$A$42:$C$71,2,0))</f>
        <v>0.74684840850402012</v>
      </c>
      <c r="AY50">
        <f>VLOOKUP($V50,$A$42:$C$71,2,0)/(VLOOKUP($V50,$A$42:$C$71,2,0)+VLOOKUP(AY$41,$A$42:$C$71,2,0))</f>
        <v>0.76141506037002604</v>
      </c>
      <c r="AZ50">
        <f>VLOOKUP($V50,$A$42:$C$71,2,0)/(VLOOKUP($V50,$A$42:$C$71,2,0)+VLOOKUP(AZ$41,$A$42:$C$71,2,0))</f>
        <v>0.77568020337392563</v>
      </c>
    </row>
    <row r="51" spans="1:52" x14ac:dyDescent="0.25">
      <c r="A51">
        <v>10</v>
      </c>
      <c r="B51">
        <f>B$37-B$37/(1+EXP(-B$38*($A51-B$39)))</f>
        <v>0.63413559101080064</v>
      </c>
      <c r="C51">
        <f>C$37-C$37/(1+EXP(-C$38*($A51-C$39)))</f>
        <v>51.999118462885654</v>
      </c>
      <c r="V51">
        <v>10</v>
      </c>
      <c r="W51">
        <f>VLOOKUP($V51,$A$42:$C$71,2,0)/(VLOOKUP($V51,$A$42:$C$71,2,0)+VLOOKUP(W$41,$A$42:$C$71,2,0))</f>
        <v>0.43911131517920021</v>
      </c>
      <c r="X51">
        <f>VLOOKUP($V51,$A$42:$C$71,2,0)/(VLOOKUP($V51,$A$42:$C$71,2,0)+VLOOKUP(X$41,$A$42:$C$71,2,0))</f>
        <v>0.44399008145113128</v>
      </c>
      <c r="Y51">
        <f>VLOOKUP($V51,$A$42:$C$71,2,0)/(VLOOKUP($V51,$A$42:$C$71,2,0)+VLOOKUP(Y$41,$A$42:$C$71,2,0))</f>
        <v>0.44928415963258811</v>
      </c>
      <c r="Z51">
        <f>VLOOKUP($V51,$A$42:$C$71,2,0)/(VLOOKUP($V51,$A$42:$C$71,2,0)+VLOOKUP(Z$41,$A$42:$C$71,2,0))</f>
        <v>0.45501896455728896</v>
      </c>
      <c r="AA51">
        <f>VLOOKUP($V51,$A$42:$C$71,2,0)/(VLOOKUP($V51,$A$42:$C$71,2,0)+VLOOKUP(AA$41,$A$42:$C$71,2,0))</f>
        <v>0.46121954522421765</v>
      </c>
      <c r="AB51">
        <f>VLOOKUP($V51,$A$42:$C$71,2,0)/(VLOOKUP($V51,$A$42:$C$71,2,0)+VLOOKUP(AB$41,$A$42:$C$71,2,0))</f>
        <v>0.46791015028381738</v>
      </c>
      <c r="AC51">
        <f>VLOOKUP($V51,$A$42:$C$71,2,0)/(VLOOKUP($V51,$A$42:$C$71,2,0)+VLOOKUP(AC$41,$A$42:$C$71,2,0))</f>
        <v>0.47511372765015386</v>
      </c>
      <c r="AD51">
        <f>VLOOKUP($V51,$A$42:$C$71,2,0)/(VLOOKUP($V51,$A$42:$C$71,2,0)+VLOOKUP(AD$41,$A$42:$C$71,2,0))</f>
        <v>0.48285135991392952</v>
      </c>
      <c r="AE51">
        <f>VLOOKUP($V51,$A$42:$C$71,2,0)/(VLOOKUP($V51,$A$42:$C$71,2,0)+VLOOKUP(AE$41,$A$42:$C$71,2,0))</f>
        <v>0.49114164056133519</v>
      </c>
      <c r="AF51">
        <f>VLOOKUP($V51,$A$42:$C$71,2,0)/(VLOOKUP($V51,$A$42:$C$71,2,0)+VLOOKUP(AF$41,$A$42:$C$71,2,0))</f>
        <v>0.5</v>
      </c>
      <c r="AG51">
        <f>VLOOKUP($V51,$A$42:$C$71,2,0)/(VLOOKUP($V51,$A$42:$C$71,2,0)+VLOOKUP(AG$41,$A$42:$C$71,2,0))</f>
        <v>0.50943799496520714</v>
      </c>
      <c r="AH51">
        <f>VLOOKUP($V51,$A$42:$C$71,2,0)/(VLOOKUP($V51,$A$42:$C$71,2,0)+VLOOKUP(AH$41,$A$42:$C$71,2,0))</f>
        <v>0.51946257984989219</v>
      </c>
      <c r="AI51">
        <f>VLOOKUP($V51,$A$42:$C$71,2,0)/(VLOOKUP($V51,$A$42:$C$71,2,0)+VLOOKUP(AI$41,$A$42:$C$71,2,0))</f>
        <v>0.53007538359447692</v>
      </c>
      <c r="AJ51">
        <f>VLOOKUP($V51,$A$42:$C$71,2,0)/(VLOOKUP($V51,$A$42:$C$71,2,0)+VLOOKUP(AJ$41,$A$42:$C$71,2,0))</f>
        <v>0.54127202060858037</v>
      </c>
      <c r="AK51">
        <f>VLOOKUP($V51,$A$42:$C$71,2,0)/(VLOOKUP($V51,$A$42:$C$71,2,0)+VLOOKUP(AK$41,$A$42:$C$71,2,0))</f>
        <v>0.55304146830466083</v>
      </c>
      <c r="AL51">
        <f>VLOOKUP($V51,$A$42:$C$71,2,0)/(VLOOKUP($V51,$A$42:$C$71,2,0)+VLOOKUP(AL$41,$A$42:$C$71,2,0))</f>
        <v>0.5653655466667219</v>
      </c>
      <c r="AM51">
        <f>VLOOKUP($V51,$A$42:$C$71,2,0)/(VLOOKUP($V51,$A$42:$C$71,2,0)+VLOOKUP(AM$41,$A$42:$C$71,2,0))</f>
        <v>0.57821853629945141</v>
      </c>
      <c r="AN51">
        <f>VLOOKUP($V51,$A$42:$C$71,2,0)/(VLOOKUP($V51,$A$42:$C$71,2,0)+VLOOKUP(AN$41,$A$42:$C$71,2,0))</f>
        <v>0.59156697009477588</v>
      </c>
      <c r="AO51">
        <f>VLOOKUP($V51,$A$42:$C$71,2,0)/(VLOOKUP($V51,$A$42:$C$71,2,0)+VLOOKUP(AO$41,$A$42:$C$71,2,0))</f>
        <v>0.60536962962906693</v>
      </c>
      <c r="AP51">
        <f>VLOOKUP($V51,$A$42:$C$71,2,0)/(VLOOKUP($V51,$A$42:$C$71,2,0)+VLOOKUP(AP$41,$A$42:$C$71,2,0))</f>
        <v>0.61957777048799778</v>
      </c>
      <c r="AQ51">
        <f>VLOOKUP($V51,$A$42:$C$71,2,0)/(VLOOKUP($V51,$A$42:$C$71,2,0)+VLOOKUP(AQ$41,$A$42:$C$71,2,0))</f>
        <v>0.63413559101080075</v>
      </c>
      <c r="AR51">
        <f>VLOOKUP($V51,$A$42:$C$71,2,0)/(VLOOKUP($V51,$A$42:$C$71,2,0)+VLOOKUP(AR$41,$A$42:$C$71,2,0))</f>
        <v>0.64898094688226893</v>
      </c>
      <c r="AS51">
        <f>VLOOKUP($V51,$A$42:$C$71,2,0)/(VLOOKUP($V51,$A$42:$C$71,2,0)+VLOOKUP(AS$41,$A$42:$C$71,2,0))</f>
        <v>0.6640463003434689</v>
      </c>
      <c r="AT51">
        <f>VLOOKUP($V51,$A$42:$C$71,2,0)/(VLOOKUP($V51,$A$42:$C$71,2,0)+VLOOKUP(AT$41,$A$42:$C$71,2,0))</f>
        <v>0.67925987859237846</v>
      </c>
      <c r="AU51">
        <f>VLOOKUP($V51,$A$42:$C$71,2,0)/(VLOOKUP($V51,$A$42:$C$71,2,0)+VLOOKUP(AU$41,$A$42:$C$71,2,0))</f>
        <v>0.69454700244383094</v>
      </c>
      <c r="AV51">
        <f>VLOOKUP($V51,$A$42:$C$71,2,0)/(VLOOKUP($V51,$A$42:$C$71,2,0)+VLOOKUP(AV$41,$A$42:$C$71,2,0))</f>
        <v>0.70983153480009242</v>
      </c>
      <c r="AW51">
        <f>VLOOKUP($V51,$A$42:$C$71,2,0)/(VLOOKUP($V51,$A$42:$C$71,2,0)+VLOOKUP(AW$41,$A$42:$C$71,2,0))</f>
        <v>0.72503739011377732</v>
      </c>
      <c r="AX51">
        <f>VLOOKUP($V51,$A$42:$C$71,2,0)/(VLOOKUP($V51,$A$42:$C$71,2,0)+VLOOKUP(AX$41,$A$42:$C$71,2,0))</f>
        <v>0.74009004168406278</v>
      </c>
      <c r="AY51">
        <f>VLOOKUP($V51,$A$42:$C$71,2,0)/(VLOOKUP($V51,$A$42:$C$71,2,0)+VLOOKUP(AY$41,$A$42:$C$71,2,0))</f>
        <v>0.75491796378225895</v>
      </c>
      <c r="AZ51">
        <f>VLOOKUP($V51,$A$42:$C$71,2,0)/(VLOOKUP($V51,$A$42:$C$71,2,0)+VLOOKUP(AZ$41,$A$42:$C$71,2,0))</f>
        <v>0.76945395023695973</v>
      </c>
    </row>
    <row r="52" spans="1:52" x14ac:dyDescent="0.25">
      <c r="A52">
        <v>11</v>
      </c>
      <c r="B52">
        <f>B$37-B$37/(1+EXP(-B$38*($A52-B$39)))</f>
        <v>0.61063923394922193</v>
      </c>
      <c r="C52">
        <f>C$37-C$37/(1+EXP(-C$38*($A52-C$39)))</f>
        <v>50.072417183836201</v>
      </c>
      <c r="V52">
        <v>11</v>
      </c>
      <c r="W52">
        <f>VLOOKUP($V52,$A$42:$C$71,2,0)/(VLOOKUP($V52,$A$42:$C$71,2,0)+VLOOKUP(W$41,$A$42:$C$71,2,0))</f>
        <v>0.42983460718544747</v>
      </c>
      <c r="X52">
        <f>VLOOKUP($V52,$A$42:$C$71,2,0)/(VLOOKUP($V52,$A$42:$C$71,2,0)+VLOOKUP(X$41,$A$42:$C$71,2,0))</f>
        <v>0.43469018313474578</v>
      </c>
      <c r="Y52">
        <f>VLOOKUP($V52,$A$42:$C$71,2,0)/(VLOOKUP($V52,$A$42:$C$71,2,0)+VLOOKUP(Y$41,$A$42:$C$71,2,0))</f>
        <v>0.43996111651765601</v>
      </c>
      <c r="Z52">
        <f>VLOOKUP($V52,$A$42:$C$71,2,0)/(VLOOKUP($V52,$A$42:$C$71,2,0)+VLOOKUP(Z$41,$A$42:$C$71,2,0))</f>
        <v>0.44567322314919933</v>
      </c>
      <c r="AA52">
        <f>VLOOKUP($V52,$A$42:$C$71,2,0)/(VLOOKUP($V52,$A$42:$C$71,2,0)+VLOOKUP(AA$41,$A$42:$C$71,2,0))</f>
        <v>0.45185204074660917</v>
      </c>
      <c r="AB52">
        <f>VLOOKUP($V52,$A$42:$C$71,2,0)/(VLOOKUP($V52,$A$42:$C$71,2,0)+VLOOKUP(AB$41,$A$42:$C$71,2,0))</f>
        <v>0.45852240357512825</v>
      </c>
      <c r="AC52">
        <f>VLOOKUP($V52,$A$42:$C$71,2,0)/(VLOOKUP($V52,$A$42:$C$71,2,0)+VLOOKUP(AC$41,$A$42:$C$71,2,0))</f>
        <v>0.46570795027321976</v>
      </c>
      <c r="AD52">
        <f>VLOOKUP($V52,$A$42:$C$71,2,0)/(VLOOKUP($V52,$A$42:$C$71,2,0)+VLOOKUP(AD$41,$A$42:$C$71,2,0))</f>
        <v>0.47343056587059051</v>
      </c>
      <c r="AE52">
        <f>VLOOKUP($V52,$A$42:$C$71,2,0)/(VLOOKUP($V52,$A$42:$C$71,2,0)+VLOOKUP(AE$41,$A$42:$C$71,2,0))</f>
        <v>0.48170976222854806</v>
      </c>
      <c r="AF52">
        <f>VLOOKUP($V52,$A$42:$C$71,2,0)/(VLOOKUP($V52,$A$42:$C$71,2,0)+VLOOKUP(AF$41,$A$42:$C$71,2,0))</f>
        <v>0.4905620050347928</v>
      </c>
      <c r="AG52">
        <f>VLOOKUP($V52,$A$42:$C$71,2,0)/(VLOOKUP($V52,$A$42:$C$71,2,0)+VLOOKUP(AG$41,$A$42:$C$71,2,0))</f>
        <v>0.5</v>
      </c>
      <c r="AH52">
        <f>VLOOKUP($V52,$A$42:$C$71,2,0)/(VLOOKUP($V52,$A$42:$C$71,2,0)+VLOOKUP(AH$41,$A$42:$C$71,2,0))</f>
        <v>0.51003195587351791</v>
      </c>
      <c r="AI52">
        <f>VLOOKUP($V52,$A$42:$C$71,2,0)/(VLOOKUP($V52,$A$42:$C$71,2,0)+VLOOKUP(AI$41,$A$42:$C$71,2,0))</f>
        <v>0.52066084706402804</v>
      </c>
      <c r="AJ52">
        <f>VLOOKUP($V52,$A$42:$C$71,2,0)/(VLOOKUP($V52,$A$42:$C$71,2,0)+VLOOKUP(AJ$41,$A$42:$C$71,2,0))</f>
        <v>0.53188370365769178</v>
      </c>
      <c r="AK52">
        <f>VLOOKUP($V52,$A$42:$C$71,2,0)/(VLOOKUP($V52,$A$42:$C$71,2,0)+VLOOKUP(AK$41,$A$42:$C$71,2,0))</f>
        <v>0.54369096101297021</v>
      </c>
      <c r="AL52">
        <f>VLOOKUP($V52,$A$42:$C$71,2,0)/(VLOOKUP($V52,$A$42:$C$71,2,0)+VLOOKUP(AL$41,$A$42:$C$71,2,0))</f>
        <v>0.55606590434514591</v>
      </c>
      <c r="AM52">
        <f>VLOOKUP($V52,$A$42:$C$71,2,0)/(VLOOKUP($V52,$A$42:$C$71,2,0)+VLOOKUP(AM$41,$A$42:$C$71,2,0))</f>
        <v>0.56898424522980195</v>
      </c>
      <c r="AN52">
        <f>VLOOKUP($V52,$A$42:$C$71,2,0)/(VLOOKUP($V52,$A$42:$C$71,2,0)+VLOOKUP(AN$41,$A$42:$C$71,2,0))</f>
        <v>0.5824138662182502</v>
      </c>
      <c r="AO52">
        <f>VLOOKUP($V52,$A$42:$C$71,2,0)/(VLOOKUP($V52,$A$42:$C$71,2,0)+VLOOKUP(AO$41,$A$42:$C$71,2,0))</f>
        <v>0.59631476634173763</v>
      </c>
      <c r="AP52">
        <f>VLOOKUP($V52,$A$42:$C$71,2,0)/(VLOOKUP($V52,$A$42:$C$71,2,0)+VLOOKUP(AP$41,$A$42:$C$71,2,0))</f>
        <v>0.61063923394922204</v>
      </c>
      <c r="AQ52">
        <f>VLOOKUP($V52,$A$42:$C$71,2,0)/(VLOOKUP($V52,$A$42:$C$71,2,0)+VLOOKUP(AQ$41,$A$42:$C$71,2,0))</f>
        <v>0.6253322641088489</v>
      </c>
      <c r="AR52">
        <f>VLOOKUP($V52,$A$42:$C$71,2,0)/(VLOOKUP($V52,$A$42:$C$71,2,0)+VLOOKUP(AR$41,$A$42:$C$71,2,0))</f>
        <v>0.64033222606353968</v>
      </c>
      <c r="AS52">
        <f>VLOOKUP($V52,$A$42:$C$71,2,0)/(VLOOKUP($V52,$A$42:$C$71,2,0)+VLOOKUP(AS$41,$A$42:$C$71,2,0))</f>
        <v>0.65557177266505795</v>
      </c>
      <c r="AT52">
        <f>VLOOKUP($V52,$A$42:$C$71,2,0)/(VLOOKUP($V52,$A$42:$C$71,2,0)+VLOOKUP(AT$41,$A$42:$C$71,2,0))</f>
        <v>0.67097896932468382</v>
      </c>
      <c r="AU52">
        <f>VLOOKUP($V52,$A$42:$C$71,2,0)/(VLOOKUP($V52,$A$42:$C$71,2,0)+VLOOKUP(AU$41,$A$42:$C$71,2,0))</f>
        <v>0.68647860603758082</v>
      </c>
      <c r="AV52">
        <f>VLOOKUP($V52,$A$42:$C$71,2,0)/(VLOOKUP($V52,$A$42:$C$71,2,0)+VLOOKUP(AV$41,$A$42:$C$71,2,0))</f>
        <v>0.7019936437705987</v>
      </c>
      <c r="AW52">
        <f>VLOOKUP($V52,$A$42:$C$71,2,0)/(VLOOKUP($V52,$A$42:$C$71,2,0)+VLOOKUP(AW$41,$A$42:$C$71,2,0))</f>
        <v>0.71744673717528584</v>
      </c>
      <c r="AX52">
        <f>VLOOKUP($V52,$A$42:$C$71,2,0)/(VLOOKUP($V52,$A$42:$C$71,2,0)+VLOOKUP(AX$41,$A$42:$C$71,2,0))</f>
        <v>0.73276177017311905</v>
      </c>
      <c r="AY52">
        <f>VLOOKUP($V52,$A$42:$C$71,2,0)/(VLOOKUP($V52,$A$42:$C$71,2,0)+VLOOKUP(AY$41,$A$42:$C$71,2,0))</f>
        <v>0.7478653400387083</v>
      </c>
      <c r="AZ52">
        <f>VLOOKUP($V52,$A$42:$C$71,2,0)/(VLOOKUP($V52,$A$42:$C$71,2,0)+VLOOKUP(AZ$41,$A$42:$C$71,2,0))</f>
        <v>0.76268812927878615</v>
      </c>
    </row>
    <row r="53" spans="1:52" x14ac:dyDescent="0.25">
      <c r="A53">
        <v>12</v>
      </c>
      <c r="B53">
        <f>B$37-B$37/(1+EXP(-B$38*($A53-B$39)))</f>
        <v>0.58661757891733002</v>
      </c>
      <c r="C53">
        <f>C$37-C$37/(1+EXP(-C$38*($A53-C$39)))</f>
        <v>48.102641471221062</v>
      </c>
      <c r="V53">
        <v>12</v>
      </c>
      <c r="W53">
        <f>VLOOKUP($V53,$A$42:$C$71,2,0)/(VLOOKUP($V53,$A$42:$C$71,2,0)+VLOOKUP(W$41,$A$42:$C$71,2,0))</f>
        <v>0.42002781974295289</v>
      </c>
      <c r="X53">
        <f>VLOOKUP($V53,$A$42:$C$71,2,0)/(VLOOKUP($V53,$A$42:$C$71,2,0)+VLOOKUP(X$41,$A$42:$C$71,2,0))</f>
        <v>0.42485516240329735</v>
      </c>
      <c r="Y53">
        <f>VLOOKUP($V53,$A$42:$C$71,2,0)/(VLOOKUP($V53,$A$42:$C$71,2,0)+VLOOKUP(Y$41,$A$42:$C$71,2,0))</f>
        <v>0.43009757165195561</v>
      </c>
      <c r="Z53">
        <f>VLOOKUP($V53,$A$42:$C$71,2,0)/(VLOOKUP($V53,$A$42:$C$71,2,0)+VLOOKUP(Z$41,$A$42:$C$71,2,0))</f>
        <v>0.43578126510110854</v>
      </c>
      <c r="AA53">
        <f>VLOOKUP($V53,$A$42:$C$71,2,0)/(VLOOKUP($V53,$A$42:$C$71,2,0)+VLOOKUP(AA$41,$A$42:$C$71,2,0))</f>
        <v>0.44193227594390871</v>
      </c>
      <c r="AB53">
        <f>VLOOKUP($V53,$A$42:$C$71,2,0)/(VLOOKUP($V53,$A$42:$C$71,2,0)+VLOOKUP(AB$41,$A$42:$C$71,2,0))</f>
        <v>0.44857603803539042</v>
      </c>
      <c r="AC53">
        <f>VLOOKUP($V53,$A$42:$C$71,2,0)/(VLOOKUP($V53,$A$42:$C$71,2,0)+VLOOKUP(AC$41,$A$42:$C$71,2,0))</f>
        <v>0.45573690331195188</v>
      </c>
      <c r="AD53">
        <f>VLOOKUP($V53,$A$42:$C$71,2,0)/(VLOOKUP($V53,$A$42:$C$71,2,0)+VLOOKUP(AD$41,$A$42:$C$71,2,0))</f>
        <v>0.46343759187002342</v>
      </c>
      <c r="AE53">
        <f>VLOOKUP($V53,$A$42:$C$71,2,0)/(VLOOKUP($V53,$A$42:$C$71,2,0)+VLOOKUP(AE$41,$A$42:$C$71,2,0))</f>
        <v>0.47169857811097471</v>
      </c>
      <c r="AF53">
        <f>VLOOKUP($V53,$A$42:$C$71,2,0)/(VLOOKUP($V53,$A$42:$C$71,2,0)+VLOOKUP(AF$41,$A$42:$C$71,2,0))</f>
        <v>0.48053742015010775</v>
      </c>
      <c r="AG53">
        <f>VLOOKUP($V53,$A$42:$C$71,2,0)/(VLOOKUP($V53,$A$42:$C$71,2,0)+VLOOKUP(AG$41,$A$42:$C$71,2,0))</f>
        <v>0.48996804412648209</v>
      </c>
      <c r="AH53">
        <f>VLOOKUP($V53,$A$42:$C$71,2,0)/(VLOOKUP($V53,$A$42:$C$71,2,0)+VLOOKUP(AH$41,$A$42:$C$71,2,0))</f>
        <v>0.5</v>
      </c>
      <c r="AI53">
        <f>VLOOKUP($V53,$A$42:$C$71,2,0)/(VLOOKUP($V53,$A$42:$C$71,2,0)+VLOOKUP(AI$41,$A$42:$C$71,2,0))</f>
        <v>0.51063771064859609</v>
      </c>
      <c r="AJ53">
        <f>VLOOKUP($V53,$A$42:$C$71,2,0)/(VLOOKUP($V53,$A$42:$C$71,2,0)+VLOOKUP(AJ$41,$A$42:$C$71,2,0))</f>
        <v>0.52187974124219683</v>
      </c>
      <c r="AK53">
        <f>VLOOKUP($V53,$A$42:$C$71,2,0)/(VLOOKUP($V53,$A$42:$C$71,2,0)+VLOOKUP(AK$41,$A$42:$C$71,2,0))</f>
        <v>0.53371812052967493</v>
      </c>
      <c r="AL53">
        <f>VLOOKUP($V53,$A$42:$C$71,2,0)/(VLOOKUP($V53,$A$42:$C$71,2,0)+VLOOKUP(AL$41,$A$42:$C$71,2,0))</f>
        <v>0.54613774930521419</v>
      </c>
      <c r="AM53">
        <f>VLOOKUP($V53,$A$42:$C$71,2,0)/(VLOOKUP($V53,$A$42:$C$71,2,0)+VLOOKUP(AM$41,$A$42:$C$71,2,0))</f>
        <v>0.55911593335092113</v>
      </c>
      <c r="AN53">
        <f>VLOOKUP($V53,$A$42:$C$71,2,0)/(VLOOKUP($V53,$A$42:$C$71,2,0)+VLOOKUP(AN$41,$A$42:$C$71,2,0))</f>
        <v>0.5726220780257254</v>
      </c>
      <c r="AO53">
        <f>VLOOKUP($V53,$A$42:$C$71,2,0)/(VLOOKUP($V53,$A$42:$C$71,2,0)+VLOOKUP(AO$41,$A$42:$C$71,2,0))</f>
        <v>0.58661757891733013</v>
      </c>
      <c r="AP53">
        <f>VLOOKUP($V53,$A$42:$C$71,2,0)/(VLOOKUP($V53,$A$42:$C$71,2,0)+VLOOKUP(AP$41,$A$42:$C$71,2,0))</f>
        <v>0.60105593729797246</v>
      </c>
      <c r="AQ53">
        <f>VLOOKUP($V53,$A$42:$C$71,2,0)/(VLOOKUP($V53,$A$42:$C$71,2,0)+VLOOKUP(AQ$41,$A$42:$C$71,2,0))</f>
        <v>0.61588312048468585</v>
      </c>
      <c r="AR53">
        <f>VLOOKUP($V53,$A$42:$C$71,2,0)/(VLOOKUP($V53,$A$42:$C$71,2,0)+VLOOKUP(AR$41,$A$42:$C$71,2,0))</f>
        <v>0.63103817587758571</v>
      </c>
      <c r="AS53">
        <f>VLOOKUP($V53,$A$42:$C$71,2,0)/(VLOOKUP($V53,$A$42:$C$71,2,0)+VLOOKUP(AS$41,$A$42:$C$71,2,0))</f>
        <v>0.64645409405882615</v>
      </c>
      <c r="AT53">
        <f>VLOOKUP($V53,$A$42:$C$71,2,0)/(VLOOKUP($V53,$A$42:$C$71,2,0)+VLOOKUP(AT$41,$A$42:$C$71,2,0))</f>
        <v>0.6620589018296037</v>
      </c>
      <c r="AU53">
        <f>VLOOKUP($V53,$A$42:$C$71,2,0)/(VLOOKUP($V53,$A$42:$C$71,2,0)+VLOOKUP(AU$41,$A$42:$C$71,2,0))</f>
        <v>0.67777695164228424</v>
      </c>
      <c r="AV53">
        <f>VLOOKUP($V53,$A$42:$C$71,2,0)/(VLOOKUP($V53,$A$42:$C$71,2,0)+VLOOKUP(AV$41,$A$42:$C$71,2,0))</f>
        <v>0.69353036087159081</v>
      </c>
      <c r="AW53">
        <f>VLOOKUP($V53,$A$42:$C$71,2,0)/(VLOOKUP($V53,$A$42:$C$71,2,0)+VLOOKUP(AW$41,$A$42:$C$71,2,0))</f>
        <v>0.7092405440446935</v>
      </c>
      <c r="AX53">
        <f>VLOOKUP($V53,$A$42:$C$71,2,0)/(VLOOKUP($V53,$A$42:$C$71,2,0)+VLOOKUP(AX$41,$A$42:$C$71,2,0))</f>
        <v>0.72482977458288267</v>
      </c>
      <c r="AY53">
        <f>VLOOKUP($V53,$A$42:$C$71,2,0)/(VLOOKUP($V53,$A$42:$C$71,2,0)+VLOOKUP(AY$41,$A$42:$C$71,2,0))</f>
        <v>0.74022271049754751</v>
      </c>
      <c r="AZ53">
        <f>VLOOKUP($V53,$A$42:$C$71,2,0)/(VLOOKUP($V53,$A$42:$C$71,2,0)+VLOOKUP(AZ$41,$A$42:$C$71,2,0))</f>
        <v>0.75534782105868381</v>
      </c>
    </row>
    <row r="54" spans="1:52" x14ac:dyDescent="0.25">
      <c r="A54">
        <v>13</v>
      </c>
      <c r="B54">
        <f>B$37-B$37/(1+EXP(-B$38*($A54-B$39)))</f>
        <v>0.56217650088579807</v>
      </c>
      <c r="C54">
        <f>C$37-C$37/(1+EXP(-C$38*($A54-C$39)))</f>
        <v>46.098473072635443</v>
      </c>
      <c r="V54">
        <v>13</v>
      </c>
      <c r="W54">
        <f>VLOOKUP($V54,$A$42:$C$71,2,0)/(VLOOKUP($V54,$A$42:$C$71,2,0)+VLOOKUP(W$41,$A$42:$C$71,2,0))</f>
        <v>0.40969739834145852</v>
      </c>
      <c r="X54">
        <f>VLOOKUP($V54,$A$42:$C$71,2,0)/(VLOOKUP($V54,$A$42:$C$71,2,0)+VLOOKUP(X$41,$A$42:$C$71,2,0))</f>
        <v>0.4144908651744566</v>
      </c>
      <c r="Y54">
        <f>VLOOKUP($V54,$A$42:$C$71,2,0)/(VLOOKUP($V54,$A$42:$C$71,2,0)+VLOOKUP(Y$41,$A$42:$C$71,2,0))</f>
        <v>0.41969870974133011</v>
      </c>
      <c r="Z54">
        <f>VLOOKUP($V54,$A$42:$C$71,2,0)/(VLOOKUP($V54,$A$42:$C$71,2,0)+VLOOKUP(Z$41,$A$42:$C$71,2,0))</f>
        <v>0.42534754685545401</v>
      </c>
      <c r="AA54">
        <f>VLOOKUP($V54,$A$42:$C$71,2,0)/(VLOOKUP($V54,$A$42:$C$71,2,0)+VLOOKUP(AA$41,$A$42:$C$71,2,0))</f>
        <v>0.4314639063717029</v>
      </c>
      <c r="AB54">
        <f>VLOOKUP($V54,$A$42:$C$71,2,0)/(VLOOKUP($V54,$A$42:$C$71,2,0)+VLOOKUP(AB$41,$A$42:$C$71,2,0))</f>
        <v>0.4380738300772628</v>
      </c>
      <c r="AC54">
        <f>VLOOKUP($V54,$A$42:$C$71,2,0)/(VLOOKUP($V54,$A$42:$C$71,2,0)+VLOOKUP(AC$41,$A$42:$C$71,2,0))</f>
        <v>0.4452024002195884</v>
      </c>
      <c r="AD54">
        <f>VLOOKUP($V54,$A$42:$C$71,2,0)/(VLOOKUP($V54,$A$42:$C$71,2,0)+VLOOKUP(AD$41,$A$42:$C$71,2,0))</f>
        <v>0.45287319927292868</v>
      </c>
      <c r="AE54">
        <f>VLOOKUP($V54,$A$42:$C$71,2,0)/(VLOOKUP($V54,$A$42:$C$71,2,0)+VLOOKUP(AE$41,$A$42:$C$71,2,0))</f>
        <v>0.46110770348509866</v>
      </c>
      <c r="AF54">
        <f>VLOOKUP($V54,$A$42:$C$71,2,0)/(VLOOKUP($V54,$A$42:$C$71,2,0)+VLOOKUP(AF$41,$A$42:$C$71,2,0))</f>
        <v>0.46992461640552319</v>
      </c>
      <c r="AG54">
        <f>VLOOKUP($V54,$A$42:$C$71,2,0)/(VLOOKUP($V54,$A$42:$C$71,2,0)+VLOOKUP(AG$41,$A$42:$C$71,2,0))</f>
        <v>0.47933915293597207</v>
      </c>
      <c r="AH54">
        <f>VLOOKUP($V54,$A$42:$C$71,2,0)/(VLOOKUP($V54,$A$42:$C$71,2,0)+VLOOKUP(AH$41,$A$42:$C$71,2,0))</f>
        <v>0.4893622893514038</v>
      </c>
      <c r="AI54">
        <f>VLOOKUP($V54,$A$42:$C$71,2,0)/(VLOOKUP($V54,$A$42:$C$71,2,0)+VLOOKUP(AI$41,$A$42:$C$71,2,0))</f>
        <v>0.5</v>
      </c>
      <c r="AJ54">
        <f>VLOOKUP($V54,$A$42:$C$71,2,0)/(VLOOKUP($V54,$A$42:$C$71,2,0)+VLOOKUP(AJ$41,$A$42:$C$71,2,0))</f>
        <v>0.51125250669337374</v>
      </c>
      <c r="AK54">
        <f>VLOOKUP($V54,$A$42:$C$71,2,0)/(VLOOKUP($V54,$A$42:$C$71,2,0)+VLOOKUP(AK$41,$A$42:$C$71,2,0))</f>
        <v>0.52311357171843698</v>
      </c>
      <c r="AL54">
        <f>VLOOKUP($V54,$A$42:$C$71,2,0)/(VLOOKUP($V54,$A$42:$C$71,2,0)+VLOOKUP(AL$41,$A$42:$C$71,2,0))</f>
        <v>0.53556986942813323</v>
      </c>
      <c r="AM54">
        <f>VLOOKUP($V54,$A$42:$C$71,2,0)/(VLOOKUP($V54,$A$42:$C$71,2,0)+VLOOKUP(AM$41,$A$42:$C$71,2,0))</f>
        <v>0.54860047392731426</v>
      </c>
      <c r="AN54">
        <f>VLOOKUP($V54,$A$42:$C$71,2,0)/(VLOOKUP($V54,$A$42:$C$71,2,0)+VLOOKUP(AN$41,$A$42:$C$71,2,0))</f>
        <v>0.56217650088579807</v>
      </c>
      <c r="AO54">
        <f>VLOOKUP($V54,$A$42:$C$71,2,0)/(VLOOKUP($V54,$A$42:$C$71,2,0)+VLOOKUP(AO$41,$A$42:$C$71,2,0))</f>
        <v>0.57626093947400625</v>
      </c>
      <c r="AP54">
        <f>VLOOKUP($V54,$A$42:$C$71,2,0)/(VLOOKUP($V54,$A$42:$C$71,2,0)+VLOOKUP(AP$41,$A$42:$C$71,2,0))</f>
        <v>0.59080870547056519</v>
      </c>
      <c r="AQ54">
        <f>VLOOKUP($V54,$A$42:$C$71,2,0)/(VLOOKUP($V54,$A$42:$C$71,2,0)+VLOOKUP(AQ$41,$A$42:$C$71,2,0))</f>
        <v>0.60576693861644582</v>
      </c>
      <c r="AR54">
        <f>VLOOKUP($V54,$A$42:$C$71,2,0)/(VLOOKUP($V54,$A$42:$C$71,2,0)+VLOOKUP(AR$41,$A$42:$C$71,2,0))</f>
        <v>0.62107555647590951</v>
      </c>
      <c r="AS54">
        <f>VLOOKUP($V54,$A$42:$C$71,2,0)/(VLOOKUP($V54,$A$42:$C$71,2,0)+VLOOKUP(AS$41,$A$42:$C$71,2,0))</f>
        <v>0.63666806394856001</v>
      </c>
      <c r="AT54">
        <f>VLOOKUP($V54,$A$42:$C$71,2,0)/(VLOOKUP($V54,$A$42:$C$71,2,0)+VLOOKUP(AT$41,$A$42:$C$71,2,0))</f>
        <v>0.65247260303908339</v>
      </c>
      <c r="AU54">
        <f>VLOOKUP($V54,$A$42:$C$71,2,0)/(VLOOKUP($V54,$A$42:$C$71,2,0)+VLOOKUP(AU$41,$A$42:$C$71,2,0))</f>
        <v>0.66841321269200027</v>
      </c>
      <c r="AV54">
        <f>VLOOKUP($V54,$A$42:$C$71,2,0)/(VLOOKUP($V54,$A$42:$C$71,2,0)+VLOOKUP(AV$41,$A$42:$C$71,2,0))</f>
        <v>0.68441125476235365</v>
      </c>
      <c r="AW54">
        <f>VLOOKUP($V54,$A$42:$C$71,2,0)/(VLOOKUP($V54,$A$42:$C$71,2,0)+VLOOKUP(AW$41,$A$42:$C$71,2,0))</f>
        <v>0.70038695085018321</v>
      </c>
      <c r="AX54">
        <f>VLOOKUP($V54,$A$42:$C$71,2,0)/(VLOOKUP($V54,$A$42:$C$71,2,0)+VLOOKUP(AX$41,$A$42:$C$71,2,0))</f>
        <v>0.71626096693707286</v>
      </c>
      <c r="AY54">
        <f>VLOOKUP($V54,$A$42:$C$71,2,0)/(VLOOKUP($V54,$A$42:$C$71,2,0)+VLOOKUP(AY$41,$A$42:$C$71,2,0))</f>
        <v>0.73195597935216994</v>
      </c>
      <c r="AZ54">
        <f>VLOOKUP($V54,$A$42:$C$71,2,0)/(VLOOKUP($V54,$A$42:$C$71,2,0)+VLOOKUP(AZ$41,$A$42:$C$71,2,0))</f>
        <v>0.74739815693098044</v>
      </c>
    </row>
    <row r="55" spans="1:52" x14ac:dyDescent="0.25">
      <c r="A55">
        <v>14</v>
      </c>
      <c r="B55">
        <f>B$37-B$37/(1+EXP(-B$38*($A55-B$39)))</f>
        <v>0.5374298453437496</v>
      </c>
      <c r="C55">
        <f>C$37-C$37/(1+EXP(-C$38*($A55-C$39)))</f>
        <v>44.069247318187465</v>
      </c>
      <c r="V55">
        <v>14</v>
      </c>
      <c r="W55">
        <f>VLOOKUP($V55,$A$42:$C$71,2,0)/(VLOOKUP($V55,$A$42:$C$71,2,0)+VLOOKUP(W$41,$A$42:$C$71,2,0))</f>
        <v>0.39885599373912994</v>
      </c>
      <c r="X55">
        <f>VLOOKUP($V55,$A$42:$C$71,2,0)/(VLOOKUP($V55,$A$42:$C$71,2,0)+VLOOKUP(X$41,$A$42:$C$71,2,0))</f>
        <v>0.40360934379734575</v>
      </c>
      <c r="Y55">
        <f>VLOOKUP($V55,$A$42:$C$71,2,0)/(VLOOKUP($V55,$A$42:$C$71,2,0)+VLOOKUP(Y$41,$A$42:$C$71,2,0))</f>
        <v>0.40877592000786772</v>
      </c>
      <c r="Z55">
        <f>VLOOKUP($V55,$A$42:$C$71,2,0)/(VLOOKUP($V55,$A$42:$C$71,2,0)+VLOOKUP(Z$41,$A$42:$C$71,2,0))</f>
        <v>0.4143827235359831</v>
      </c>
      <c r="AA55">
        <f>VLOOKUP($V55,$A$42:$C$71,2,0)/(VLOOKUP($V55,$A$42:$C$71,2,0)+VLOOKUP(AA$41,$A$42:$C$71,2,0))</f>
        <v>0.42045677552471189</v>
      </c>
      <c r="AB55">
        <f>VLOOKUP($V55,$A$42:$C$71,2,0)/(VLOOKUP($V55,$A$42:$C$71,2,0)+VLOOKUP(AB$41,$A$42:$C$71,2,0))</f>
        <v>0.42702472725697388</v>
      </c>
      <c r="AC55">
        <f>VLOOKUP($V55,$A$42:$C$71,2,0)/(VLOOKUP($V55,$A$42:$C$71,2,0)+VLOOKUP(AC$41,$A$42:$C$71,2,0))</f>
        <v>0.43411240142926621</v>
      </c>
      <c r="AD55">
        <f>VLOOKUP($V55,$A$42:$C$71,2,0)/(VLOOKUP($V55,$A$42:$C$71,2,0)+VLOOKUP(AD$41,$A$42:$C$71,2,0))</f>
        <v>0.44174426339917383</v>
      </c>
      <c r="AE55">
        <f>VLOOKUP($V55,$A$42:$C$71,2,0)/(VLOOKUP($V55,$A$42:$C$71,2,0)+VLOOKUP(AE$41,$A$42:$C$71,2,0))</f>
        <v>0.44994282404607938</v>
      </c>
      <c r="AF55">
        <f>VLOOKUP($V55,$A$42:$C$71,2,0)/(VLOOKUP($V55,$A$42:$C$71,2,0)+VLOOKUP(AF$41,$A$42:$C$71,2,0))</f>
        <v>0.45872797939141957</v>
      </c>
      <c r="AG55">
        <f>VLOOKUP($V55,$A$42:$C$71,2,0)/(VLOOKUP($V55,$A$42:$C$71,2,0)+VLOOKUP(AG$41,$A$42:$C$71,2,0))</f>
        <v>0.46811629634230822</v>
      </c>
      <c r="AH55">
        <f>VLOOKUP($V55,$A$42:$C$71,2,0)/(VLOOKUP($V55,$A$42:$C$71,2,0)+VLOOKUP(AH$41,$A$42:$C$71,2,0))</f>
        <v>0.47812025875780323</v>
      </c>
      <c r="AI55">
        <f>VLOOKUP($V55,$A$42:$C$71,2,0)/(VLOOKUP($V55,$A$42:$C$71,2,0)+VLOOKUP(AI$41,$A$42:$C$71,2,0))</f>
        <v>0.4887474933066262</v>
      </c>
      <c r="AJ55">
        <f>VLOOKUP($V55,$A$42:$C$71,2,0)/(VLOOKUP($V55,$A$42:$C$71,2,0)+VLOOKUP(AJ$41,$A$42:$C$71,2,0))</f>
        <v>0.5</v>
      </c>
      <c r="AK55">
        <f>VLOOKUP($V55,$A$42:$C$71,2,0)/(VLOOKUP($V55,$A$42:$C$71,2,0)+VLOOKUP(AK$41,$A$42:$C$71,2,0))</f>
        <v>0.51187341744563697</v>
      </c>
      <c r="AL55">
        <f>VLOOKUP($V55,$A$42:$C$71,2,0)/(VLOOKUP($V55,$A$42:$C$71,2,0)+VLOOKUP(AL$41,$A$42:$C$71,2,0))</f>
        <v>0.52435635728165053</v>
      </c>
      <c r="AM55">
        <f>VLOOKUP($V55,$A$42:$C$71,2,0)/(VLOOKUP($V55,$A$42:$C$71,2,0)+VLOOKUP(AM$41,$A$42:$C$71,2,0))</f>
        <v>0.5374298453437496</v>
      </c>
      <c r="AN55">
        <f>VLOOKUP($V55,$A$42:$C$71,2,0)/(VLOOKUP($V55,$A$42:$C$71,2,0)+VLOOKUP(AN$41,$A$42:$C$71,2,0))</f>
        <v>0.5510669083041746</v>
      </c>
      <c r="AO55">
        <f>VLOOKUP($V55,$A$42:$C$71,2,0)/(VLOOKUP($V55,$A$42:$C$71,2,0)+VLOOKUP(AO$41,$A$42:$C$71,2,0))</f>
        <v>0.56523234325073746</v>
      </c>
      <c r="AP55">
        <f>VLOOKUP($V55,$A$42:$C$71,2,0)/(VLOOKUP($V55,$A$42:$C$71,2,0)+VLOOKUP(AP$41,$A$42:$C$71,2,0))</f>
        <v>0.57988270353223281</v>
      </c>
      <c r="AQ55">
        <f>VLOOKUP($V55,$A$42:$C$71,2,0)/(VLOOKUP($V55,$A$42:$C$71,2,0)+VLOOKUP(AQ$41,$A$42:$C$71,2,0))</f>
        <v>0.59496652698253094</v>
      </c>
      <c r="AR55">
        <f>VLOOKUP($V55,$A$42:$C$71,2,0)/(VLOOKUP($V55,$A$42:$C$71,2,0)+VLOOKUP(AR$41,$A$42:$C$71,2,0))</f>
        <v>0.61042482244514229</v>
      </c>
      <c r="AS55">
        <f>VLOOKUP($V55,$A$42:$C$71,2,0)/(VLOOKUP($V55,$A$42:$C$71,2,0)+VLOOKUP(AS$41,$A$42:$C$71,2,0))</f>
        <v>0.62619181779493494</v>
      </c>
      <c r="AT55">
        <f>VLOOKUP($V55,$A$42:$C$71,2,0)/(VLOOKUP($V55,$A$42:$C$71,2,0)+VLOOKUP(AT$41,$A$42:$C$71,2,0))</f>
        <v>0.64219595819098008</v>
      </c>
      <c r="AU55">
        <f>VLOOKUP($V55,$A$42:$C$71,2,0)/(VLOOKUP($V55,$A$42:$C$71,2,0)+VLOOKUP(AU$41,$A$42:$C$71,2,0))</f>
        <v>0.65836112820019976</v>
      </c>
      <c r="AV55">
        <f>VLOOKUP($V55,$A$42:$C$71,2,0)/(VLOOKUP($V55,$A$42:$C$71,2,0)+VLOOKUP(AV$41,$A$42:$C$71,2,0))</f>
        <v>0.67460805701786974</v>
      </c>
      <c r="AW55">
        <f>VLOOKUP($V55,$A$42:$C$71,2,0)/(VLOOKUP($V55,$A$42:$C$71,2,0)+VLOOKUP(AW$41,$A$42:$C$71,2,0))</f>
        <v>0.69085585364637281</v>
      </c>
      <c r="AX55">
        <f>VLOOKUP($V55,$A$42:$C$71,2,0)/(VLOOKUP($V55,$A$42:$C$71,2,0)+VLOOKUP(AX$41,$A$42:$C$71,2,0))</f>
        <v>0.70702360982542323</v>
      </c>
      <c r="AY55">
        <f>VLOOKUP($V55,$A$42:$C$71,2,0)/(VLOOKUP($V55,$A$42:$C$71,2,0)+VLOOKUP(AY$41,$A$42:$C$71,2,0))</f>
        <v>0.72303200368785736</v>
      </c>
      <c r="AZ55">
        <f>VLOOKUP($V55,$A$42:$C$71,2,0)/(VLOOKUP($V55,$A$42:$C$71,2,0)+VLOOKUP(AZ$41,$A$42:$C$71,2,0))</f>
        <v>0.73880483706315025</v>
      </c>
    </row>
    <row r="56" spans="1:52" x14ac:dyDescent="0.25">
      <c r="A56">
        <v>15</v>
      </c>
      <c r="B56">
        <f>B$37-B$37/(1+EXP(-B$38*($A56-B$39)))</f>
        <v>0.51249739648421033</v>
      </c>
      <c r="C56">
        <f>C$37-C$37/(1+EXP(-C$38*($A56-C$39)))</f>
        <v>42.024786511705251</v>
      </c>
      <c r="V56">
        <v>15</v>
      </c>
      <c r="W56">
        <f>VLOOKUP($V56,$A$42:$C$71,2,0)/(VLOOKUP($V56,$A$42:$C$71,2,0)+VLOOKUP(W$41,$A$42:$C$71,2,0))</f>
        <v>0.3875228826260283</v>
      </c>
      <c r="X56">
        <f>VLOOKUP($V56,$A$42:$C$71,2,0)/(VLOOKUP($V56,$A$42:$C$71,2,0)+VLOOKUP(X$41,$A$42:$C$71,2,0))</f>
        <v>0.39222929481995361</v>
      </c>
      <c r="Y56">
        <f>VLOOKUP($V56,$A$42:$C$71,2,0)/(VLOOKUP($V56,$A$42:$C$71,2,0)+VLOOKUP(Y$41,$A$42:$C$71,2,0))</f>
        <v>0.39734725240030316</v>
      </c>
      <c r="Z56">
        <f>VLOOKUP($V56,$A$42:$C$71,2,0)/(VLOOKUP($V56,$A$42:$C$71,2,0)+VLOOKUP(Z$41,$A$42:$C$71,2,0))</f>
        <v>0.40290412497455375</v>
      </c>
      <c r="AA56">
        <f>VLOOKUP($V56,$A$42:$C$71,2,0)/(VLOOKUP($V56,$A$42:$C$71,2,0)+VLOOKUP(AA$41,$A$42:$C$71,2,0))</f>
        <v>0.40892741206867239</v>
      </c>
      <c r="AB56">
        <f>VLOOKUP($V56,$A$42:$C$71,2,0)/(VLOOKUP($V56,$A$42:$C$71,2,0)+VLOOKUP(AB$41,$A$42:$C$71,2,0))</f>
        <v>0.41544436809019553</v>
      </c>
      <c r="AC56">
        <f>VLOOKUP($V56,$A$42:$C$71,2,0)/(VLOOKUP($V56,$A$42:$C$71,2,0)+VLOOKUP(AC$41,$A$42:$C$71,2,0))</f>
        <v>0.42248155809117843</v>
      </c>
      <c r="AD56">
        <f>VLOOKUP($V56,$A$42:$C$71,2,0)/(VLOOKUP($V56,$A$42:$C$71,2,0)+VLOOKUP(AD$41,$A$42:$C$71,2,0))</f>
        <v>0.43006434244243064</v>
      </c>
      <c r="AE56">
        <f>VLOOKUP($V56,$A$42:$C$71,2,0)/(VLOOKUP($V56,$A$42:$C$71,2,0)+VLOOKUP(AE$41,$A$42:$C$71,2,0))</f>
        <v>0.43821629112720617</v>
      </c>
      <c r="AF56">
        <f>VLOOKUP($V56,$A$42:$C$71,2,0)/(VLOOKUP($V56,$A$42:$C$71,2,0)+VLOOKUP(AF$41,$A$42:$C$71,2,0))</f>
        <v>0.44695853169533922</v>
      </c>
      <c r="AG56">
        <f>VLOOKUP($V56,$A$42:$C$71,2,0)/(VLOOKUP($V56,$A$42:$C$71,2,0)+VLOOKUP(AG$41,$A$42:$C$71,2,0))</f>
        <v>0.45630903898702979</v>
      </c>
      <c r="AH56">
        <f>VLOOKUP($V56,$A$42:$C$71,2,0)/(VLOOKUP($V56,$A$42:$C$71,2,0)+VLOOKUP(AH$41,$A$42:$C$71,2,0))</f>
        <v>0.46628187947032507</v>
      </c>
      <c r="AI56">
        <f>VLOOKUP($V56,$A$42:$C$71,2,0)/(VLOOKUP($V56,$A$42:$C$71,2,0)+VLOOKUP(AI$41,$A$42:$C$71,2,0))</f>
        <v>0.47688642828156308</v>
      </c>
      <c r="AJ56">
        <f>VLOOKUP($V56,$A$42:$C$71,2,0)/(VLOOKUP($V56,$A$42:$C$71,2,0)+VLOOKUP(AJ$41,$A$42:$C$71,2,0))</f>
        <v>0.48812658255436298</v>
      </c>
      <c r="AK56">
        <f>VLOOKUP($V56,$A$42:$C$71,2,0)/(VLOOKUP($V56,$A$42:$C$71,2,0)+VLOOKUP(AK$41,$A$42:$C$71,2,0))</f>
        <v>0.5</v>
      </c>
      <c r="AL56">
        <f>VLOOKUP($V56,$A$42:$C$71,2,0)/(VLOOKUP($V56,$A$42:$C$71,2,0)+VLOOKUP(AL$41,$A$42:$C$71,2,0))</f>
        <v>0.51249739648421033</v>
      </c>
      <c r="AM56">
        <f>VLOOKUP($V56,$A$42:$C$71,2,0)/(VLOOKUP($V56,$A$42:$C$71,2,0)+VLOOKUP(AM$41,$A$42:$C$71,2,0))</f>
        <v>0.52560193997306337</v>
      </c>
      <c r="AN56">
        <f>VLOOKUP($V56,$A$42:$C$71,2,0)/(VLOOKUP($V56,$A$42:$C$71,2,0)+VLOOKUP(AN$41,$A$42:$C$71,2,0))</f>
        <v>0.53928878009305825</v>
      </c>
      <c r="AO56">
        <f>VLOOKUP($V56,$A$42:$C$71,2,0)/(VLOOKUP($V56,$A$42:$C$71,2,0)+VLOOKUP(AO$41,$A$42:$C$71,2,0))</f>
        <v>0.55352475209039809</v>
      </c>
      <c r="AP56">
        <f>VLOOKUP($V56,$A$42:$C$71,2,0)/(VLOOKUP($V56,$A$42:$C$71,2,0)+VLOOKUP(AP$41,$A$42:$C$71,2,0))</f>
        <v>0.56826829070732909</v>
      </c>
      <c r="AQ56">
        <f>VLOOKUP($V56,$A$42:$C$71,2,0)/(VLOOKUP($V56,$A$42:$C$71,2,0)+VLOOKUP(AQ$41,$A$42:$C$71,2,0))</f>
        <v>0.58346958313834041</v>
      </c>
      <c r="AR56">
        <f>VLOOKUP($V56,$A$42:$C$71,2,0)/(VLOOKUP($V56,$A$42:$C$71,2,0)+VLOOKUP(AR$41,$A$42:$C$71,2,0))</f>
        <v>0.59907098078204846</v>
      </c>
      <c r="AS56">
        <f>VLOOKUP($V56,$A$42:$C$71,2,0)/(VLOOKUP($V56,$A$42:$C$71,2,0)+VLOOKUP(AS$41,$A$42:$C$71,2,0))</f>
        <v>0.61500767730198336</v>
      </c>
      <c r="AT56">
        <f>VLOOKUP($V56,$A$42:$C$71,2,0)/(VLOOKUP($V56,$A$42:$C$71,2,0)+VLOOKUP(AT$41,$A$42:$C$71,2,0))</f>
        <v>0.63120864625121909</v>
      </c>
      <c r="AU56">
        <f>VLOOKUP($V56,$A$42:$C$71,2,0)/(VLOOKUP($V56,$A$42:$C$71,2,0)+VLOOKUP(AU$41,$A$42:$C$71,2,0))</f>
        <v>0.64759781623680968</v>
      </c>
      <c r="AV56">
        <f>VLOOKUP($V56,$A$42:$C$71,2,0)/(VLOOKUP($V56,$A$42:$C$71,2,0)+VLOOKUP(AV$41,$A$42:$C$71,2,0))</f>
        <v>0.66409544658332809</v>
      </c>
      <c r="AW56">
        <f>VLOOKUP($V56,$A$42:$C$71,2,0)/(VLOOKUP($V56,$A$42:$C$71,2,0)+VLOOKUP(AW$41,$A$42:$C$71,2,0))</f>
        <v>0.68061965309208583</v>
      </c>
      <c r="AX56">
        <f>VLOOKUP($V56,$A$42:$C$71,2,0)/(VLOOKUP($V56,$A$42:$C$71,2,0)+VLOOKUP(AX$41,$A$42:$C$71,2,0))</f>
        <v>0.69708802310993623</v>
      </c>
      <c r="AY56">
        <f>VLOOKUP($V56,$A$42:$C$71,2,0)/(VLOOKUP($V56,$A$42:$C$71,2,0)+VLOOKUP(AY$41,$A$42:$C$71,2,0))</f>
        <v>0.71341925279806462</v>
      </c>
      <c r="AZ56">
        <f>VLOOKUP($V56,$A$42:$C$71,2,0)/(VLOOKUP($V56,$A$42:$C$71,2,0)+VLOOKUP(AZ$41,$A$42:$C$71,2,0))</f>
        <v>0.72953473790298751</v>
      </c>
    </row>
    <row r="57" spans="1:52" x14ac:dyDescent="0.25">
      <c r="A57">
        <v>16</v>
      </c>
      <c r="B57">
        <f>B$37-B$37/(1+EXP(-B$38*($A57-B$39)))</f>
        <v>0.48750260351578967</v>
      </c>
      <c r="C57">
        <f>C$37-C$37/(1+EXP(-C$38*($A57-C$39)))</f>
        <v>39.975213488294749</v>
      </c>
      <c r="V57">
        <v>16</v>
      </c>
      <c r="W57">
        <f>VLOOKUP($V57,$A$42:$C$71,2,0)/(VLOOKUP($V57,$A$42:$C$71,2,0)+VLOOKUP(W$41,$A$42:$C$71,2,0))</f>
        <v>0.3757242494810803</v>
      </c>
      <c r="X57">
        <f>VLOOKUP($V57,$A$42:$C$71,2,0)/(VLOOKUP($V57,$A$42:$C$71,2,0)+VLOOKUP(X$41,$A$42:$C$71,2,0))</f>
        <v>0.38037636027887983</v>
      </c>
      <c r="Y57">
        <f>VLOOKUP($V57,$A$42:$C$71,2,0)/(VLOOKUP($V57,$A$42:$C$71,2,0)+VLOOKUP(Y$41,$A$42:$C$71,2,0))</f>
        <v>0.38543773998344483</v>
      </c>
      <c r="Z57">
        <f>VLOOKUP($V57,$A$42:$C$71,2,0)/(VLOOKUP($V57,$A$42:$C$71,2,0)+VLOOKUP(Z$41,$A$42:$C$71,2,0))</f>
        <v>0.39093610094463382</v>
      </c>
      <c r="AA57">
        <f>VLOOKUP($V57,$A$42:$C$71,2,0)/(VLOOKUP($V57,$A$42:$C$71,2,0)+VLOOKUP(AA$41,$A$42:$C$71,2,0))</f>
        <v>0.39689939972439248</v>
      </c>
      <c r="AB57">
        <f>VLOOKUP($V57,$A$42:$C$71,2,0)/(VLOOKUP($V57,$A$42:$C$71,2,0)+VLOOKUP(AB$41,$A$42:$C$71,2,0))</f>
        <v>0.40335547843352565</v>
      </c>
      <c r="AC57">
        <f>VLOOKUP($V57,$A$42:$C$71,2,0)/(VLOOKUP($V57,$A$42:$C$71,2,0)+VLOOKUP(AC$41,$A$42:$C$71,2,0))</f>
        <v>0.41033163680946921</v>
      </c>
      <c r="AD57">
        <f>VLOOKUP($V57,$A$42:$C$71,2,0)/(VLOOKUP($V57,$A$42:$C$71,2,0)+VLOOKUP(AD$41,$A$42:$C$71,2,0))</f>
        <v>0.41785413239354047</v>
      </c>
      <c r="AE57">
        <f>VLOOKUP($V57,$A$42:$C$71,2,0)/(VLOOKUP($V57,$A$42:$C$71,2,0)+VLOOKUP(AE$41,$A$42:$C$71,2,0))</f>
        <v>0.42594760856593195</v>
      </c>
      <c r="AF57">
        <f>VLOOKUP($V57,$A$42:$C$71,2,0)/(VLOOKUP($V57,$A$42:$C$71,2,0)+VLOOKUP(AF$41,$A$42:$C$71,2,0))</f>
        <v>0.43463445333327816</v>
      </c>
      <c r="AG57">
        <f>VLOOKUP($V57,$A$42:$C$71,2,0)/(VLOOKUP($V57,$A$42:$C$71,2,0)+VLOOKUP(AG$41,$A$42:$C$71,2,0))</f>
        <v>0.44393409565485409</v>
      </c>
      <c r="AH57">
        <f>VLOOKUP($V57,$A$42:$C$71,2,0)/(VLOOKUP($V57,$A$42:$C$71,2,0)+VLOOKUP(AH$41,$A$42:$C$71,2,0))</f>
        <v>0.45386225069478586</v>
      </c>
      <c r="AI57">
        <f>VLOOKUP($V57,$A$42:$C$71,2,0)/(VLOOKUP($V57,$A$42:$C$71,2,0)+VLOOKUP(AI$41,$A$42:$C$71,2,0))</f>
        <v>0.46443013057186694</v>
      </c>
      <c r="AJ57">
        <f>VLOOKUP($V57,$A$42:$C$71,2,0)/(VLOOKUP($V57,$A$42:$C$71,2,0)+VLOOKUP(AJ$41,$A$42:$C$71,2,0))</f>
        <v>0.47564364271834947</v>
      </c>
      <c r="AK57">
        <f>VLOOKUP($V57,$A$42:$C$71,2,0)/(VLOOKUP($V57,$A$42:$C$71,2,0)+VLOOKUP(AK$41,$A$42:$C$71,2,0))</f>
        <v>0.48750260351578967</v>
      </c>
      <c r="AL57">
        <f>VLOOKUP($V57,$A$42:$C$71,2,0)/(VLOOKUP($V57,$A$42:$C$71,2,0)+VLOOKUP(AL$41,$A$42:$C$71,2,0))</f>
        <v>0.5</v>
      </c>
      <c r="AM57">
        <f>VLOOKUP($V57,$A$42:$C$71,2,0)/(VLOOKUP($V57,$A$42:$C$71,2,0)+VLOOKUP(AM$41,$A$42:$C$71,2,0))</f>
        <v>0.51312133657400605</v>
      </c>
      <c r="AN57">
        <f>VLOOKUP($V57,$A$42:$C$71,2,0)/(VLOOKUP($V57,$A$42:$C$71,2,0)+VLOOKUP(AN$41,$A$42:$C$71,2,0))</f>
        <v>0.52684410623475775</v>
      </c>
      <c r="AO57">
        <f>VLOOKUP($V57,$A$42:$C$71,2,0)/(VLOOKUP($V57,$A$42:$C$71,2,0)+VLOOKUP(AO$41,$A$42:$C$71,2,0))</f>
        <v>0.54113742620272576</v>
      </c>
      <c r="AP57">
        <f>VLOOKUP($V57,$A$42:$C$71,2,0)/(VLOOKUP($V57,$A$42:$C$71,2,0)+VLOOKUP(AP$41,$A$42:$C$71,2,0))</f>
        <v>0.55596187551632081</v>
      </c>
      <c r="AQ57">
        <f>VLOOKUP($V57,$A$42:$C$71,2,0)/(VLOOKUP($V57,$A$42:$C$71,2,0)+VLOOKUP(AQ$41,$A$42:$C$71,2,0))</f>
        <v>0.57126956675389373</v>
      </c>
      <c r="AR57">
        <f>VLOOKUP($V57,$A$42:$C$71,2,0)/(VLOOKUP($V57,$A$42:$C$71,2,0)+VLOOKUP(AR$41,$A$42:$C$71,2,0))</f>
        <v>0.5870044754684387</v>
      </c>
      <c r="AS57">
        <f>VLOOKUP($V57,$A$42:$C$71,2,0)/(VLOOKUP($V57,$A$42:$C$71,2,0)+VLOOKUP(AS$41,$A$42:$C$71,2,0))</f>
        <v>0.603103039385676</v>
      </c>
      <c r="AT57">
        <f>VLOOKUP($V57,$A$42:$C$71,2,0)/(VLOOKUP($V57,$A$42:$C$71,2,0)+VLOOKUP(AT$41,$A$42:$C$71,2,0))</f>
        <v>0.61949502551376889</v>
      </c>
      <c r="AU57">
        <f>VLOOKUP($V57,$A$42:$C$71,2,0)/(VLOOKUP($V57,$A$42:$C$71,2,0)+VLOOKUP(AU$41,$A$42:$C$71,2,0))</f>
        <v>0.63610464798823751</v>
      </c>
      <c r="AV57">
        <f>VLOOKUP($V57,$A$42:$C$71,2,0)/(VLOOKUP($V57,$A$42:$C$71,2,0)+VLOOKUP(AV$41,$A$42:$C$71,2,0))</f>
        <v>0.65285190396253867</v>
      </c>
      <c r="AW57">
        <f>VLOOKUP($V57,$A$42:$C$71,2,0)/(VLOOKUP($V57,$A$42:$C$71,2,0)+VLOOKUP(AW$41,$A$42:$C$71,2,0))</f>
        <v>0.66965408054991304</v>
      </c>
      <c r="AX57">
        <f>VLOOKUP($V57,$A$42:$C$71,2,0)/(VLOOKUP($V57,$A$42:$C$71,2,0)+VLOOKUP(AX$41,$A$42:$C$71,2,0))</f>
        <v>0.68642737411685506</v>
      </c>
      <c r="AY57">
        <f>VLOOKUP($V57,$A$42:$C$71,2,0)/(VLOOKUP($V57,$A$42:$C$71,2,0)+VLOOKUP(AY$41,$A$42:$C$71,2,0))</f>
        <v>0.70308855532348313</v>
      </c>
      <c r="AZ57">
        <f>VLOOKUP($V57,$A$42:$C$71,2,0)/(VLOOKUP($V57,$A$42:$C$71,2,0)+VLOOKUP(AZ$41,$A$42:$C$71,2,0))</f>
        <v>0.71955661004003546</v>
      </c>
    </row>
    <row r="58" spans="1:52" x14ac:dyDescent="0.25">
      <c r="A58">
        <v>17</v>
      </c>
      <c r="B58">
        <f>B$37-B$37/(1+EXP(-B$38*($A58-B$39)))</f>
        <v>0.4625701546562504</v>
      </c>
      <c r="C58">
        <f>C$37-C$37/(1+EXP(-C$38*($A58-C$39)))</f>
        <v>37.930752681812535</v>
      </c>
      <c r="V58">
        <v>17</v>
      </c>
      <c r="W58">
        <f>VLOOKUP($V58,$A$42:$C$71,2,0)/(VLOOKUP($V58,$A$42:$C$71,2,0)+VLOOKUP(W$41,$A$42:$C$71,2,0))</f>
        <v>0.36349329913153089</v>
      </c>
      <c r="X58">
        <f>VLOOKUP($V58,$A$42:$C$71,2,0)/(VLOOKUP($V58,$A$42:$C$71,2,0)+VLOOKUP(X$41,$A$42:$C$71,2,0))</f>
        <v>0.36808326138583486</v>
      </c>
      <c r="Y58">
        <f>VLOOKUP($V58,$A$42:$C$71,2,0)/(VLOOKUP($V58,$A$42:$C$71,2,0)+VLOOKUP(Y$41,$A$42:$C$71,2,0))</f>
        <v>0.37307955571959134</v>
      </c>
      <c r="Z58">
        <f>VLOOKUP($V58,$A$42:$C$71,2,0)/(VLOOKUP($V58,$A$42:$C$71,2,0)+VLOOKUP(Z$41,$A$42:$C$71,2,0))</f>
        <v>0.37851020313129041</v>
      </c>
      <c r="AA58">
        <f>VLOOKUP($V58,$A$42:$C$71,2,0)/(VLOOKUP($V58,$A$42:$C$71,2,0)+VLOOKUP(AA$41,$A$42:$C$71,2,0))</f>
        <v>0.38440358663606417</v>
      </c>
      <c r="AB58">
        <f>VLOOKUP($V58,$A$42:$C$71,2,0)/(VLOOKUP($V58,$A$42:$C$71,2,0)+VLOOKUP(AB$41,$A$42:$C$71,2,0))</f>
        <v>0.39078811056084028</v>
      </c>
      <c r="AC58">
        <f>VLOOKUP($V58,$A$42:$C$71,2,0)/(VLOOKUP($V58,$A$42:$C$71,2,0)+VLOOKUP(AC$41,$A$42:$C$71,2,0))</f>
        <v>0.39769179081226008</v>
      </c>
      <c r="AD58">
        <f>VLOOKUP($V58,$A$42:$C$71,2,0)/(VLOOKUP($V58,$A$42:$C$71,2,0)+VLOOKUP(AD$41,$A$42:$C$71,2,0))</f>
        <v>0.40514177273214824</v>
      </c>
      <c r="AE58">
        <f>VLOOKUP($V58,$A$42:$C$71,2,0)/(VLOOKUP($V58,$A$42:$C$71,2,0)+VLOOKUP(AE$41,$A$42:$C$71,2,0))</f>
        <v>0.41316377534250398</v>
      </c>
      <c r="AF58">
        <f>VLOOKUP($V58,$A$42:$C$71,2,0)/(VLOOKUP($V58,$A$42:$C$71,2,0)+VLOOKUP(AF$41,$A$42:$C$71,2,0))</f>
        <v>0.42178146370054864</v>
      </c>
      <c r="AG58">
        <f>VLOOKUP($V58,$A$42:$C$71,2,0)/(VLOOKUP($V58,$A$42:$C$71,2,0)+VLOOKUP(AG$41,$A$42:$C$71,2,0))</f>
        <v>0.43101575477019799</v>
      </c>
      <c r="AH58">
        <f>VLOOKUP($V58,$A$42:$C$71,2,0)/(VLOOKUP($V58,$A$42:$C$71,2,0)+VLOOKUP(AH$41,$A$42:$C$71,2,0))</f>
        <v>0.44088406664907881</v>
      </c>
      <c r="AI58">
        <f>VLOOKUP($V58,$A$42:$C$71,2,0)/(VLOOKUP($V58,$A$42:$C$71,2,0)+VLOOKUP(AI$41,$A$42:$C$71,2,0))</f>
        <v>0.45139952607268569</v>
      </c>
      <c r="AJ58">
        <f>VLOOKUP($V58,$A$42:$C$71,2,0)/(VLOOKUP($V58,$A$42:$C$71,2,0)+VLOOKUP(AJ$41,$A$42:$C$71,2,0))</f>
        <v>0.4625701546562504</v>
      </c>
      <c r="AK58">
        <f>VLOOKUP($V58,$A$42:$C$71,2,0)/(VLOOKUP($V58,$A$42:$C$71,2,0)+VLOOKUP(AK$41,$A$42:$C$71,2,0))</f>
        <v>0.47439806002693663</v>
      </c>
      <c r="AL58">
        <f>VLOOKUP($V58,$A$42:$C$71,2,0)/(VLOOKUP($V58,$A$42:$C$71,2,0)+VLOOKUP(AL$41,$A$42:$C$71,2,0))</f>
        <v>0.4868786634259939</v>
      </c>
      <c r="AM58">
        <f>VLOOKUP($V58,$A$42:$C$71,2,0)/(VLOOKUP($V58,$A$42:$C$71,2,0)+VLOOKUP(AM$41,$A$42:$C$71,2,0))</f>
        <v>0.5</v>
      </c>
      <c r="AN58">
        <f>VLOOKUP($V58,$A$42:$C$71,2,0)/(VLOOKUP($V58,$A$42:$C$71,2,0)+VLOOKUP(AN$41,$A$42:$C$71,2,0))</f>
        <v>0.51374213125471302</v>
      </c>
      <c r="AO58">
        <f>VLOOKUP($V58,$A$42:$C$71,2,0)/(VLOOKUP($V58,$A$42:$C$71,2,0)+VLOOKUP(AO$41,$A$42:$C$71,2,0))</f>
        <v>0.52807671039273307</v>
      </c>
      <c r="AP58">
        <f>VLOOKUP($V58,$A$42:$C$71,2,0)/(VLOOKUP($V58,$A$42:$C$71,2,0)+VLOOKUP(AP$41,$A$42:$C$71,2,0))</f>
        <v>0.54296673992341715</v>
      </c>
      <c r="AQ58">
        <f>VLOOKUP($V58,$A$42:$C$71,2,0)/(VLOOKUP($V58,$A$42:$C$71,2,0)+VLOOKUP(AQ$41,$A$42:$C$71,2,0))</f>
        <v>0.55836655658203493</v>
      </c>
      <c r="AR58">
        <f>VLOOKUP($V58,$A$42:$C$71,2,0)/(VLOOKUP($V58,$A$42:$C$71,2,0)+VLOOKUP(AR$41,$A$42:$C$71,2,0))</f>
        <v>0.57422207101463918</v>
      </c>
      <c r="AS58">
        <f>VLOOKUP($V58,$A$42:$C$71,2,0)/(VLOOKUP($V58,$A$42:$C$71,2,0)+VLOOKUP(AS$41,$A$42:$C$71,2,0))</f>
        <v>0.59047127897548735</v>
      </c>
      <c r="AT58">
        <f>VLOOKUP($V58,$A$42:$C$71,2,0)/(VLOOKUP($V58,$A$42:$C$71,2,0)+VLOOKUP(AT$41,$A$42:$C$71,2,0))</f>
        <v>0.60704504740933996</v>
      </c>
      <c r="AU58">
        <f>VLOOKUP($V58,$A$42:$C$71,2,0)/(VLOOKUP($V58,$A$42:$C$71,2,0)+VLOOKUP(AU$41,$A$42:$C$71,2,0))</f>
        <v>0.62386816358907304</v>
      </c>
      <c r="AV58">
        <f>VLOOKUP($V58,$A$42:$C$71,2,0)/(VLOOKUP($V58,$A$42:$C$71,2,0)+VLOOKUP(AV$41,$A$42:$C$71,2,0))</f>
        <v>0.64086061961216512</v>
      </c>
      <c r="AW58">
        <f>VLOOKUP($V58,$A$42:$C$71,2,0)/(VLOOKUP($V58,$A$42:$C$71,2,0)+VLOOKUP(AW$41,$A$42:$C$71,2,0))</f>
        <v>0.65793908940705059</v>
      </c>
      <c r="AX58">
        <f>VLOOKUP($V58,$A$42:$C$71,2,0)/(VLOOKUP($V58,$A$42:$C$71,2,0)+VLOOKUP(AX$41,$A$42:$C$71,2,0))</f>
        <v>0.67501854240044945</v>
      </c>
      <c r="AY58">
        <f>VLOOKUP($V58,$A$42:$C$71,2,0)/(VLOOKUP($V58,$A$42:$C$71,2,0)+VLOOKUP(AY$41,$A$42:$C$71,2,0))</f>
        <v>0.69201392846109877</v>
      </c>
      <c r="AZ58">
        <f>VLOOKUP($V58,$A$42:$C$71,2,0)/(VLOOKUP($V58,$A$42:$C$71,2,0)+VLOOKUP(AZ$41,$A$42:$C$71,2,0))</f>
        <v>0.70884186366552659</v>
      </c>
    </row>
    <row r="59" spans="1:52" x14ac:dyDescent="0.25">
      <c r="A59">
        <v>18</v>
      </c>
      <c r="B59">
        <f>B$37-B$37/(1+EXP(-B$38*($A59-B$39)))</f>
        <v>0.43782349911420193</v>
      </c>
      <c r="C59">
        <f>C$37-C$37/(1+EXP(-C$38*($A59-C$39)))</f>
        <v>35.901526927364557</v>
      </c>
      <c r="V59">
        <v>18</v>
      </c>
      <c r="W59">
        <f>VLOOKUP($V59,$A$42:$C$71,2,0)/(VLOOKUP($V59,$A$42:$C$71,2,0)+VLOOKUP(W$41,$A$42:$C$71,2,0))</f>
        <v>0.35087017426187905</v>
      </c>
      <c r="X59">
        <f>VLOOKUP($V59,$A$42:$C$71,2,0)/(VLOOKUP($V59,$A$42:$C$71,2,0)+VLOOKUP(X$41,$A$42:$C$71,2,0))</f>
        <v>0.35538973797570023</v>
      </c>
      <c r="Y59">
        <f>VLOOKUP($V59,$A$42:$C$71,2,0)/(VLOOKUP($V59,$A$42:$C$71,2,0)+VLOOKUP(Y$41,$A$42:$C$71,2,0))</f>
        <v>0.36031197606974674</v>
      </c>
      <c r="Z59">
        <f>VLOOKUP($V59,$A$42:$C$71,2,0)/(VLOOKUP($V59,$A$42:$C$71,2,0)+VLOOKUP(Z$41,$A$42:$C$71,2,0))</f>
        <v>0.36566517527635367</v>
      </c>
      <c r="AA59">
        <f>VLOOKUP($V59,$A$42:$C$71,2,0)/(VLOOKUP($V59,$A$42:$C$71,2,0)+VLOOKUP(AA$41,$A$42:$C$71,2,0))</f>
        <v>0.37147810462585762</v>
      </c>
      <c r="AB59">
        <f>VLOOKUP($V59,$A$42:$C$71,2,0)/(VLOOKUP($V59,$A$42:$C$71,2,0)+VLOOKUP(AB$41,$A$42:$C$71,2,0))</f>
        <v>0.37777969425937236</v>
      </c>
      <c r="AC59">
        <f>VLOOKUP($V59,$A$42:$C$71,2,0)/(VLOOKUP($V59,$A$42:$C$71,2,0)+VLOOKUP(AC$41,$A$42:$C$71,2,0))</f>
        <v>0.38459864577188729</v>
      </c>
      <c r="AD59">
        <f>VLOOKUP($V59,$A$42:$C$71,2,0)/(VLOOKUP($V59,$A$42:$C$71,2,0)+VLOOKUP(AD$41,$A$42:$C$71,2,0))</f>
        <v>0.39196296997858859</v>
      </c>
      <c r="AE59">
        <f>VLOOKUP($V59,$A$42:$C$71,2,0)/(VLOOKUP($V59,$A$42:$C$71,2,0)+VLOOKUP(AE$41,$A$42:$C$71,2,0))</f>
        <v>0.39989944995796567</v>
      </c>
      <c r="AF59">
        <f>VLOOKUP($V59,$A$42:$C$71,2,0)/(VLOOKUP($V59,$A$42:$C$71,2,0)+VLOOKUP(AF$41,$A$42:$C$71,2,0))</f>
        <v>0.40843302990522401</v>
      </c>
      <c r="AG59">
        <f>VLOOKUP($V59,$A$42:$C$71,2,0)/(VLOOKUP($V59,$A$42:$C$71,2,0)+VLOOKUP(AG$41,$A$42:$C$71,2,0))</f>
        <v>0.41758613378174975</v>
      </c>
      <c r="AH59">
        <f>VLOOKUP($V59,$A$42:$C$71,2,0)/(VLOOKUP($V59,$A$42:$C$71,2,0)+VLOOKUP(AH$41,$A$42:$C$71,2,0))</f>
        <v>0.42737792197427477</v>
      </c>
      <c r="AI59">
        <f>VLOOKUP($V59,$A$42:$C$71,2,0)/(VLOOKUP($V59,$A$42:$C$71,2,0)+VLOOKUP(AI$41,$A$42:$C$71,2,0))</f>
        <v>0.43782349911420193</v>
      </c>
      <c r="AJ59">
        <f>VLOOKUP($V59,$A$42:$C$71,2,0)/(VLOOKUP($V59,$A$42:$C$71,2,0)+VLOOKUP(AJ$41,$A$42:$C$71,2,0))</f>
        <v>0.4489330916958254</v>
      </c>
      <c r="AK59">
        <f>VLOOKUP($V59,$A$42:$C$71,2,0)/(VLOOKUP($V59,$A$42:$C$71,2,0)+VLOOKUP(AK$41,$A$42:$C$71,2,0))</f>
        <v>0.46071121990694175</v>
      </c>
      <c r="AL59">
        <f>VLOOKUP($V59,$A$42:$C$71,2,0)/(VLOOKUP($V59,$A$42:$C$71,2,0)+VLOOKUP(AL$41,$A$42:$C$71,2,0))</f>
        <v>0.47315589376524225</v>
      </c>
      <c r="AM59">
        <f>VLOOKUP($V59,$A$42:$C$71,2,0)/(VLOOKUP($V59,$A$42:$C$71,2,0)+VLOOKUP(AM$41,$A$42:$C$71,2,0))</f>
        <v>0.48625786874528693</v>
      </c>
      <c r="AN59">
        <f>VLOOKUP($V59,$A$42:$C$71,2,0)/(VLOOKUP($V59,$A$42:$C$71,2,0)+VLOOKUP(AN$41,$A$42:$C$71,2,0))</f>
        <v>0.5</v>
      </c>
      <c r="AO59">
        <f>VLOOKUP($V59,$A$42:$C$71,2,0)/(VLOOKUP($V59,$A$42:$C$71,2,0)+VLOOKUP(AO$41,$A$42:$C$71,2,0))</f>
        <v>0.51435673639692214</v>
      </c>
      <c r="AP59">
        <f>VLOOKUP($V59,$A$42:$C$71,2,0)/(VLOOKUP($V59,$A$42:$C$71,2,0)+VLOOKUP(AP$41,$A$42:$C$71,2,0))</f>
        <v>0.5292937952910397</v>
      </c>
      <c r="AQ59">
        <f>VLOOKUP($V59,$A$42:$C$71,2,0)/(VLOOKUP($V59,$A$42:$C$71,2,0)+VLOOKUP(AQ$41,$A$42:$C$71,2,0))</f>
        <v>0.54476805573373421</v>
      </c>
      <c r="AR59">
        <f>VLOOKUP($V59,$A$42:$C$71,2,0)/(VLOOKUP($V59,$A$42:$C$71,2,0)+VLOOKUP(AR$41,$A$42:$C$71,2,0))</f>
        <v>0.56072770135857142</v>
      </c>
      <c r="AS59">
        <f>VLOOKUP($V59,$A$42:$C$71,2,0)/(VLOOKUP($V59,$A$42:$C$71,2,0)+VLOOKUP(AS$41,$A$42:$C$71,2,0))</f>
        <v>0.57711263446281591</v>
      </c>
      <c r="AT59">
        <f>VLOOKUP($V59,$A$42:$C$71,2,0)/(VLOOKUP($V59,$A$42:$C$71,2,0)+VLOOKUP(AT$41,$A$42:$C$71,2,0))</f>
        <v>0.59385517014654077</v>
      </c>
      <c r="AU59">
        <f>VLOOKUP($V59,$A$42:$C$71,2,0)/(VLOOKUP($V59,$A$42:$C$71,2,0)+VLOOKUP(AU$41,$A$42:$C$71,2,0))</f>
        <v>0.61088100448941873</v>
      </c>
      <c r="AV59">
        <f>VLOOKUP($V59,$A$42:$C$71,2,0)/(VLOOKUP($V59,$A$42:$C$71,2,0)+VLOOKUP(AV$41,$A$42:$C$71,2,0))</f>
        <v>0.62811043470553318</v>
      </c>
      <c r="AW59">
        <f>VLOOKUP($V59,$A$42:$C$71,2,0)/(VLOOKUP($V59,$A$42:$C$71,2,0)+VLOOKUP(AW$41,$A$42:$C$71,2,0))</f>
        <v>0.64545979335474335</v>
      </c>
      <c r="AX59">
        <f>VLOOKUP($V59,$A$42:$C$71,2,0)/(VLOOKUP($V59,$A$42:$C$71,2,0)+VLOOKUP(AX$41,$A$42:$C$71,2,0))</f>
        <v>0.66284304446693665</v>
      </c>
      <c r="AY59">
        <f>VLOOKUP($V59,$A$42:$C$71,2,0)/(VLOOKUP($V59,$A$42:$C$71,2,0)+VLOOKUP(AY$41,$A$42:$C$71,2,0))</f>
        <v>0.6801734782587594</v>
      </c>
      <c r="AZ59">
        <f>VLOOKUP($V59,$A$42:$C$71,2,0)/(VLOOKUP($V59,$A$42:$C$71,2,0)+VLOOKUP(AZ$41,$A$42:$C$71,2,0))</f>
        <v>0.69736543414984997</v>
      </c>
    </row>
    <row r="60" spans="1:52" x14ac:dyDescent="0.25">
      <c r="A60">
        <v>19</v>
      </c>
      <c r="B60">
        <f>B$37-B$37/(1+EXP(-B$38*($A60-B$39)))</f>
        <v>0.41338242108266987</v>
      </c>
      <c r="C60">
        <f>C$37-C$37/(1+EXP(-C$38*($A60-C$39)))</f>
        <v>33.897358528778931</v>
      </c>
      <c r="V60">
        <v>19</v>
      </c>
      <c r="W60">
        <f>VLOOKUP($V60,$A$42:$C$71,2,0)/(VLOOKUP($V60,$A$42:$C$71,2,0)+VLOOKUP(W$41,$A$42:$C$71,2,0))</f>
        <v>0.33790165946311934</v>
      </c>
      <c r="X60">
        <f>VLOOKUP($V60,$A$42:$C$71,2,0)/(VLOOKUP($V60,$A$42:$C$71,2,0)+VLOOKUP(X$41,$A$42:$C$71,2,0))</f>
        <v>0.34234227420634566</v>
      </c>
      <c r="Y60">
        <f>VLOOKUP($V60,$A$42:$C$71,2,0)/(VLOOKUP($V60,$A$42:$C$71,2,0)+VLOOKUP(Y$41,$A$42:$C$71,2,0))</f>
        <v>0.34718113072024276</v>
      </c>
      <c r="Z60">
        <f>VLOOKUP($V60,$A$42:$C$71,2,0)/(VLOOKUP($V60,$A$42:$C$71,2,0)+VLOOKUP(Z$41,$A$42:$C$71,2,0))</f>
        <v>0.35244672953498246</v>
      </c>
      <c r="AA60">
        <f>VLOOKUP($V60,$A$42:$C$71,2,0)/(VLOOKUP($V60,$A$42:$C$71,2,0)+VLOOKUP(AA$41,$A$42:$C$71,2,0))</f>
        <v>0.35816817501778558</v>
      </c>
      <c r="AB60">
        <f>VLOOKUP($V60,$A$42:$C$71,2,0)/(VLOOKUP($V60,$A$42:$C$71,2,0)+VLOOKUP(AB$41,$A$42:$C$71,2,0))</f>
        <v>0.36437487519461587</v>
      </c>
      <c r="AC60">
        <f>VLOOKUP($V60,$A$42:$C$71,2,0)/(VLOOKUP($V60,$A$42:$C$71,2,0)+VLOOKUP(AC$41,$A$42:$C$71,2,0))</f>
        <v>0.37109617401600598</v>
      </c>
      <c r="AD60">
        <f>VLOOKUP($V60,$A$42:$C$71,2,0)/(VLOOKUP($V60,$A$42:$C$71,2,0)+VLOOKUP(AD$41,$A$42:$C$71,2,0))</f>
        <v>0.37836091127334731</v>
      </c>
      <c r="AE60">
        <f>VLOOKUP($V60,$A$42:$C$71,2,0)/(VLOOKUP($V60,$A$42:$C$71,2,0)+VLOOKUP(AE$41,$A$42:$C$71,2,0))</f>
        <v>0.38619690709456994</v>
      </c>
      <c r="AF60">
        <f>VLOOKUP($V60,$A$42:$C$71,2,0)/(VLOOKUP($V60,$A$42:$C$71,2,0)+VLOOKUP(AF$41,$A$42:$C$71,2,0))</f>
        <v>0.39463037037093318</v>
      </c>
      <c r="AG60">
        <f>VLOOKUP($V60,$A$42:$C$71,2,0)/(VLOOKUP($V60,$A$42:$C$71,2,0)+VLOOKUP(AG$41,$A$42:$C$71,2,0))</f>
        <v>0.40368523365826248</v>
      </c>
      <c r="AH60">
        <f>VLOOKUP($V60,$A$42:$C$71,2,0)/(VLOOKUP($V60,$A$42:$C$71,2,0)+VLOOKUP(AH$41,$A$42:$C$71,2,0))</f>
        <v>0.41338242108266993</v>
      </c>
      <c r="AI60">
        <f>VLOOKUP($V60,$A$42:$C$71,2,0)/(VLOOKUP($V60,$A$42:$C$71,2,0)+VLOOKUP(AI$41,$A$42:$C$71,2,0))</f>
        <v>0.42373906052599375</v>
      </c>
      <c r="AJ60">
        <f>VLOOKUP($V60,$A$42:$C$71,2,0)/(VLOOKUP($V60,$A$42:$C$71,2,0)+VLOOKUP(AJ$41,$A$42:$C$71,2,0))</f>
        <v>0.43476765674926249</v>
      </c>
      <c r="AK60">
        <f>VLOOKUP($V60,$A$42:$C$71,2,0)/(VLOOKUP($V60,$A$42:$C$71,2,0)+VLOOKUP(AK$41,$A$42:$C$71,2,0))</f>
        <v>0.44647524790960197</v>
      </c>
      <c r="AL60">
        <f>VLOOKUP($V60,$A$42:$C$71,2,0)/(VLOOKUP($V60,$A$42:$C$71,2,0)+VLOOKUP(AL$41,$A$42:$C$71,2,0))</f>
        <v>0.45886257379727424</v>
      </c>
      <c r="AM60">
        <f>VLOOKUP($V60,$A$42:$C$71,2,0)/(VLOOKUP($V60,$A$42:$C$71,2,0)+VLOOKUP(AM$41,$A$42:$C$71,2,0))</f>
        <v>0.47192328960726693</v>
      </c>
      <c r="AN60">
        <f>VLOOKUP($V60,$A$42:$C$71,2,0)/(VLOOKUP($V60,$A$42:$C$71,2,0)+VLOOKUP(AN$41,$A$42:$C$71,2,0))</f>
        <v>0.48564326360307786</v>
      </c>
      <c r="AO60">
        <f>VLOOKUP($V60,$A$42:$C$71,2,0)/(VLOOKUP($V60,$A$42:$C$71,2,0)+VLOOKUP(AO$41,$A$42:$C$71,2,0))</f>
        <v>0.5</v>
      </c>
      <c r="AP60">
        <f>VLOOKUP($V60,$A$42:$C$71,2,0)/(VLOOKUP($V60,$A$42:$C$71,2,0)+VLOOKUP(AP$41,$A$42:$C$71,2,0))</f>
        <v>0.51496222915181122</v>
      </c>
      <c r="AQ60">
        <f>VLOOKUP($V60,$A$42:$C$71,2,0)/(VLOOKUP($V60,$A$42:$C$71,2,0)+VLOOKUP(AQ$41,$A$42:$C$71,2,0))</f>
        <v>0.53048970509709237</v>
      </c>
      <c r="AR60">
        <f>VLOOKUP($V60,$A$42:$C$71,2,0)/(VLOOKUP($V60,$A$42:$C$71,2,0)+VLOOKUP(AR$41,$A$42:$C$71,2,0))</f>
        <v>0.54653324529919223</v>
      </c>
      <c r="AS60">
        <f>VLOOKUP($V60,$A$42:$C$71,2,0)/(VLOOKUP($V60,$A$42:$C$71,2,0)+VLOOKUP(AS$41,$A$42:$C$71,2,0))</f>
        <v>0.56303503884290607</v>
      </c>
      <c r="AT60">
        <f>VLOOKUP($V60,$A$42:$C$71,2,0)/(VLOOKUP($V60,$A$42:$C$71,2,0)+VLOOKUP(AT$41,$A$42:$C$71,2,0))</f>
        <v>0.57992923761332282</v>
      </c>
      <c r="AU60">
        <f>VLOOKUP($V60,$A$42:$C$71,2,0)/(VLOOKUP($V60,$A$42:$C$71,2,0)+VLOOKUP(AU$41,$A$42:$C$71,2,0))</f>
        <v>0.59714283064373841</v>
      </c>
      <c r="AV60">
        <f>VLOOKUP($V60,$A$42:$C$71,2,0)/(VLOOKUP($V60,$A$42:$C$71,2,0)+VLOOKUP(AV$41,$A$42:$C$71,2,0))</f>
        <v>0.61459678582632993</v>
      </c>
      <c r="AW60">
        <f>VLOOKUP($V60,$A$42:$C$71,2,0)/(VLOOKUP($V60,$A$42:$C$71,2,0)+VLOOKUP(AW$41,$A$42:$C$71,2,0))</f>
        <v>0.6322074267947192</v>
      </c>
      <c r="AX60">
        <f>VLOOKUP($V60,$A$42:$C$71,2,0)/(VLOOKUP($V60,$A$42:$C$71,2,0)+VLOOKUP(AX$41,$A$42:$C$71,2,0))</f>
        <v>0.64988799746761383</v>
      </c>
      <c r="AY60">
        <f>VLOOKUP($V60,$A$42:$C$71,2,0)/(VLOOKUP($V60,$A$42:$C$71,2,0)+VLOOKUP(AY$41,$A$42:$C$71,2,0))</f>
        <v>0.66755035396402529</v>
      </c>
      <c r="AZ60">
        <f>VLOOKUP($V60,$A$42:$C$71,2,0)/(VLOOKUP($V60,$A$42:$C$71,2,0)+VLOOKUP(AZ$41,$A$42:$C$71,2,0))</f>
        <v>0.68510671466583217</v>
      </c>
    </row>
    <row r="61" spans="1:52" x14ac:dyDescent="0.25">
      <c r="A61">
        <v>20</v>
      </c>
      <c r="B61">
        <f>B$37-B$37/(1+EXP(-B$38*($A61-B$39)))</f>
        <v>0.38936076605077796</v>
      </c>
      <c r="C61">
        <f>C$37-C$37/(1+EXP(-C$38*($A61-C$39)))</f>
        <v>31.927582816163792</v>
      </c>
      <c r="V61">
        <v>20</v>
      </c>
      <c r="W61">
        <f>VLOOKUP($V61,$A$42:$C$71,2,0)/(VLOOKUP($V61,$A$42:$C$71,2,0)+VLOOKUP(W$41,$A$42:$C$71,2,0))</f>
        <v>0.32464066314684092</v>
      </c>
      <c r="X61">
        <f>VLOOKUP($V61,$A$42:$C$71,2,0)/(VLOOKUP($V61,$A$42:$C$71,2,0)+VLOOKUP(X$41,$A$42:$C$71,2,0))</f>
        <v>0.32899360057550692</v>
      </c>
      <c r="Y61">
        <f>VLOOKUP($V61,$A$42:$C$71,2,0)/(VLOOKUP($V61,$A$42:$C$71,2,0)+VLOOKUP(Y$41,$A$42:$C$71,2,0))</f>
        <v>0.33373952712945198</v>
      </c>
      <c r="Z61">
        <f>VLOOKUP($V61,$A$42:$C$71,2,0)/(VLOOKUP($V61,$A$42:$C$71,2,0)+VLOOKUP(Z$41,$A$42:$C$71,2,0))</f>
        <v>0.3389070962512491</v>
      </c>
      <c r="AA61">
        <f>VLOOKUP($V61,$A$42:$C$71,2,0)/(VLOOKUP($V61,$A$42:$C$71,2,0)+VLOOKUP(AA$41,$A$42:$C$71,2,0))</f>
        <v>0.34452568663119476</v>
      </c>
      <c r="AB61">
        <f>VLOOKUP($V61,$A$42:$C$71,2,0)/(VLOOKUP($V61,$A$42:$C$71,2,0)+VLOOKUP(AB$41,$A$42:$C$71,2,0))</f>
        <v>0.3506251244150837</v>
      </c>
      <c r="AC61">
        <f>VLOOKUP($V61,$A$42:$C$71,2,0)/(VLOOKUP($V61,$A$42:$C$71,2,0)+VLOOKUP(AC$41,$A$42:$C$71,2,0))</f>
        <v>0.35723533914989763</v>
      </c>
      <c r="AD61">
        <f>VLOOKUP($V61,$A$42:$C$71,2,0)/(VLOOKUP($V61,$A$42:$C$71,2,0)+VLOOKUP(AD$41,$A$42:$C$71,2,0))</f>
        <v>0.36438594803642982</v>
      </c>
      <c r="AE61">
        <f>VLOOKUP($V61,$A$42:$C$71,2,0)/(VLOOKUP($V61,$A$42:$C$71,2,0)+VLOOKUP(AE$41,$A$42:$C$71,2,0))</f>
        <v>0.37210576453395217</v>
      </c>
      <c r="AF61">
        <f>VLOOKUP($V61,$A$42:$C$71,2,0)/(VLOOKUP($V61,$A$42:$C$71,2,0)+VLOOKUP(AF$41,$A$42:$C$71,2,0))</f>
        <v>0.38042222951200211</v>
      </c>
      <c r="AG61">
        <f>VLOOKUP($V61,$A$42:$C$71,2,0)/(VLOOKUP($V61,$A$42:$C$71,2,0)+VLOOKUP(AG$41,$A$42:$C$71,2,0))</f>
        <v>0.38936076605077802</v>
      </c>
      <c r="AH61">
        <f>VLOOKUP($V61,$A$42:$C$71,2,0)/(VLOOKUP($V61,$A$42:$C$71,2,0)+VLOOKUP(AH$41,$A$42:$C$71,2,0))</f>
        <v>0.39894406270202759</v>
      </c>
      <c r="AI61">
        <f>VLOOKUP($V61,$A$42:$C$71,2,0)/(VLOOKUP($V61,$A$42:$C$71,2,0)+VLOOKUP(AI$41,$A$42:$C$71,2,0))</f>
        <v>0.40919129452943487</v>
      </c>
      <c r="AJ61">
        <f>VLOOKUP($V61,$A$42:$C$71,2,0)/(VLOOKUP($V61,$A$42:$C$71,2,0)+VLOOKUP(AJ$41,$A$42:$C$71,2,0))</f>
        <v>0.42011729646776719</v>
      </c>
      <c r="AK61">
        <f>VLOOKUP($V61,$A$42:$C$71,2,0)/(VLOOKUP($V61,$A$42:$C$71,2,0)+VLOOKUP(AK$41,$A$42:$C$71,2,0))</f>
        <v>0.43173170929267096</v>
      </c>
      <c r="AL61">
        <f>VLOOKUP($V61,$A$42:$C$71,2,0)/(VLOOKUP($V61,$A$42:$C$71,2,0)+VLOOKUP(AL$41,$A$42:$C$71,2,0))</f>
        <v>0.44403812448367919</v>
      </c>
      <c r="AM61">
        <f>VLOOKUP($V61,$A$42:$C$71,2,0)/(VLOOKUP($V61,$A$42:$C$71,2,0)+VLOOKUP(AM$41,$A$42:$C$71,2,0))</f>
        <v>0.45703326007658285</v>
      </c>
      <c r="AN61">
        <f>VLOOKUP($V61,$A$42:$C$71,2,0)/(VLOOKUP($V61,$A$42:$C$71,2,0)+VLOOKUP(AN$41,$A$42:$C$71,2,0))</f>
        <v>0.47070620470896035</v>
      </c>
      <c r="AO61">
        <f>VLOOKUP($V61,$A$42:$C$71,2,0)/(VLOOKUP($V61,$A$42:$C$71,2,0)+VLOOKUP(AO$41,$A$42:$C$71,2,0))</f>
        <v>0.48503777084818872</v>
      </c>
      <c r="AP61">
        <f>VLOOKUP($V61,$A$42:$C$71,2,0)/(VLOOKUP($V61,$A$42:$C$71,2,0)+VLOOKUP(AP$41,$A$42:$C$71,2,0))</f>
        <v>0.5</v>
      </c>
      <c r="AQ61">
        <f>VLOOKUP($V61,$A$42:$C$71,2,0)/(VLOOKUP($V61,$A$42:$C$71,2,0)+VLOOKUP(AQ$41,$A$42:$C$71,2,0))</f>
        <v>0.51555586190591096</v>
      </c>
      <c r="AR61">
        <f>VLOOKUP($V61,$A$42:$C$71,2,0)/(VLOOKUP($V61,$A$42:$C$71,2,0)+VLOOKUP(AR$41,$A$42:$C$71,2,0))</f>
        <v>0.53165918585029115</v>
      </c>
      <c r="AS61">
        <f>VLOOKUP($V61,$A$42:$C$71,2,0)/(VLOOKUP($V61,$A$42:$C$71,2,0)+VLOOKUP(AS$41,$A$42:$C$71,2,0))</f>
        <v>0.54825485493299386</v>
      </c>
      <c r="AT61">
        <f>VLOOKUP($V61,$A$42:$C$71,2,0)/(VLOOKUP($V61,$A$42:$C$71,2,0)+VLOOKUP(AT$41,$A$42:$C$71,2,0))</f>
        <v>0.56527928355213886</v>
      </c>
      <c r="AU61">
        <f>VLOOKUP($V61,$A$42:$C$71,2,0)/(VLOOKUP($V61,$A$42:$C$71,2,0)+VLOOKUP(AU$41,$A$42:$C$71,2,0))</f>
        <v>0.58266118478961515</v>
      </c>
      <c r="AV61">
        <f>VLOOKUP($V61,$A$42:$C$71,2,0)/(VLOOKUP($V61,$A$42:$C$71,2,0)+VLOOKUP(AV$41,$A$42:$C$71,2,0))</f>
        <v>0.60032261870061066</v>
      </c>
      <c r="AW61">
        <f>VLOOKUP($V61,$A$42:$C$71,2,0)/(VLOOKUP($V61,$A$42:$C$71,2,0)+VLOOKUP(AW$41,$A$42:$C$71,2,0))</f>
        <v>0.61818029583734879</v>
      </c>
      <c r="AX61">
        <f>VLOOKUP($V61,$A$42:$C$71,2,0)/(VLOOKUP($V61,$A$42:$C$71,2,0)+VLOOKUP(AX$41,$A$42:$C$71,2,0))</f>
        <v>0.63614709410267745</v>
      </c>
      <c r="AY61">
        <f>VLOOKUP($V61,$A$42:$C$71,2,0)/(VLOOKUP($V61,$A$42:$C$71,2,0)+VLOOKUP(AY$41,$A$42:$C$71,2,0))</f>
        <v>0.65413373274798248</v>
      </c>
      <c r="AZ61">
        <f>VLOOKUP($V61,$A$42:$C$71,2,0)/(VLOOKUP($V61,$A$42:$C$71,2,0)+VLOOKUP(AZ$41,$A$42:$C$71,2,0))</f>
        <v>0.67205053642728285</v>
      </c>
    </row>
    <row r="62" spans="1:52" x14ac:dyDescent="0.25">
      <c r="A62">
        <v>21</v>
      </c>
      <c r="B62">
        <f>B$37-B$37/(1+EXP(-B$38*($A62-B$39)))</f>
        <v>0.36586440898919925</v>
      </c>
      <c r="C62">
        <f>C$37-C$37/(1+EXP(-C$38*($A62-C$39)))</f>
        <v>30.000881537114346</v>
      </c>
      <c r="V62">
        <v>21</v>
      </c>
      <c r="W62">
        <f>VLOOKUP($V62,$A$42:$C$71,2,0)/(VLOOKUP($V62,$A$42:$C$71,2,0)+VLOOKUP(W$41,$A$42:$C$71,2,0))</f>
        <v>0.31114548025336697</v>
      </c>
      <c r="X62">
        <f>VLOOKUP($V62,$A$42:$C$71,2,0)/(VLOOKUP($V62,$A$42:$C$71,2,0)+VLOOKUP(X$41,$A$42:$C$71,2,0))</f>
        <v>0.31540197385499513</v>
      </c>
      <c r="Y62">
        <f>VLOOKUP($V62,$A$42:$C$71,2,0)/(VLOOKUP($V62,$A$42:$C$71,2,0)+VLOOKUP(Y$41,$A$42:$C$71,2,0))</f>
        <v>0.32004535003245588</v>
      </c>
      <c r="Z62">
        <f>VLOOKUP($V62,$A$42:$C$71,2,0)/(VLOOKUP($V62,$A$42:$C$71,2,0)+VLOOKUP(Z$41,$A$42:$C$71,2,0))</f>
        <v>0.32510434568498336</v>
      </c>
      <c r="AA62">
        <f>VLOOKUP($V62,$A$42:$C$71,2,0)/(VLOOKUP($V62,$A$42:$C$71,2,0)+VLOOKUP(AA$41,$A$42:$C$71,2,0))</f>
        <v>0.33060854271819196</v>
      </c>
      <c r="AB62">
        <f>VLOOKUP($V62,$A$42:$C$71,2,0)/(VLOOKUP($V62,$A$42:$C$71,2,0)+VLOOKUP(AB$41,$A$42:$C$71,2,0))</f>
        <v>0.33658811385308857</v>
      </c>
      <c r="AC62">
        <f>VLOOKUP($V62,$A$42:$C$71,2,0)/(VLOOKUP($V62,$A$42:$C$71,2,0)+VLOOKUP(AC$41,$A$42:$C$71,2,0))</f>
        <v>0.34307350386175622</v>
      </c>
      <c r="AD62">
        <f>VLOOKUP($V62,$A$42:$C$71,2,0)/(VLOOKUP($V62,$A$42:$C$71,2,0)+VLOOKUP(AD$41,$A$42:$C$71,2,0))</f>
        <v>0.35009504022448074</v>
      </c>
      <c r="AE62">
        <f>VLOOKUP($V62,$A$42:$C$71,2,0)/(VLOOKUP($V62,$A$42:$C$71,2,0)+VLOOKUP(AE$41,$A$42:$C$71,2,0))</f>
        <v>0.35768246842791368</v>
      </c>
      <c r="AF62">
        <f>VLOOKUP($V62,$A$42:$C$71,2,0)/(VLOOKUP($V62,$A$42:$C$71,2,0)+VLOOKUP(AF$41,$A$42:$C$71,2,0))</f>
        <v>0.36586440898919931</v>
      </c>
      <c r="AG62">
        <f>VLOOKUP($V62,$A$42:$C$71,2,0)/(VLOOKUP($V62,$A$42:$C$71,2,0)+VLOOKUP(AG$41,$A$42:$C$71,2,0))</f>
        <v>0.37466773589115104</v>
      </c>
      <c r="AH62">
        <f>VLOOKUP($V62,$A$42:$C$71,2,0)/(VLOOKUP($V62,$A$42:$C$71,2,0)+VLOOKUP(AH$41,$A$42:$C$71,2,0))</f>
        <v>0.3841168795153142</v>
      </c>
      <c r="AI62">
        <f>VLOOKUP($V62,$A$42:$C$71,2,0)/(VLOOKUP($V62,$A$42:$C$71,2,0)+VLOOKUP(AI$41,$A$42:$C$71,2,0))</f>
        <v>0.39423306138355413</v>
      </c>
      <c r="AJ62">
        <f>VLOOKUP($V62,$A$42:$C$71,2,0)/(VLOOKUP($V62,$A$42:$C$71,2,0)+VLOOKUP(AJ$41,$A$42:$C$71,2,0))</f>
        <v>0.40503347301746906</v>
      </c>
      <c r="AK62">
        <f>VLOOKUP($V62,$A$42:$C$71,2,0)/(VLOOKUP($V62,$A$42:$C$71,2,0)+VLOOKUP(AK$41,$A$42:$C$71,2,0))</f>
        <v>0.41653041686165959</v>
      </c>
      <c r="AL62">
        <f>VLOOKUP($V62,$A$42:$C$71,2,0)/(VLOOKUP($V62,$A$42:$C$71,2,0)+VLOOKUP(AL$41,$A$42:$C$71,2,0))</f>
        <v>0.42873043324610621</v>
      </c>
      <c r="AM62">
        <f>VLOOKUP($V62,$A$42:$C$71,2,0)/(VLOOKUP($V62,$A$42:$C$71,2,0)+VLOOKUP(AM$41,$A$42:$C$71,2,0))</f>
        <v>0.44163344341796507</v>
      </c>
      <c r="AN62">
        <f>VLOOKUP($V62,$A$42:$C$71,2,0)/(VLOOKUP($V62,$A$42:$C$71,2,0)+VLOOKUP(AN$41,$A$42:$C$71,2,0))</f>
        <v>0.45523194426626579</v>
      </c>
      <c r="AO62">
        <f>VLOOKUP($V62,$A$42:$C$71,2,0)/(VLOOKUP($V62,$A$42:$C$71,2,0)+VLOOKUP(AO$41,$A$42:$C$71,2,0))</f>
        <v>0.46951029490290769</v>
      </c>
      <c r="AP62">
        <f>VLOOKUP($V62,$A$42:$C$71,2,0)/(VLOOKUP($V62,$A$42:$C$71,2,0)+VLOOKUP(AP$41,$A$42:$C$71,2,0))</f>
        <v>0.48444413809408898</v>
      </c>
      <c r="AQ62">
        <f>VLOOKUP($V62,$A$42:$C$71,2,0)/(VLOOKUP($V62,$A$42:$C$71,2,0)+VLOOKUP(AQ$41,$A$42:$C$71,2,0))</f>
        <v>0.5</v>
      </c>
      <c r="AR62">
        <f>VLOOKUP($V62,$A$42:$C$71,2,0)/(VLOOKUP($V62,$A$42:$C$71,2,0)+VLOOKUP(AR$41,$A$42:$C$71,2,0))</f>
        <v>0.51613510920097938</v>
      </c>
      <c r="AS62">
        <f>VLOOKUP($V62,$A$42:$C$71,2,0)/(VLOOKUP($V62,$A$42:$C$71,2,0)+VLOOKUP(AS$41,$A$42:$C$71,2,0))</f>
        <v>0.53279747016783385</v>
      </c>
      <c r="AT62">
        <f>VLOOKUP($V62,$A$42:$C$71,2,0)/(VLOOKUP($V62,$A$42:$C$71,2,0)+VLOOKUP(AT$41,$A$42:$C$71,2,0))</f>
        <v>0.54992621705116529</v>
      </c>
      <c r="AU62">
        <f>VLOOKUP($V62,$A$42:$C$71,2,0)/(VLOOKUP($V62,$A$42:$C$71,2,0)+VLOOKUP(AU$41,$A$42:$C$71,2,0))</f>
        <v>0.56745226115407632</v>
      </c>
      <c r="AV62">
        <f>VLOOKUP($V62,$A$42:$C$71,2,0)/(VLOOKUP($V62,$A$42:$C$71,2,0)+VLOOKUP(AV$41,$A$42:$C$71,2,0))</f>
        <v>0.58529923034884324</v>
      </c>
      <c r="AW62">
        <f>VLOOKUP($V62,$A$42:$C$71,2,0)/(VLOOKUP($V62,$A$42:$C$71,2,0)+VLOOKUP(AW$41,$A$42:$C$71,2,0))</f>
        <v>0.60338468202473983</v>
      </c>
      <c r="AX62">
        <f>VLOOKUP($V62,$A$42:$C$71,2,0)/(VLOOKUP($V62,$A$42:$C$71,2,0)+VLOOKUP(AX$41,$A$42:$C$71,2,0))</f>
        <v>0.62162155425050336</v>
      </c>
      <c r="AY62">
        <f>VLOOKUP($V62,$A$42:$C$71,2,0)/(VLOOKUP($V62,$A$42:$C$71,2,0)+VLOOKUP(AY$41,$A$42:$C$71,2,0))</f>
        <v>0.63991980422035699</v>
      </c>
      <c r="AZ62">
        <f>VLOOKUP($V62,$A$42:$C$71,2,0)/(VLOOKUP($V62,$A$42:$C$71,2,0)+VLOOKUP(AZ$41,$A$42:$C$71,2,0))</f>
        <v>0.65818817024414811</v>
      </c>
    </row>
    <row r="63" spans="1:52" x14ac:dyDescent="0.25">
      <c r="A63">
        <v>22</v>
      </c>
      <c r="B63">
        <f>B$37-B$37/(1+EXP(-B$38*($A63-B$39)))</f>
        <v>0.34298953732650117</v>
      </c>
      <c r="C63">
        <f>C$37-C$37/(1+EXP(-C$38*($A63-C$39)))</f>
        <v>28.125142060773101</v>
      </c>
      <c r="V63">
        <v>22</v>
      </c>
      <c r="W63">
        <f>VLOOKUP($V63,$A$42:$C$71,2,0)/(VLOOKUP($V63,$A$42:$C$71,2,0)+VLOOKUP(W$41,$A$42:$C$71,2,0))</f>
        <v>0.29747885135041813</v>
      </c>
      <c r="X63">
        <f>VLOOKUP($V63,$A$42:$C$71,2,0)/(VLOOKUP($V63,$A$42:$C$71,2,0)+VLOOKUP(X$41,$A$42:$C$71,2,0))</f>
        <v>0.30163024925182597</v>
      </c>
      <c r="Y63">
        <f>VLOOKUP($V63,$A$42:$C$71,2,0)/(VLOOKUP($V63,$A$42:$C$71,2,0)+VLOOKUP(Y$41,$A$42:$C$71,2,0))</f>
        <v>0.30616154877960861</v>
      </c>
      <c r="Z63">
        <f>VLOOKUP($V63,$A$42:$C$71,2,0)/(VLOOKUP($V63,$A$42:$C$71,2,0)+VLOOKUP(Z$41,$A$42:$C$71,2,0))</f>
        <v>0.31110149297113832</v>
      </c>
      <c r="AA63">
        <f>VLOOKUP($V63,$A$42:$C$71,2,0)/(VLOOKUP($V63,$A$42:$C$71,2,0)+VLOOKUP(AA$41,$A$42:$C$71,2,0))</f>
        <v>0.31647978635601037</v>
      </c>
      <c r="AB63">
        <f>VLOOKUP($V63,$A$42:$C$71,2,0)/(VLOOKUP($V63,$A$42:$C$71,2,0)+VLOOKUP(AB$41,$A$42:$C$71,2,0))</f>
        <v>0.32232686537235361</v>
      </c>
      <c r="AC63">
        <f>VLOOKUP($V63,$A$42:$C$71,2,0)/(VLOOKUP($V63,$A$42:$C$71,2,0)+VLOOKUP(AC$41,$A$42:$C$71,2,0))</f>
        <v>0.32867360629810738</v>
      </c>
      <c r="AD63">
        <f>VLOOKUP($V63,$A$42:$C$71,2,0)/(VLOOKUP($V63,$A$42:$C$71,2,0)+VLOOKUP(AD$41,$A$42:$C$71,2,0))</f>
        <v>0.33555096419381403</v>
      </c>
      <c r="AE63">
        <f>VLOOKUP($V63,$A$42:$C$71,2,0)/(VLOOKUP($V63,$A$42:$C$71,2,0)+VLOOKUP(AE$41,$A$42:$C$71,2,0))</f>
        <v>0.34298953732650117</v>
      </c>
      <c r="AF63">
        <f>VLOOKUP($V63,$A$42:$C$71,2,0)/(VLOOKUP($V63,$A$42:$C$71,2,0)+VLOOKUP(AF$41,$A$42:$C$71,2,0))</f>
        <v>0.35101905311773113</v>
      </c>
      <c r="AG63">
        <f>VLOOKUP($V63,$A$42:$C$71,2,0)/(VLOOKUP($V63,$A$42:$C$71,2,0)+VLOOKUP(AG$41,$A$42:$C$71,2,0))</f>
        <v>0.35966777393646027</v>
      </c>
      <c r="AH63">
        <f>VLOOKUP($V63,$A$42:$C$71,2,0)/(VLOOKUP($V63,$A$42:$C$71,2,0)+VLOOKUP(AH$41,$A$42:$C$71,2,0))</f>
        <v>0.36896182412241429</v>
      </c>
      <c r="AI63">
        <f>VLOOKUP($V63,$A$42:$C$71,2,0)/(VLOOKUP($V63,$A$42:$C$71,2,0)+VLOOKUP(AI$41,$A$42:$C$71,2,0))</f>
        <v>0.37892444352409055</v>
      </c>
      <c r="AJ63">
        <f>VLOOKUP($V63,$A$42:$C$71,2,0)/(VLOOKUP($V63,$A$42:$C$71,2,0)+VLOOKUP(AJ$41,$A$42:$C$71,2,0))</f>
        <v>0.38957517755485771</v>
      </c>
      <c r="AK63">
        <f>VLOOKUP($V63,$A$42:$C$71,2,0)/(VLOOKUP($V63,$A$42:$C$71,2,0)+VLOOKUP(AK$41,$A$42:$C$71,2,0))</f>
        <v>0.40092901921795154</v>
      </c>
      <c r="AL63">
        <f>VLOOKUP($V63,$A$42:$C$71,2,0)/(VLOOKUP($V63,$A$42:$C$71,2,0)+VLOOKUP(AL$41,$A$42:$C$71,2,0))</f>
        <v>0.4129955245315613</v>
      </c>
      <c r="AM63">
        <f>VLOOKUP($V63,$A$42:$C$71,2,0)/(VLOOKUP($V63,$A$42:$C$71,2,0)+VLOOKUP(AM$41,$A$42:$C$71,2,0))</f>
        <v>0.42577792898536088</v>
      </c>
      <c r="AN63">
        <f>VLOOKUP($V63,$A$42:$C$71,2,0)/(VLOOKUP($V63,$A$42:$C$71,2,0)+VLOOKUP(AN$41,$A$42:$C$71,2,0))</f>
        <v>0.43927229864142858</v>
      </c>
      <c r="AO63">
        <f>VLOOKUP($V63,$A$42:$C$71,2,0)/(VLOOKUP($V63,$A$42:$C$71,2,0)+VLOOKUP(AO$41,$A$42:$C$71,2,0))</f>
        <v>0.45346675470080783</v>
      </c>
      <c r="AP63">
        <f>VLOOKUP($V63,$A$42:$C$71,2,0)/(VLOOKUP($V63,$A$42:$C$71,2,0)+VLOOKUP(AP$41,$A$42:$C$71,2,0))</f>
        <v>0.46834081414970885</v>
      </c>
      <c r="AQ63">
        <f>VLOOKUP($V63,$A$42:$C$71,2,0)/(VLOOKUP($V63,$A$42:$C$71,2,0)+VLOOKUP(AQ$41,$A$42:$C$71,2,0))</f>
        <v>0.48386489079902056</v>
      </c>
      <c r="AR63">
        <f>VLOOKUP($V63,$A$42:$C$71,2,0)/(VLOOKUP($V63,$A$42:$C$71,2,0)+VLOOKUP(AR$41,$A$42:$C$71,2,0))</f>
        <v>0.5</v>
      </c>
      <c r="AS63">
        <f>VLOOKUP($V63,$A$42:$C$71,2,0)/(VLOOKUP($V63,$A$42:$C$71,2,0)+VLOOKUP(AS$41,$A$42:$C$71,2,0))</f>
        <v>0.51669770605406096</v>
      </c>
      <c r="AT63">
        <f>VLOOKUP($V63,$A$42:$C$71,2,0)/(VLOOKUP($V63,$A$42:$C$71,2,0)+VLOOKUP(AT$41,$A$42:$C$71,2,0))</f>
        <v>0.53390034356637961</v>
      </c>
      <c r="AU63">
        <f>VLOOKUP($V63,$A$42:$C$71,2,0)/(VLOOKUP($V63,$A$42:$C$71,2,0)+VLOOKUP(AU$41,$A$42:$C$71,2,0))</f>
        <v>0.55154153277934415</v>
      </c>
      <c r="AV63">
        <f>VLOOKUP($V63,$A$42:$C$71,2,0)/(VLOOKUP($V63,$A$42:$C$71,2,0)+VLOOKUP(AV$41,$A$42:$C$71,2,0))</f>
        <v>0.56954699471169057</v>
      </c>
      <c r="AW63">
        <f>VLOOKUP($V63,$A$42:$C$71,2,0)/(VLOOKUP($V63,$A$42:$C$71,2,0)+VLOOKUP(AW$41,$A$42:$C$71,2,0))</f>
        <v>0.58783565558007556</v>
      </c>
      <c r="AX63">
        <f>VLOOKUP($V63,$A$42:$C$71,2,0)/(VLOOKUP($V63,$A$42:$C$71,2,0)+VLOOKUP(AX$41,$A$42:$C$71,2,0))</f>
        <v>0.60632101271449668</v>
      </c>
      <c r="AY63">
        <f>VLOOKUP($V63,$A$42:$C$71,2,0)/(VLOOKUP($V63,$A$42:$C$71,2,0)+VLOOKUP(AY$41,$A$42:$C$71,2,0))</f>
        <v>0.62491271747606736</v>
      </c>
      <c r="AZ63">
        <f>VLOOKUP($V63,$A$42:$C$71,2,0)/(VLOOKUP($V63,$A$42:$C$71,2,0)+VLOOKUP(AZ$41,$A$42:$C$71,2,0))</f>
        <v>0.64351831611443899</v>
      </c>
    </row>
    <row r="64" spans="1:52" x14ac:dyDescent="0.25">
      <c r="A64">
        <v>23</v>
      </c>
      <c r="B64">
        <f>B$37-B$37/(1+EXP(-B$38*($A64-B$39)))</f>
        <v>0.32082130082460703</v>
      </c>
      <c r="C64">
        <f>C$37-C$37/(1+EXP(-C$38*($A64-C$39)))</f>
        <v>26.307346667617779</v>
      </c>
      <c r="V64">
        <v>23</v>
      </c>
      <c r="W64">
        <f>VLOOKUP($V64,$A$42:$C$71,2,0)/(VLOOKUP($V64,$A$42:$C$71,2,0)+VLOOKUP(W$41,$A$42:$C$71,2,0))</f>
        <v>0.28370684641324517</v>
      </c>
      <c r="X64">
        <f>VLOOKUP($V64,$A$42:$C$71,2,0)/(VLOOKUP($V64,$A$42:$C$71,2,0)+VLOOKUP(X$41,$A$42:$C$71,2,0))</f>
        <v>0.2877447719654746</v>
      </c>
      <c r="Y64">
        <f>VLOOKUP($V64,$A$42:$C$71,2,0)/(VLOOKUP($V64,$A$42:$C$71,2,0)+VLOOKUP(Y$41,$A$42:$C$71,2,0))</f>
        <v>0.29215473840837614</v>
      </c>
      <c r="Z64">
        <f>VLOOKUP($V64,$A$42:$C$71,2,0)/(VLOOKUP($V64,$A$42:$C$71,2,0)+VLOOKUP(Z$41,$A$42:$C$71,2,0))</f>
        <v>0.29696541077497046</v>
      </c>
      <c r="AA64">
        <f>VLOOKUP($V64,$A$42:$C$71,2,0)/(VLOOKUP($V64,$A$42:$C$71,2,0)+VLOOKUP(AA$41,$A$42:$C$71,2,0))</f>
        <v>0.30220652713580148</v>
      </c>
      <c r="AB64">
        <f>VLOOKUP($V64,$A$42:$C$71,2,0)/(VLOOKUP($V64,$A$42:$C$71,2,0)+VLOOKUP(AB$41,$A$42:$C$71,2,0))</f>
        <v>0.30790869437595753</v>
      </c>
      <c r="AC64">
        <f>VLOOKUP($V64,$A$42:$C$71,2,0)/(VLOOKUP($V64,$A$42:$C$71,2,0)+VLOOKUP(AC$41,$A$42:$C$71,2,0))</f>
        <v>0.31410312396771667</v>
      </c>
      <c r="AD64">
        <f>VLOOKUP($V64,$A$42:$C$71,2,0)/(VLOOKUP($V64,$A$42:$C$71,2,0)+VLOOKUP(AD$41,$A$42:$C$71,2,0))</f>
        <v>0.32082130082460703</v>
      </c>
      <c r="AE64">
        <f>VLOOKUP($V64,$A$42:$C$71,2,0)/(VLOOKUP($V64,$A$42:$C$71,2,0)+VLOOKUP(AE$41,$A$42:$C$71,2,0))</f>
        <v>0.32809457904793099</v>
      </c>
      <c r="AF64">
        <f>VLOOKUP($V64,$A$42:$C$71,2,0)/(VLOOKUP($V64,$A$42:$C$71,2,0)+VLOOKUP(AF$41,$A$42:$C$71,2,0))</f>
        <v>0.3359536996565311</v>
      </c>
      <c r="AG64">
        <f>VLOOKUP($V64,$A$42:$C$71,2,0)/(VLOOKUP($V64,$A$42:$C$71,2,0)+VLOOKUP(AG$41,$A$42:$C$71,2,0))</f>
        <v>0.34442822733494199</v>
      </c>
      <c r="AH64">
        <f>VLOOKUP($V64,$A$42:$C$71,2,0)/(VLOOKUP($V64,$A$42:$C$71,2,0)+VLOOKUP(AH$41,$A$42:$C$71,2,0))</f>
        <v>0.35354590594117385</v>
      </c>
      <c r="AI64">
        <f>VLOOKUP($V64,$A$42:$C$71,2,0)/(VLOOKUP($V64,$A$42:$C$71,2,0)+VLOOKUP(AI$41,$A$42:$C$71,2,0))</f>
        <v>0.36333193605144004</v>
      </c>
      <c r="AJ64">
        <f>VLOOKUP($V64,$A$42:$C$71,2,0)/(VLOOKUP($V64,$A$42:$C$71,2,0)+VLOOKUP(AJ$41,$A$42:$C$71,2,0))</f>
        <v>0.37380818220506512</v>
      </c>
      <c r="AK64">
        <f>VLOOKUP($V64,$A$42:$C$71,2,0)/(VLOOKUP($V64,$A$42:$C$71,2,0)+VLOOKUP(AK$41,$A$42:$C$71,2,0))</f>
        <v>0.38499232269801659</v>
      </c>
      <c r="AL64">
        <f>VLOOKUP($V64,$A$42:$C$71,2,0)/(VLOOKUP($V64,$A$42:$C$71,2,0)+VLOOKUP(AL$41,$A$42:$C$71,2,0))</f>
        <v>0.396896960614324</v>
      </c>
      <c r="AM64">
        <f>VLOOKUP($V64,$A$42:$C$71,2,0)/(VLOOKUP($V64,$A$42:$C$71,2,0)+VLOOKUP(AM$41,$A$42:$C$71,2,0))</f>
        <v>0.40952872102451271</v>
      </c>
      <c r="AN64">
        <f>VLOOKUP($V64,$A$42:$C$71,2,0)/(VLOOKUP($V64,$A$42:$C$71,2,0)+VLOOKUP(AN$41,$A$42:$C$71,2,0))</f>
        <v>0.42288736553718415</v>
      </c>
      <c r="AO64">
        <f>VLOOKUP($V64,$A$42:$C$71,2,0)/(VLOOKUP($V64,$A$42:$C$71,2,0)+VLOOKUP(AO$41,$A$42:$C$71,2,0))</f>
        <v>0.43696496115709393</v>
      </c>
      <c r="AP64">
        <f>VLOOKUP($V64,$A$42:$C$71,2,0)/(VLOOKUP($V64,$A$42:$C$71,2,0)+VLOOKUP(AP$41,$A$42:$C$71,2,0))</f>
        <v>0.45174514506700608</v>
      </c>
      <c r="AQ64">
        <f>VLOOKUP($V64,$A$42:$C$71,2,0)/(VLOOKUP($V64,$A$42:$C$71,2,0)+VLOOKUP(AQ$41,$A$42:$C$71,2,0))</f>
        <v>0.46720252983216615</v>
      </c>
      <c r="AR64">
        <f>VLOOKUP($V64,$A$42:$C$71,2,0)/(VLOOKUP($V64,$A$42:$C$71,2,0)+VLOOKUP(AR$41,$A$42:$C$71,2,0))</f>
        <v>0.48330229394593899</v>
      </c>
      <c r="AS64">
        <f>VLOOKUP($V64,$A$42:$C$71,2,0)/(VLOOKUP($V64,$A$42:$C$71,2,0)+VLOOKUP(AS$41,$A$42:$C$71,2,0))</f>
        <v>0.5</v>
      </c>
      <c r="AT64">
        <f>VLOOKUP($V64,$A$42:$C$71,2,0)/(VLOOKUP($V64,$A$42:$C$71,2,0)+VLOOKUP(AT$41,$A$42:$C$71,2,0))</f>
        <v>0.51724167666642951</v>
      </c>
      <c r="AU64">
        <f>VLOOKUP($V64,$A$42:$C$71,2,0)/(VLOOKUP($V64,$A$42:$C$71,2,0)+VLOOKUP(AU$41,$A$42:$C$71,2,0))</f>
        <v>0.53496419100371084</v>
      </c>
      <c r="AV64">
        <f>VLOOKUP($V64,$A$42:$C$71,2,0)/(VLOOKUP($V64,$A$42:$C$71,2,0)+VLOOKUP(AV$41,$A$42:$C$71,2,0))</f>
        <v>0.55309592459529611</v>
      </c>
      <c r="AW64">
        <f>VLOOKUP($V64,$A$42:$C$71,2,0)/(VLOOKUP($V64,$A$42:$C$71,2,0)+VLOOKUP(AW$41,$A$42:$C$71,2,0))</f>
        <v>0.57155775136304665</v>
      </c>
      <c r="AX64">
        <f>VLOOKUP($V64,$A$42:$C$71,2,0)/(VLOOKUP($V64,$A$42:$C$71,2,0)+VLOOKUP(AX$41,$A$42:$C$71,2,0))</f>
        <v>0.59026429763515698</v>
      </c>
      <c r="AY64">
        <f>VLOOKUP($V64,$A$42:$C$71,2,0)/(VLOOKUP($V64,$A$42:$C$71,2,0)+VLOOKUP(AY$41,$A$42:$C$71,2,0))</f>
        <v>0.60912544757982423</v>
      </c>
      <c r="AZ64">
        <f>VLOOKUP($V64,$A$42:$C$71,2,0)/(VLOOKUP($V64,$A$42:$C$71,2,0)+VLOOKUP(AZ$41,$A$42:$C$71,2,0))</f>
        <v>0.62804804101525269</v>
      </c>
    </row>
    <row r="65" spans="1:52" x14ac:dyDescent="0.25">
      <c r="A65">
        <v>24</v>
      </c>
      <c r="B65">
        <f>B$37-B$37/(1+EXP(-B$38*($A65-B$39)))</f>
        <v>0.299432857526027</v>
      </c>
      <c r="C65">
        <f>C$37-C$37/(1+EXP(-C$38*($A65-C$39)))</f>
        <v>24.553494317134216</v>
      </c>
      <c r="V65">
        <v>24</v>
      </c>
      <c r="W65">
        <f>VLOOKUP($V65,$A$42:$C$71,2,0)/(VLOOKUP($V65,$A$42:$C$71,2,0)+VLOOKUP(W$41,$A$42:$C$71,2,0))</f>
        <v>0.269897613144018</v>
      </c>
      <c r="X65">
        <f>VLOOKUP($V65,$A$42:$C$71,2,0)/(VLOOKUP($V65,$A$42:$C$71,2,0)+VLOOKUP(X$41,$A$42:$C$71,2,0))</f>
        <v>0.27381412716209808</v>
      </c>
      <c r="Y65">
        <f>VLOOKUP($V65,$A$42:$C$71,2,0)/(VLOOKUP($V65,$A$42:$C$71,2,0)+VLOOKUP(Y$41,$A$42:$C$71,2,0))</f>
        <v>0.27809395249672492</v>
      </c>
      <c r="Z65">
        <f>VLOOKUP($V65,$A$42:$C$71,2,0)/(VLOOKUP($V65,$A$42:$C$71,2,0)+VLOOKUP(Z$41,$A$42:$C$71,2,0))</f>
        <v>0.28276558656236483</v>
      </c>
      <c r="AA65">
        <f>VLOOKUP($V65,$A$42:$C$71,2,0)/(VLOOKUP($V65,$A$42:$C$71,2,0)+VLOOKUP(AA$41,$A$42:$C$71,2,0))</f>
        <v>0.28785870475875486</v>
      </c>
      <c r="AB65">
        <f>VLOOKUP($V65,$A$42:$C$71,2,0)/(VLOOKUP($V65,$A$42:$C$71,2,0)+VLOOKUP(AB$41,$A$42:$C$71,2,0))</f>
        <v>0.29340398207222107</v>
      </c>
      <c r="AC65">
        <f>VLOOKUP($V65,$A$42:$C$71,2,0)/(VLOOKUP($V65,$A$42:$C$71,2,0)+VLOOKUP(AC$41,$A$42:$C$71,2,0))</f>
        <v>0.299432857526027</v>
      </c>
      <c r="AD65">
        <f>VLOOKUP($V65,$A$42:$C$71,2,0)/(VLOOKUP($V65,$A$42:$C$71,2,0)+VLOOKUP(AD$41,$A$42:$C$71,2,0))</f>
        <v>0.30597723425147094</v>
      </c>
      <c r="AE65">
        <f>VLOOKUP($V65,$A$42:$C$71,2,0)/(VLOOKUP($V65,$A$42:$C$71,2,0)+VLOOKUP(AE$41,$A$42:$C$71,2,0))</f>
        <v>0.31306910843766633</v>
      </c>
      <c r="AF65">
        <f>VLOOKUP($V65,$A$42:$C$71,2,0)/(VLOOKUP($V65,$A$42:$C$71,2,0)+VLOOKUP(AF$41,$A$42:$C$71,2,0))</f>
        <v>0.32074012140762154</v>
      </c>
      <c r="AG65">
        <f>VLOOKUP($V65,$A$42:$C$71,2,0)/(VLOOKUP($V65,$A$42:$C$71,2,0)+VLOOKUP(AG$41,$A$42:$C$71,2,0))</f>
        <v>0.32902103067531613</v>
      </c>
      <c r="AH65">
        <f>VLOOKUP($V65,$A$42:$C$71,2,0)/(VLOOKUP($V65,$A$42:$C$71,2,0)+VLOOKUP(AH$41,$A$42:$C$71,2,0))</f>
        <v>0.3379410981703963</v>
      </c>
      <c r="AI65">
        <f>VLOOKUP($V65,$A$42:$C$71,2,0)/(VLOOKUP($V65,$A$42:$C$71,2,0)+VLOOKUP(AI$41,$A$42:$C$71,2,0))</f>
        <v>0.34752739696091661</v>
      </c>
      <c r="AJ65">
        <f>VLOOKUP($V65,$A$42:$C$71,2,0)/(VLOOKUP($V65,$A$42:$C$71,2,0)+VLOOKUP(AJ$41,$A$42:$C$71,2,0))</f>
        <v>0.35780404180901998</v>
      </c>
      <c r="AK65">
        <f>VLOOKUP($V65,$A$42:$C$71,2,0)/(VLOOKUP($V65,$A$42:$C$71,2,0)+VLOOKUP(AK$41,$A$42:$C$71,2,0))</f>
        <v>0.36879135374878091</v>
      </c>
      <c r="AL65">
        <f>VLOOKUP($V65,$A$42:$C$71,2,0)/(VLOOKUP($V65,$A$42:$C$71,2,0)+VLOOKUP(AL$41,$A$42:$C$71,2,0))</f>
        <v>0.38050497448623116</v>
      </c>
      <c r="AM65">
        <f>VLOOKUP($V65,$A$42:$C$71,2,0)/(VLOOKUP($V65,$A$42:$C$71,2,0)+VLOOKUP(AM$41,$A$42:$C$71,2,0))</f>
        <v>0.3929549525906601</v>
      </c>
      <c r="AN65">
        <f>VLOOKUP($V65,$A$42:$C$71,2,0)/(VLOOKUP($V65,$A$42:$C$71,2,0)+VLOOKUP(AN$41,$A$42:$C$71,2,0))</f>
        <v>0.40614482985345918</v>
      </c>
      <c r="AO65">
        <f>VLOOKUP($V65,$A$42:$C$71,2,0)/(VLOOKUP($V65,$A$42:$C$71,2,0)+VLOOKUP(AO$41,$A$42:$C$71,2,0))</f>
        <v>0.42007076238667718</v>
      </c>
      <c r="AP65">
        <f>VLOOKUP($V65,$A$42:$C$71,2,0)/(VLOOKUP($V65,$A$42:$C$71,2,0)+VLOOKUP(AP$41,$A$42:$C$71,2,0))</f>
        <v>0.43472071644786109</v>
      </c>
      <c r="AQ65">
        <f>VLOOKUP($V65,$A$42:$C$71,2,0)/(VLOOKUP($V65,$A$42:$C$71,2,0)+VLOOKUP(AQ$41,$A$42:$C$71,2,0))</f>
        <v>0.45007378294883477</v>
      </c>
      <c r="AR65">
        <f>VLOOKUP($V65,$A$42:$C$71,2,0)/(VLOOKUP($V65,$A$42:$C$71,2,0)+VLOOKUP(AR$41,$A$42:$C$71,2,0))</f>
        <v>0.46609965643362039</v>
      </c>
      <c r="AS65">
        <f>VLOOKUP($V65,$A$42:$C$71,2,0)/(VLOOKUP($V65,$A$42:$C$71,2,0)+VLOOKUP(AS$41,$A$42:$C$71,2,0))</f>
        <v>0.48275832333357049</v>
      </c>
      <c r="AT65">
        <f>VLOOKUP($V65,$A$42:$C$71,2,0)/(VLOOKUP($V65,$A$42:$C$71,2,0)+VLOOKUP(AT$41,$A$42:$C$71,2,0))</f>
        <v>0.5</v>
      </c>
      <c r="AU65">
        <f>VLOOKUP($V65,$A$42:$C$71,2,0)/(VLOOKUP($V65,$A$42:$C$71,2,0)+VLOOKUP(AU$41,$A$42:$C$71,2,0))</f>
        <v>0.51776535308979577</v>
      </c>
      <c r="AV65">
        <f>VLOOKUP($V65,$A$42:$C$71,2,0)/(VLOOKUP($V65,$A$42:$C$71,2,0)+VLOOKUP(AV$41,$A$42:$C$71,2,0))</f>
        <v>0.53598602338663159</v>
      </c>
      <c r="AW65">
        <f>VLOOKUP($V65,$A$42:$C$71,2,0)/(VLOOKUP($V65,$A$42:$C$71,2,0)+VLOOKUP(AW$41,$A$42:$C$71,2,0))</f>
        <v>0.5545854595315719</v>
      </c>
      <c r="AX65">
        <f>VLOOKUP($V65,$A$42:$C$71,2,0)/(VLOOKUP($V65,$A$42:$C$71,2,0)+VLOOKUP(AX$41,$A$42:$C$71,2,0))</f>
        <v>0.57348005128667034</v>
      </c>
      <c r="AY65">
        <f>VLOOKUP($V65,$A$42:$C$71,2,0)/(VLOOKUP($V65,$A$42:$C$71,2,0)+VLOOKUP(AY$41,$A$42:$C$71,2,0))</f>
        <v>0.59258053411779887</v>
      </c>
      <c r="AZ65">
        <f>VLOOKUP($V65,$A$42:$C$71,2,0)/(VLOOKUP($V65,$A$42:$C$71,2,0)+VLOOKUP(AZ$41,$A$42:$C$71,2,0))</f>
        <v>0.61179361958126655</v>
      </c>
    </row>
    <row r="66" spans="1:52" x14ac:dyDescent="0.25">
      <c r="A66">
        <v>25</v>
      </c>
      <c r="B66">
        <f>B$37-B$37/(1+EXP(-B$38*($A66-B$39)))</f>
        <v>0.27888482197713693</v>
      </c>
      <c r="C66">
        <f>C$37-C$37/(1+EXP(-C$38*($A66-C$39)))</f>
        <v>22.868555402125224</v>
      </c>
      <c r="V66">
        <v>25</v>
      </c>
      <c r="W66">
        <f>VLOOKUP($V66,$A$42:$C$71,2,0)/(VLOOKUP($V66,$A$42:$C$71,2,0)+VLOOKUP(W$41,$A$42:$C$71,2,0))</f>
        <v>0.25612003899425795</v>
      </c>
      <c r="X66">
        <f>VLOOKUP($V66,$A$42:$C$71,2,0)/(VLOOKUP($V66,$A$42:$C$71,2,0)+VLOOKUP(X$41,$A$42:$C$71,2,0))</f>
        <v>0.25990779707705136</v>
      </c>
      <c r="Y66">
        <f>VLOOKUP($V66,$A$42:$C$71,2,0)/(VLOOKUP($V66,$A$42:$C$71,2,0)+VLOOKUP(Y$41,$A$42:$C$71,2,0))</f>
        <v>0.26404929594784404</v>
      </c>
      <c r="Z66">
        <f>VLOOKUP($V66,$A$42:$C$71,2,0)/(VLOOKUP($V66,$A$42:$C$71,2,0)+VLOOKUP(Z$41,$A$42:$C$71,2,0))</f>
        <v>0.2685727719429179</v>
      </c>
      <c r="AA66">
        <f>VLOOKUP($V66,$A$42:$C$71,2,0)/(VLOOKUP($V66,$A$42:$C$71,2,0)+VLOOKUP(AA$41,$A$42:$C$71,2,0))</f>
        <v>0.27350773614952834</v>
      </c>
      <c r="AB66">
        <f>VLOOKUP($V66,$A$42:$C$71,2,0)/(VLOOKUP($V66,$A$42:$C$71,2,0)+VLOOKUP(AB$41,$A$42:$C$71,2,0))</f>
        <v>0.27888482197713693</v>
      </c>
      <c r="AC66">
        <f>VLOOKUP($V66,$A$42:$C$71,2,0)/(VLOOKUP($V66,$A$42:$C$71,2,0)+VLOOKUP(AC$41,$A$42:$C$71,2,0))</f>
        <v>0.28473557877177313</v>
      </c>
      <c r="AD66">
        <f>VLOOKUP($V66,$A$42:$C$71,2,0)/(VLOOKUP($V66,$A$42:$C$71,2,0)+VLOOKUP(AD$41,$A$42:$C$71,2,0))</f>
        <v>0.29109220403428415</v>
      </c>
      <c r="AE66">
        <f>VLOOKUP($V66,$A$42:$C$71,2,0)/(VLOOKUP($V66,$A$42:$C$71,2,0)+VLOOKUP(AE$41,$A$42:$C$71,2,0))</f>
        <v>0.29798720706370802</v>
      </c>
      <c r="AF66">
        <f>VLOOKUP($V66,$A$42:$C$71,2,0)/(VLOOKUP($V66,$A$42:$C$71,2,0)+VLOOKUP(AF$41,$A$42:$C$71,2,0))</f>
        <v>0.305452997556169</v>
      </c>
      <c r="AG66">
        <f>VLOOKUP($V66,$A$42:$C$71,2,0)/(VLOOKUP($V66,$A$42:$C$71,2,0)+VLOOKUP(AG$41,$A$42:$C$71,2,0))</f>
        <v>0.31352139396241918</v>
      </c>
      <c r="AH66">
        <f>VLOOKUP($V66,$A$42:$C$71,2,0)/(VLOOKUP($V66,$A$42:$C$71,2,0)+VLOOKUP(AH$41,$A$42:$C$71,2,0))</f>
        <v>0.32222304835771576</v>
      </c>
      <c r="AI66">
        <f>VLOOKUP($V66,$A$42:$C$71,2,0)/(VLOOKUP($V66,$A$42:$C$71,2,0)+VLOOKUP(AI$41,$A$42:$C$71,2,0))</f>
        <v>0.33158678730799973</v>
      </c>
      <c r="AJ66">
        <f>VLOOKUP($V66,$A$42:$C$71,2,0)/(VLOOKUP($V66,$A$42:$C$71,2,0)+VLOOKUP(AJ$41,$A$42:$C$71,2,0))</f>
        <v>0.34163887179980024</v>
      </c>
      <c r="AK66">
        <f>VLOOKUP($V66,$A$42:$C$71,2,0)/(VLOOKUP($V66,$A$42:$C$71,2,0)+VLOOKUP(AK$41,$A$42:$C$71,2,0))</f>
        <v>0.35240218376319032</v>
      </c>
      <c r="AL66">
        <f>VLOOKUP($V66,$A$42:$C$71,2,0)/(VLOOKUP($V66,$A$42:$C$71,2,0)+VLOOKUP(AL$41,$A$42:$C$71,2,0))</f>
        <v>0.36389535201176249</v>
      </c>
      <c r="AM66">
        <f>VLOOKUP($V66,$A$42:$C$71,2,0)/(VLOOKUP($V66,$A$42:$C$71,2,0)+VLOOKUP(AM$41,$A$42:$C$71,2,0))</f>
        <v>0.37613183641092696</v>
      </c>
      <c r="AN66">
        <f>VLOOKUP($V66,$A$42:$C$71,2,0)/(VLOOKUP($V66,$A$42:$C$71,2,0)+VLOOKUP(AN$41,$A$42:$C$71,2,0))</f>
        <v>0.38911899551058127</v>
      </c>
      <c r="AO66">
        <f>VLOOKUP($V66,$A$42:$C$71,2,0)/(VLOOKUP($V66,$A$42:$C$71,2,0)+VLOOKUP(AO$41,$A$42:$C$71,2,0))</f>
        <v>0.40285716935626165</v>
      </c>
      <c r="AP66">
        <f>VLOOKUP($V66,$A$42:$C$71,2,0)/(VLOOKUP($V66,$A$42:$C$71,2,0)+VLOOKUP(AP$41,$A$42:$C$71,2,0))</f>
        <v>0.41733881521038485</v>
      </c>
      <c r="AQ66">
        <f>VLOOKUP($V66,$A$42:$C$71,2,0)/(VLOOKUP($V66,$A$42:$C$71,2,0)+VLOOKUP(AQ$41,$A$42:$C$71,2,0))</f>
        <v>0.43254773884592373</v>
      </c>
      <c r="AR66">
        <f>VLOOKUP($V66,$A$42:$C$71,2,0)/(VLOOKUP($V66,$A$42:$C$71,2,0)+VLOOKUP(AR$41,$A$42:$C$71,2,0))</f>
        <v>0.44845846722065585</v>
      </c>
      <c r="AS66">
        <f>VLOOKUP($V66,$A$42:$C$71,2,0)/(VLOOKUP($V66,$A$42:$C$71,2,0)+VLOOKUP(AS$41,$A$42:$C$71,2,0))</f>
        <v>0.46503580899628916</v>
      </c>
      <c r="AT66">
        <f>VLOOKUP($V66,$A$42:$C$71,2,0)/(VLOOKUP($V66,$A$42:$C$71,2,0)+VLOOKUP(AT$41,$A$42:$C$71,2,0))</f>
        <v>0.48223464691020429</v>
      </c>
      <c r="AU66">
        <f>VLOOKUP($V66,$A$42:$C$71,2,0)/(VLOOKUP($V66,$A$42:$C$71,2,0)+VLOOKUP(AU$41,$A$42:$C$71,2,0))</f>
        <v>0.5</v>
      </c>
      <c r="AV66">
        <f>VLOOKUP($V66,$A$42:$C$71,2,0)/(VLOOKUP($V66,$A$42:$C$71,2,0)+VLOOKUP(AV$41,$A$42:$C$71,2,0))</f>
        <v>0.51826738397349825</v>
      </c>
      <c r="AW66">
        <f>VLOOKUP($V66,$A$42:$C$71,2,0)/(VLOOKUP($V66,$A$42:$C$71,2,0)+VLOOKUP(AW$41,$A$42:$C$71,2,0))</f>
        <v>0.53696348483678247</v>
      </c>
      <c r="AX66">
        <f>VLOOKUP($V66,$A$42:$C$71,2,0)/(VLOOKUP($V66,$A$42:$C$71,2,0)+VLOOKUP(AX$41,$A$42:$C$71,2,0))</f>
        <v>0.5560071448932028</v>
      </c>
      <c r="AY66">
        <f>VLOOKUP($V66,$A$42:$C$71,2,0)/(VLOOKUP($V66,$A$42:$C$71,2,0)+VLOOKUP(AY$41,$A$42:$C$71,2,0))</f>
        <v>0.57531064247824737</v>
      </c>
      <c r="AZ66">
        <f>VLOOKUP($V66,$A$42:$C$71,2,0)/(VLOOKUP($V66,$A$42:$C$71,2,0)+VLOOKUP(AZ$41,$A$42:$C$71,2,0))</f>
        <v>0.59478122871339911</v>
      </c>
    </row>
    <row r="67" spans="1:52" x14ac:dyDescent="0.25">
      <c r="A67">
        <v>26</v>
      </c>
      <c r="B67">
        <f>B$37-B$37/(1+EXP(-B$38*($A67-B$39)))</f>
        <v>0.259225100817846</v>
      </c>
      <c r="C67">
        <f>C$37-C$37/(1+EXP(-C$38*($A67-C$39)))</f>
        <v>21.256458267063365</v>
      </c>
      <c r="V67">
        <v>26</v>
      </c>
      <c r="W67">
        <f>VLOOKUP($V67,$A$42:$C$71,2,0)/(VLOOKUP($V67,$A$42:$C$71,2,0)+VLOOKUP(W$41,$A$42:$C$71,2,0))</f>
        <v>0.24244238214015779</v>
      </c>
      <c r="X67">
        <f>VLOOKUP($V67,$A$42:$C$71,2,0)/(VLOOKUP($V67,$A$42:$C$71,2,0)+VLOOKUP(X$41,$A$42:$C$71,2,0))</f>
        <v>0.24609478049221095</v>
      </c>
      <c r="Y67">
        <f>VLOOKUP($V67,$A$42:$C$71,2,0)/(VLOOKUP($V67,$A$42:$C$71,2,0)+VLOOKUP(Y$41,$A$42:$C$71,2,0))</f>
        <v>0.2500905528792392</v>
      </c>
      <c r="Z67">
        <f>VLOOKUP($V67,$A$42:$C$71,2,0)/(VLOOKUP($V67,$A$42:$C$71,2,0)+VLOOKUP(Z$41,$A$42:$C$71,2,0))</f>
        <v>0.25445757909498545</v>
      </c>
      <c r="AA67">
        <f>VLOOKUP($V67,$A$42:$C$71,2,0)/(VLOOKUP($V67,$A$42:$C$71,2,0)+VLOOKUP(AA$41,$A$42:$C$71,2,0))</f>
        <v>0.259225100817846</v>
      </c>
      <c r="AB67">
        <f>VLOOKUP($V67,$A$42:$C$71,2,0)/(VLOOKUP($V67,$A$42:$C$71,2,0)+VLOOKUP(AB$41,$A$42:$C$71,2,0))</f>
        <v>0.26442359496275097</v>
      </c>
      <c r="AC67">
        <f>VLOOKUP($V67,$A$42:$C$71,2,0)/(VLOOKUP($V67,$A$42:$C$71,2,0)+VLOOKUP(AC$41,$A$42:$C$71,2,0))</f>
        <v>0.27008459656724915</v>
      </c>
      <c r="AD67">
        <f>VLOOKUP($V67,$A$42:$C$71,2,0)/(VLOOKUP($V67,$A$42:$C$71,2,0)+VLOOKUP(AD$41,$A$42:$C$71,2,0))</f>
        <v>0.27624046366789401</v>
      </c>
      <c r="AE67">
        <f>VLOOKUP($V67,$A$42:$C$71,2,0)/(VLOOKUP($V67,$A$42:$C$71,2,0)+VLOOKUP(AE$41,$A$42:$C$71,2,0))</f>
        <v>0.28292407667528258</v>
      </c>
      <c r="AF67">
        <f>VLOOKUP($V67,$A$42:$C$71,2,0)/(VLOOKUP($V67,$A$42:$C$71,2,0)+VLOOKUP(AF$41,$A$42:$C$71,2,0))</f>
        <v>0.29016846519990758</v>
      </c>
      <c r="AG67">
        <f>VLOOKUP($V67,$A$42:$C$71,2,0)/(VLOOKUP($V67,$A$42:$C$71,2,0)+VLOOKUP(AG$41,$A$42:$C$71,2,0))</f>
        <v>0.29800635622940125</v>
      </c>
      <c r="AH67">
        <f>VLOOKUP($V67,$A$42:$C$71,2,0)/(VLOOKUP($V67,$A$42:$C$71,2,0)+VLOOKUP(AH$41,$A$42:$C$71,2,0))</f>
        <v>0.30646963912840919</v>
      </c>
      <c r="AI67">
        <f>VLOOKUP($V67,$A$42:$C$71,2,0)/(VLOOKUP($V67,$A$42:$C$71,2,0)+VLOOKUP(AI$41,$A$42:$C$71,2,0))</f>
        <v>0.31558874523764635</v>
      </c>
      <c r="AJ67">
        <f>VLOOKUP($V67,$A$42:$C$71,2,0)/(VLOOKUP($V67,$A$42:$C$71,2,0)+VLOOKUP(AJ$41,$A$42:$C$71,2,0))</f>
        <v>0.32539194298213031</v>
      </c>
      <c r="AK67">
        <f>VLOOKUP($V67,$A$42:$C$71,2,0)/(VLOOKUP($V67,$A$42:$C$71,2,0)+VLOOKUP(AK$41,$A$42:$C$71,2,0))</f>
        <v>0.33590455341667186</v>
      </c>
      <c r="AL67">
        <f>VLOOKUP($V67,$A$42:$C$71,2,0)/(VLOOKUP($V67,$A$42:$C$71,2,0)+VLOOKUP(AL$41,$A$42:$C$71,2,0))</f>
        <v>0.34714809603746133</v>
      </c>
      <c r="AM67">
        <f>VLOOKUP($V67,$A$42:$C$71,2,0)/(VLOOKUP($V67,$A$42:$C$71,2,0)+VLOOKUP(AM$41,$A$42:$C$71,2,0))</f>
        <v>0.35913938038783494</v>
      </c>
      <c r="AN67">
        <f>VLOOKUP($V67,$A$42:$C$71,2,0)/(VLOOKUP($V67,$A$42:$C$71,2,0)+VLOOKUP(AN$41,$A$42:$C$71,2,0))</f>
        <v>0.37188956529446682</v>
      </c>
      <c r="AO67">
        <f>VLOOKUP($V67,$A$42:$C$71,2,0)/(VLOOKUP($V67,$A$42:$C$71,2,0)+VLOOKUP(AO$41,$A$42:$C$71,2,0))</f>
        <v>0.38540321417367007</v>
      </c>
      <c r="AP67">
        <f>VLOOKUP($V67,$A$42:$C$71,2,0)/(VLOOKUP($V67,$A$42:$C$71,2,0)+VLOOKUP(AP$41,$A$42:$C$71,2,0))</f>
        <v>0.39967738129938934</v>
      </c>
      <c r="AQ67">
        <f>VLOOKUP($V67,$A$42:$C$71,2,0)/(VLOOKUP($V67,$A$42:$C$71,2,0)+VLOOKUP(AQ$41,$A$42:$C$71,2,0))</f>
        <v>0.41470076965115682</v>
      </c>
      <c r="AR67">
        <f>VLOOKUP($V67,$A$42:$C$71,2,0)/(VLOOKUP($V67,$A$42:$C$71,2,0)+VLOOKUP(AR$41,$A$42:$C$71,2,0))</f>
        <v>0.43045300528830938</v>
      </c>
      <c r="AS67">
        <f>VLOOKUP($V67,$A$42:$C$71,2,0)/(VLOOKUP($V67,$A$42:$C$71,2,0)+VLOOKUP(AS$41,$A$42:$C$71,2,0))</f>
        <v>0.44690407540470389</v>
      </c>
      <c r="AT67">
        <f>VLOOKUP($V67,$A$42:$C$71,2,0)/(VLOOKUP($V67,$A$42:$C$71,2,0)+VLOOKUP(AT$41,$A$42:$C$71,2,0))</f>
        <v>0.46401397661336835</v>
      </c>
      <c r="AU67">
        <f>VLOOKUP($V67,$A$42:$C$71,2,0)/(VLOOKUP($V67,$A$42:$C$71,2,0)+VLOOKUP(AU$41,$A$42:$C$71,2,0))</f>
        <v>0.48173261602650175</v>
      </c>
      <c r="AV67">
        <f>VLOOKUP($V67,$A$42:$C$71,2,0)/(VLOOKUP($V67,$A$42:$C$71,2,0)+VLOOKUP(AV$41,$A$42:$C$71,2,0))</f>
        <v>0.5</v>
      </c>
      <c r="AW67">
        <f>VLOOKUP($V67,$A$42:$C$71,2,0)/(VLOOKUP($V67,$A$42:$C$71,2,0)+VLOOKUP(AW$41,$A$42:$C$71,2,0))</f>
        <v>0.51874673400493132</v>
      </c>
      <c r="AX67">
        <f>VLOOKUP($V67,$A$42:$C$71,2,0)/(VLOOKUP($V67,$A$42:$C$71,2,0)+VLOOKUP(AX$41,$A$42:$C$71,2,0))</f>
        <v>0.53789484238217344</v>
      </c>
      <c r="AY67">
        <f>VLOOKUP($V67,$A$42:$C$71,2,0)/(VLOOKUP($V67,$A$42:$C$71,2,0)+VLOOKUP(AY$41,$A$42:$C$71,2,0))</f>
        <v>0.5573588995787</v>
      </c>
      <c r="AZ67">
        <f>VLOOKUP($V67,$A$42:$C$71,2,0)/(VLOOKUP($V67,$A$42:$C$71,2,0)+VLOOKUP(AZ$41,$A$42:$C$71,2,0))</f>
        <v>0.57704744610390912</v>
      </c>
    </row>
    <row r="68" spans="1:52" x14ac:dyDescent="0.25">
      <c r="A68">
        <v>27</v>
      </c>
      <c r="B68">
        <f>B$37-B$37/(1+EXP(-B$38*($A68-B$39)))</f>
        <v>0.24048908305088901</v>
      </c>
      <c r="C68">
        <f>C$37-C$37/(1+EXP(-C$38*($A68-C$39)))</f>
        <v>19.720104810172892</v>
      </c>
      <c r="V68">
        <v>27</v>
      </c>
      <c r="W68">
        <f>VLOOKUP($V68,$A$42:$C$71,2,0)/(VLOOKUP($V68,$A$42:$C$71,2,0)+VLOOKUP(W$41,$A$42:$C$71,2,0))</f>
        <v>0.22893092887913349</v>
      </c>
      <c r="X68">
        <f>VLOOKUP($V68,$A$42:$C$71,2,0)/(VLOOKUP($V68,$A$42:$C$71,2,0)+VLOOKUP(X$41,$A$42:$C$71,2,0))</f>
        <v>0.23244223252095431</v>
      </c>
      <c r="Y68">
        <f>VLOOKUP($V68,$A$42:$C$71,2,0)/(VLOOKUP($V68,$A$42:$C$71,2,0)+VLOOKUP(Y$41,$A$42:$C$71,2,0))</f>
        <v>0.23628580799123672</v>
      </c>
      <c r="Z68">
        <f>VLOOKUP($V68,$A$42:$C$71,2,0)/(VLOOKUP($V68,$A$42:$C$71,2,0)+VLOOKUP(Z$41,$A$42:$C$71,2,0))</f>
        <v>0.24048908305088901</v>
      </c>
      <c r="AA68">
        <f>VLOOKUP($V68,$A$42:$C$71,2,0)/(VLOOKUP($V68,$A$42:$C$71,2,0)+VLOOKUP(AA$41,$A$42:$C$71,2,0))</f>
        <v>0.24508092358960609</v>
      </c>
      <c r="AB68">
        <f>VLOOKUP($V68,$A$42:$C$71,2,0)/(VLOOKUP($V68,$A$42:$C$71,2,0)+VLOOKUP(AB$41,$A$42:$C$71,2,0))</f>
        <v>0.2500915322300597</v>
      </c>
      <c r="AC68">
        <f>VLOOKUP($V68,$A$42:$C$71,2,0)/(VLOOKUP($V68,$A$42:$C$71,2,0)+VLOOKUP(AC$41,$A$42:$C$71,2,0))</f>
        <v>0.25555230020051067</v>
      </c>
      <c r="AD68">
        <f>VLOOKUP($V68,$A$42:$C$71,2,0)/(VLOOKUP($V68,$A$42:$C$71,2,0)+VLOOKUP(AD$41,$A$42:$C$71,2,0))</f>
        <v>0.26149560493325757</v>
      </c>
      <c r="AE68">
        <f>VLOOKUP($V68,$A$42:$C$71,2,0)/(VLOOKUP($V68,$A$42:$C$71,2,0)+VLOOKUP(AE$41,$A$42:$C$71,2,0))</f>
        <v>0.26795454571153682</v>
      </c>
      <c r="AF68">
        <f>VLOOKUP($V68,$A$42:$C$71,2,0)/(VLOOKUP($V68,$A$42:$C$71,2,0)+VLOOKUP(AF$41,$A$42:$C$71,2,0))</f>
        <v>0.27496260988622268</v>
      </c>
      <c r="AG68">
        <f>VLOOKUP($V68,$A$42:$C$71,2,0)/(VLOOKUP($V68,$A$42:$C$71,2,0)+VLOOKUP(AG$41,$A$42:$C$71,2,0))</f>
        <v>0.28255326282471421</v>
      </c>
      <c r="AH68">
        <f>VLOOKUP($V68,$A$42:$C$71,2,0)/(VLOOKUP($V68,$A$42:$C$71,2,0)+VLOOKUP(AH$41,$A$42:$C$71,2,0))</f>
        <v>0.29075945595530656</v>
      </c>
      <c r="AI68">
        <f>VLOOKUP($V68,$A$42:$C$71,2,0)/(VLOOKUP($V68,$A$42:$C$71,2,0)+VLOOKUP(AI$41,$A$42:$C$71,2,0))</f>
        <v>0.29961304914981679</v>
      </c>
      <c r="AJ68">
        <f>VLOOKUP($V68,$A$42:$C$71,2,0)/(VLOOKUP($V68,$A$42:$C$71,2,0)+VLOOKUP(AJ$41,$A$42:$C$71,2,0))</f>
        <v>0.30914414635362719</v>
      </c>
      <c r="AK68">
        <f>VLOOKUP($V68,$A$42:$C$71,2,0)/(VLOOKUP($V68,$A$42:$C$71,2,0)+VLOOKUP(AK$41,$A$42:$C$71,2,0))</f>
        <v>0.31938034690791411</v>
      </c>
      <c r="AL68">
        <f>VLOOKUP($V68,$A$42:$C$71,2,0)/(VLOOKUP($V68,$A$42:$C$71,2,0)+VLOOKUP(AL$41,$A$42:$C$71,2,0))</f>
        <v>0.33034591945008701</v>
      </c>
      <c r="AM68">
        <f>VLOOKUP($V68,$A$42:$C$71,2,0)/(VLOOKUP($V68,$A$42:$C$71,2,0)+VLOOKUP(AM$41,$A$42:$C$71,2,0))</f>
        <v>0.34206091059294946</v>
      </c>
      <c r="AN68">
        <f>VLOOKUP($V68,$A$42:$C$71,2,0)/(VLOOKUP($V68,$A$42:$C$71,2,0)+VLOOKUP(AN$41,$A$42:$C$71,2,0))</f>
        <v>0.35454020664525671</v>
      </c>
      <c r="AO68">
        <f>VLOOKUP($V68,$A$42:$C$71,2,0)/(VLOOKUP($V68,$A$42:$C$71,2,0)+VLOOKUP(AO$41,$A$42:$C$71,2,0))</f>
        <v>0.3677925732052808</v>
      </c>
      <c r="AP68">
        <f>VLOOKUP($V68,$A$42:$C$71,2,0)/(VLOOKUP($V68,$A$42:$C$71,2,0)+VLOOKUP(AP$41,$A$42:$C$71,2,0))</f>
        <v>0.38181970416265126</v>
      </c>
      <c r="AQ68">
        <f>VLOOKUP($V68,$A$42:$C$71,2,0)/(VLOOKUP($V68,$A$42:$C$71,2,0)+VLOOKUP(AQ$41,$A$42:$C$71,2,0))</f>
        <v>0.39661531797526017</v>
      </c>
      <c r="AR68">
        <f>VLOOKUP($V68,$A$42:$C$71,2,0)/(VLOOKUP($V68,$A$42:$C$71,2,0)+VLOOKUP(AR$41,$A$42:$C$71,2,0))</f>
        <v>0.4121643444199245</v>
      </c>
      <c r="AS68">
        <f>VLOOKUP($V68,$A$42:$C$71,2,0)/(VLOOKUP($V68,$A$42:$C$71,2,0)+VLOOKUP(AS$41,$A$42:$C$71,2,0))</f>
        <v>0.42844224863695335</v>
      </c>
      <c r="AT68">
        <f>VLOOKUP($V68,$A$42:$C$71,2,0)/(VLOOKUP($V68,$A$42:$C$71,2,0)+VLOOKUP(AT$41,$A$42:$C$71,2,0))</f>
        <v>0.44541454046842816</v>
      </c>
      <c r="AU68">
        <f>VLOOKUP($V68,$A$42:$C$71,2,0)/(VLOOKUP($V68,$A$42:$C$71,2,0)+VLOOKUP(AU$41,$A$42:$C$71,2,0))</f>
        <v>0.46303651516321748</v>
      </c>
      <c r="AV68">
        <f>VLOOKUP($V68,$A$42:$C$71,2,0)/(VLOOKUP($V68,$A$42:$C$71,2,0)+VLOOKUP(AV$41,$A$42:$C$71,2,0))</f>
        <v>0.48125326599506874</v>
      </c>
      <c r="AW68">
        <f>VLOOKUP($V68,$A$42:$C$71,2,0)/(VLOOKUP($V68,$A$42:$C$71,2,0)+VLOOKUP(AW$41,$A$42:$C$71,2,0))</f>
        <v>0.5</v>
      </c>
      <c r="AX68">
        <f>VLOOKUP($V68,$A$42:$C$71,2,0)/(VLOOKUP($V68,$A$42:$C$71,2,0)+VLOOKUP(AX$41,$A$42:$C$71,2,0))</f>
        <v>0.51920267504662998</v>
      </c>
      <c r="AY68">
        <f>VLOOKUP($V68,$A$42:$C$71,2,0)/(VLOOKUP($V68,$A$42:$C$71,2,0)+VLOOKUP(AY$41,$A$42:$C$71,2,0))</f>
        <v>0.53877896040247764</v>
      </c>
      <c r="AZ68">
        <f>VLOOKUP($V68,$A$42:$C$71,2,0)/(VLOOKUP($V68,$A$42:$C$71,2,0)+VLOOKUP(AZ$41,$A$42:$C$71,2,0))</f>
        <v>0.5586395048824998</v>
      </c>
    </row>
    <row r="69" spans="1:52" x14ac:dyDescent="0.25">
      <c r="A69">
        <v>28</v>
      </c>
      <c r="B69">
        <f>B$37-B$37/(1+EXP(-B$38*($A69-B$39)))</f>
        <v>0.22270013882530892</v>
      </c>
      <c r="C69">
        <f>C$37-C$37/(1+EXP(-C$38*($A69-C$39)))</f>
        <v>18.26141138367533</v>
      </c>
      <c r="V69">
        <v>28</v>
      </c>
      <c r="W69">
        <f>VLOOKUP($V69,$A$42:$C$71,2,0)/(VLOOKUP($V69,$A$42:$C$71,2,0)+VLOOKUP(W$41,$A$42:$C$71,2,0))</f>
        <v>0.21564873302704085</v>
      </c>
      <c r="X69">
        <f>VLOOKUP($V69,$A$42:$C$71,2,0)/(VLOOKUP($V69,$A$42:$C$71,2,0)+VLOOKUP(X$41,$A$42:$C$71,2,0))</f>
        <v>0.21901418118100136</v>
      </c>
      <c r="Y69">
        <f>VLOOKUP($V69,$A$42:$C$71,2,0)/(VLOOKUP($V69,$A$42:$C$71,2,0)+VLOOKUP(Y$41,$A$42:$C$71,2,0))</f>
        <v>0.22270013882530892</v>
      </c>
      <c r="Z69">
        <f>VLOOKUP($V69,$A$42:$C$71,2,0)/(VLOOKUP($V69,$A$42:$C$71,2,0)+VLOOKUP(Z$41,$A$42:$C$71,2,0))</f>
        <v>0.22673348820098749</v>
      </c>
      <c r="AA69">
        <f>VLOOKUP($V69,$A$42:$C$71,2,0)/(VLOOKUP($V69,$A$42:$C$71,2,0)+VLOOKUP(AA$41,$A$42:$C$71,2,0))</f>
        <v>0.23114261401714065</v>
      </c>
      <c r="AB69">
        <f>VLOOKUP($V69,$A$42:$C$71,2,0)/(VLOOKUP($V69,$A$42:$C$71,2,0)+VLOOKUP(AB$41,$A$42:$C$71,2,0))</f>
        <v>0.23595732644921025</v>
      </c>
      <c r="AC69">
        <f>VLOOKUP($V69,$A$42:$C$71,2,0)/(VLOOKUP($V69,$A$42:$C$71,2,0)+VLOOKUP(AC$41,$A$42:$C$71,2,0))</f>
        <v>0.24120874132126804</v>
      </c>
      <c r="AD69">
        <f>VLOOKUP($V69,$A$42:$C$71,2,0)/(VLOOKUP($V69,$A$42:$C$71,2,0)+VLOOKUP(AD$41,$A$42:$C$71,2,0))</f>
        <v>0.24692911003322113</v>
      </c>
      <c r="AE69">
        <f>VLOOKUP($V69,$A$42:$C$71,2,0)/(VLOOKUP($V69,$A$42:$C$71,2,0)+VLOOKUP(AE$41,$A$42:$C$71,2,0))</f>
        <v>0.25315159149597988</v>
      </c>
      <c r="AF69">
        <f>VLOOKUP($V69,$A$42:$C$71,2,0)/(VLOOKUP($V69,$A$42:$C$71,2,0)+VLOOKUP(AF$41,$A$42:$C$71,2,0))</f>
        <v>0.25990995831593727</v>
      </c>
      <c r="AG69">
        <f>VLOOKUP($V69,$A$42:$C$71,2,0)/(VLOOKUP($V69,$A$42:$C$71,2,0)+VLOOKUP(AG$41,$A$42:$C$71,2,0))</f>
        <v>0.267238229826881</v>
      </c>
      <c r="AH69">
        <f>VLOOKUP($V69,$A$42:$C$71,2,0)/(VLOOKUP($V69,$A$42:$C$71,2,0)+VLOOKUP(AH$41,$A$42:$C$71,2,0))</f>
        <v>0.27517022541711739</v>
      </c>
      <c r="AI69">
        <f>VLOOKUP($V69,$A$42:$C$71,2,0)/(VLOOKUP($V69,$A$42:$C$71,2,0)+VLOOKUP(AI$41,$A$42:$C$71,2,0))</f>
        <v>0.28373903306292714</v>
      </c>
      <c r="AJ69">
        <f>VLOOKUP($V69,$A$42:$C$71,2,0)/(VLOOKUP($V69,$A$42:$C$71,2,0)+VLOOKUP(AJ$41,$A$42:$C$71,2,0))</f>
        <v>0.29297639017457672</v>
      </c>
      <c r="AK69">
        <f>VLOOKUP($V69,$A$42:$C$71,2,0)/(VLOOKUP($V69,$A$42:$C$71,2,0)+VLOOKUP(AK$41,$A$42:$C$71,2,0))</f>
        <v>0.30291197689006377</v>
      </c>
      <c r="AL69">
        <f>VLOOKUP($V69,$A$42:$C$71,2,0)/(VLOOKUP($V69,$A$42:$C$71,2,0)+VLOOKUP(AL$41,$A$42:$C$71,2,0))</f>
        <v>0.313572625883145</v>
      </c>
      <c r="AM69">
        <f>VLOOKUP($V69,$A$42:$C$71,2,0)/(VLOOKUP($V69,$A$42:$C$71,2,0)+VLOOKUP(AM$41,$A$42:$C$71,2,0))</f>
        <v>0.32498145759955055</v>
      </c>
      <c r="AN69">
        <f>VLOOKUP($V69,$A$42:$C$71,2,0)/(VLOOKUP($V69,$A$42:$C$71,2,0)+VLOOKUP(AN$41,$A$42:$C$71,2,0))</f>
        <v>0.33715695553306341</v>
      </c>
      <c r="AO69">
        <f>VLOOKUP($V69,$A$42:$C$71,2,0)/(VLOOKUP($V69,$A$42:$C$71,2,0)+VLOOKUP(AO$41,$A$42:$C$71,2,0))</f>
        <v>0.35011200253238611</v>
      </c>
      <c r="AP69">
        <f>VLOOKUP($V69,$A$42:$C$71,2,0)/(VLOOKUP($V69,$A$42:$C$71,2,0)+VLOOKUP(AP$41,$A$42:$C$71,2,0))</f>
        <v>0.36385290589732255</v>
      </c>
      <c r="AQ69">
        <f>VLOOKUP($V69,$A$42:$C$71,2,0)/(VLOOKUP($V69,$A$42:$C$71,2,0)+VLOOKUP(AQ$41,$A$42:$C$71,2,0))</f>
        <v>0.37837844574949669</v>
      </c>
      <c r="AR69">
        <f>VLOOKUP($V69,$A$42:$C$71,2,0)/(VLOOKUP($V69,$A$42:$C$71,2,0)+VLOOKUP(AR$41,$A$42:$C$71,2,0))</f>
        <v>0.39367898728550332</v>
      </c>
      <c r="AS69">
        <f>VLOOKUP($V69,$A$42:$C$71,2,0)/(VLOOKUP($V69,$A$42:$C$71,2,0)+VLOOKUP(AS$41,$A$42:$C$71,2,0))</f>
        <v>0.40973570236484297</v>
      </c>
      <c r="AT69">
        <f>VLOOKUP($V69,$A$42:$C$71,2,0)/(VLOOKUP($V69,$A$42:$C$71,2,0)+VLOOKUP(AT$41,$A$42:$C$71,2,0))</f>
        <v>0.42651994871332966</v>
      </c>
      <c r="AU69">
        <f>VLOOKUP($V69,$A$42:$C$71,2,0)/(VLOOKUP($V69,$A$42:$C$71,2,0)+VLOOKUP(AU$41,$A$42:$C$71,2,0))</f>
        <v>0.44399285510679726</v>
      </c>
      <c r="AV69">
        <f>VLOOKUP($V69,$A$42:$C$71,2,0)/(VLOOKUP($V69,$A$42:$C$71,2,0)+VLOOKUP(AV$41,$A$42:$C$71,2,0))</f>
        <v>0.4621051576178265</v>
      </c>
      <c r="AW69">
        <f>VLOOKUP($V69,$A$42:$C$71,2,0)/(VLOOKUP($V69,$A$42:$C$71,2,0)+VLOOKUP(AW$41,$A$42:$C$71,2,0))</f>
        <v>0.48079732495336996</v>
      </c>
      <c r="AX69">
        <f>VLOOKUP($V69,$A$42:$C$71,2,0)/(VLOOKUP($V69,$A$42:$C$71,2,0)+VLOOKUP(AX$41,$A$42:$C$71,2,0))</f>
        <v>0.5</v>
      </c>
      <c r="AY69">
        <f>VLOOKUP($V69,$A$42:$C$71,2,0)/(VLOOKUP($V69,$A$42:$C$71,2,0)+VLOOKUP(AY$41,$A$42:$C$71,2,0))</f>
        <v>0.51963477025025462</v>
      </c>
      <c r="AZ69">
        <f>VLOOKUP($V69,$A$42:$C$71,2,0)/(VLOOKUP($V69,$A$42:$C$71,2,0)+VLOOKUP(AZ$41,$A$42:$C$71,2,0))</f>
        <v>0.53961526258126746</v>
      </c>
    </row>
    <row r="70" spans="1:52" x14ac:dyDescent="0.25">
      <c r="A70">
        <v>29</v>
      </c>
      <c r="B70">
        <f>B$37-B$37/(1+EXP(-B$38*($A70-B$39)))</f>
        <v>0.20587037180094725</v>
      </c>
      <c r="C70">
        <f>C$37-C$37/(1+EXP(-C$38*($A70-C$39)))</f>
        <v>16.881370487677671</v>
      </c>
      <c r="V70">
        <v>29</v>
      </c>
      <c r="W70">
        <f>VLOOKUP($V70,$A$42:$C$71,2,0)/(VLOOKUP($V70,$A$42:$C$71,2,0)+VLOOKUP(W$41,$A$42:$C$71,2,0))</f>
        <v>0.20265448710351422</v>
      </c>
      <c r="X70">
        <f>VLOOKUP($V70,$A$42:$C$71,2,0)/(VLOOKUP($V70,$A$42:$C$71,2,0)+VLOOKUP(X$41,$A$42:$C$71,2,0))</f>
        <v>0.20587037180094728</v>
      </c>
      <c r="Y70">
        <f>VLOOKUP($V70,$A$42:$C$71,2,0)/(VLOOKUP($V70,$A$42:$C$71,2,0)+VLOOKUP(Y$41,$A$42:$C$71,2,0))</f>
        <v>0.20939443129585517</v>
      </c>
      <c r="Z70">
        <f>VLOOKUP($V70,$A$42:$C$71,2,0)/(VLOOKUP($V70,$A$42:$C$71,2,0)+VLOOKUP(Z$41,$A$42:$C$71,2,0))</f>
        <v>0.21325291281282335</v>
      </c>
      <c r="AA70">
        <f>VLOOKUP($V70,$A$42:$C$71,2,0)/(VLOOKUP($V70,$A$42:$C$71,2,0)+VLOOKUP(AA$41,$A$42:$C$71,2,0))</f>
        <v>0.21747361774400317</v>
      </c>
      <c r="AB70">
        <f>VLOOKUP($V70,$A$42:$C$71,2,0)/(VLOOKUP($V70,$A$42:$C$71,2,0)+VLOOKUP(AB$41,$A$42:$C$71,2,0))</f>
        <v>0.22208584787548899</v>
      </c>
      <c r="AC70">
        <f>VLOOKUP($V70,$A$42:$C$71,2,0)/(VLOOKUP($V70,$A$42:$C$71,2,0)+VLOOKUP(AC$41,$A$42:$C$71,2,0))</f>
        <v>0.22712031282777123</v>
      </c>
      <c r="AD70">
        <f>VLOOKUP($V70,$A$42:$C$71,2,0)/(VLOOKUP($V70,$A$42:$C$71,2,0)+VLOOKUP(AD$41,$A$42:$C$71,2,0))</f>
        <v>0.23260899146963879</v>
      </c>
      <c r="AE70">
        <f>VLOOKUP($V70,$A$42:$C$71,2,0)/(VLOOKUP($V70,$A$42:$C$71,2,0)+VLOOKUP(AE$41,$A$42:$C$71,2,0))</f>
        <v>0.23858493962997393</v>
      </c>
      <c r="AF70">
        <f>VLOOKUP($V70,$A$42:$C$71,2,0)/(VLOOKUP($V70,$A$42:$C$71,2,0)+VLOOKUP(AF$41,$A$42:$C$71,2,0))</f>
        <v>0.24508203621774108</v>
      </c>
      <c r="AG70">
        <f>VLOOKUP($V70,$A$42:$C$71,2,0)/(VLOOKUP($V70,$A$42:$C$71,2,0)+VLOOKUP(AG$41,$A$42:$C$71,2,0))</f>
        <v>0.2521346599612917</v>
      </c>
      <c r="AH70">
        <f>VLOOKUP($V70,$A$42:$C$71,2,0)/(VLOOKUP($V70,$A$42:$C$71,2,0)+VLOOKUP(AH$41,$A$42:$C$71,2,0))</f>
        <v>0.25977728950245255</v>
      </c>
      <c r="AI70">
        <f>VLOOKUP($V70,$A$42:$C$71,2,0)/(VLOOKUP($V70,$A$42:$C$71,2,0)+VLOOKUP(AI$41,$A$42:$C$71,2,0))</f>
        <v>0.26804402064783006</v>
      </c>
      <c r="AJ70">
        <f>VLOOKUP($V70,$A$42:$C$71,2,0)/(VLOOKUP($V70,$A$42:$C$71,2,0)+VLOOKUP(AJ$41,$A$42:$C$71,2,0))</f>
        <v>0.27696799631214269</v>
      </c>
      <c r="AK70">
        <f>VLOOKUP($V70,$A$42:$C$71,2,0)/(VLOOKUP($V70,$A$42:$C$71,2,0)+VLOOKUP(AK$41,$A$42:$C$71,2,0))</f>
        <v>0.28658074720193538</v>
      </c>
      <c r="AL70">
        <f>VLOOKUP($V70,$A$42:$C$71,2,0)/(VLOOKUP($V70,$A$42:$C$71,2,0)+VLOOKUP(AL$41,$A$42:$C$71,2,0))</f>
        <v>0.29691144467651692</v>
      </c>
      <c r="AM70">
        <f>VLOOKUP($V70,$A$42:$C$71,2,0)/(VLOOKUP($V70,$A$42:$C$71,2,0)+VLOOKUP(AM$41,$A$42:$C$71,2,0))</f>
        <v>0.30798607153890117</v>
      </c>
      <c r="AN70">
        <f>VLOOKUP($V70,$A$42:$C$71,2,0)/(VLOOKUP($V70,$A$42:$C$71,2,0)+VLOOKUP(AN$41,$A$42:$C$71,2,0))</f>
        <v>0.31982652174124054</v>
      </c>
      <c r="AO70">
        <f>VLOOKUP($V70,$A$42:$C$71,2,0)/(VLOOKUP($V70,$A$42:$C$71,2,0)+VLOOKUP(AO$41,$A$42:$C$71,2,0))</f>
        <v>0.33244964603597466</v>
      </c>
      <c r="AP70">
        <f>VLOOKUP($V70,$A$42:$C$71,2,0)/(VLOOKUP($V70,$A$42:$C$71,2,0)+VLOOKUP(AP$41,$A$42:$C$71,2,0))</f>
        <v>0.34586626725201747</v>
      </c>
      <c r="AQ70">
        <f>VLOOKUP($V70,$A$42:$C$71,2,0)/(VLOOKUP($V70,$A$42:$C$71,2,0)+VLOOKUP(AQ$41,$A$42:$C$71,2,0))</f>
        <v>0.36008019577964306</v>
      </c>
      <c r="AR70">
        <f>VLOOKUP($V70,$A$42:$C$71,2,0)/(VLOOKUP($V70,$A$42:$C$71,2,0)+VLOOKUP(AR$41,$A$42:$C$71,2,0))</f>
        <v>0.37508728252393264</v>
      </c>
      <c r="AS70">
        <f>VLOOKUP($V70,$A$42:$C$71,2,0)/(VLOOKUP($V70,$A$42:$C$71,2,0)+VLOOKUP(AS$41,$A$42:$C$71,2,0))</f>
        <v>0.39087455242017571</v>
      </c>
      <c r="AT70">
        <f>VLOOKUP($V70,$A$42:$C$71,2,0)/(VLOOKUP($V70,$A$42:$C$71,2,0)+VLOOKUP(AT$41,$A$42:$C$71,2,0))</f>
        <v>0.40741946588220118</v>
      </c>
      <c r="AU70">
        <f>VLOOKUP($V70,$A$42:$C$71,2,0)/(VLOOKUP($V70,$A$42:$C$71,2,0)+VLOOKUP(AU$41,$A$42:$C$71,2,0))</f>
        <v>0.42468935752175258</v>
      </c>
      <c r="AV70">
        <f>VLOOKUP($V70,$A$42:$C$71,2,0)/(VLOOKUP($V70,$A$42:$C$71,2,0)+VLOOKUP(AV$41,$A$42:$C$71,2,0))</f>
        <v>0.4426411004213</v>
      </c>
      <c r="AW70">
        <f>VLOOKUP($V70,$A$42:$C$71,2,0)/(VLOOKUP($V70,$A$42:$C$71,2,0)+VLOOKUP(AW$41,$A$42:$C$71,2,0))</f>
        <v>0.46122103959752231</v>
      </c>
      <c r="AX70">
        <f>VLOOKUP($V70,$A$42:$C$71,2,0)/(VLOOKUP($V70,$A$42:$C$71,2,0)+VLOOKUP(AX$41,$A$42:$C$71,2,0))</f>
        <v>0.48036522974974538</v>
      </c>
      <c r="AY70">
        <f>VLOOKUP($V70,$A$42:$C$71,2,0)/(VLOOKUP($V70,$A$42:$C$71,2,0)+VLOOKUP(AY$41,$A$42:$C$71,2,0))</f>
        <v>0.5</v>
      </c>
      <c r="AZ70">
        <f>VLOOKUP($V70,$A$42:$C$71,2,0)/(VLOOKUP($V70,$A$42:$C$71,2,0)+VLOOKUP(AZ$41,$A$42:$C$71,2,0))</f>
        <v>0.52004285258658534</v>
      </c>
    </row>
    <row r="71" spans="1:52" x14ac:dyDescent="0.25">
      <c r="A71">
        <v>30</v>
      </c>
      <c r="B71">
        <f>B$37-B$37/(1+EXP(-B$38*($A71-B$39)))</f>
        <v>0.19000156601531293</v>
      </c>
      <c r="C71">
        <f>C$37-C$37/(1+EXP(-C$38*($A71-C$39)))</f>
        <v>15.580128413255665</v>
      </c>
      <c r="V71">
        <v>30</v>
      </c>
      <c r="W71">
        <f>VLOOKUP($V71,$A$42:$C$71,2,0)/(VLOOKUP($V71,$A$42:$C$71,2,0)+VLOOKUP(W$41,$A$42:$C$71,2,0))</f>
        <v>0.19000156601531293</v>
      </c>
      <c r="X71">
        <f>VLOOKUP($V71,$A$42:$C$71,2,0)/(VLOOKUP($V71,$A$42:$C$71,2,0)+VLOOKUP(X$41,$A$42:$C$71,2,0))</f>
        <v>0.19306528147092386</v>
      </c>
      <c r="Y71">
        <f>VLOOKUP($V71,$A$42:$C$71,2,0)/(VLOOKUP($V71,$A$42:$C$71,2,0)+VLOOKUP(Y$41,$A$42:$C$71,2,0))</f>
        <v>0.19642436232857072</v>
      </c>
      <c r="Z71">
        <f>VLOOKUP($V71,$A$42:$C$71,2,0)/(VLOOKUP($V71,$A$42:$C$71,2,0)+VLOOKUP(Z$41,$A$42:$C$71,2,0))</f>
        <v>0.20010433714585701</v>
      </c>
      <c r="AA71">
        <f>VLOOKUP($V71,$A$42:$C$71,2,0)/(VLOOKUP($V71,$A$42:$C$71,2,0)+VLOOKUP(AA$41,$A$42:$C$71,2,0))</f>
        <v>0.20413232727688654</v>
      </c>
      <c r="AB71">
        <f>VLOOKUP($V71,$A$42:$C$71,2,0)/(VLOOKUP($V71,$A$42:$C$71,2,0)+VLOOKUP(AB$41,$A$42:$C$71,2,0))</f>
        <v>0.20853701488703166</v>
      </c>
      <c r="AC71">
        <f>VLOOKUP($V71,$A$42:$C$71,2,0)/(VLOOKUP($V71,$A$42:$C$71,2,0)+VLOOKUP(AC$41,$A$42:$C$71,2,0))</f>
        <v>0.21334857625709938</v>
      </c>
      <c r="AD71">
        <f>VLOOKUP($V71,$A$42:$C$71,2,0)/(VLOOKUP($V71,$A$42:$C$71,2,0)+VLOOKUP(AD$41,$A$42:$C$71,2,0))</f>
        <v>0.21859857341977834</v>
      </c>
      <c r="AE71">
        <f>VLOOKUP($V71,$A$42:$C$71,2,0)/(VLOOKUP($V71,$A$42:$C$71,2,0)+VLOOKUP(AE$41,$A$42:$C$71,2,0))</f>
        <v>0.22431979662607437</v>
      </c>
      <c r="AF71">
        <f>VLOOKUP($V71,$A$42:$C$71,2,0)/(VLOOKUP($V71,$A$42:$C$71,2,0)+VLOOKUP(AF$41,$A$42:$C$71,2,0))</f>
        <v>0.2305460497630403</v>
      </c>
      <c r="AG71">
        <f>VLOOKUP($V71,$A$42:$C$71,2,0)/(VLOOKUP($V71,$A$42:$C$71,2,0)+VLOOKUP(AG$41,$A$42:$C$71,2,0))</f>
        <v>0.23731187072121385</v>
      </c>
      <c r="AH71">
        <f>VLOOKUP($V71,$A$42:$C$71,2,0)/(VLOOKUP($V71,$A$42:$C$71,2,0)+VLOOKUP(AH$41,$A$42:$C$71,2,0))</f>
        <v>0.24465217894131619</v>
      </c>
      <c r="AI71">
        <f>VLOOKUP($V71,$A$42:$C$71,2,0)/(VLOOKUP($V71,$A$42:$C$71,2,0)+VLOOKUP(AI$41,$A$42:$C$71,2,0))</f>
        <v>0.25260184306901956</v>
      </c>
      <c r="AJ71">
        <f>VLOOKUP($V71,$A$42:$C$71,2,0)/(VLOOKUP($V71,$A$42:$C$71,2,0)+VLOOKUP(AJ$41,$A$42:$C$71,2,0))</f>
        <v>0.26119516293684975</v>
      </c>
      <c r="AK71">
        <f>VLOOKUP($V71,$A$42:$C$71,2,0)/(VLOOKUP($V71,$A$42:$C$71,2,0)+VLOOKUP(AK$41,$A$42:$C$71,2,0))</f>
        <v>0.27046526209701249</v>
      </c>
      <c r="AL71">
        <f>VLOOKUP($V71,$A$42:$C$71,2,0)/(VLOOKUP($V71,$A$42:$C$71,2,0)+VLOOKUP(AL$41,$A$42:$C$71,2,0))</f>
        <v>0.28044338995996454</v>
      </c>
      <c r="AM71">
        <f>VLOOKUP($V71,$A$42:$C$71,2,0)/(VLOOKUP($V71,$A$42:$C$71,2,0)+VLOOKUP(AM$41,$A$42:$C$71,2,0))</f>
        <v>0.29115813633447341</v>
      </c>
      <c r="AN71">
        <f>VLOOKUP($V71,$A$42:$C$71,2,0)/(VLOOKUP($V71,$A$42:$C$71,2,0)+VLOOKUP(AN$41,$A$42:$C$71,2,0))</f>
        <v>0.30263456585015008</v>
      </c>
      <c r="AO71">
        <f>VLOOKUP($V71,$A$42:$C$71,2,0)/(VLOOKUP($V71,$A$42:$C$71,2,0)+VLOOKUP(AO$41,$A$42:$C$71,2,0))</f>
        <v>0.31489328533416783</v>
      </c>
      <c r="AP71">
        <f>VLOOKUP($V71,$A$42:$C$71,2,0)/(VLOOKUP($V71,$A$42:$C$71,2,0)+VLOOKUP(AP$41,$A$42:$C$71,2,0))</f>
        <v>0.32794946357271715</v>
      </c>
      <c r="AQ71">
        <f>VLOOKUP($V71,$A$42:$C$71,2,0)/(VLOOKUP($V71,$A$42:$C$71,2,0)+VLOOKUP(AQ$41,$A$42:$C$71,2,0))</f>
        <v>0.34181182975585189</v>
      </c>
      <c r="AR71">
        <f>VLOOKUP($V71,$A$42:$C$71,2,0)/(VLOOKUP($V71,$A$42:$C$71,2,0)+VLOOKUP(AR$41,$A$42:$C$71,2,0))</f>
        <v>0.35648168388556095</v>
      </c>
      <c r="AS71">
        <f>VLOOKUP($V71,$A$42:$C$71,2,0)/(VLOOKUP($V71,$A$42:$C$71,2,0)+VLOOKUP(AS$41,$A$42:$C$71,2,0))</f>
        <v>0.37195195898474726</v>
      </c>
      <c r="AT71">
        <f>VLOOKUP($V71,$A$42:$C$71,2,0)/(VLOOKUP($V71,$A$42:$C$71,2,0)+VLOOKUP(AT$41,$A$42:$C$71,2,0))</f>
        <v>0.38820638041873345</v>
      </c>
      <c r="AU71">
        <f>VLOOKUP($V71,$A$42:$C$71,2,0)/(VLOOKUP($V71,$A$42:$C$71,2,0)+VLOOKUP(AU$41,$A$42:$C$71,2,0))</f>
        <v>0.40521877128660083</v>
      </c>
      <c r="AV71">
        <f>VLOOKUP($V71,$A$42:$C$71,2,0)/(VLOOKUP($V71,$A$42:$C$71,2,0)+VLOOKUP(AV$41,$A$42:$C$71,2,0))</f>
        <v>0.42295255389609093</v>
      </c>
      <c r="AW71">
        <f>VLOOKUP($V71,$A$42:$C$71,2,0)/(VLOOKUP($V71,$A$42:$C$71,2,0)+VLOOKUP(AW$41,$A$42:$C$71,2,0))</f>
        <v>0.44136049511750025</v>
      </c>
      <c r="AX71">
        <f>VLOOKUP($V71,$A$42:$C$71,2,0)/(VLOOKUP($V71,$A$42:$C$71,2,0)+VLOOKUP(AX$41,$A$42:$C$71,2,0))</f>
        <v>0.46038473741873248</v>
      </c>
      <c r="AY71">
        <f>VLOOKUP($V71,$A$42:$C$71,2,0)/(VLOOKUP($V71,$A$42:$C$71,2,0)+VLOOKUP(AY$41,$A$42:$C$71,2,0))</f>
        <v>0.47995714741341472</v>
      </c>
      <c r="AZ71">
        <f>VLOOKUP($V71,$A$42:$C$71,2,0)/(VLOOKUP($V71,$A$42:$C$71,2,0)+VLOOKUP(AZ$41,$A$42:$C$71,2,0))</f>
        <v>0.5</v>
      </c>
    </row>
    <row r="72" spans="1:52" x14ac:dyDescent="0.25">
      <c r="C72">
        <f>SUM(C42:C71)</f>
        <v>1229.9999999999998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149"/>
  <sheetViews>
    <sheetView zoomScale="80" zoomScaleNormal="80" workbookViewId="0">
      <selection activeCell="A150" sqref="A150"/>
    </sheetView>
  </sheetViews>
  <sheetFormatPr defaultRowHeight="15" x14ac:dyDescent="0.25"/>
  <cols>
    <col min="2" max="32" width="5.7109375" customWidth="1"/>
  </cols>
  <sheetData>
    <row r="1" spans="1:33" x14ac:dyDescent="0.25">
      <c r="A1" t="s">
        <v>78</v>
      </c>
      <c r="AG1" t="s">
        <v>102</v>
      </c>
    </row>
    <row r="2" spans="1:33" x14ac:dyDescent="0.25">
      <c r="B2" t="s">
        <v>26</v>
      </c>
      <c r="C2" t="s">
        <v>23</v>
      </c>
      <c r="D2" t="s">
        <v>22</v>
      </c>
      <c r="E2" t="s">
        <v>18</v>
      </c>
      <c r="F2" t="s">
        <v>30</v>
      </c>
      <c r="G2" t="s">
        <v>40</v>
      </c>
      <c r="H2" t="s">
        <v>14</v>
      </c>
      <c r="I2" t="s">
        <v>32</v>
      </c>
      <c r="J2" t="s">
        <v>33</v>
      </c>
      <c r="K2" t="s">
        <v>36</v>
      </c>
      <c r="L2" t="s">
        <v>16</v>
      </c>
      <c r="M2" t="s">
        <v>20</v>
      </c>
      <c r="N2" t="s">
        <v>41</v>
      </c>
      <c r="O2" t="s">
        <v>17</v>
      </c>
      <c r="P2" t="s">
        <v>28</v>
      </c>
      <c r="Q2" t="s">
        <v>24</v>
      </c>
      <c r="R2" t="s">
        <v>19</v>
      </c>
      <c r="S2" t="s">
        <v>29</v>
      </c>
      <c r="T2" t="s">
        <v>12</v>
      </c>
      <c r="U2" t="s">
        <v>31</v>
      </c>
      <c r="V2" t="s">
        <v>38</v>
      </c>
      <c r="W2" t="s">
        <v>13</v>
      </c>
      <c r="X2" t="s">
        <v>21</v>
      </c>
      <c r="Y2" t="s">
        <v>35</v>
      </c>
      <c r="Z2" t="s">
        <v>39</v>
      </c>
      <c r="AA2" t="s">
        <v>15</v>
      </c>
      <c r="AB2" t="s">
        <v>37</v>
      </c>
      <c r="AC2" t="s">
        <v>27</v>
      </c>
      <c r="AD2" t="s">
        <v>34</v>
      </c>
      <c r="AE2" t="s">
        <v>25</v>
      </c>
    </row>
    <row r="3" spans="1:33" x14ac:dyDescent="0.25">
      <c r="A3" t="s">
        <v>26</v>
      </c>
      <c r="B3">
        <v>0</v>
      </c>
      <c r="C3">
        <v>4</v>
      </c>
      <c r="D3">
        <v>2</v>
      </c>
      <c r="E3">
        <v>2</v>
      </c>
      <c r="F3">
        <v>2</v>
      </c>
      <c r="G3">
        <v>3</v>
      </c>
      <c r="H3">
        <v>2</v>
      </c>
      <c r="I3">
        <v>1</v>
      </c>
      <c r="J3">
        <v>3</v>
      </c>
      <c r="K3">
        <v>1</v>
      </c>
      <c r="L3">
        <v>2</v>
      </c>
      <c r="M3">
        <v>3</v>
      </c>
      <c r="N3">
        <v>2</v>
      </c>
      <c r="O3">
        <v>1</v>
      </c>
      <c r="P3">
        <v>1</v>
      </c>
      <c r="Q3">
        <v>4</v>
      </c>
      <c r="R3">
        <v>3</v>
      </c>
      <c r="S3">
        <v>2</v>
      </c>
      <c r="T3">
        <v>1</v>
      </c>
      <c r="U3">
        <v>2</v>
      </c>
      <c r="V3">
        <v>1</v>
      </c>
      <c r="W3">
        <v>3</v>
      </c>
      <c r="X3">
        <v>3</v>
      </c>
      <c r="Y3">
        <v>2</v>
      </c>
      <c r="Z3">
        <v>2</v>
      </c>
      <c r="AA3">
        <v>0</v>
      </c>
      <c r="AB3">
        <v>2</v>
      </c>
      <c r="AC3">
        <v>1</v>
      </c>
      <c r="AD3">
        <v>2</v>
      </c>
      <c r="AE3">
        <v>3</v>
      </c>
      <c r="AG3">
        <f>ROUND(SUM(B3:AE3),2)</f>
        <v>60</v>
      </c>
    </row>
    <row r="4" spans="1:33" x14ac:dyDescent="0.25">
      <c r="A4" t="s">
        <v>23</v>
      </c>
      <c r="B4">
        <v>0</v>
      </c>
      <c r="C4">
        <v>0</v>
      </c>
      <c r="D4">
        <v>1</v>
      </c>
      <c r="E4">
        <v>2</v>
      </c>
      <c r="F4">
        <v>1</v>
      </c>
      <c r="G4">
        <v>1</v>
      </c>
      <c r="H4">
        <v>1</v>
      </c>
      <c r="I4">
        <v>2</v>
      </c>
      <c r="J4">
        <v>2</v>
      </c>
      <c r="K4">
        <v>1</v>
      </c>
      <c r="L4">
        <v>0</v>
      </c>
      <c r="M4">
        <v>2</v>
      </c>
      <c r="N4">
        <v>1</v>
      </c>
      <c r="O4">
        <v>2</v>
      </c>
      <c r="P4">
        <v>0</v>
      </c>
      <c r="Q4">
        <v>0</v>
      </c>
      <c r="R4">
        <v>1</v>
      </c>
      <c r="S4">
        <v>1</v>
      </c>
      <c r="T4">
        <v>0</v>
      </c>
      <c r="U4">
        <v>4</v>
      </c>
      <c r="V4">
        <v>2</v>
      </c>
      <c r="W4">
        <v>3</v>
      </c>
      <c r="X4">
        <v>3</v>
      </c>
      <c r="Y4">
        <v>0</v>
      </c>
      <c r="Z4">
        <v>1</v>
      </c>
      <c r="AA4">
        <v>1</v>
      </c>
      <c r="AB4">
        <v>2</v>
      </c>
      <c r="AC4">
        <v>2</v>
      </c>
      <c r="AD4">
        <v>0</v>
      </c>
      <c r="AE4">
        <v>2</v>
      </c>
      <c r="AG4">
        <f>ROUND(SUM(B4:AE4),2)</f>
        <v>38</v>
      </c>
    </row>
    <row r="5" spans="1:33" x14ac:dyDescent="0.25">
      <c r="A5" t="s">
        <v>22</v>
      </c>
      <c r="B5">
        <v>1</v>
      </c>
      <c r="C5">
        <v>3</v>
      </c>
      <c r="D5">
        <v>0</v>
      </c>
      <c r="E5">
        <v>2</v>
      </c>
      <c r="F5">
        <v>1</v>
      </c>
      <c r="G5">
        <v>2</v>
      </c>
      <c r="H5">
        <v>0</v>
      </c>
      <c r="I5">
        <v>2</v>
      </c>
      <c r="J5">
        <v>2</v>
      </c>
      <c r="K5">
        <v>0</v>
      </c>
      <c r="L5">
        <v>0</v>
      </c>
      <c r="M5">
        <v>3</v>
      </c>
      <c r="N5">
        <v>0</v>
      </c>
      <c r="O5">
        <v>1</v>
      </c>
      <c r="P5">
        <v>1</v>
      </c>
      <c r="Q5">
        <v>1</v>
      </c>
      <c r="R5">
        <v>1</v>
      </c>
      <c r="S5">
        <v>1</v>
      </c>
      <c r="T5">
        <v>2</v>
      </c>
      <c r="U5">
        <v>3</v>
      </c>
      <c r="V5">
        <v>0</v>
      </c>
      <c r="W5">
        <v>2</v>
      </c>
      <c r="X5">
        <v>4</v>
      </c>
      <c r="Y5">
        <v>1</v>
      </c>
      <c r="Z5">
        <v>1</v>
      </c>
      <c r="AA5">
        <v>0</v>
      </c>
      <c r="AB5">
        <v>1</v>
      </c>
      <c r="AC5">
        <v>2</v>
      </c>
      <c r="AD5">
        <v>2</v>
      </c>
      <c r="AE5">
        <v>1</v>
      </c>
      <c r="AG5">
        <f>ROUND(SUM(B5:AE5),2)</f>
        <v>40</v>
      </c>
    </row>
    <row r="6" spans="1:33" x14ac:dyDescent="0.25">
      <c r="A6" t="s">
        <v>18</v>
      </c>
      <c r="B6">
        <v>2</v>
      </c>
      <c r="C6">
        <v>1</v>
      </c>
      <c r="D6">
        <v>2</v>
      </c>
      <c r="E6">
        <v>0</v>
      </c>
      <c r="F6">
        <v>2</v>
      </c>
      <c r="G6">
        <v>0</v>
      </c>
      <c r="H6">
        <v>0</v>
      </c>
      <c r="I6">
        <v>2</v>
      </c>
      <c r="J6">
        <v>2</v>
      </c>
      <c r="K6">
        <v>0</v>
      </c>
      <c r="L6">
        <v>0</v>
      </c>
      <c r="M6">
        <v>1</v>
      </c>
      <c r="N6">
        <v>0</v>
      </c>
      <c r="O6">
        <v>1</v>
      </c>
      <c r="P6">
        <v>0</v>
      </c>
      <c r="Q6">
        <v>2</v>
      </c>
      <c r="R6">
        <v>2</v>
      </c>
      <c r="S6">
        <v>2</v>
      </c>
      <c r="T6">
        <v>1</v>
      </c>
      <c r="U6">
        <v>3</v>
      </c>
      <c r="V6">
        <v>0</v>
      </c>
      <c r="W6">
        <v>2</v>
      </c>
      <c r="X6">
        <v>2</v>
      </c>
      <c r="Y6">
        <v>1</v>
      </c>
      <c r="Z6">
        <v>0</v>
      </c>
      <c r="AA6">
        <v>0</v>
      </c>
      <c r="AB6">
        <v>0</v>
      </c>
      <c r="AC6">
        <v>2</v>
      </c>
      <c r="AD6">
        <v>1</v>
      </c>
      <c r="AE6">
        <v>2</v>
      </c>
      <c r="AG6">
        <f>ROUND(SUM(B6:AE6),2)</f>
        <v>33</v>
      </c>
    </row>
    <row r="7" spans="1:33" x14ac:dyDescent="0.25">
      <c r="A7" t="s">
        <v>30</v>
      </c>
      <c r="B7">
        <v>1</v>
      </c>
      <c r="C7">
        <v>3</v>
      </c>
      <c r="D7">
        <v>3</v>
      </c>
      <c r="E7">
        <v>2</v>
      </c>
      <c r="F7">
        <v>0</v>
      </c>
      <c r="G7">
        <v>1</v>
      </c>
      <c r="H7">
        <v>1</v>
      </c>
      <c r="I7">
        <v>1</v>
      </c>
      <c r="J7">
        <v>2</v>
      </c>
      <c r="K7">
        <v>1</v>
      </c>
      <c r="L7">
        <v>1</v>
      </c>
      <c r="M7">
        <v>2</v>
      </c>
      <c r="N7">
        <v>1</v>
      </c>
      <c r="O7">
        <v>1</v>
      </c>
      <c r="P7">
        <v>1</v>
      </c>
      <c r="Q7">
        <v>2</v>
      </c>
      <c r="R7">
        <v>3</v>
      </c>
      <c r="S7">
        <v>2</v>
      </c>
      <c r="T7">
        <v>2</v>
      </c>
      <c r="U7">
        <v>3</v>
      </c>
      <c r="V7">
        <v>1</v>
      </c>
      <c r="W7">
        <v>2</v>
      </c>
      <c r="X7">
        <v>3</v>
      </c>
      <c r="Y7">
        <v>1</v>
      </c>
      <c r="Z7">
        <v>1</v>
      </c>
      <c r="AA7">
        <v>1</v>
      </c>
      <c r="AB7">
        <v>1</v>
      </c>
      <c r="AC7">
        <v>4</v>
      </c>
      <c r="AD7">
        <v>1</v>
      </c>
      <c r="AE7">
        <v>2</v>
      </c>
      <c r="AG7">
        <f>ROUND(SUM(B7:AE7),2)</f>
        <v>50</v>
      </c>
    </row>
    <row r="8" spans="1:33" x14ac:dyDescent="0.25">
      <c r="A8" t="s">
        <v>40</v>
      </c>
      <c r="B8">
        <v>1</v>
      </c>
      <c r="C8">
        <v>3</v>
      </c>
      <c r="D8">
        <v>2</v>
      </c>
      <c r="E8">
        <v>3</v>
      </c>
      <c r="F8">
        <v>3</v>
      </c>
      <c r="G8">
        <v>0</v>
      </c>
      <c r="H8">
        <v>1</v>
      </c>
      <c r="I8">
        <v>1</v>
      </c>
      <c r="J8">
        <v>3</v>
      </c>
      <c r="K8">
        <v>1</v>
      </c>
      <c r="L8">
        <v>0</v>
      </c>
      <c r="M8">
        <v>2</v>
      </c>
      <c r="N8">
        <v>2</v>
      </c>
      <c r="O8">
        <v>2</v>
      </c>
      <c r="P8">
        <v>2</v>
      </c>
      <c r="Q8">
        <v>2</v>
      </c>
      <c r="R8">
        <v>3</v>
      </c>
      <c r="S8">
        <v>2</v>
      </c>
      <c r="T8">
        <v>1</v>
      </c>
      <c r="U8">
        <v>2</v>
      </c>
      <c r="V8">
        <v>1</v>
      </c>
      <c r="W8">
        <v>3</v>
      </c>
      <c r="X8">
        <v>2</v>
      </c>
      <c r="Y8">
        <v>1</v>
      </c>
      <c r="Z8">
        <v>1</v>
      </c>
      <c r="AA8">
        <v>1</v>
      </c>
      <c r="AB8">
        <v>1</v>
      </c>
      <c r="AC8">
        <v>3</v>
      </c>
      <c r="AD8">
        <v>1</v>
      </c>
      <c r="AE8">
        <v>3</v>
      </c>
      <c r="AG8">
        <f>ROUND(SUM(B8:AE8),2)</f>
        <v>53</v>
      </c>
    </row>
    <row r="9" spans="1:33" x14ac:dyDescent="0.25">
      <c r="A9" t="s">
        <v>14</v>
      </c>
      <c r="B9">
        <v>0</v>
      </c>
      <c r="C9">
        <v>1</v>
      </c>
      <c r="D9">
        <v>2</v>
      </c>
      <c r="E9">
        <v>2</v>
      </c>
      <c r="F9">
        <v>1</v>
      </c>
      <c r="G9">
        <v>1</v>
      </c>
      <c r="H9">
        <v>0</v>
      </c>
      <c r="I9">
        <v>2</v>
      </c>
      <c r="J9">
        <v>1</v>
      </c>
      <c r="K9">
        <v>0</v>
      </c>
      <c r="L9">
        <v>1</v>
      </c>
      <c r="M9">
        <v>0</v>
      </c>
      <c r="N9">
        <v>1</v>
      </c>
      <c r="O9">
        <v>4</v>
      </c>
      <c r="P9">
        <v>1</v>
      </c>
      <c r="Q9">
        <v>1</v>
      </c>
      <c r="R9">
        <v>2</v>
      </c>
      <c r="S9">
        <v>3</v>
      </c>
      <c r="T9">
        <v>3</v>
      </c>
      <c r="U9">
        <v>2</v>
      </c>
      <c r="V9">
        <v>3</v>
      </c>
      <c r="W9">
        <v>2</v>
      </c>
      <c r="X9">
        <v>2</v>
      </c>
      <c r="Y9">
        <v>1</v>
      </c>
      <c r="Z9">
        <v>2</v>
      </c>
      <c r="AA9">
        <v>2</v>
      </c>
      <c r="AB9">
        <v>3</v>
      </c>
      <c r="AC9">
        <v>2</v>
      </c>
      <c r="AD9">
        <v>3</v>
      </c>
      <c r="AE9">
        <v>2</v>
      </c>
      <c r="AG9">
        <f>ROUND(SUM(B9:AE9),2)</f>
        <v>50</v>
      </c>
    </row>
    <row r="10" spans="1:33" x14ac:dyDescent="0.25">
      <c r="A10" t="s">
        <v>32</v>
      </c>
      <c r="B10">
        <v>1</v>
      </c>
      <c r="C10">
        <v>0</v>
      </c>
      <c r="D10">
        <v>0</v>
      </c>
      <c r="E10">
        <v>0</v>
      </c>
      <c r="F10">
        <v>1</v>
      </c>
      <c r="G10">
        <v>1</v>
      </c>
      <c r="H10">
        <v>1</v>
      </c>
      <c r="I10">
        <v>0</v>
      </c>
      <c r="J10">
        <v>1</v>
      </c>
      <c r="K10">
        <v>1</v>
      </c>
      <c r="L10">
        <v>0</v>
      </c>
      <c r="M10">
        <v>2</v>
      </c>
      <c r="N10">
        <v>1</v>
      </c>
      <c r="O10">
        <v>3</v>
      </c>
      <c r="P10">
        <v>1</v>
      </c>
      <c r="Q10">
        <v>1</v>
      </c>
      <c r="R10">
        <v>1</v>
      </c>
      <c r="S10">
        <v>3</v>
      </c>
      <c r="T10">
        <v>3</v>
      </c>
      <c r="U10">
        <v>1</v>
      </c>
      <c r="V10">
        <v>1</v>
      </c>
      <c r="W10">
        <v>2</v>
      </c>
      <c r="X10">
        <v>0</v>
      </c>
      <c r="Y10">
        <v>1</v>
      </c>
      <c r="Z10">
        <v>0</v>
      </c>
      <c r="AA10">
        <v>0</v>
      </c>
      <c r="AB10">
        <v>2</v>
      </c>
      <c r="AC10">
        <v>0</v>
      </c>
      <c r="AD10">
        <v>2</v>
      </c>
      <c r="AE10">
        <v>0</v>
      </c>
      <c r="AG10">
        <f>ROUND(SUM(B10:AE10),2)</f>
        <v>30</v>
      </c>
    </row>
    <row r="11" spans="1:33" x14ac:dyDescent="0.25">
      <c r="A11" t="s">
        <v>33</v>
      </c>
      <c r="B11">
        <v>1</v>
      </c>
      <c r="C11">
        <v>1</v>
      </c>
      <c r="D11">
        <v>1</v>
      </c>
      <c r="E11">
        <v>2</v>
      </c>
      <c r="F11">
        <v>2</v>
      </c>
      <c r="G11">
        <v>1</v>
      </c>
      <c r="H11">
        <v>1</v>
      </c>
      <c r="I11">
        <v>1</v>
      </c>
      <c r="J11">
        <v>0</v>
      </c>
      <c r="K11">
        <v>0</v>
      </c>
      <c r="L11">
        <v>1</v>
      </c>
      <c r="M11">
        <v>2</v>
      </c>
      <c r="N11">
        <v>0</v>
      </c>
      <c r="O11">
        <v>0</v>
      </c>
      <c r="P11">
        <v>1</v>
      </c>
      <c r="Q11">
        <v>2</v>
      </c>
      <c r="R11">
        <v>1</v>
      </c>
      <c r="S11">
        <v>0</v>
      </c>
      <c r="T11">
        <v>0</v>
      </c>
      <c r="U11">
        <v>3</v>
      </c>
      <c r="V11">
        <v>1</v>
      </c>
      <c r="W11">
        <v>3</v>
      </c>
      <c r="X11">
        <v>1</v>
      </c>
      <c r="Y11">
        <v>1</v>
      </c>
      <c r="Z11">
        <v>0</v>
      </c>
      <c r="AA11">
        <v>1</v>
      </c>
      <c r="AB11">
        <v>2</v>
      </c>
      <c r="AC11">
        <v>2</v>
      </c>
      <c r="AD11">
        <v>0</v>
      </c>
      <c r="AE11">
        <v>1</v>
      </c>
      <c r="AG11">
        <f>ROUND(SUM(B11:AE11),2)</f>
        <v>32</v>
      </c>
    </row>
    <row r="12" spans="1:33" x14ac:dyDescent="0.25">
      <c r="A12" t="s">
        <v>36</v>
      </c>
      <c r="B12">
        <v>1</v>
      </c>
      <c r="C12">
        <v>1</v>
      </c>
      <c r="D12">
        <v>2</v>
      </c>
      <c r="E12">
        <v>2</v>
      </c>
      <c r="F12">
        <v>1</v>
      </c>
      <c r="G12">
        <v>1</v>
      </c>
      <c r="H12">
        <v>4</v>
      </c>
      <c r="I12">
        <v>2</v>
      </c>
      <c r="J12">
        <v>2</v>
      </c>
      <c r="K12">
        <v>0</v>
      </c>
      <c r="L12">
        <v>4</v>
      </c>
      <c r="M12">
        <v>1</v>
      </c>
      <c r="N12">
        <v>3</v>
      </c>
      <c r="O12">
        <v>3</v>
      </c>
      <c r="P12">
        <v>2</v>
      </c>
      <c r="Q12">
        <v>2</v>
      </c>
      <c r="R12">
        <v>2</v>
      </c>
      <c r="S12">
        <v>4</v>
      </c>
      <c r="T12">
        <v>3</v>
      </c>
      <c r="U12">
        <v>2</v>
      </c>
      <c r="V12">
        <v>3</v>
      </c>
      <c r="W12">
        <v>2</v>
      </c>
      <c r="X12">
        <v>2</v>
      </c>
      <c r="Y12">
        <v>3</v>
      </c>
      <c r="Z12">
        <v>3</v>
      </c>
      <c r="AA12">
        <v>1</v>
      </c>
      <c r="AB12">
        <v>4</v>
      </c>
      <c r="AC12">
        <v>2</v>
      </c>
      <c r="AD12">
        <v>3</v>
      </c>
      <c r="AE12">
        <v>2</v>
      </c>
      <c r="AG12">
        <f>ROUND(SUM(B12:AE12),2)</f>
        <v>67</v>
      </c>
    </row>
    <row r="13" spans="1:33" x14ac:dyDescent="0.25">
      <c r="A13" t="s">
        <v>16</v>
      </c>
      <c r="B13">
        <v>0</v>
      </c>
      <c r="C13">
        <v>2</v>
      </c>
      <c r="D13">
        <v>2</v>
      </c>
      <c r="E13">
        <v>2</v>
      </c>
      <c r="F13">
        <v>1</v>
      </c>
      <c r="G13">
        <v>2</v>
      </c>
      <c r="H13">
        <v>3</v>
      </c>
      <c r="I13">
        <v>4</v>
      </c>
      <c r="J13">
        <v>1</v>
      </c>
      <c r="K13">
        <v>0</v>
      </c>
      <c r="L13">
        <v>0</v>
      </c>
      <c r="M13">
        <v>2</v>
      </c>
      <c r="N13">
        <v>2</v>
      </c>
      <c r="O13">
        <v>2</v>
      </c>
      <c r="P13">
        <v>2</v>
      </c>
      <c r="Q13">
        <v>2</v>
      </c>
      <c r="R13">
        <v>2</v>
      </c>
      <c r="S13">
        <v>4</v>
      </c>
      <c r="T13">
        <v>2</v>
      </c>
      <c r="U13">
        <v>2</v>
      </c>
      <c r="V13">
        <v>3</v>
      </c>
      <c r="W13">
        <v>1</v>
      </c>
      <c r="X13">
        <v>2</v>
      </c>
      <c r="Y13">
        <v>3</v>
      </c>
      <c r="Z13">
        <v>1</v>
      </c>
      <c r="AA13">
        <v>1</v>
      </c>
      <c r="AB13">
        <v>3</v>
      </c>
      <c r="AC13">
        <v>1</v>
      </c>
      <c r="AD13">
        <v>3</v>
      </c>
      <c r="AE13">
        <v>1</v>
      </c>
      <c r="AG13">
        <f>ROUND(SUM(B13:AE13),2)</f>
        <v>56</v>
      </c>
    </row>
    <row r="14" spans="1:33" x14ac:dyDescent="0.25">
      <c r="A14" t="s">
        <v>20</v>
      </c>
      <c r="B14">
        <v>0</v>
      </c>
      <c r="C14">
        <v>1</v>
      </c>
      <c r="D14">
        <v>1</v>
      </c>
      <c r="E14">
        <v>3</v>
      </c>
      <c r="F14">
        <v>2</v>
      </c>
      <c r="G14">
        <v>2</v>
      </c>
      <c r="H14">
        <v>2</v>
      </c>
      <c r="I14">
        <v>0</v>
      </c>
      <c r="J14">
        <v>2</v>
      </c>
      <c r="K14">
        <v>1</v>
      </c>
      <c r="L14">
        <v>0</v>
      </c>
      <c r="M14">
        <v>0</v>
      </c>
      <c r="N14">
        <v>0</v>
      </c>
      <c r="O14">
        <v>1</v>
      </c>
      <c r="P14">
        <v>0</v>
      </c>
      <c r="Q14">
        <v>3</v>
      </c>
      <c r="R14">
        <v>2</v>
      </c>
      <c r="S14">
        <v>1</v>
      </c>
      <c r="T14">
        <v>2</v>
      </c>
      <c r="U14">
        <v>4</v>
      </c>
      <c r="V14">
        <v>1</v>
      </c>
      <c r="W14">
        <v>3</v>
      </c>
      <c r="X14">
        <v>3</v>
      </c>
      <c r="Y14">
        <v>0</v>
      </c>
      <c r="Z14">
        <v>0</v>
      </c>
      <c r="AA14">
        <v>0</v>
      </c>
      <c r="AB14">
        <v>0</v>
      </c>
      <c r="AC14">
        <v>0</v>
      </c>
      <c r="AD14">
        <v>2</v>
      </c>
      <c r="AE14">
        <v>2</v>
      </c>
      <c r="AG14">
        <f>ROUND(SUM(B14:AE14),2)</f>
        <v>38</v>
      </c>
    </row>
    <row r="15" spans="1:33" x14ac:dyDescent="0.25">
      <c r="A15" t="s">
        <v>41</v>
      </c>
      <c r="B15">
        <v>0</v>
      </c>
      <c r="C15">
        <v>1</v>
      </c>
      <c r="D15">
        <v>2</v>
      </c>
      <c r="E15">
        <v>2</v>
      </c>
      <c r="F15">
        <v>1</v>
      </c>
      <c r="G15">
        <v>0</v>
      </c>
      <c r="H15">
        <v>2</v>
      </c>
      <c r="I15">
        <v>3</v>
      </c>
      <c r="J15">
        <v>2</v>
      </c>
      <c r="K15">
        <v>1</v>
      </c>
      <c r="L15">
        <v>2</v>
      </c>
      <c r="M15">
        <v>2</v>
      </c>
      <c r="N15">
        <v>0</v>
      </c>
      <c r="O15">
        <v>4</v>
      </c>
      <c r="P15">
        <v>2</v>
      </c>
      <c r="Q15">
        <v>1</v>
      </c>
      <c r="R15">
        <v>1</v>
      </c>
      <c r="S15">
        <v>3</v>
      </c>
      <c r="T15">
        <v>2</v>
      </c>
      <c r="U15">
        <v>2</v>
      </c>
      <c r="V15">
        <v>2</v>
      </c>
      <c r="W15">
        <v>2</v>
      </c>
      <c r="X15">
        <v>2</v>
      </c>
      <c r="Y15">
        <v>4</v>
      </c>
      <c r="Z15">
        <v>3</v>
      </c>
      <c r="AA15">
        <v>2</v>
      </c>
      <c r="AB15">
        <v>3</v>
      </c>
      <c r="AC15">
        <v>0</v>
      </c>
      <c r="AD15">
        <v>4</v>
      </c>
      <c r="AE15">
        <v>1</v>
      </c>
      <c r="AG15">
        <f>ROUND(SUM(B15:AE15),2)</f>
        <v>56</v>
      </c>
    </row>
    <row r="16" spans="1:33" x14ac:dyDescent="0.25">
      <c r="A16" t="s">
        <v>17</v>
      </c>
      <c r="B16">
        <v>1</v>
      </c>
      <c r="C16">
        <v>0</v>
      </c>
      <c r="D16">
        <v>1</v>
      </c>
      <c r="E16">
        <v>1</v>
      </c>
      <c r="F16">
        <v>1</v>
      </c>
      <c r="G16">
        <v>0</v>
      </c>
      <c r="H16">
        <v>0</v>
      </c>
      <c r="I16">
        <v>1</v>
      </c>
      <c r="J16">
        <v>2</v>
      </c>
      <c r="K16">
        <v>1</v>
      </c>
      <c r="L16">
        <v>1</v>
      </c>
      <c r="M16">
        <v>1</v>
      </c>
      <c r="N16">
        <v>0</v>
      </c>
      <c r="O16">
        <v>0</v>
      </c>
      <c r="P16">
        <v>0</v>
      </c>
      <c r="Q16">
        <v>0</v>
      </c>
      <c r="R16">
        <v>1</v>
      </c>
      <c r="S16">
        <v>3</v>
      </c>
      <c r="T16">
        <v>0</v>
      </c>
      <c r="U16">
        <v>0</v>
      </c>
      <c r="V16">
        <v>0</v>
      </c>
      <c r="W16">
        <v>1</v>
      </c>
      <c r="X16">
        <v>2</v>
      </c>
      <c r="Y16">
        <v>0</v>
      </c>
      <c r="Z16">
        <v>0</v>
      </c>
      <c r="AA16">
        <v>1</v>
      </c>
      <c r="AB16">
        <v>1</v>
      </c>
      <c r="AC16">
        <v>1</v>
      </c>
      <c r="AD16">
        <v>1</v>
      </c>
      <c r="AE16">
        <v>0</v>
      </c>
      <c r="AG16">
        <f>ROUND(SUM(B16:AE16),2)</f>
        <v>21</v>
      </c>
    </row>
    <row r="17" spans="1:33" x14ac:dyDescent="0.25">
      <c r="A17" t="s">
        <v>28</v>
      </c>
      <c r="B17">
        <v>1</v>
      </c>
      <c r="C17">
        <v>2</v>
      </c>
      <c r="D17">
        <v>1</v>
      </c>
      <c r="E17">
        <v>2</v>
      </c>
      <c r="F17">
        <v>1</v>
      </c>
      <c r="G17">
        <v>0</v>
      </c>
      <c r="H17">
        <v>3</v>
      </c>
      <c r="I17">
        <v>2</v>
      </c>
      <c r="J17">
        <v>1</v>
      </c>
      <c r="K17">
        <v>1</v>
      </c>
      <c r="L17">
        <v>2</v>
      </c>
      <c r="M17">
        <v>2</v>
      </c>
      <c r="N17">
        <v>2</v>
      </c>
      <c r="O17">
        <v>4</v>
      </c>
      <c r="P17">
        <v>0</v>
      </c>
      <c r="Q17">
        <v>2</v>
      </c>
      <c r="R17">
        <v>1</v>
      </c>
      <c r="S17">
        <v>2</v>
      </c>
      <c r="T17">
        <v>2</v>
      </c>
      <c r="U17">
        <v>2</v>
      </c>
      <c r="V17">
        <v>3</v>
      </c>
      <c r="W17">
        <v>2</v>
      </c>
      <c r="X17">
        <v>2</v>
      </c>
      <c r="Y17">
        <v>3</v>
      </c>
      <c r="Z17">
        <v>4</v>
      </c>
      <c r="AA17">
        <v>2</v>
      </c>
      <c r="AB17">
        <v>3</v>
      </c>
      <c r="AC17">
        <v>1</v>
      </c>
      <c r="AD17">
        <v>2</v>
      </c>
      <c r="AE17">
        <v>0</v>
      </c>
      <c r="AG17">
        <f>ROUND(SUM(B17:AE17),2)</f>
        <v>55</v>
      </c>
    </row>
    <row r="18" spans="1:33" x14ac:dyDescent="0.25">
      <c r="A18" t="s">
        <v>24</v>
      </c>
      <c r="B18">
        <v>0</v>
      </c>
      <c r="C18">
        <v>4</v>
      </c>
      <c r="D18">
        <v>3</v>
      </c>
      <c r="E18">
        <v>2</v>
      </c>
      <c r="F18">
        <v>1</v>
      </c>
      <c r="G18">
        <v>2</v>
      </c>
      <c r="H18">
        <v>1</v>
      </c>
      <c r="I18">
        <v>1</v>
      </c>
      <c r="J18">
        <v>1</v>
      </c>
      <c r="K18">
        <v>0</v>
      </c>
      <c r="L18">
        <v>0</v>
      </c>
      <c r="M18">
        <v>1</v>
      </c>
      <c r="N18">
        <v>1</v>
      </c>
      <c r="O18">
        <v>2</v>
      </c>
      <c r="P18">
        <v>0</v>
      </c>
      <c r="Q18">
        <v>0</v>
      </c>
      <c r="R18">
        <v>0</v>
      </c>
      <c r="S18">
        <v>1</v>
      </c>
      <c r="T18">
        <v>0</v>
      </c>
      <c r="U18">
        <v>3</v>
      </c>
      <c r="V18">
        <v>0</v>
      </c>
      <c r="W18">
        <v>3</v>
      </c>
      <c r="X18">
        <v>3</v>
      </c>
      <c r="Y18">
        <v>2</v>
      </c>
      <c r="Z18">
        <v>1</v>
      </c>
      <c r="AA18">
        <v>0</v>
      </c>
      <c r="AB18">
        <v>2</v>
      </c>
      <c r="AC18">
        <v>1</v>
      </c>
      <c r="AD18">
        <v>1</v>
      </c>
      <c r="AE18">
        <v>1</v>
      </c>
      <c r="AG18">
        <f>ROUND(SUM(B18:AE18),2)</f>
        <v>37</v>
      </c>
    </row>
    <row r="19" spans="1:33" x14ac:dyDescent="0.25">
      <c r="A19" t="s">
        <v>19</v>
      </c>
      <c r="B19">
        <v>1</v>
      </c>
      <c r="C19">
        <v>3</v>
      </c>
      <c r="D19">
        <v>2</v>
      </c>
      <c r="E19">
        <v>1</v>
      </c>
      <c r="F19">
        <v>1</v>
      </c>
      <c r="G19">
        <v>1</v>
      </c>
      <c r="H19">
        <v>0</v>
      </c>
      <c r="I19">
        <v>1</v>
      </c>
      <c r="J19">
        <v>3</v>
      </c>
      <c r="K19">
        <v>0</v>
      </c>
      <c r="L19">
        <v>0</v>
      </c>
      <c r="M19">
        <v>2</v>
      </c>
      <c r="N19">
        <v>1</v>
      </c>
      <c r="O19">
        <v>1</v>
      </c>
      <c r="P19">
        <v>1</v>
      </c>
      <c r="Q19">
        <v>4</v>
      </c>
      <c r="R19">
        <v>0</v>
      </c>
      <c r="S19">
        <v>2</v>
      </c>
      <c r="T19">
        <v>0</v>
      </c>
      <c r="U19">
        <v>4</v>
      </c>
      <c r="V19">
        <v>1</v>
      </c>
      <c r="W19">
        <v>2</v>
      </c>
      <c r="X19">
        <v>4</v>
      </c>
      <c r="Y19">
        <v>1</v>
      </c>
      <c r="Z19">
        <v>1</v>
      </c>
      <c r="AA19">
        <v>0</v>
      </c>
      <c r="AB19">
        <v>2</v>
      </c>
      <c r="AC19">
        <v>1</v>
      </c>
      <c r="AD19">
        <v>0</v>
      </c>
      <c r="AE19">
        <v>1</v>
      </c>
      <c r="AG19">
        <f>ROUND(SUM(B19:AE19),2)</f>
        <v>41</v>
      </c>
    </row>
    <row r="20" spans="1:33" x14ac:dyDescent="0.25">
      <c r="A20" t="s">
        <v>29</v>
      </c>
      <c r="B20">
        <v>0</v>
      </c>
      <c r="C20">
        <v>1</v>
      </c>
      <c r="D20">
        <v>1</v>
      </c>
      <c r="E20">
        <v>0</v>
      </c>
      <c r="F20">
        <v>0</v>
      </c>
      <c r="G20">
        <v>0</v>
      </c>
      <c r="H20">
        <v>0</v>
      </c>
      <c r="I20">
        <v>1</v>
      </c>
      <c r="J20">
        <v>2</v>
      </c>
      <c r="K20">
        <v>0</v>
      </c>
      <c r="L20">
        <v>0</v>
      </c>
      <c r="M20">
        <v>1</v>
      </c>
      <c r="N20">
        <v>0</v>
      </c>
      <c r="O20">
        <v>1</v>
      </c>
      <c r="P20">
        <v>1</v>
      </c>
      <c r="Q20">
        <v>1</v>
      </c>
      <c r="R20">
        <v>0</v>
      </c>
      <c r="S20">
        <v>0</v>
      </c>
      <c r="T20">
        <v>0</v>
      </c>
      <c r="U20">
        <v>2</v>
      </c>
      <c r="V20">
        <v>0</v>
      </c>
      <c r="W20">
        <v>0</v>
      </c>
      <c r="X20">
        <v>0</v>
      </c>
      <c r="Y20">
        <v>1</v>
      </c>
      <c r="Z20">
        <v>2</v>
      </c>
      <c r="AA20">
        <v>0</v>
      </c>
      <c r="AB20">
        <v>0</v>
      </c>
      <c r="AC20">
        <v>0</v>
      </c>
      <c r="AD20">
        <v>1</v>
      </c>
      <c r="AE20">
        <v>1</v>
      </c>
      <c r="AG20">
        <f>ROUND(SUM(B20:AE20),2)</f>
        <v>16</v>
      </c>
    </row>
    <row r="21" spans="1:33" x14ac:dyDescent="0.25">
      <c r="A21" t="s">
        <v>12</v>
      </c>
      <c r="B21">
        <v>1</v>
      </c>
      <c r="C21">
        <v>2</v>
      </c>
      <c r="D21">
        <v>0</v>
      </c>
      <c r="E21">
        <v>1</v>
      </c>
      <c r="F21">
        <v>0</v>
      </c>
      <c r="G21">
        <v>1</v>
      </c>
      <c r="H21">
        <v>1</v>
      </c>
      <c r="I21">
        <v>1</v>
      </c>
      <c r="J21">
        <v>2</v>
      </c>
      <c r="K21">
        <v>1</v>
      </c>
      <c r="L21">
        <v>2</v>
      </c>
      <c r="M21">
        <v>0</v>
      </c>
      <c r="N21">
        <v>1</v>
      </c>
      <c r="O21">
        <v>4</v>
      </c>
      <c r="P21">
        <v>2</v>
      </c>
      <c r="Q21">
        <v>2</v>
      </c>
      <c r="R21">
        <v>2</v>
      </c>
      <c r="S21">
        <v>4</v>
      </c>
      <c r="T21">
        <v>0</v>
      </c>
      <c r="U21">
        <v>1</v>
      </c>
      <c r="V21">
        <v>3</v>
      </c>
      <c r="W21">
        <v>1</v>
      </c>
      <c r="X21">
        <v>1</v>
      </c>
      <c r="Y21">
        <v>2</v>
      </c>
      <c r="Z21">
        <v>0</v>
      </c>
      <c r="AA21">
        <v>3</v>
      </c>
      <c r="AB21">
        <v>3</v>
      </c>
      <c r="AC21">
        <v>2</v>
      </c>
      <c r="AD21">
        <v>2</v>
      </c>
      <c r="AE21">
        <v>0</v>
      </c>
      <c r="AG21">
        <f>ROUND(SUM(B21:AE21),2)</f>
        <v>45</v>
      </c>
    </row>
    <row r="22" spans="1:33" x14ac:dyDescent="0.25">
      <c r="A22" t="s">
        <v>31</v>
      </c>
      <c r="B22">
        <v>1</v>
      </c>
      <c r="C22">
        <v>0</v>
      </c>
      <c r="D22">
        <v>1</v>
      </c>
      <c r="E22">
        <v>1</v>
      </c>
      <c r="F22">
        <v>0</v>
      </c>
      <c r="G22">
        <v>1</v>
      </c>
      <c r="H22">
        <v>0</v>
      </c>
      <c r="I22">
        <v>1</v>
      </c>
      <c r="J22">
        <v>1</v>
      </c>
      <c r="K22">
        <v>0</v>
      </c>
      <c r="L22">
        <v>0</v>
      </c>
      <c r="M22">
        <v>0</v>
      </c>
      <c r="N22">
        <v>0</v>
      </c>
      <c r="O22">
        <v>2</v>
      </c>
      <c r="P22">
        <v>0</v>
      </c>
      <c r="Q22">
        <v>0</v>
      </c>
      <c r="R22">
        <v>0</v>
      </c>
      <c r="S22">
        <v>0</v>
      </c>
      <c r="T22">
        <v>1</v>
      </c>
      <c r="U22">
        <v>0</v>
      </c>
      <c r="V22">
        <v>1</v>
      </c>
      <c r="W22">
        <v>2</v>
      </c>
      <c r="X22">
        <v>3</v>
      </c>
      <c r="Y22">
        <v>0</v>
      </c>
      <c r="Z22">
        <v>0</v>
      </c>
      <c r="AA22">
        <v>1</v>
      </c>
      <c r="AB22">
        <v>0</v>
      </c>
      <c r="AC22">
        <v>1</v>
      </c>
      <c r="AD22">
        <v>0</v>
      </c>
      <c r="AE22">
        <v>0</v>
      </c>
      <c r="AG22">
        <f>ROUND(SUM(B22:AE22),2)</f>
        <v>17</v>
      </c>
    </row>
    <row r="23" spans="1:33" x14ac:dyDescent="0.25">
      <c r="A23" t="s">
        <v>38</v>
      </c>
      <c r="B23">
        <v>1</v>
      </c>
      <c r="C23">
        <v>0</v>
      </c>
      <c r="D23">
        <v>2</v>
      </c>
      <c r="E23">
        <v>2</v>
      </c>
      <c r="F23">
        <v>1</v>
      </c>
      <c r="G23">
        <v>1</v>
      </c>
      <c r="H23">
        <v>1</v>
      </c>
      <c r="I23">
        <v>3</v>
      </c>
      <c r="J23">
        <v>1</v>
      </c>
      <c r="K23">
        <v>1</v>
      </c>
      <c r="L23">
        <v>0</v>
      </c>
      <c r="M23">
        <v>1</v>
      </c>
      <c r="N23">
        <v>1</v>
      </c>
      <c r="O23">
        <v>3</v>
      </c>
      <c r="P23">
        <v>1</v>
      </c>
      <c r="Q23">
        <v>2</v>
      </c>
      <c r="R23">
        <v>1</v>
      </c>
      <c r="S23">
        <v>4</v>
      </c>
      <c r="T23">
        <v>1</v>
      </c>
      <c r="U23">
        <v>1</v>
      </c>
      <c r="V23">
        <v>0</v>
      </c>
      <c r="W23">
        <v>2</v>
      </c>
      <c r="X23">
        <v>2</v>
      </c>
      <c r="Y23">
        <v>3</v>
      </c>
      <c r="Z23">
        <v>1</v>
      </c>
      <c r="AA23">
        <v>1</v>
      </c>
      <c r="AB23">
        <v>3</v>
      </c>
      <c r="AC23">
        <v>1</v>
      </c>
      <c r="AD23">
        <v>2</v>
      </c>
      <c r="AE23">
        <v>2</v>
      </c>
      <c r="AG23">
        <f>ROUND(SUM(B23:AE23),2)</f>
        <v>45</v>
      </c>
    </row>
    <row r="24" spans="1:33" x14ac:dyDescent="0.25">
      <c r="A24" t="s">
        <v>13</v>
      </c>
      <c r="B24">
        <v>1</v>
      </c>
      <c r="C24">
        <v>0</v>
      </c>
      <c r="D24">
        <v>2</v>
      </c>
      <c r="E24">
        <v>2</v>
      </c>
      <c r="F24">
        <v>2</v>
      </c>
      <c r="G24">
        <v>0</v>
      </c>
      <c r="H24">
        <v>0</v>
      </c>
      <c r="I24">
        <v>0</v>
      </c>
      <c r="J24">
        <v>1</v>
      </c>
      <c r="K24">
        <v>0</v>
      </c>
      <c r="L24">
        <v>1</v>
      </c>
      <c r="M24">
        <v>0</v>
      </c>
      <c r="N24">
        <v>0</v>
      </c>
      <c r="O24">
        <v>1</v>
      </c>
      <c r="P24">
        <v>0</v>
      </c>
      <c r="Q24">
        <v>1</v>
      </c>
      <c r="R24">
        <v>2</v>
      </c>
      <c r="S24">
        <v>2</v>
      </c>
      <c r="T24">
        <v>1</v>
      </c>
      <c r="U24">
        <v>2</v>
      </c>
      <c r="V24">
        <v>0</v>
      </c>
      <c r="W24">
        <v>0</v>
      </c>
      <c r="X24">
        <v>2</v>
      </c>
      <c r="Y24">
        <v>1</v>
      </c>
      <c r="Z24">
        <v>1</v>
      </c>
      <c r="AA24">
        <v>0</v>
      </c>
      <c r="AB24">
        <v>2</v>
      </c>
      <c r="AC24">
        <v>0</v>
      </c>
      <c r="AD24">
        <v>1</v>
      </c>
      <c r="AE24">
        <v>0</v>
      </c>
      <c r="AG24">
        <f>ROUND(SUM(B24:AE24),2)</f>
        <v>25</v>
      </c>
    </row>
    <row r="25" spans="1:33" x14ac:dyDescent="0.25">
      <c r="A25" t="s">
        <v>21</v>
      </c>
      <c r="B25">
        <v>1</v>
      </c>
      <c r="C25">
        <v>1</v>
      </c>
      <c r="D25">
        <v>0</v>
      </c>
      <c r="E25">
        <v>1</v>
      </c>
      <c r="F25">
        <v>0</v>
      </c>
      <c r="G25">
        <v>1</v>
      </c>
      <c r="H25">
        <v>0</v>
      </c>
      <c r="I25">
        <v>2</v>
      </c>
      <c r="J25">
        <v>3</v>
      </c>
      <c r="K25">
        <v>0</v>
      </c>
      <c r="L25">
        <v>0</v>
      </c>
      <c r="M25">
        <v>1</v>
      </c>
      <c r="N25">
        <v>0</v>
      </c>
      <c r="O25">
        <v>0</v>
      </c>
      <c r="P25">
        <v>0</v>
      </c>
      <c r="Q25">
        <v>1</v>
      </c>
      <c r="R25">
        <v>0</v>
      </c>
      <c r="S25">
        <v>2</v>
      </c>
      <c r="T25">
        <v>1</v>
      </c>
      <c r="U25">
        <v>1</v>
      </c>
      <c r="V25">
        <v>0</v>
      </c>
      <c r="W25">
        <v>1</v>
      </c>
      <c r="X25">
        <v>0</v>
      </c>
      <c r="Y25">
        <v>0</v>
      </c>
      <c r="Z25">
        <v>0</v>
      </c>
      <c r="AA25">
        <v>0</v>
      </c>
      <c r="AB25">
        <v>1</v>
      </c>
      <c r="AC25">
        <v>0</v>
      </c>
      <c r="AD25">
        <v>0</v>
      </c>
      <c r="AE25">
        <v>1</v>
      </c>
      <c r="AG25">
        <f>ROUND(SUM(B25:AE25),2)</f>
        <v>18</v>
      </c>
    </row>
    <row r="26" spans="1:33" x14ac:dyDescent="0.25">
      <c r="A26" t="s">
        <v>35</v>
      </c>
      <c r="B26">
        <v>0</v>
      </c>
      <c r="C26">
        <v>2</v>
      </c>
      <c r="D26">
        <v>1</v>
      </c>
      <c r="E26">
        <v>1</v>
      </c>
      <c r="F26">
        <v>1</v>
      </c>
      <c r="G26">
        <v>1</v>
      </c>
      <c r="H26">
        <v>3</v>
      </c>
      <c r="I26">
        <v>2</v>
      </c>
      <c r="J26">
        <v>1</v>
      </c>
      <c r="K26">
        <v>1</v>
      </c>
      <c r="L26">
        <v>1</v>
      </c>
      <c r="M26">
        <v>1</v>
      </c>
      <c r="N26">
        <v>0</v>
      </c>
      <c r="O26">
        <v>4</v>
      </c>
      <c r="P26">
        <v>0</v>
      </c>
      <c r="Q26">
        <v>0</v>
      </c>
      <c r="R26">
        <v>1</v>
      </c>
      <c r="S26">
        <v>3</v>
      </c>
      <c r="T26">
        <v>1</v>
      </c>
      <c r="U26">
        <v>2</v>
      </c>
      <c r="V26">
        <v>1</v>
      </c>
      <c r="W26">
        <v>1</v>
      </c>
      <c r="X26">
        <v>2</v>
      </c>
      <c r="Y26">
        <v>0</v>
      </c>
      <c r="Z26">
        <v>1</v>
      </c>
      <c r="AA26">
        <v>1</v>
      </c>
      <c r="AB26">
        <v>1</v>
      </c>
      <c r="AC26">
        <v>1</v>
      </c>
      <c r="AD26">
        <v>2</v>
      </c>
      <c r="AE26">
        <v>2</v>
      </c>
      <c r="AG26">
        <f>ROUND(SUM(B26:AE26),2)</f>
        <v>38</v>
      </c>
    </row>
    <row r="27" spans="1:33" x14ac:dyDescent="0.25">
      <c r="A27" t="s">
        <v>39</v>
      </c>
      <c r="B27">
        <v>0</v>
      </c>
      <c r="C27">
        <v>1</v>
      </c>
      <c r="D27">
        <v>1</v>
      </c>
      <c r="E27">
        <v>2</v>
      </c>
      <c r="F27">
        <v>1</v>
      </c>
      <c r="G27">
        <v>1</v>
      </c>
      <c r="H27">
        <v>2</v>
      </c>
      <c r="I27">
        <v>4</v>
      </c>
      <c r="J27">
        <v>2</v>
      </c>
      <c r="K27">
        <v>0</v>
      </c>
      <c r="L27">
        <v>2</v>
      </c>
      <c r="M27">
        <v>2</v>
      </c>
      <c r="N27">
        <v>1</v>
      </c>
      <c r="O27">
        <v>4</v>
      </c>
      <c r="P27">
        <v>0</v>
      </c>
      <c r="Q27">
        <v>1</v>
      </c>
      <c r="R27">
        <v>1</v>
      </c>
      <c r="S27">
        <v>2</v>
      </c>
      <c r="T27">
        <v>3</v>
      </c>
      <c r="U27">
        <v>2</v>
      </c>
      <c r="V27">
        <v>3</v>
      </c>
      <c r="W27">
        <v>1</v>
      </c>
      <c r="X27">
        <v>2</v>
      </c>
      <c r="Y27">
        <v>3</v>
      </c>
      <c r="Z27">
        <v>0</v>
      </c>
      <c r="AA27">
        <v>3</v>
      </c>
      <c r="AB27">
        <v>2</v>
      </c>
      <c r="AC27">
        <v>2</v>
      </c>
      <c r="AD27">
        <v>2</v>
      </c>
      <c r="AE27">
        <v>1</v>
      </c>
      <c r="AG27">
        <f>ROUND(SUM(B27:AE27),2)</f>
        <v>51</v>
      </c>
    </row>
    <row r="28" spans="1:33" x14ac:dyDescent="0.25">
      <c r="A28" t="s">
        <v>15</v>
      </c>
      <c r="B28">
        <v>2</v>
      </c>
      <c r="C28">
        <v>1</v>
      </c>
      <c r="D28">
        <v>2</v>
      </c>
      <c r="E28">
        <v>2</v>
      </c>
      <c r="F28">
        <v>1</v>
      </c>
      <c r="G28">
        <v>1</v>
      </c>
      <c r="H28">
        <v>2</v>
      </c>
      <c r="I28">
        <v>4</v>
      </c>
      <c r="J28">
        <v>1</v>
      </c>
      <c r="K28">
        <v>2</v>
      </c>
      <c r="L28">
        <v>3</v>
      </c>
      <c r="M28">
        <v>2</v>
      </c>
      <c r="N28">
        <v>2</v>
      </c>
      <c r="O28">
        <v>2</v>
      </c>
      <c r="P28">
        <v>2</v>
      </c>
      <c r="Q28">
        <v>2</v>
      </c>
      <c r="R28">
        <v>2</v>
      </c>
      <c r="S28">
        <v>4</v>
      </c>
      <c r="T28">
        <v>1</v>
      </c>
      <c r="U28">
        <v>1</v>
      </c>
      <c r="V28">
        <v>2</v>
      </c>
      <c r="W28">
        <v>2</v>
      </c>
      <c r="X28">
        <v>2</v>
      </c>
      <c r="Y28">
        <v>3</v>
      </c>
      <c r="Z28">
        <v>1</v>
      </c>
      <c r="AA28">
        <v>0</v>
      </c>
      <c r="AB28">
        <v>3</v>
      </c>
      <c r="AC28">
        <v>1</v>
      </c>
      <c r="AD28">
        <v>1</v>
      </c>
      <c r="AE28">
        <v>1</v>
      </c>
      <c r="AG28">
        <f>ROUND(SUM(B28:AE28),2)</f>
        <v>55</v>
      </c>
    </row>
    <row r="29" spans="1:33" x14ac:dyDescent="0.25">
      <c r="A29" t="s">
        <v>37</v>
      </c>
      <c r="B29">
        <v>0</v>
      </c>
      <c r="C29">
        <v>0</v>
      </c>
      <c r="D29">
        <v>1</v>
      </c>
      <c r="E29">
        <v>2</v>
      </c>
      <c r="F29">
        <v>1</v>
      </c>
      <c r="G29">
        <v>1</v>
      </c>
      <c r="H29">
        <v>0</v>
      </c>
      <c r="I29">
        <v>2</v>
      </c>
      <c r="J29">
        <v>0</v>
      </c>
      <c r="K29">
        <v>0</v>
      </c>
      <c r="L29">
        <v>0</v>
      </c>
      <c r="M29">
        <v>2</v>
      </c>
      <c r="N29">
        <v>1</v>
      </c>
      <c r="O29">
        <v>3</v>
      </c>
      <c r="P29">
        <v>1</v>
      </c>
      <c r="Q29">
        <v>0</v>
      </c>
      <c r="R29">
        <v>0</v>
      </c>
      <c r="S29">
        <v>3</v>
      </c>
      <c r="T29">
        <v>1</v>
      </c>
      <c r="U29">
        <v>2</v>
      </c>
      <c r="V29">
        <v>1</v>
      </c>
      <c r="W29">
        <v>0</v>
      </c>
      <c r="X29">
        <v>1</v>
      </c>
      <c r="Y29">
        <v>3</v>
      </c>
      <c r="Z29">
        <v>1</v>
      </c>
      <c r="AA29">
        <v>1</v>
      </c>
      <c r="AB29">
        <v>0</v>
      </c>
      <c r="AC29">
        <v>0</v>
      </c>
      <c r="AD29">
        <v>1</v>
      </c>
      <c r="AE29">
        <v>1</v>
      </c>
      <c r="AG29">
        <f>ROUND(SUM(B29:AE29),2)</f>
        <v>29</v>
      </c>
    </row>
    <row r="30" spans="1:33" x14ac:dyDescent="0.25">
      <c r="A30" t="s">
        <v>27</v>
      </c>
      <c r="B30">
        <v>3</v>
      </c>
      <c r="C30">
        <v>2</v>
      </c>
      <c r="D30">
        <v>2</v>
      </c>
      <c r="E30">
        <v>2</v>
      </c>
      <c r="F30">
        <v>0</v>
      </c>
      <c r="G30">
        <v>1</v>
      </c>
      <c r="H30">
        <v>0</v>
      </c>
      <c r="I30">
        <v>2</v>
      </c>
      <c r="J30">
        <v>2</v>
      </c>
      <c r="K30">
        <v>0</v>
      </c>
      <c r="L30">
        <v>1</v>
      </c>
      <c r="M30">
        <v>3</v>
      </c>
      <c r="N30">
        <v>2</v>
      </c>
      <c r="O30">
        <v>1</v>
      </c>
      <c r="P30">
        <v>1</v>
      </c>
      <c r="Q30">
        <v>1</v>
      </c>
      <c r="R30">
        <v>2</v>
      </c>
      <c r="S30">
        <v>2</v>
      </c>
      <c r="T30">
        <v>0</v>
      </c>
      <c r="U30">
        <v>3</v>
      </c>
      <c r="V30">
        <v>1</v>
      </c>
      <c r="W30">
        <v>4</v>
      </c>
      <c r="X30">
        <v>4</v>
      </c>
      <c r="Y30">
        <v>1</v>
      </c>
      <c r="Z30">
        <v>0</v>
      </c>
      <c r="AA30">
        <v>1</v>
      </c>
      <c r="AB30">
        <v>2</v>
      </c>
      <c r="AC30">
        <v>0</v>
      </c>
      <c r="AD30">
        <v>2</v>
      </c>
      <c r="AE30">
        <v>3</v>
      </c>
      <c r="AG30">
        <f>ROUND(SUM(B30:AE30),2)</f>
        <v>48</v>
      </c>
    </row>
    <row r="31" spans="1:33" x14ac:dyDescent="0.25">
      <c r="A31" t="s">
        <v>34</v>
      </c>
      <c r="B31">
        <v>0</v>
      </c>
      <c r="C31">
        <v>2</v>
      </c>
      <c r="D31">
        <v>0</v>
      </c>
      <c r="E31">
        <v>1</v>
      </c>
      <c r="F31">
        <v>1</v>
      </c>
      <c r="G31">
        <v>1</v>
      </c>
      <c r="H31">
        <v>1</v>
      </c>
      <c r="I31">
        <v>2</v>
      </c>
      <c r="J31">
        <v>2</v>
      </c>
      <c r="K31">
        <v>1</v>
      </c>
      <c r="L31">
        <v>1</v>
      </c>
      <c r="M31">
        <v>0</v>
      </c>
      <c r="N31">
        <v>0</v>
      </c>
      <c r="O31">
        <v>2</v>
      </c>
      <c r="P31">
        <v>2</v>
      </c>
      <c r="Q31">
        <v>1</v>
      </c>
      <c r="R31">
        <v>2</v>
      </c>
      <c r="S31">
        <v>3</v>
      </c>
      <c r="T31">
        <v>1</v>
      </c>
      <c r="U31">
        <v>2</v>
      </c>
      <c r="V31">
        <v>2</v>
      </c>
      <c r="W31">
        <v>1</v>
      </c>
      <c r="X31">
        <v>2</v>
      </c>
      <c r="Y31">
        <v>1</v>
      </c>
      <c r="Z31">
        <v>2</v>
      </c>
      <c r="AA31">
        <v>2</v>
      </c>
      <c r="AB31">
        <v>3</v>
      </c>
      <c r="AC31">
        <v>0</v>
      </c>
      <c r="AD31">
        <v>0</v>
      </c>
      <c r="AE31">
        <v>0</v>
      </c>
      <c r="AG31">
        <f>ROUND(SUM(B31:AE31),2)</f>
        <v>38</v>
      </c>
    </row>
    <row r="32" spans="1:33" x14ac:dyDescent="0.25">
      <c r="A32" t="s">
        <v>25</v>
      </c>
      <c r="B32">
        <v>1</v>
      </c>
      <c r="C32">
        <v>2</v>
      </c>
      <c r="D32">
        <v>2</v>
      </c>
      <c r="E32">
        <v>2</v>
      </c>
      <c r="F32">
        <v>2</v>
      </c>
      <c r="G32">
        <v>1</v>
      </c>
      <c r="H32">
        <v>0</v>
      </c>
      <c r="I32">
        <v>2</v>
      </c>
      <c r="J32">
        <v>2</v>
      </c>
      <c r="K32">
        <v>0</v>
      </c>
      <c r="L32">
        <v>1</v>
      </c>
      <c r="M32">
        <v>2</v>
      </c>
      <c r="N32">
        <v>1</v>
      </c>
      <c r="O32">
        <v>2</v>
      </c>
      <c r="P32">
        <v>2</v>
      </c>
      <c r="Q32">
        <v>3</v>
      </c>
      <c r="R32">
        <v>2</v>
      </c>
      <c r="S32">
        <v>1</v>
      </c>
      <c r="T32">
        <v>2</v>
      </c>
      <c r="U32">
        <v>4</v>
      </c>
      <c r="V32">
        <v>0</v>
      </c>
      <c r="W32">
        <v>4</v>
      </c>
      <c r="X32">
        <v>3</v>
      </c>
      <c r="Y32">
        <v>0</v>
      </c>
      <c r="Z32">
        <v>1</v>
      </c>
      <c r="AA32">
        <v>1</v>
      </c>
      <c r="AB32">
        <v>1</v>
      </c>
      <c r="AC32">
        <v>0</v>
      </c>
      <c r="AD32">
        <v>2</v>
      </c>
      <c r="AE32">
        <v>0</v>
      </c>
      <c r="AG32">
        <f>ROUND(SUM(B32:AE32),2)</f>
        <v>46</v>
      </c>
    </row>
    <row r="33" spans="1:33" x14ac:dyDescent="0.25">
      <c r="AG33">
        <f>SUM(AG3:AG32)</f>
        <v>1228</v>
      </c>
    </row>
    <row r="34" spans="1:33" x14ac:dyDescent="0.25">
      <c r="F34" t="s">
        <v>84</v>
      </c>
      <c r="G34">
        <v>1</v>
      </c>
      <c r="H34">
        <v>1</v>
      </c>
      <c r="I34">
        <v>1</v>
      </c>
      <c r="J34">
        <v>1</v>
      </c>
      <c r="K34">
        <v>2</v>
      </c>
      <c r="L34">
        <v>2</v>
      </c>
      <c r="M34">
        <v>2</v>
      </c>
      <c r="N34">
        <v>2</v>
      </c>
    </row>
    <row r="35" spans="1:33" x14ac:dyDescent="0.25">
      <c r="A35" t="s">
        <v>45</v>
      </c>
      <c r="B35" t="s">
        <v>75</v>
      </c>
      <c r="C35" t="s">
        <v>76</v>
      </c>
      <c r="D35" t="s">
        <v>111</v>
      </c>
      <c r="G35" t="s">
        <v>85</v>
      </c>
      <c r="H35" t="s">
        <v>86</v>
      </c>
      <c r="I35" t="s">
        <v>87</v>
      </c>
      <c r="J35" t="s">
        <v>88</v>
      </c>
      <c r="K35" t="s">
        <v>85</v>
      </c>
      <c r="L35" t="s">
        <v>86</v>
      </c>
      <c r="M35" t="s">
        <v>87</v>
      </c>
      <c r="N35" t="s">
        <v>88</v>
      </c>
      <c r="P35" t="s">
        <v>112</v>
      </c>
      <c r="Q35" t="s">
        <v>114</v>
      </c>
      <c r="R35" t="s">
        <v>113</v>
      </c>
    </row>
    <row r="36" spans="1:33" x14ac:dyDescent="0.25">
      <c r="A36" t="s">
        <v>26</v>
      </c>
      <c r="B36">
        <f>VLOOKUP($A36,p_win_totals!$D$2:$J$31,6,0)</f>
        <v>43</v>
      </c>
      <c r="C36">
        <f t="shared" ref="C36:C65" si="0">RANK(B36,$B$36:$B$65)</f>
        <v>2</v>
      </c>
      <c r="D36">
        <f>VLOOKUP($A36,d_win_totals!$E$2:$K$31,6,0)</f>
        <v>18</v>
      </c>
      <c r="G36">
        <v>1</v>
      </c>
      <c r="H36">
        <v>1</v>
      </c>
      <c r="I36">
        <v>1</v>
      </c>
      <c r="J36">
        <v>2</v>
      </c>
      <c r="K36">
        <f>VLOOKUP($A36,p_win_totals!$D$2:$J$31,6,0)</f>
        <v>43</v>
      </c>
      <c r="L36">
        <f>VLOOKUP($A36,p_win_totals!$D$2:$J$31,7,0)</f>
        <v>15</v>
      </c>
      <c r="M36">
        <v>43</v>
      </c>
      <c r="N36">
        <v>2</v>
      </c>
      <c r="P36">
        <f>$D36-$N36</f>
        <v>16</v>
      </c>
      <c r="Q36">
        <f>ABS($D36-$N36)</f>
        <v>16</v>
      </c>
      <c r="R36">
        <f>($D36-$N36)^2</f>
        <v>256</v>
      </c>
    </row>
    <row r="37" spans="1:33" x14ac:dyDescent="0.25">
      <c r="A37" t="s">
        <v>23</v>
      </c>
      <c r="B37">
        <v>10.761587527420664</v>
      </c>
      <c r="C37">
        <f t="shared" si="0"/>
        <v>21</v>
      </c>
      <c r="D37">
        <f>VLOOKUP($A37,d_win_totals!$E$2:$K$31,6,0)</f>
        <v>16</v>
      </c>
      <c r="G37">
        <v>1</v>
      </c>
      <c r="H37">
        <v>1</v>
      </c>
      <c r="I37">
        <v>0.25014651564787588</v>
      </c>
      <c r="J37">
        <v>21</v>
      </c>
      <c r="K37">
        <f>VLOOKUP($A37,p_win_totals!$D$2:$J$31,6,0)</f>
        <v>40</v>
      </c>
      <c r="L37">
        <f>VLOOKUP($A37,p_win_totals!$D$2:$J$31,7,0)</f>
        <v>18</v>
      </c>
      <c r="M37">
        <v>10.761587527420664</v>
      </c>
      <c r="N37">
        <v>21</v>
      </c>
      <c r="P37">
        <f>$D37-$N37</f>
        <v>-5</v>
      </c>
      <c r="Q37">
        <f>ABS($D37-$N37)</f>
        <v>5</v>
      </c>
      <c r="R37">
        <f>($D37-$N37)^2</f>
        <v>25</v>
      </c>
    </row>
    <row r="38" spans="1:33" x14ac:dyDescent="0.25">
      <c r="A38" t="s">
        <v>22</v>
      </c>
      <c r="B38">
        <v>13.542177580845294</v>
      </c>
      <c r="C38">
        <f t="shared" si="0"/>
        <v>16</v>
      </c>
      <c r="D38">
        <f>VLOOKUP($A38,d_win_totals!$E$2:$K$31,6,0)</f>
        <v>26</v>
      </c>
      <c r="G38">
        <v>1</v>
      </c>
      <c r="H38">
        <v>1</v>
      </c>
      <c r="I38">
        <v>0.31489120266608039</v>
      </c>
      <c r="J38">
        <v>16</v>
      </c>
      <c r="K38">
        <f>VLOOKUP($A38,p_win_totals!$D$2:$J$31,6,0)</f>
        <v>24</v>
      </c>
      <c r="L38">
        <f>VLOOKUP($A38,p_win_totals!$D$2:$J$31,7,0)</f>
        <v>28</v>
      </c>
      <c r="M38">
        <v>13.542177580845294</v>
      </c>
      <c r="N38">
        <v>16</v>
      </c>
      <c r="P38">
        <f>$D38-$N38</f>
        <v>10</v>
      </c>
      <c r="Q38">
        <f>ABS($D38-$N38)</f>
        <v>10</v>
      </c>
      <c r="R38">
        <f>($D38-$N38)^2</f>
        <v>100</v>
      </c>
    </row>
    <row r="39" spans="1:33" x14ac:dyDescent="0.25">
      <c r="A39" t="s">
        <v>18</v>
      </c>
      <c r="B39">
        <v>9.9730390463024055</v>
      </c>
      <c r="C39">
        <f t="shared" si="0"/>
        <v>22</v>
      </c>
      <c r="D39">
        <f>VLOOKUP($A39,d_win_totals!$E$2:$K$31,6,0)</f>
        <v>13</v>
      </c>
      <c r="G39">
        <v>1</v>
      </c>
      <c r="H39">
        <v>1</v>
      </c>
      <c r="I39">
        <v>0.23194621123808754</v>
      </c>
      <c r="J39">
        <v>22</v>
      </c>
      <c r="K39">
        <f>VLOOKUP($A39,p_win_totals!$D$2:$J$31,6,0)</f>
        <v>47</v>
      </c>
      <c r="L39">
        <f>VLOOKUP($A39,p_win_totals!$D$2:$J$31,7,0)</f>
        <v>13</v>
      </c>
      <c r="M39">
        <v>9.9730390463024055</v>
      </c>
      <c r="N39">
        <v>22</v>
      </c>
      <c r="P39">
        <f>$D39-$N39</f>
        <v>-9</v>
      </c>
      <c r="Q39">
        <f>ABS($D39-$N39)</f>
        <v>9</v>
      </c>
      <c r="R39">
        <f>($D39-$N39)^2</f>
        <v>81</v>
      </c>
    </row>
    <row r="40" spans="1:33" x14ac:dyDescent="0.25">
      <c r="A40" t="s">
        <v>30</v>
      </c>
      <c r="B40">
        <v>22.760035517450483</v>
      </c>
      <c r="C40">
        <f t="shared" si="0"/>
        <v>10</v>
      </c>
      <c r="D40">
        <f>VLOOKUP($A40,d_win_totals!$E$2:$K$31,6,0)</f>
        <v>4</v>
      </c>
      <c r="G40">
        <v>1</v>
      </c>
      <c r="H40">
        <v>1</v>
      </c>
      <c r="I40">
        <v>0.52946542311963796</v>
      </c>
      <c r="J40">
        <v>10</v>
      </c>
      <c r="K40">
        <f>VLOOKUP($A40,p_win_totals!$D$2:$J$31,6,0)</f>
        <v>56</v>
      </c>
      <c r="L40">
        <f>VLOOKUP($A40,p_win_totals!$D$2:$J$31,7,0)</f>
        <v>3</v>
      </c>
      <c r="M40">
        <v>22.760035517450483</v>
      </c>
      <c r="N40">
        <v>10</v>
      </c>
      <c r="P40">
        <f>$D40-$N40</f>
        <v>-6</v>
      </c>
      <c r="Q40">
        <f>ABS($D40-$N40)</f>
        <v>6</v>
      </c>
      <c r="R40">
        <f>($D40-$N40)^2</f>
        <v>36</v>
      </c>
    </row>
    <row r="41" spans="1:33" x14ac:dyDescent="0.25">
      <c r="A41" t="s">
        <v>40</v>
      </c>
      <c r="B41">
        <v>28.475724448151958</v>
      </c>
      <c r="C41">
        <f t="shared" si="0"/>
        <v>7</v>
      </c>
      <c r="D41">
        <f>VLOOKUP($A41,d_win_totals!$E$2:$K$31,6,0)</f>
        <v>1</v>
      </c>
      <c r="G41">
        <v>1</v>
      </c>
      <c r="H41">
        <v>1</v>
      </c>
      <c r="I41">
        <v>0.66220498477993961</v>
      </c>
      <c r="J41">
        <v>7</v>
      </c>
      <c r="K41">
        <f>VLOOKUP($A41,p_win_totals!$D$2:$J$31,6,0)</f>
        <v>58</v>
      </c>
      <c r="L41">
        <f>VLOOKUP($A41,p_win_totals!$D$2:$J$31,7,0)</f>
        <v>1</v>
      </c>
      <c r="M41">
        <v>28.475724448151958</v>
      </c>
      <c r="N41">
        <v>7</v>
      </c>
      <c r="P41">
        <f>$D41-$N41</f>
        <v>-6</v>
      </c>
      <c r="Q41">
        <f>ABS($D41-$N41)</f>
        <v>6</v>
      </c>
      <c r="R41">
        <f>($D41-$N41)^2</f>
        <v>36</v>
      </c>
    </row>
    <row r="42" spans="1:33" x14ac:dyDescent="0.25">
      <c r="A42" t="s">
        <v>14</v>
      </c>
      <c r="B42">
        <v>24.607952411794539</v>
      </c>
      <c r="C42">
        <f t="shared" si="0"/>
        <v>9</v>
      </c>
      <c r="D42">
        <f>VLOOKUP($A42,d_win_totals!$E$2:$K$31,6,0)</f>
        <v>7</v>
      </c>
      <c r="G42">
        <v>1</v>
      </c>
      <c r="H42">
        <v>1</v>
      </c>
      <c r="I42">
        <v>0.57254632407945649</v>
      </c>
      <c r="J42">
        <v>9</v>
      </c>
      <c r="K42">
        <f>VLOOKUP($A42,p_win_totals!$D$2:$J$31,6,0)</f>
        <v>52</v>
      </c>
      <c r="L42">
        <f>VLOOKUP($A42,p_win_totals!$D$2:$J$31,7,0)</f>
        <v>7</v>
      </c>
      <c r="M42">
        <v>24.607952411794539</v>
      </c>
      <c r="N42">
        <v>9</v>
      </c>
      <c r="P42">
        <f>$D42-$N42</f>
        <v>-2</v>
      </c>
      <c r="Q42">
        <f>ABS($D42-$N42)</f>
        <v>2</v>
      </c>
      <c r="R42">
        <f>($D42-$N42)^2</f>
        <v>4</v>
      </c>
    </row>
    <row r="43" spans="1:33" x14ac:dyDescent="0.25">
      <c r="A43" t="s">
        <v>32</v>
      </c>
      <c r="B43">
        <v>8.3809962077627915</v>
      </c>
      <c r="C43">
        <f t="shared" si="0"/>
        <v>25</v>
      </c>
      <c r="D43">
        <f>VLOOKUP($A43,d_win_totals!$E$2:$K$31,6,0)</f>
        <v>18</v>
      </c>
      <c r="G43">
        <v>1</v>
      </c>
      <c r="H43">
        <v>1</v>
      </c>
      <c r="I43">
        <v>0.19498734270007739</v>
      </c>
      <c r="J43">
        <v>25</v>
      </c>
      <c r="K43">
        <f>VLOOKUP($A43,p_win_totals!$D$2:$J$31,6,0)</f>
        <v>40</v>
      </c>
      <c r="L43">
        <f>VLOOKUP($A43,p_win_totals!$D$2:$J$31,7,0)</f>
        <v>18</v>
      </c>
      <c r="M43">
        <v>8.3809962077627915</v>
      </c>
      <c r="N43">
        <v>25</v>
      </c>
      <c r="P43">
        <f>$D43-$N43</f>
        <v>-7</v>
      </c>
      <c r="Q43">
        <f>ABS($D43-$N43)</f>
        <v>7</v>
      </c>
      <c r="R43">
        <f>($D43-$N43)^2</f>
        <v>49</v>
      </c>
    </row>
    <row r="44" spans="1:33" x14ac:dyDescent="0.25">
      <c r="A44" t="s">
        <v>33</v>
      </c>
      <c r="B44">
        <v>8.9436937570043664</v>
      </c>
      <c r="C44">
        <f t="shared" si="0"/>
        <v>23</v>
      </c>
      <c r="D44">
        <f>VLOOKUP($A44,d_win_totals!$E$2:$K$31,6,0)</f>
        <v>21</v>
      </c>
      <c r="G44">
        <v>1</v>
      </c>
      <c r="H44">
        <v>1</v>
      </c>
      <c r="I44">
        <v>0.20797979680876644</v>
      </c>
      <c r="J44">
        <v>23</v>
      </c>
      <c r="K44">
        <f>VLOOKUP($A44,p_win_totals!$D$2:$J$31,6,0)</f>
        <v>34</v>
      </c>
      <c r="L44">
        <f>VLOOKUP($A44,p_win_totals!$D$2:$J$31,7,0)</f>
        <v>21</v>
      </c>
      <c r="M44">
        <v>8.9436937570043664</v>
      </c>
      <c r="N44">
        <v>23</v>
      </c>
      <c r="P44">
        <f>$D44-$N44</f>
        <v>-2</v>
      </c>
      <c r="Q44">
        <f>ABS($D44-$N44)</f>
        <v>2</v>
      </c>
      <c r="R44">
        <f>($D44-$N44)^2</f>
        <v>4</v>
      </c>
    </row>
    <row r="45" spans="1:33" x14ac:dyDescent="0.25">
      <c r="A45" t="s">
        <v>36</v>
      </c>
      <c r="B45">
        <v>87.221791544951827</v>
      </c>
      <c r="C45">
        <f t="shared" si="0"/>
        <v>1</v>
      </c>
      <c r="D45">
        <f>VLOOKUP($A45,d_win_totals!$E$2:$K$31,6,0)</f>
        <v>6</v>
      </c>
      <c r="G45">
        <v>1</v>
      </c>
      <c r="H45">
        <v>1</v>
      </c>
      <c r="I45">
        <v>2.0274698013462968</v>
      </c>
      <c r="J45">
        <v>1</v>
      </c>
      <c r="K45">
        <f>VLOOKUP($A45,p_win_totals!$D$2:$J$31,6,0)</f>
        <v>53</v>
      </c>
      <c r="L45">
        <f>VLOOKUP($A45,p_win_totals!$D$2:$J$31,7,0)</f>
        <v>6</v>
      </c>
      <c r="M45">
        <v>87.221791544951827</v>
      </c>
      <c r="N45">
        <v>1</v>
      </c>
      <c r="P45">
        <f>$D45-$N45</f>
        <v>5</v>
      </c>
      <c r="Q45">
        <f>ABS($D45-$N45)</f>
        <v>5</v>
      </c>
      <c r="R45">
        <f>($D45-$N45)^2</f>
        <v>25</v>
      </c>
    </row>
    <row r="46" spans="1:33" x14ac:dyDescent="0.25">
      <c r="A46" t="s">
        <v>16</v>
      </c>
      <c r="B46">
        <v>34.280310955987886</v>
      </c>
      <c r="C46">
        <f t="shared" si="0"/>
        <v>5</v>
      </c>
      <c r="D46">
        <f>VLOOKUP($A46,d_win_totals!$E$2:$K$31,6,0)</f>
        <v>7</v>
      </c>
      <c r="G46">
        <v>1</v>
      </c>
      <c r="H46">
        <v>1</v>
      </c>
      <c r="I46">
        <v>0.79834984241511631</v>
      </c>
      <c r="J46">
        <v>5</v>
      </c>
      <c r="K46">
        <f>VLOOKUP($A46,p_win_totals!$D$2:$J$31,6,0)</f>
        <v>48</v>
      </c>
      <c r="L46">
        <f>VLOOKUP($A46,p_win_totals!$D$2:$J$31,7,0)</f>
        <v>11</v>
      </c>
      <c r="M46">
        <v>34.280310955987886</v>
      </c>
      <c r="N46">
        <v>5</v>
      </c>
      <c r="P46">
        <f>$D46-$N46</f>
        <v>2</v>
      </c>
      <c r="Q46">
        <f>ABS($D46-$N46)</f>
        <v>2</v>
      </c>
      <c r="R46">
        <f>($D46-$N46)^2</f>
        <v>4</v>
      </c>
    </row>
    <row r="47" spans="1:33" x14ac:dyDescent="0.25">
      <c r="A47" t="s">
        <v>20</v>
      </c>
      <c r="B47">
        <v>13.226523181264582</v>
      </c>
      <c r="C47">
        <f t="shared" si="0"/>
        <v>18</v>
      </c>
      <c r="D47">
        <f>VLOOKUP($A47,d_win_totals!$E$2:$K$31,6,0)</f>
        <v>22</v>
      </c>
      <c r="G47">
        <v>1</v>
      </c>
      <c r="H47">
        <v>1</v>
      </c>
      <c r="I47">
        <v>0.30757164248393182</v>
      </c>
      <c r="J47">
        <v>18</v>
      </c>
      <c r="K47">
        <f>VLOOKUP($A47,p_win_totals!$D$2:$J$31,6,0)</f>
        <v>33</v>
      </c>
      <c r="L47">
        <f>VLOOKUP($A47,p_win_totals!$D$2:$J$31,7,0)</f>
        <v>22</v>
      </c>
      <c r="M47">
        <v>13.226523181264582</v>
      </c>
      <c r="N47">
        <v>18</v>
      </c>
      <c r="P47">
        <f>$D47-$N47</f>
        <v>4</v>
      </c>
      <c r="Q47">
        <f>ABS($D47-$N47)</f>
        <v>4</v>
      </c>
      <c r="R47">
        <f>($D47-$N47)^2</f>
        <v>16</v>
      </c>
    </row>
    <row r="48" spans="1:33" x14ac:dyDescent="0.25">
      <c r="A48" t="s">
        <v>41</v>
      </c>
      <c r="B48">
        <v>38.120470592671523</v>
      </c>
      <c r="C48">
        <f t="shared" si="0"/>
        <v>3</v>
      </c>
      <c r="D48">
        <f>VLOOKUP($A48,d_win_totals!$E$2:$K$31,6,0)</f>
        <v>4</v>
      </c>
      <c r="G48">
        <v>1</v>
      </c>
      <c r="H48">
        <v>1</v>
      </c>
      <c r="I48">
        <v>0.88409046388660839</v>
      </c>
      <c r="J48">
        <v>3</v>
      </c>
      <c r="K48">
        <f>VLOOKUP($A48,p_win_totals!$D$2:$J$31,6,0)</f>
        <v>58</v>
      </c>
      <c r="L48">
        <f>VLOOKUP($A48,p_win_totals!$D$2:$J$31,7,0)</f>
        <v>1</v>
      </c>
      <c r="M48">
        <v>38.120470592671523</v>
      </c>
      <c r="N48">
        <v>3</v>
      </c>
      <c r="P48">
        <f>$D48-$N48</f>
        <v>1</v>
      </c>
      <c r="Q48">
        <f>ABS($D48-$N48)</f>
        <v>1</v>
      </c>
      <c r="R48">
        <f>($D48-$N48)^2</f>
        <v>1</v>
      </c>
    </row>
    <row r="49" spans="1:18" x14ac:dyDescent="0.25">
      <c r="A49" t="s">
        <v>17</v>
      </c>
      <c r="B49">
        <v>4.0186723412683305</v>
      </c>
      <c r="C49">
        <f t="shared" si="0"/>
        <v>27</v>
      </c>
      <c r="D49">
        <f>VLOOKUP($A49,d_win_totals!$E$2:$K$31,6,0)</f>
        <v>23</v>
      </c>
      <c r="G49">
        <v>1</v>
      </c>
      <c r="H49">
        <v>1</v>
      </c>
      <c r="I49">
        <v>9.3443551008829034E-2</v>
      </c>
      <c r="J49">
        <v>27</v>
      </c>
      <c r="K49">
        <f>VLOOKUP($A49,p_win_totals!$D$2:$J$31,6,0)</f>
        <v>29</v>
      </c>
      <c r="L49">
        <f>VLOOKUP($A49,p_win_totals!$D$2:$J$31,7,0)</f>
        <v>23</v>
      </c>
      <c r="M49">
        <v>4.0186723412683305</v>
      </c>
      <c r="N49">
        <v>27</v>
      </c>
      <c r="P49">
        <f>$D49-$N49</f>
        <v>-4</v>
      </c>
      <c r="Q49">
        <f>ABS($D49-$N49)</f>
        <v>4</v>
      </c>
      <c r="R49">
        <f>($D49-$N49)^2</f>
        <v>16</v>
      </c>
    </row>
    <row r="50" spans="1:18" x14ac:dyDescent="0.25">
      <c r="A50" t="s">
        <v>28</v>
      </c>
      <c r="B50">
        <v>37.190378430933976</v>
      </c>
      <c r="C50">
        <f t="shared" si="0"/>
        <v>4</v>
      </c>
      <c r="D50">
        <f>VLOOKUP($A50,d_win_totals!$E$2:$K$31,6,0)</f>
        <v>11</v>
      </c>
      <c r="G50">
        <v>1</v>
      </c>
      <c r="H50">
        <v>1</v>
      </c>
      <c r="I50">
        <v>0.86716388418585333</v>
      </c>
      <c r="J50">
        <v>4</v>
      </c>
      <c r="K50">
        <f>VLOOKUP($A50,p_win_totals!$D$2:$J$31,6,0)</f>
        <v>50</v>
      </c>
      <c r="L50">
        <f>VLOOKUP($A50,p_win_totals!$D$2:$J$31,7,0)</f>
        <v>9</v>
      </c>
      <c r="M50">
        <v>37.190378430933976</v>
      </c>
      <c r="N50">
        <v>4</v>
      </c>
      <c r="P50">
        <f>$D50-$N50</f>
        <v>7</v>
      </c>
      <c r="Q50">
        <f>ABS($D50-$N50)</f>
        <v>7</v>
      </c>
      <c r="R50">
        <f>($D50-$N50)^2</f>
        <v>49</v>
      </c>
    </row>
    <row r="51" spans="1:18" x14ac:dyDescent="0.25">
      <c r="A51" t="s">
        <v>24</v>
      </c>
      <c r="B51">
        <v>11.65957137688112</v>
      </c>
      <c r="C51">
        <f t="shared" si="0"/>
        <v>20</v>
      </c>
      <c r="D51">
        <f>VLOOKUP($A51,d_win_totals!$E$2:$K$31,6,0)</f>
        <v>14</v>
      </c>
      <c r="G51">
        <v>1</v>
      </c>
      <c r="H51">
        <v>1</v>
      </c>
      <c r="I51">
        <v>0.27116683974396016</v>
      </c>
      <c r="J51">
        <v>20</v>
      </c>
      <c r="K51">
        <f>VLOOKUP($A51,p_win_totals!$D$2:$J$31,6,0)</f>
        <v>45</v>
      </c>
      <c r="L51">
        <f>VLOOKUP($A51,p_win_totals!$D$2:$J$31,7,0)</f>
        <v>14</v>
      </c>
      <c r="M51">
        <v>11.65957137688112</v>
      </c>
      <c r="N51">
        <v>20</v>
      </c>
      <c r="P51">
        <f>$D51-$N51</f>
        <v>-6</v>
      </c>
      <c r="Q51">
        <f>ABS($D51-$N51)</f>
        <v>6</v>
      </c>
      <c r="R51">
        <f>($D51-$N51)^2</f>
        <v>36</v>
      </c>
    </row>
    <row r="52" spans="1:18" x14ac:dyDescent="0.25">
      <c r="A52" t="s">
        <v>19</v>
      </c>
      <c r="B52">
        <v>14.800320032633566</v>
      </c>
      <c r="C52">
        <f t="shared" si="0"/>
        <v>15</v>
      </c>
      <c r="D52">
        <f>VLOOKUP($A52,d_win_totals!$E$2:$K$31,6,0)</f>
        <v>29</v>
      </c>
      <c r="G52">
        <v>1</v>
      </c>
      <c r="H52">
        <v>1</v>
      </c>
      <c r="I52">
        <v>0.34426279523602787</v>
      </c>
      <c r="J52">
        <v>15</v>
      </c>
      <c r="K52">
        <f>VLOOKUP($A52,p_win_totals!$D$2:$J$31,6,0)</f>
        <v>25</v>
      </c>
      <c r="L52">
        <f>VLOOKUP($A52,p_win_totals!$D$2:$J$31,7,0)</f>
        <v>27</v>
      </c>
      <c r="M52">
        <v>14.800320032633566</v>
      </c>
      <c r="N52">
        <v>15</v>
      </c>
      <c r="P52">
        <f>$D52-$N52</f>
        <v>14</v>
      </c>
      <c r="Q52">
        <f>ABS($D52-$N52)</f>
        <v>14</v>
      </c>
      <c r="R52">
        <f>($D52-$N52)^2</f>
        <v>196</v>
      </c>
    </row>
    <row r="53" spans="1:18" x14ac:dyDescent="0.25">
      <c r="A53" t="s">
        <v>29</v>
      </c>
      <c r="B53">
        <v>2.8776765531779223</v>
      </c>
      <c r="C53">
        <f t="shared" si="0"/>
        <v>30</v>
      </c>
      <c r="D53">
        <f>VLOOKUP($A53,d_win_totals!$E$2:$K$31,6,0)</f>
        <v>27</v>
      </c>
      <c r="G53">
        <v>1</v>
      </c>
      <c r="H53">
        <v>1</v>
      </c>
      <c r="I53">
        <v>6.6912031414692111E-2</v>
      </c>
      <c r="J53">
        <v>30</v>
      </c>
      <c r="K53">
        <f>VLOOKUP($A53,p_win_totals!$D$2:$J$31,6,0)</f>
        <v>24</v>
      </c>
      <c r="L53">
        <f>VLOOKUP($A53,p_win_totals!$D$2:$J$31,7,0)</f>
        <v>28</v>
      </c>
      <c r="M53">
        <v>2.8776765531779223</v>
      </c>
      <c r="N53">
        <v>30</v>
      </c>
      <c r="P53">
        <f>$D53-$N53</f>
        <v>-3</v>
      </c>
      <c r="Q53">
        <f>ABS($D53-$N53)</f>
        <v>3</v>
      </c>
      <c r="R53">
        <f>($D53-$N53)^2</f>
        <v>9</v>
      </c>
    </row>
    <row r="54" spans="1:18" x14ac:dyDescent="0.25">
      <c r="A54" t="s">
        <v>12</v>
      </c>
      <c r="B54">
        <v>20.833280127135495</v>
      </c>
      <c r="C54">
        <f t="shared" si="0"/>
        <v>11</v>
      </c>
      <c r="D54">
        <f>VLOOKUP($A54,d_win_totals!$E$2:$K$31,6,0)</f>
        <v>16</v>
      </c>
      <c r="G54">
        <v>1</v>
      </c>
      <c r="H54">
        <v>1</v>
      </c>
      <c r="I54">
        <v>0.48366101640935577</v>
      </c>
      <c r="J54">
        <v>11</v>
      </c>
      <c r="K54">
        <f>VLOOKUP($A54,p_win_totals!$D$2:$J$31,6,0)</f>
        <v>41</v>
      </c>
      <c r="L54">
        <f>VLOOKUP($A54,p_win_totals!$D$2:$J$31,7,0)</f>
        <v>17</v>
      </c>
      <c r="M54">
        <v>20.833280127135495</v>
      </c>
      <c r="N54">
        <v>11</v>
      </c>
      <c r="P54">
        <f>$D54-$N54</f>
        <v>5</v>
      </c>
      <c r="Q54">
        <f>ABS($D54-$N54)</f>
        <v>5</v>
      </c>
      <c r="R54">
        <f>($D54-$N54)^2</f>
        <v>25</v>
      </c>
    </row>
    <row r="55" spans="1:18" x14ac:dyDescent="0.25">
      <c r="A55" t="s">
        <v>31</v>
      </c>
      <c r="B55">
        <v>3.1934374010878672</v>
      </c>
      <c r="C55">
        <f t="shared" si="0"/>
        <v>29</v>
      </c>
      <c r="D55">
        <f>VLOOKUP($A55,d_win_totals!$E$2:$K$31,6,0)</f>
        <v>18</v>
      </c>
      <c r="G55">
        <v>1</v>
      </c>
      <c r="H55">
        <v>1</v>
      </c>
      <c r="I55">
        <v>7.4280476366190409E-2</v>
      </c>
      <c r="J55">
        <v>29</v>
      </c>
      <c r="K55">
        <f>VLOOKUP($A55,p_win_totals!$D$2:$J$31,6,0)</f>
        <v>40</v>
      </c>
      <c r="L55">
        <f>VLOOKUP($A55,p_win_totals!$D$2:$J$31,7,0)</f>
        <v>18</v>
      </c>
      <c r="M55">
        <v>3.1934374010878672</v>
      </c>
      <c r="N55">
        <v>29</v>
      </c>
      <c r="P55">
        <f>$D55-$N55</f>
        <v>-11</v>
      </c>
      <c r="Q55">
        <f>ABS($D55-$N55)</f>
        <v>11</v>
      </c>
      <c r="R55">
        <f>($D55-$N55)^2</f>
        <v>121</v>
      </c>
    </row>
    <row r="56" spans="1:18" x14ac:dyDescent="0.25">
      <c r="A56" t="s">
        <v>38</v>
      </c>
      <c r="B56">
        <v>17.489783225231893</v>
      </c>
      <c r="C56">
        <f t="shared" si="0"/>
        <v>13</v>
      </c>
      <c r="D56">
        <f>VLOOKUP($A56,d_win_totals!$E$2:$K$31,6,0)</f>
        <v>2</v>
      </c>
      <c r="G56">
        <v>1</v>
      </c>
      <c r="H56">
        <v>1</v>
      </c>
      <c r="I56">
        <v>0.40685615368250755</v>
      </c>
      <c r="J56">
        <v>13</v>
      </c>
      <c r="K56">
        <f>VLOOKUP($A56,p_win_totals!$D$2:$J$31,6,0)</f>
        <v>55</v>
      </c>
      <c r="L56">
        <f>VLOOKUP($A56,p_win_totals!$D$2:$J$31,7,0)</f>
        <v>5</v>
      </c>
      <c r="M56">
        <v>17.489783225231893</v>
      </c>
      <c r="N56">
        <v>13</v>
      </c>
      <c r="P56">
        <f>$D56-$N56</f>
        <v>-11</v>
      </c>
      <c r="Q56">
        <f>ABS($D56-$N56)</f>
        <v>11</v>
      </c>
      <c r="R56">
        <f>($D56-$N56)^2</f>
        <v>121</v>
      </c>
    </row>
    <row r="57" spans="1:18" x14ac:dyDescent="0.25">
      <c r="A57" t="s">
        <v>13</v>
      </c>
      <c r="B57">
        <v>5.4534148857319229</v>
      </c>
      <c r="C57">
        <f t="shared" si="0"/>
        <v>26</v>
      </c>
      <c r="D57">
        <f>VLOOKUP($A57,d_win_totals!$E$2:$K$31,6,0)</f>
        <v>25</v>
      </c>
      <c r="G57">
        <v>1</v>
      </c>
      <c r="H57">
        <v>1</v>
      </c>
      <c r="I57">
        <v>0.12681730495280349</v>
      </c>
      <c r="J57">
        <v>26</v>
      </c>
      <c r="K57">
        <f>VLOOKUP($A57,p_win_totals!$D$2:$J$31,6,0)</f>
        <v>27</v>
      </c>
      <c r="L57">
        <f>VLOOKUP($A57,p_win_totals!$D$2:$J$31,7,0)</f>
        <v>25</v>
      </c>
      <c r="M57">
        <v>5.4534148857319229</v>
      </c>
      <c r="N57">
        <v>26</v>
      </c>
      <c r="P57">
        <f>$D57-$N57</f>
        <v>-1</v>
      </c>
      <c r="Q57">
        <f>ABS($D57-$N57)</f>
        <v>1</v>
      </c>
      <c r="R57">
        <f>($D57-$N57)^2</f>
        <v>1</v>
      </c>
    </row>
    <row r="58" spans="1:18" x14ac:dyDescent="0.25">
      <c r="A58" t="s">
        <v>21</v>
      </c>
      <c r="B58">
        <v>3.5173424173030634</v>
      </c>
      <c r="C58">
        <f t="shared" si="0"/>
        <v>28</v>
      </c>
      <c r="D58">
        <f>VLOOKUP($A58,d_win_totals!$E$2:$K$31,6,0)</f>
        <v>30</v>
      </c>
      <c r="G58">
        <v>1</v>
      </c>
      <c r="H58">
        <v>1</v>
      </c>
      <c r="I58">
        <v>8.177550929665936E-2</v>
      </c>
      <c r="J58">
        <v>28</v>
      </c>
      <c r="K58">
        <f>VLOOKUP($A58,p_win_totals!$D$2:$J$31,6,0)</f>
        <v>15</v>
      </c>
      <c r="L58">
        <f>VLOOKUP($A58,p_win_totals!$D$2:$J$31,7,0)</f>
        <v>30</v>
      </c>
      <c r="M58">
        <v>3.5173424173030634</v>
      </c>
      <c r="N58">
        <v>28</v>
      </c>
      <c r="P58">
        <f>$D58-$N58</f>
        <v>2</v>
      </c>
      <c r="Q58">
        <f>ABS($D58-$N58)</f>
        <v>2</v>
      </c>
      <c r="R58">
        <f>($D58-$N58)^2</f>
        <v>4</v>
      </c>
    </row>
    <row r="59" spans="1:18" x14ac:dyDescent="0.25">
      <c r="A59" t="s">
        <v>35</v>
      </c>
      <c r="B59">
        <v>12.664829277580379</v>
      </c>
      <c r="C59">
        <f t="shared" si="0"/>
        <v>19</v>
      </c>
      <c r="D59">
        <f>VLOOKUP($A59,d_win_totals!$E$2:$K$31,6,0)</f>
        <v>15</v>
      </c>
      <c r="G59">
        <v>1</v>
      </c>
      <c r="H59">
        <v>1</v>
      </c>
      <c r="I59">
        <v>0.29442095405356583</v>
      </c>
      <c r="J59">
        <v>19</v>
      </c>
      <c r="K59">
        <f>VLOOKUP($A59,p_win_totals!$D$2:$J$31,6,0)</f>
        <v>43</v>
      </c>
      <c r="L59">
        <f>VLOOKUP($A59,p_win_totals!$D$2:$J$31,7,0)</f>
        <v>15</v>
      </c>
      <c r="M59">
        <v>12.664829277580379</v>
      </c>
      <c r="N59">
        <v>19</v>
      </c>
      <c r="P59">
        <f>$D59-$N59</f>
        <v>-4</v>
      </c>
      <c r="Q59">
        <f>ABS($D59-$N59)</f>
        <v>4</v>
      </c>
      <c r="R59">
        <f>($D59-$N59)^2</f>
        <v>16</v>
      </c>
    </row>
    <row r="60" spans="1:18" x14ac:dyDescent="0.25">
      <c r="A60" t="s">
        <v>39</v>
      </c>
      <c r="B60">
        <v>27.319698947835668</v>
      </c>
      <c r="C60">
        <f t="shared" si="0"/>
        <v>8</v>
      </c>
      <c r="D60">
        <f>VLOOKUP($A60,d_win_totals!$E$2:$K$31,6,0)</f>
        <v>11</v>
      </c>
      <c r="G60">
        <v>1</v>
      </c>
      <c r="H60">
        <v>1</v>
      </c>
      <c r="I60">
        <v>0.63482229705919779</v>
      </c>
      <c r="J60">
        <v>8</v>
      </c>
      <c r="K60">
        <f>VLOOKUP($A60,p_win_totals!$D$2:$J$31,6,0)</f>
        <v>49</v>
      </c>
      <c r="L60">
        <f>VLOOKUP($A60,p_win_totals!$D$2:$J$31,7,0)</f>
        <v>10</v>
      </c>
      <c r="M60">
        <v>27.319698947835668</v>
      </c>
      <c r="N60">
        <v>8</v>
      </c>
      <c r="P60">
        <f>$D60-$N60</f>
        <v>3</v>
      </c>
      <c r="Q60">
        <f>ABS($D60-$N60)</f>
        <v>3</v>
      </c>
      <c r="R60">
        <f>($D60-$N60)^2</f>
        <v>9</v>
      </c>
    </row>
    <row r="61" spans="1:18" x14ac:dyDescent="0.25">
      <c r="A61" t="s">
        <v>15</v>
      </c>
      <c r="B61">
        <v>32.185652977605855</v>
      </c>
      <c r="C61">
        <f t="shared" si="0"/>
        <v>6</v>
      </c>
      <c r="D61">
        <f>VLOOKUP($A61,d_win_totals!$E$2:$K$31,6,0)</f>
        <v>3</v>
      </c>
      <c r="G61">
        <v>1</v>
      </c>
      <c r="H61">
        <v>1</v>
      </c>
      <c r="I61">
        <v>0.74773488441654934</v>
      </c>
      <c r="J61">
        <v>6</v>
      </c>
      <c r="K61">
        <f>VLOOKUP($A61,p_win_totals!$D$2:$J$31,6,0)</f>
        <v>56</v>
      </c>
      <c r="L61">
        <f>VLOOKUP($A61,p_win_totals!$D$2:$J$31,7,0)</f>
        <v>3</v>
      </c>
      <c r="M61">
        <v>32.185652977605855</v>
      </c>
      <c r="N61">
        <v>6</v>
      </c>
      <c r="P61">
        <f>$D61-$N61</f>
        <v>-3</v>
      </c>
      <c r="Q61">
        <f>ABS($D61-$N61)</f>
        <v>3</v>
      </c>
      <c r="R61">
        <f>($D61-$N61)^2</f>
        <v>9</v>
      </c>
    </row>
    <row r="62" spans="1:18" x14ac:dyDescent="0.25">
      <c r="A62" t="s">
        <v>37</v>
      </c>
      <c r="B62">
        <v>8.5076340200797205</v>
      </c>
      <c r="C62">
        <f t="shared" si="0"/>
        <v>24</v>
      </c>
      <c r="D62">
        <f>VLOOKUP($A62,d_win_totals!$E$2:$K$31,6,0)</f>
        <v>24</v>
      </c>
      <c r="G62">
        <v>1</v>
      </c>
      <c r="H62">
        <v>1</v>
      </c>
      <c r="I62">
        <v>0.19792342767564522</v>
      </c>
      <c r="J62">
        <v>24</v>
      </c>
      <c r="K62">
        <f>VLOOKUP($A62,p_win_totals!$D$2:$J$31,6,0)</f>
        <v>29</v>
      </c>
      <c r="L62">
        <f>VLOOKUP($A62,p_win_totals!$D$2:$J$31,7,0)</f>
        <v>23</v>
      </c>
      <c r="M62">
        <v>8.5076340200797205</v>
      </c>
      <c r="N62">
        <v>24</v>
      </c>
      <c r="P62">
        <f>$D62-$N62</f>
        <v>0</v>
      </c>
      <c r="Q62">
        <f>ABS($D62-$N62)</f>
        <v>0</v>
      </c>
      <c r="R62">
        <f>($D62-$N62)^2</f>
        <v>0</v>
      </c>
    </row>
    <row r="63" spans="1:18" x14ac:dyDescent="0.25">
      <c r="A63" t="s">
        <v>27</v>
      </c>
      <c r="B63">
        <v>19.312219888739858</v>
      </c>
      <c r="C63">
        <f t="shared" si="0"/>
        <v>12</v>
      </c>
      <c r="D63">
        <f>VLOOKUP($A63,d_win_totals!$E$2:$K$31,6,0)</f>
        <v>7</v>
      </c>
      <c r="G63">
        <v>1</v>
      </c>
      <c r="H63">
        <v>1</v>
      </c>
      <c r="I63">
        <v>0.44931036278660286</v>
      </c>
      <c r="J63">
        <v>12</v>
      </c>
      <c r="K63">
        <f>VLOOKUP($A63,p_win_totals!$D$2:$J$31,6,0)</f>
        <v>52</v>
      </c>
      <c r="L63">
        <f>VLOOKUP($A63,p_win_totals!$D$2:$J$31,7,0)</f>
        <v>7</v>
      </c>
      <c r="M63">
        <v>19.312219888739858</v>
      </c>
      <c r="N63">
        <v>12</v>
      </c>
      <c r="P63">
        <f>$D63-$N63</f>
        <v>-5</v>
      </c>
      <c r="Q63">
        <f>ABS($D63-$N63)</f>
        <v>5</v>
      </c>
      <c r="R63">
        <f>($D63-$N63)^2</f>
        <v>25</v>
      </c>
    </row>
    <row r="64" spans="1:18" x14ac:dyDescent="0.25">
      <c r="A64" t="s">
        <v>34</v>
      </c>
      <c r="B64">
        <v>13.476276399408899</v>
      </c>
      <c r="C64">
        <f t="shared" si="0"/>
        <v>17</v>
      </c>
      <c r="D64">
        <f>VLOOKUP($A64,d_win_totals!$E$2:$K$31,6,0)</f>
        <v>27</v>
      </c>
      <c r="G64">
        <v>1</v>
      </c>
      <c r="H64">
        <v>1</v>
      </c>
      <c r="I64">
        <v>0.31322873343352264</v>
      </c>
      <c r="J64">
        <v>17</v>
      </c>
      <c r="K64">
        <f>VLOOKUP($A64,p_win_totals!$D$2:$J$31,6,0)</f>
        <v>27</v>
      </c>
      <c r="L64">
        <f>VLOOKUP($A64,p_win_totals!$D$2:$J$31,7,0)</f>
        <v>25</v>
      </c>
      <c r="M64">
        <v>13.476276399408899</v>
      </c>
      <c r="N64">
        <v>17</v>
      </c>
      <c r="P64">
        <f>$D64-$N64</f>
        <v>10</v>
      </c>
      <c r="Q64">
        <f>ABS($D64-$N64)</f>
        <v>10</v>
      </c>
      <c r="R64">
        <f>($D64-$N64)^2</f>
        <v>100</v>
      </c>
    </row>
    <row r="65" spans="1:35" x14ac:dyDescent="0.25">
      <c r="A65" t="s">
        <v>25</v>
      </c>
      <c r="B65">
        <v>17.323085475278511</v>
      </c>
      <c r="C65">
        <f t="shared" si="0"/>
        <v>14</v>
      </c>
      <c r="D65">
        <f>VLOOKUP($A65,d_win_totals!$E$2:$K$31,6,0)</f>
        <v>7</v>
      </c>
      <c r="G65">
        <v>1</v>
      </c>
      <c r="H65">
        <v>1</v>
      </c>
      <c r="I65">
        <v>0.40272458118742654</v>
      </c>
      <c r="J65">
        <v>14</v>
      </c>
      <c r="K65">
        <f>VLOOKUP($A65,p_win_totals!$D$2:$J$31,6,0)</f>
        <v>48</v>
      </c>
      <c r="L65">
        <f>VLOOKUP($A65,p_win_totals!$D$2:$J$31,7,0)</f>
        <v>11</v>
      </c>
      <c r="M65">
        <v>17.323085475278511</v>
      </c>
      <c r="N65">
        <v>14</v>
      </c>
      <c r="P65">
        <f>$D65-$N65</f>
        <v>-7</v>
      </c>
      <c r="Q65">
        <f>ABS($D65-$N65)</f>
        <v>7</v>
      </c>
      <c r="R65">
        <f>($D65-$N65)^2</f>
        <v>49</v>
      </c>
    </row>
    <row r="67" spans="1:35" x14ac:dyDescent="0.25">
      <c r="A67" t="s">
        <v>89</v>
      </c>
      <c r="G67">
        <v>796</v>
      </c>
      <c r="I67">
        <v>391.52928254564472</v>
      </c>
      <c r="L67">
        <v>591.70970423303186</v>
      </c>
      <c r="N67">
        <v>391.52877615519378</v>
      </c>
      <c r="P67">
        <f>SUM(P36:P65)</f>
        <v>-13</v>
      </c>
      <c r="Q67">
        <f>SUM(Q36:Q65)</f>
        <v>171</v>
      </c>
      <c r="R67">
        <f>SUM(R36:R65)</f>
        <v>1423</v>
      </c>
    </row>
    <row r="69" spans="1:35" x14ac:dyDescent="0.25">
      <c r="A69" t="s">
        <v>79</v>
      </c>
      <c r="AG69" t="s">
        <v>102</v>
      </c>
      <c r="AH69" t="s">
        <v>103</v>
      </c>
    </row>
    <row r="70" spans="1:35" x14ac:dyDescent="0.25">
      <c r="B70" t="s">
        <v>26</v>
      </c>
      <c r="C70" t="s">
        <v>23</v>
      </c>
      <c r="D70" t="s">
        <v>22</v>
      </c>
      <c r="E70" t="s">
        <v>18</v>
      </c>
      <c r="F70" t="s">
        <v>30</v>
      </c>
      <c r="G70" t="s">
        <v>40</v>
      </c>
      <c r="H70" t="s">
        <v>14</v>
      </c>
      <c r="I70" t="s">
        <v>32</v>
      </c>
      <c r="J70" t="s">
        <v>33</v>
      </c>
      <c r="K70" t="s">
        <v>36</v>
      </c>
      <c r="L70" t="s">
        <v>16</v>
      </c>
      <c r="M70" t="s">
        <v>20</v>
      </c>
      <c r="N70" t="s">
        <v>41</v>
      </c>
      <c r="O70" t="s">
        <v>17</v>
      </c>
      <c r="P70" t="s">
        <v>28</v>
      </c>
      <c r="Q70" t="s">
        <v>24</v>
      </c>
      <c r="R70" t="s">
        <v>19</v>
      </c>
      <c r="S70" t="s">
        <v>29</v>
      </c>
      <c r="T70" t="s">
        <v>12</v>
      </c>
      <c r="U70" t="s">
        <v>31</v>
      </c>
      <c r="V70" t="s">
        <v>38</v>
      </c>
      <c r="W70" t="s">
        <v>13</v>
      </c>
      <c r="X70" t="s">
        <v>21</v>
      </c>
      <c r="Y70" t="s">
        <v>35</v>
      </c>
      <c r="Z70" t="s">
        <v>39</v>
      </c>
      <c r="AA70" t="s">
        <v>15</v>
      </c>
      <c r="AB70" t="s">
        <v>37</v>
      </c>
      <c r="AC70" t="s">
        <v>27</v>
      </c>
      <c r="AD70" t="s">
        <v>34</v>
      </c>
      <c r="AE70" t="s">
        <v>25</v>
      </c>
    </row>
    <row r="71" spans="1:35" x14ac:dyDescent="0.25">
      <c r="A71" t="s">
        <v>26</v>
      </c>
      <c r="B71">
        <f t="shared" ref="B71:AE71" si="1">IFERROR(VLOOKUP($A71,table_rank_wins,2,0)/(VLOOKUP($A71,table_rank_wins,2,0)+VLOOKUP(B$70,table_rank_wins,2,0))*(B3+HLOOKUP($A71,table_h2h_wins,MATCH(B$70,$A$2:$A$32,0),0)),0)</f>
        <v>0</v>
      </c>
      <c r="C71">
        <f t="shared" si="1"/>
        <v>3.1993102865921283</v>
      </c>
      <c r="D71">
        <f t="shared" si="1"/>
        <v>2.2814827005124245</v>
      </c>
      <c r="E71">
        <f t="shared" si="1"/>
        <v>3.246934725599925</v>
      </c>
      <c r="F71">
        <f t="shared" si="1"/>
        <v>1.9616777726004688</v>
      </c>
      <c r="G71">
        <f t="shared" si="1"/>
        <v>2.4064114260886953</v>
      </c>
      <c r="H71">
        <f t="shared" si="1"/>
        <v>1.2720397073436123</v>
      </c>
      <c r="I71">
        <f t="shared" si="1"/>
        <v>1.6737705834323016</v>
      </c>
      <c r="J71">
        <f t="shared" si="1"/>
        <v>3.3112778002393521</v>
      </c>
      <c r="K71">
        <f t="shared" si="1"/>
        <v>0.66041174045983908</v>
      </c>
      <c r="L71">
        <f t="shared" si="1"/>
        <v>1.1128319611573261</v>
      </c>
      <c r="M71">
        <f t="shared" si="1"/>
        <v>2.2942908915802303</v>
      </c>
      <c r="N71">
        <f t="shared" si="1"/>
        <v>1.0601516407841118</v>
      </c>
      <c r="O71">
        <f t="shared" si="1"/>
        <v>1.8290605778019327</v>
      </c>
      <c r="P71">
        <f t="shared" si="1"/>
        <v>1.0724478632317431</v>
      </c>
      <c r="Q71">
        <f t="shared" si="1"/>
        <v>3.1467498860181209</v>
      </c>
      <c r="R71">
        <f t="shared" si="1"/>
        <v>2.9757620702253944</v>
      </c>
      <c r="S71">
        <f t="shared" si="1"/>
        <v>1.8745500308917198</v>
      </c>
      <c r="T71">
        <f t="shared" si="1"/>
        <v>1.3472596086040931</v>
      </c>
      <c r="U71">
        <f t="shared" si="1"/>
        <v>2.7926044749586447</v>
      </c>
      <c r="V71">
        <f t="shared" si="1"/>
        <v>1.4217276937459271</v>
      </c>
      <c r="W71">
        <f t="shared" si="1"/>
        <v>3.5498014000794158</v>
      </c>
      <c r="X71">
        <f t="shared" si="1"/>
        <v>3.6975457122421753</v>
      </c>
      <c r="Y71">
        <f t="shared" si="1"/>
        <v>1.5449611741580862</v>
      </c>
      <c r="Z71">
        <f t="shared" si="1"/>
        <v>1.2229858956562976</v>
      </c>
      <c r="AA71">
        <f t="shared" si="1"/>
        <v>1.143835247738225</v>
      </c>
      <c r="AB71">
        <f t="shared" si="1"/>
        <v>1.6696554139231825</v>
      </c>
      <c r="AC71">
        <f t="shared" si="1"/>
        <v>2.7602932507798728</v>
      </c>
      <c r="AD71">
        <f t="shared" si="1"/>
        <v>1.5227632819096426</v>
      </c>
      <c r="AE71">
        <f t="shared" si="1"/>
        <v>2.8513130362088113</v>
      </c>
      <c r="AG71">
        <f>AG3</f>
        <v>60</v>
      </c>
      <c r="AH71">
        <f>ROUND(SUM(B71:AE71),2)</f>
        <v>60.9</v>
      </c>
      <c r="AI71">
        <f>AG71-AH71</f>
        <v>-0.89999999999999858</v>
      </c>
    </row>
    <row r="72" spans="1:35" x14ac:dyDescent="0.25">
      <c r="A72" t="s">
        <v>23</v>
      </c>
      <c r="B72">
        <f t="shared" ref="B72:AE72" si="2">IFERROR(VLOOKUP($A72,table_rank_wins,2,0)/(VLOOKUP($A72,table_rank_wins,2,0)+VLOOKUP(B$70,table_rank_wins,2,0))*(B4+HLOOKUP($A72,table_h2h_wins,MATCH(B$70,$A$2:$A$32,0),0)),0)</f>
        <v>0.80068971340787154</v>
      </c>
      <c r="C72">
        <f t="shared" si="2"/>
        <v>0</v>
      </c>
      <c r="D72">
        <f t="shared" si="2"/>
        <v>1.7711803055174424</v>
      </c>
      <c r="E72">
        <f t="shared" si="2"/>
        <v>1.5570457691857531</v>
      </c>
      <c r="F72">
        <f t="shared" si="2"/>
        <v>1.2841368108000606</v>
      </c>
      <c r="G72">
        <f t="shared" si="2"/>
        <v>1.0970769388199011</v>
      </c>
      <c r="H72">
        <f t="shared" si="2"/>
        <v>0.60852290111294272</v>
      </c>
      <c r="I72">
        <f t="shared" si="2"/>
        <v>1.1243610242269657</v>
      </c>
      <c r="J72">
        <f t="shared" si="2"/>
        <v>1.6383812093958654</v>
      </c>
      <c r="K72">
        <f t="shared" si="2"/>
        <v>0.2196614901282786</v>
      </c>
      <c r="L72">
        <f t="shared" si="2"/>
        <v>0.47784786564379644</v>
      </c>
      <c r="M72">
        <f t="shared" si="2"/>
        <v>1.3458651652200695</v>
      </c>
      <c r="N72">
        <f t="shared" si="2"/>
        <v>0.4403082824778724</v>
      </c>
      <c r="O72">
        <f t="shared" si="2"/>
        <v>1.456210868148317</v>
      </c>
      <c r="P72">
        <f t="shared" si="2"/>
        <v>0.4488486472803595</v>
      </c>
      <c r="Q72">
        <f t="shared" si="2"/>
        <v>1.9198985339434738</v>
      </c>
      <c r="R72">
        <f t="shared" si="2"/>
        <v>1.6840038251664553</v>
      </c>
      <c r="S72">
        <f t="shared" si="2"/>
        <v>1.5780305247888962</v>
      </c>
      <c r="T72">
        <f t="shared" si="2"/>
        <v>0.68122377628436004</v>
      </c>
      <c r="U72">
        <f t="shared" si="2"/>
        <v>3.0846487433887595</v>
      </c>
      <c r="V72">
        <f t="shared" si="2"/>
        <v>0.7618453364009069</v>
      </c>
      <c r="W72">
        <f t="shared" si="2"/>
        <v>1.9910427244879489</v>
      </c>
      <c r="X72">
        <f t="shared" si="2"/>
        <v>3.0146761890647769</v>
      </c>
      <c r="Y72">
        <f t="shared" si="2"/>
        <v>0.91875660003823489</v>
      </c>
      <c r="Z72">
        <f t="shared" si="2"/>
        <v>0.56519033485977976</v>
      </c>
      <c r="AA72">
        <f t="shared" si="2"/>
        <v>0.50115385300068971</v>
      </c>
      <c r="AB72">
        <f t="shared" si="2"/>
        <v>1.1169716950829975</v>
      </c>
      <c r="AC72">
        <f t="shared" si="2"/>
        <v>1.4313568453108862</v>
      </c>
      <c r="AD72">
        <f t="shared" si="2"/>
        <v>0.88799801499903341</v>
      </c>
      <c r="AE72">
        <f t="shared" si="2"/>
        <v>1.5327346024483011</v>
      </c>
      <c r="AG72">
        <f>AG4</f>
        <v>38</v>
      </c>
      <c r="AH72">
        <f>ROUND(SUM(B72:AE72),2)</f>
        <v>35.94</v>
      </c>
      <c r="AI72">
        <f>AG72-AH72</f>
        <v>2.0600000000000023</v>
      </c>
    </row>
    <row r="73" spans="1:35" x14ac:dyDescent="0.25">
      <c r="A73" t="s">
        <v>22</v>
      </c>
      <c r="B73">
        <f t="shared" ref="B73:AE73" si="3">IFERROR(VLOOKUP($A73,table_rank_wins,2,0)/(VLOOKUP($A73,table_rank_wins,2,0)+VLOOKUP(B$70,table_rank_wins,2,0))*(B5+HLOOKUP($A73,table_h2h_wins,MATCH(B$70,$A$2:$A$32,0),0)),0)</f>
        <v>0.71851729948757537</v>
      </c>
      <c r="C73">
        <f t="shared" si="3"/>
        <v>2.2288196944825578</v>
      </c>
      <c r="D73">
        <f t="shared" si="3"/>
        <v>0</v>
      </c>
      <c r="E73">
        <f t="shared" si="3"/>
        <v>2.3035599111106984</v>
      </c>
      <c r="F73">
        <f t="shared" si="3"/>
        <v>1.492160000733513</v>
      </c>
      <c r="G73">
        <f t="shared" si="3"/>
        <v>1.2891816989339078</v>
      </c>
      <c r="H73">
        <f t="shared" si="3"/>
        <v>0.70994135975200801</v>
      </c>
      <c r="I73">
        <f t="shared" si="3"/>
        <v>1.2354212680540078</v>
      </c>
      <c r="J73">
        <f t="shared" si="3"/>
        <v>1.8067582141747249</v>
      </c>
      <c r="K73">
        <f t="shared" si="3"/>
        <v>0.26879007840468822</v>
      </c>
      <c r="L73">
        <f t="shared" si="3"/>
        <v>0.56635185642482933</v>
      </c>
      <c r="M73">
        <f t="shared" si="3"/>
        <v>2.0235838416205474</v>
      </c>
      <c r="N73">
        <f t="shared" si="3"/>
        <v>0.52425410077167722</v>
      </c>
      <c r="O73">
        <f t="shared" si="3"/>
        <v>1.542314596492532</v>
      </c>
      <c r="P73">
        <f t="shared" si="3"/>
        <v>0.53386537739990958</v>
      </c>
      <c r="Q73">
        <f t="shared" si="3"/>
        <v>2.149402821774161</v>
      </c>
      <c r="R73">
        <f t="shared" si="3"/>
        <v>1.4334139953571026</v>
      </c>
      <c r="S73">
        <f t="shared" si="3"/>
        <v>1.6494881708826934</v>
      </c>
      <c r="T73">
        <f t="shared" si="3"/>
        <v>0.78789802282116361</v>
      </c>
      <c r="U73">
        <f t="shared" si="3"/>
        <v>3.2367325838852472</v>
      </c>
      <c r="V73">
        <f t="shared" si="3"/>
        <v>0.87278903614709669</v>
      </c>
      <c r="W73">
        <f t="shared" si="3"/>
        <v>2.851646265768816</v>
      </c>
      <c r="X73">
        <f t="shared" si="3"/>
        <v>3.1752775183159114</v>
      </c>
      <c r="Y73">
        <f t="shared" si="3"/>
        <v>1.0334776232938194</v>
      </c>
      <c r="Z73">
        <f t="shared" si="3"/>
        <v>0.66282700312796627</v>
      </c>
      <c r="AA73">
        <f t="shared" si="3"/>
        <v>0.59229477608980996</v>
      </c>
      <c r="AB73">
        <f t="shared" si="3"/>
        <v>1.2283259218665781</v>
      </c>
      <c r="AC73">
        <f t="shared" si="3"/>
        <v>1.6487506846998998</v>
      </c>
      <c r="AD73">
        <f t="shared" si="3"/>
        <v>1.0024391174078486</v>
      </c>
      <c r="AE73">
        <f t="shared" si="3"/>
        <v>1.3162542197894989</v>
      </c>
      <c r="AG73">
        <f>AG5</f>
        <v>40</v>
      </c>
      <c r="AH73">
        <f>ROUND(SUM(B73:AE73),2)</f>
        <v>40.880000000000003</v>
      </c>
      <c r="AI73">
        <f>AG73-AH73</f>
        <v>-0.88000000000000256</v>
      </c>
    </row>
    <row r="74" spans="1:35" x14ac:dyDescent="0.25">
      <c r="A74" t="s">
        <v>18</v>
      </c>
      <c r="B74">
        <f t="shared" ref="B74:AE74" si="4">IFERROR(VLOOKUP($A74,table_rank_wins,2,0)/(VLOOKUP($A74,table_rank_wins,2,0)+VLOOKUP(B$70,table_rank_wins,2,0))*(B6+HLOOKUP($A74,table_h2h_wins,MATCH(B$70,$A$2:$A$32,0),0)),0)</f>
        <v>0.75306527440007531</v>
      </c>
      <c r="C74">
        <f t="shared" si="4"/>
        <v>1.4429542308142469</v>
      </c>
      <c r="D74">
        <f t="shared" si="4"/>
        <v>1.6964400888893012</v>
      </c>
      <c r="E74">
        <f t="shared" si="4"/>
        <v>0</v>
      </c>
      <c r="F74">
        <f t="shared" si="4"/>
        <v>1.2187109434988541</v>
      </c>
      <c r="G74">
        <f t="shared" si="4"/>
        <v>0.778155509298045</v>
      </c>
      <c r="H74">
        <f t="shared" si="4"/>
        <v>0.57679312395580684</v>
      </c>
      <c r="I74">
        <f t="shared" si="4"/>
        <v>1.0867407530007331</v>
      </c>
      <c r="J74">
        <f t="shared" si="4"/>
        <v>2.108829077410038</v>
      </c>
      <c r="K74">
        <f t="shared" si="4"/>
        <v>0.20521747886455594</v>
      </c>
      <c r="L74">
        <f t="shared" si="4"/>
        <v>0.45072470426696559</v>
      </c>
      <c r="M74">
        <f t="shared" si="4"/>
        <v>1.7195219372634361</v>
      </c>
      <c r="N74">
        <f t="shared" si="4"/>
        <v>0.41473534043023857</v>
      </c>
      <c r="O74">
        <f t="shared" si="4"/>
        <v>1.4255638599237777</v>
      </c>
      <c r="P74">
        <f t="shared" si="4"/>
        <v>0.42291418136168502</v>
      </c>
      <c r="Q74">
        <f t="shared" si="4"/>
        <v>1.844075005504535</v>
      </c>
      <c r="R74">
        <f t="shared" si="4"/>
        <v>1.2077133764369694</v>
      </c>
      <c r="S74">
        <f t="shared" si="4"/>
        <v>1.552137539594403</v>
      </c>
      <c r="T74">
        <f t="shared" si="4"/>
        <v>0.64746709856213192</v>
      </c>
      <c r="U74">
        <f t="shared" si="4"/>
        <v>3.0298277860905332</v>
      </c>
      <c r="V74">
        <f t="shared" si="4"/>
        <v>0.72629381989189334</v>
      </c>
      <c r="W74">
        <f t="shared" si="4"/>
        <v>2.5859576258397405</v>
      </c>
      <c r="X74">
        <f t="shared" si="4"/>
        <v>2.2178110544630192</v>
      </c>
      <c r="Y74">
        <f t="shared" si="4"/>
        <v>0.88109347608325139</v>
      </c>
      <c r="Z74">
        <f t="shared" si="4"/>
        <v>0.53485153317892808</v>
      </c>
      <c r="AA74">
        <f t="shared" si="4"/>
        <v>0.47311899717603573</v>
      </c>
      <c r="AB74">
        <f t="shared" si="4"/>
        <v>1.0792939207873538</v>
      </c>
      <c r="AC74">
        <f t="shared" si="4"/>
        <v>1.3621923669411478</v>
      </c>
      <c r="AD74">
        <f t="shared" si="4"/>
        <v>0.8506038540350136</v>
      </c>
      <c r="AE74">
        <f t="shared" si="4"/>
        <v>1.4614586093959971</v>
      </c>
      <c r="AG74">
        <f>AG6</f>
        <v>33</v>
      </c>
      <c r="AH74">
        <f>ROUND(SUM(B74:AE74),2)</f>
        <v>34.75</v>
      </c>
      <c r="AI74">
        <f>AG74-AH74</f>
        <v>-1.75</v>
      </c>
    </row>
    <row r="75" spans="1:35" x14ac:dyDescent="0.25">
      <c r="A75" t="s">
        <v>30</v>
      </c>
      <c r="B75">
        <f t="shared" ref="B75:AE75" si="5">IFERROR(VLOOKUP($A75,table_rank_wins,2,0)/(VLOOKUP($A75,table_rank_wins,2,0)+VLOOKUP(B$70,table_rank_wins,2,0))*(B7+HLOOKUP($A75,table_h2h_wins,MATCH(B$70,$A$2:$A$32,0),0)),0)</f>
        <v>1.0383222273995307</v>
      </c>
      <c r="C75">
        <f t="shared" si="5"/>
        <v>2.715863189199939</v>
      </c>
      <c r="D75">
        <f t="shared" si="5"/>
        <v>2.5078399992664866</v>
      </c>
      <c r="E75">
        <f t="shared" si="5"/>
        <v>2.7812890565011461</v>
      </c>
      <c r="F75">
        <f t="shared" si="5"/>
        <v>0</v>
      </c>
      <c r="G75">
        <f t="shared" si="5"/>
        <v>1.7768867316679307</v>
      </c>
      <c r="H75">
        <f t="shared" si="5"/>
        <v>0.96098806440534601</v>
      </c>
      <c r="I75">
        <f t="shared" si="5"/>
        <v>1.4617393359528847</v>
      </c>
      <c r="J75">
        <f t="shared" si="5"/>
        <v>2.8715909501270298</v>
      </c>
      <c r="K75">
        <f t="shared" si="5"/>
        <v>0.41388720528413703</v>
      </c>
      <c r="L75">
        <f t="shared" si="5"/>
        <v>0.79803286356435477</v>
      </c>
      <c r="M75">
        <f t="shared" si="5"/>
        <v>2.5298373993469014</v>
      </c>
      <c r="N75">
        <f t="shared" si="5"/>
        <v>0.7476953452483337</v>
      </c>
      <c r="O75">
        <f t="shared" si="5"/>
        <v>1.6998606234124249</v>
      </c>
      <c r="P75">
        <f t="shared" si="5"/>
        <v>0.75929535822875893</v>
      </c>
      <c r="Q75">
        <f t="shared" si="5"/>
        <v>1.9837561411428024</v>
      </c>
      <c r="R75">
        <f t="shared" si="5"/>
        <v>2.4238360030539758</v>
      </c>
      <c r="S75">
        <f t="shared" si="5"/>
        <v>1.7755122184654923</v>
      </c>
      <c r="T75">
        <f t="shared" si="5"/>
        <v>1.044198413491273</v>
      </c>
      <c r="U75">
        <f t="shared" si="5"/>
        <v>2.6308658870689916</v>
      </c>
      <c r="V75">
        <f t="shared" si="5"/>
        <v>1.130938534802141</v>
      </c>
      <c r="W75">
        <f t="shared" si="5"/>
        <v>3.2268347461511775</v>
      </c>
      <c r="X75">
        <f t="shared" si="5"/>
        <v>2.5984368273687823</v>
      </c>
      <c r="Y75">
        <f t="shared" si="5"/>
        <v>1.2849751522915109</v>
      </c>
      <c r="Z75">
        <f t="shared" si="5"/>
        <v>0.90895192478414966</v>
      </c>
      <c r="AA75">
        <f t="shared" si="5"/>
        <v>0.82845574023513369</v>
      </c>
      <c r="AB75">
        <f t="shared" si="5"/>
        <v>1.4558191163004259</v>
      </c>
      <c r="AC75">
        <f t="shared" si="5"/>
        <v>2.1638997289507484</v>
      </c>
      <c r="AD75">
        <f t="shared" si="5"/>
        <v>1.2562004416824275</v>
      </c>
      <c r="AE75">
        <f t="shared" si="5"/>
        <v>2.2712837677065227</v>
      </c>
      <c r="AG75">
        <f>AG7</f>
        <v>50</v>
      </c>
      <c r="AH75">
        <f>ROUND(SUM(B75:AE75),2)</f>
        <v>50.05</v>
      </c>
      <c r="AI75">
        <f>AG75-AH75</f>
        <v>-4.9999999999997158E-2</v>
      </c>
    </row>
    <row r="76" spans="1:35" x14ac:dyDescent="0.25">
      <c r="A76" t="s">
        <v>40</v>
      </c>
      <c r="B76">
        <f t="shared" ref="B76:AE76" si="6">IFERROR(VLOOKUP($A76,table_rank_wins,2,0)/(VLOOKUP($A76,table_rank_wins,2,0)+VLOOKUP(B$70,table_rank_wins,2,0))*(B8+HLOOKUP($A76,table_h2h_wins,MATCH(B$70,$A$2:$A$32,0),0)),0)</f>
        <v>1.5935885739113043</v>
      </c>
      <c r="C76">
        <f t="shared" si="6"/>
        <v>2.9029230611800987</v>
      </c>
      <c r="D76">
        <f t="shared" si="6"/>
        <v>2.7108183010660918</v>
      </c>
      <c r="E76">
        <f t="shared" si="6"/>
        <v>2.221844490701955</v>
      </c>
      <c r="F76">
        <f t="shared" si="6"/>
        <v>2.2231132683320691</v>
      </c>
      <c r="G76">
        <f t="shared" si="6"/>
        <v>0</v>
      </c>
      <c r="H76">
        <f t="shared" si="6"/>
        <v>1.0728617960387705</v>
      </c>
      <c r="I76">
        <f t="shared" si="6"/>
        <v>1.5452120504151357</v>
      </c>
      <c r="J76">
        <f t="shared" si="6"/>
        <v>3.0439515966849591</v>
      </c>
      <c r="K76">
        <f t="shared" si="6"/>
        <v>0.49224435293579283</v>
      </c>
      <c r="L76">
        <f t="shared" si="6"/>
        <v>0.90750552563661446</v>
      </c>
      <c r="M76">
        <f t="shared" si="6"/>
        <v>2.7313371405013034</v>
      </c>
      <c r="N76">
        <f t="shared" si="6"/>
        <v>0.85517571779277568</v>
      </c>
      <c r="O76">
        <f t="shared" si="6"/>
        <v>1.752654442714459</v>
      </c>
      <c r="P76">
        <f t="shared" si="6"/>
        <v>0.86728839384866918</v>
      </c>
      <c r="Q76">
        <f t="shared" si="6"/>
        <v>2.8379732963514033</v>
      </c>
      <c r="R76">
        <f t="shared" si="6"/>
        <v>2.6320080580188074</v>
      </c>
      <c r="S76">
        <f t="shared" si="6"/>
        <v>1.8164360827678081</v>
      </c>
      <c r="T76">
        <f t="shared" si="6"/>
        <v>1.154990845725705</v>
      </c>
      <c r="U76">
        <f t="shared" si="6"/>
        <v>2.6974876616921404</v>
      </c>
      <c r="V76">
        <f t="shared" si="6"/>
        <v>1.2390040223417662</v>
      </c>
      <c r="W76">
        <f t="shared" si="6"/>
        <v>2.5178113863661329</v>
      </c>
      <c r="X76">
        <f t="shared" si="6"/>
        <v>2.6701776889260063</v>
      </c>
      <c r="Y76">
        <f t="shared" si="6"/>
        <v>1.3843141070967715</v>
      </c>
      <c r="Z76">
        <f t="shared" si="6"/>
        <v>1.0207190022040307</v>
      </c>
      <c r="AA76">
        <f t="shared" si="6"/>
        <v>0.93884199985411798</v>
      </c>
      <c r="AB76">
        <f t="shared" si="6"/>
        <v>1.5399209605375515</v>
      </c>
      <c r="AC76">
        <f t="shared" si="6"/>
        <v>2.3835069571024827</v>
      </c>
      <c r="AD76">
        <f t="shared" si="6"/>
        <v>1.3575383234579419</v>
      </c>
      <c r="AE76">
        <f t="shared" si="6"/>
        <v>2.4870274573299689</v>
      </c>
      <c r="AG76">
        <f>AG8</f>
        <v>53</v>
      </c>
      <c r="AH76">
        <f>ROUND(SUM(B76:AE76),2)</f>
        <v>53.6</v>
      </c>
      <c r="AI76">
        <f>AG76-AH76</f>
        <v>-0.60000000000000142</v>
      </c>
    </row>
    <row r="77" spans="1:35" x14ac:dyDescent="0.25">
      <c r="A77" t="s">
        <v>14</v>
      </c>
      <c r="B77">
        <f t="shared" ref="B77:AE77" si="7">IFERROR(VLOOKUP($A77,table_rank_wins,2,0)/(VLOOKUP($A77,table_rank_wins,2,0)+VLOOKUP(B$70,table_rank_wins,2,0))*(B9+HLOOKUP($A77,table_h2h_wins,MATCH(B$70,$A$2:$A$32,0),0)),0)</f>
        <v>0.72796029265638751</v>
      </c>
      <c r="C77">
        <f t="shared" si="7"/>
        <v>1.3914770988870575</v>
      </c>
      <c r="D77">
        <f t="shared" si="7"/>
        <v>1.2900586402479919</v>
      </c>
      <c r="E77">
        <f t="shared" si="7"/>
        <v>1.4232068760441929</v>
      </c>
      <c r="F77">
        <f t="shared" si="7"/>
        <v>1.0390119355946541</v>
      </c>
      <c r="G77">
        <f t="shared" si="7"/>
        <v>0.92713820396122959</v>
      </c>
      <c r="H77">
        <f t="shared" si="7"/>
        <v>0</v>
      </c>
      <c r="I77">
        <f t="shared" si="7"/>
        <v>2.2378360125007899</v>
      </c>
      <c r="J77">
        <f t="shared" si="7"/>
        <v>1.4668700479250116</v>
      </c>
      <c r="K77">
        <f t="shared" si="7"/>
        <v>0.8801934634246299</v>
      </c>
      <c r="L77">
        <f t="shared" si="7"/>
        <v>1.6715013148278688</v>
      </c>
      <c r="M77">
        <f t="shared" si="7"/>
        <v>1.3008216461871067</v>
      </c>
      <c r="N77">
        <f t="shared" si="7"/>
        <v>1.1768804905254449</v>
      </c>
      <c r="O77">
        <f t="shared" si="7"/>
        <v>3.4384706718400873</v>
      </c>
      <c r="P77">
        <f t="shared" si="7"/>
        <v>1.5927907486316859</v>
      </c>
      <c r="Q77">
        <f t="shared" si="7"/>
        <v>1.3570241274359205</v>
      </c>
      <c r="R77">
        <f t="shared" si="7"/>
        <v>1.2488724262904771</v>
      </c>
      <c r="S77">
        <f t="shared" si="7"/>
        <v>2.6859075093193008</v>
      </c>
      <c r="T77">
        <f t="shared" si="7"/>
        <v>2.1661342386091853</v>
      </c>
      <c r="U77">
        <f t="shared" si="7"/>
        <v>1.7702677871443597</v>
      </c>
      <c r="V77">
        <f t="shared" si="7"/>
        <v>2.3381734945526129</v>
      </c>
      <c r="W77">
        <f t="shared" si="7"/>
        <v>1.6371811812977217</v>
      </c>
      <c r="X77">
        <f t="shared" si="7"/>
        <v>1.7498804945031812</v>
      </c>
      <c r="Y77">
        <f t="shared" si="7"/>
        <v>2.6408495740267597</v>
      </c>
      <c r="Z77">
        <f t="shared" si="7"/>
        <v>1.8955567423120814</v>
      </c>
      <c r="AA77">
        <f t="shared" si="7"/>
        <v>1.7331495152013865</v>
      </c>
      <c r="AB77">
        <f t="shared" si="7"/>
        <v>2.2292782701358722</v>
      </c>
      <c r="AC77">
        <f t="shared" si="7"/>
        <v>1.120576314838142</v>
      </c>
      <c r="AD77">
        <f t="shared" si="7"/>
        <v>2.5845819311489366</v>
      </c>
      <c r="AE77">
        <f t="shared" si="7"/>
        <v>1.1737344769794475</v>
      </c>
      <c r="AG77">
        <f>AG9</f>
        <v>50</v>
      </c>
      <c r="AH77">
        <f>ROUND(SUM(B77:AE77),2)</f>
        <v>48.9</v>
      </c>
      <c r="AI77">
        <f>AG77-AH77</f>
        <v>1.1000000000000014</v>
      </c>
    </row>
    <row r="78" spans="1:35" x14ac:dyDescent="0.25">
      <c r="A78" t="s">
        <v>32</v>
      </c>
      <c r="B78">
        <f t="shared" ref="B78:AE78" si="8">IFERROR(VLOOKUP($A78,table_rank_wins,2,0)/(VLOOKUP($A78,table_rank_wins,2,0)+VLOOKUP(B$70,table_rank_wins,2,0))*(B10+HLOOKUP($A78,table_h2h_wins,MATCH(B$70,$A$2:$A$32,0),0)),0)</f>
        <v>0.32622941656769849</v>
      </c>
      <c r="C78">
        <f t="shared" si="8"/>
        <v>0.87563897577303407</v>
      </c>
      <c r="D78">
        <f t="shared" si="8"/>
        <v>0.76457873194599213</v>
      </c>
      <c r="E78">
        <f t="shared" si="8"/>
        <v>0.91325924699926719</v>
      </c>
      <c r="F78">
        <f t="shared" si="8"/>
        <v>0.53826066404711537</v>
      </c>
      <c r="G78">
        <f t="shared" si="8"/>
        <v>0.45478794958486429</v>
      </c>
      <c r="H78">
        <f t="shared" si="8"/>
        <v>0.76216398749920988</v>
      </c>
      <c r="I78">
        <f t="shared" si="8"/>
        <v>0</v>
      </c>
      <c r="J78">
        <f t="shared" si="8"/>
        <v>0.9675204837497281</v>
      </c>
      <c r="K78">
        <f t="shared" si="8"/>
        <v>0.26299430397702439</v>
      </c>
      <c r="L78">
        <f t="shared" si="8"/>
        <v>0.78581710359631229</v>
      </c>
      <c r="M78">
        <f t="shared" si="8"/>
        <v>0.77574811405873723</v>
      </c>
      <c r="N78">
        <f t="shared" si="8"/>
        <v>0.72092316947598001</v>
      </c>
      <c r="O78">
        <f t="shared" si="8"/>
        <v>2.7036194313170281</v>
      </c>
      <c r="P78">
        <f t="shared" si="8"/>
        <v>0.55172767603850814</v>
      </c>
      <c r="Q78">
        <f t="shared" si="8"/>
        <v>0.83640307814282988</v>
      </c>
      <c r="R78">
        <f t="shared" si="8"/>
        <v>0.723081995935835</v>
      </c>
      <c r="S78">
        <f t="shared" si="8"/>
        <v>2.9776142839282667</v>
      </c>
      <c r="T78">
        <f t="shared" si="8"/>
        <v>1.1475206315826028</v>
      </c>
      <c r="U78">
        <f t="shared" si="8"/>
        <v>1.4481911583741029</v>
      </c>
      <c r="V78">
        <f t="shared" si="8"/>
        <v>1.2958243070286415</v>
      </c>
      <c r="W78">
        <f t="shared" si="8"/>
        <v>1.2116158976515805</v>
      </c>
      <c r="X78">
        <f t="shared" si="8"/>
        <v>1.4087674711336273</v>
      </c>
      <c r="Y78">
        <f t="shared" si="8"/>
        <v>1.1946781864554832</v>
      </c>
      <c r="Z78">
        <f t="shared" si="8"/>
        <v>0.93902890923943394</v>
      </c>
      <c r="AA78">
        <f t="shared" si="8"/>
        <v>0.82639275129340506</v>
      </c>
      <c r="AB78">
        <f t="shared" si="8"/>
        <v>1.9850031872794331</v>
      </c>
      <c r="AC78">
        <f t="shared" si="8"/>
        <v>0.60527431545382837</v>
      </c>
      <c r="AD78">
        <f t="shared" si="8"/>
        <v>1.5337679789038023</v>
      </c>
      <c r="AE78">
        <f t="shared" si="8"/>
        <v>0.65211403473653706</v>
      </c>
      <c r="AG78">
        <f>AG10</f>
        <v>30</v>
      </c>
      <c r="AH78">
        <f>ROUND(SUM(B78:AE78),2)</f>
        <v>30.19</v>
      </c>
      <c r="AI78">
        <f>AG78-AH78</f>
        <v>-0.19000000000000128</v>
      </c>
    </row>
    <row r="79" spans="1:35" x14ac:dyDescent="0.25">
      <c r="A79" t="s">
        <v>33</v>
      </c>
      <c r="B79">
        <f t="shared" ref="B79:AE79" si="9">IFERROR(VLOOKUP($A79,table_rank_wins,2,0)/(VLOOKUP($A79,table_rank_wins,2,0)+VLOOKUP(B$70,table_rank_wins,2,0))*(B11+HLOOKUP($A79,table_h2h_wins,MATCH(B$70,$A$2:$A$32,0),0)),0)</f>
        <v>0.68872219976064764</v>
      </c>
      <c r="C79">
        <f t="shared" si="9"/>
        <v>1.3616187906041346</v>
      </c>
      <c r="D79">
        <f t="shared" si="9"/>
        <v>1.1932417858252753</v>
      </c>
      <c r="E79">
        <f t="shared" si="9"/>
        <v>1.891170922589962</v>
      </c>
      <c r="F79">
        <f t="shared" si="9"/>
        <v>1.1284090498729702</v>
      </c>
      <c r="G79">
        <f t="shared" si="9"/>
        <v>0.9560484033150406</v>
      </c>
      <c r="H79">
        <f t="shared" si="9"/>
        <v>0.53312995207498859</v>
      </c>
      <c r="I79">
        <f t="shared" si="9"/>
        <v>1.0324795162502716</v>
      </c>
      <c r="J79">
        <f t="shared" si="9"/>
        <v>0</v>
      </c>
      <c r="K79">
        <f t="shared" si="9"/>
        <v>0.1860063146132209</v>
      </c>
      <c r="L79">
        <f t="shared" si="9"/>
        <v>0.41382994548471697</v>
      </c>
      <c r="M79">
        <f t="shared" si="9"/>
        <v>1.6136411803109203</v>
      </c>
      <c r="N79">
        <f t="shared" si="9"/>
        <v>0.38006385030252671</v>
      </c>
      <c r="O79">
        <f t="shared" si="9"/>
        <v>1.3799477177544246</v>
      </c>
      <c r="P79">
        <f t="shared" si="9"/>
        <v>0.3877261786286742</v>
      </c>
      <c r="Q79">
        <f t="shared" si="9"/>
        <v>1.3022732608961545</v>
      </c>
      <c r="R79">
        <f t="shared" si="9"/>
        <v>1.5066860786456353</v>
      </c>
      <c r="S79">
        <f t="shared" si="9"/>
        <v>1.5131399359515458</v>
      </c>
      <c r="T79">
        <f t="shared" si="9"/>
        <v>0.60071206643117314</v>
      </c>
      <c r="U79">
        <f t="shared" si="9"/>
        <v>2.9475478646504709</v>
      </c>
      <c r="V79">
        <f t="shared" si="9"/>
        <v>0.67669446308668957</v>
      </c>
      <c r="W79">
        <f t="shared" si="9"/>
        <v>2.4848583084122771</v>
      </c>
      <c r="X79">
        <f t="shared" si="9"/>
        <v>2.8709309986419154</v>
      </c>
      <c r="Y79">
        <f t="shared" si="9"/>
        <v>0.82779315760636285</v>
      </c>
      <c r="Z79">
        <f t="shared" si="9"/>
        <v>0.49326293487209549</v>
      </c>
      <c r="AA79">
        <f t="shared" si="9"/>
        <v>0.4349057044214259</v>
      </c>
      <c r="AB79">
        <f t="shared" si="9"/>
        <v>1.0249871953867744</v>
      </c>
      <c r="AC79">
        <f t="shared" si="9"/>
        <v>1.2660986820861728</v>
      </c>
      <c r="AD79">
        <f t="shared" si="9"/>
        <v>0.79783279768960891</v>
      </c>
      <c r="AE79">
        <f t="shared" si="9"/>
        <v>1.021483488087366</v>
      </c>
      <c r="AG79">
        <f>AG11</f>
        <v>32</v>
      </c>
      <c r="AH79">
        <f>ROUND(SUM(B79:AE79),2)</f>
        <v>32.92</v>
      </c>
      <c r="AI79">
        <f>AG79-AH79</f>
        <v>-0.92000000000000171</v>
      </c>
    </row>
    <row r="80" spans="1:35" x14ac:dyDescent="0.25">
      <c r="A80" t="s">
        <v>36</v>
      </c>
      <c r="B80">
        <f t="shared" ref="B80:AE80" si="10">IFERROR(VLOOKUP($A80,table_rank_wins,2,0)/(VLOOKUP($A80,table_rank_wins,2,0)+VLOOKUP(B$70,table_rank_wins,2,0))*(B12+HLOOKUP($A80,table_h2h_wins,MATCH(B$70,$A$2:$A$32,0),0)),0)</f>
        <v>1.3395882595401609</v>
      </c>
      <c r="C80">
        <f t="shared" si="10"/>
        <v>1.7803385098717215</v>
      </c>
      <c r="D80">
        <f t="shared" si="10"/>
        <v>1.7312099215953118</v>
      </c>
      <c r="E80">
        <f t="shared" si="10"/>
        <v>1.794782521135444</v>
      </c>
      <c r="F80">
        <f t="shared" si="10"/>
        <v>1.5861127947158629</v>
      </c>
      <c r="G80">
        <f t="shared" si="10"/>
        <v>1.5077556470642071</v>
      </c>
      <c r="H80">
        <f t="shared" si="10"/>
        <v>3.11980653657537</v>
      </c>
      <c r="I80">
        <f t="shared" si="10"/>
        <v>2.7370056960229756</v>
      </c>
      <c r="J80">
        <f t="shared" si="10"/>
        <v>1.8139936853867791</v>
      </c>
      <c r="K80">
        <f t="shared" si="10"/>
        <v>0</v>
      </c>
      <c r="L80">
        <f t="shared" si="10"/>
        <v>2.871449621022887</v>
      </c>
      <c r="M80">
        <f t="shared" si="10"/>
        <v>1.736650172433156</v>
      </c>
      <c r="N80">
        <f t="shared" si="10"/>
        <v>2.7834759021401418</v>
      </c>
      <c r="O80">
        <f t="shared" si="10"/>
        <v>3.8238206089666646</v>
      </c>
      <c r="P80">
        <f t="shared" si="10"/>
        <v>2.1032136541431017</v>
      </c>
      <c r="Q80">
        <f t="shared" si="10"/>
        <v>1.7641704961915186</v>
      </c>
      <c r="R80">
        <f t="shared" si="10"/>
        <v>1.7098605429004814</v>
      </c>
      <c r="S80">
        <f t="shared" si="10"/>
        <v>3.8722444598654562</v>
      </c>
      <c r="T80">
        <f t="shared" si="10"/>
        <v>3.2287902898122964</v>
      </c>
      <c r="U80">
        <f t="shared" si="10"/>
        <v>1.9293606300993005</v>
      </c>
      <c r="V80">
        <f t="shared" si="10"/>
        <v>3.3318873003823049</v>
      </c>
      <c r="W80">
        <f t="shared" si="10"/>
        <v>1.8823112438425311</v>
      </c>
      <c r="X80">
        <f t="shared" si="10"/>
        <v>1.9224735290339845</v>
      </c>
      <c r="Y80">
        <f t="shared" si="10"/>
        <v>3.4928318057697885</v>
      </c>
      <c r="Z80">
        <f t="shared" si="10"/>
        <v>2.2844593125958332</v>
      </c>
      <c r="AA80">
        <f t="shared" si="10"/>
        <v>2.19136566971269</v>
      </c>
      <c r="AB80">
        <f t="shared" si="10"/>
        <v>3.6445133157390459</v>
      </c>
      <c r="AC80">
        <f t="shared" si="10"/>
        <v>1.637444988152726</v>
      </c>
      <c r="AD80">
        <f t="shared" si="10"/>
        <v>3.4646858008495247</v>
      </c>
      <c r="AE80">
        <f t="shared" si="10"/>
        <v>1.6686000123769558</v>
      </c>
      <c r="AG80">
        <f>AG12</f>
        <v>67</v>
      </c>
      <c r="AH80">
        <f>ROUND(SUM(B80:AE80),2)</f>
        <v>68.75</v>
      </c>
      <c r="AI80">
        <f>AG80-AH80</f>
        <v>-1.75</v>
      </c>
    </row>
    <row r="81" spans="1:35" x14ac:dyDescent="0.25">
      <c r="A81" t="s">
        <v>16</v>
      </c>
      <c r="B81">
        <f t="shared" ref="B81:AE81" si="11">IFERROR(VLOOKUP($A81,table_rank_wins,2,0)/(VLOOKUP($A81,table_rank_wins,2,0)+VLOOKUP(B$70,table_rank_wins,2,0))*(B13+HLOOKUP($A81,table_h2h_wins,MATCH(B$70,$A$2:$A$32,0),0)),0)</f>
        <v>0.88716803884267381</v>
      </c>
      <c r="C81">
        <f t="shared" si="11"/>
        <v>1.5221521343562034</v>
      </c>
      <c r="D81">
        <f t="shared" si="11"/>
        <v>1.4336481435751709</v>
      </c>
      <c r="E81">
        <f t="shared" si="11"/>
        <v>1.5492752957330345</v>
      </c>
      <c r="F81">
        <f t="shared" si="11"/>
        <v>1.2019671364356452</v>
      </c>
      <c r="G81">
        <f t="shared" si="11"/>
        <v>1.0924944743633855</v>
      </c>
      <c r="H81">
        <f t="shared" si="11"/>
        <v>2.3284986851721308</v>
      </c>
      <c r="I81">
        <f t="shared" si="11"/>
        <v>3.2141828964036878</v>
      </c>
      <c r="J81">
        <f t="shared" si="11"/>
        <v>1.586170054515283</v>
      </c>
      <c r="K81">
        <f t="shared" si="11"/>
        <v>1.128550378977113</v>
      </c>
      <c r="L81">
        <f t="shared" si="11"/>
        <v>0</v>
      </c>
      <c r="M81">
        <f t="shared" si="11"/>
        <v>1.4431738750238881</v>
      </c>
      <c r="N81">
        <f t="shared" si="11"/>
        <v>1.8939193872070919</v>
      </c>
      <c r="O81">
        <f t="shared" si="11"/>
        <v>2.6852131313713308</v>
      </c>
      <c r="P81">
        <f t="shared" si="11"/>
        <v>1.918566128299342</v>
      </c>
      <c r="Q81">
        <f t="shared" si="11"/>
        <v>1.4923987269972199</v>
      </c>
      <c r="R81">
        <f t="shared" si="11"/>
        <v>1.3968977279014698</v>
      </c>
      <c r="S81">
        <f t="shared" si="11"/>
        <v>3.6902225608996635</v>
      </c>
      <c r="T81">
        <f t="shared" si="11"/>
        <v>2.4879751278979922</v>
      </c>
      <c r="U81">
        <f t="shared" si="11"/>
        <v>1.8295640259597949</v>
      </c>
      <c r="V81">
        <f t="shared" si="11"/>
        <v>1.9864930611864802</v>
      </c>
      <c r="W81">
        <f t="shared" si="11"/>
        <v>1.7255019623653858</v>
      </c>
      <c r="X81">
        <f t="shared" si="11"/>
        <v>1.8138856726069386</v>
      </c>
      <c r="Y81">
        <f t="shared" si="11"/>
        <v>2.9208826119535707</v>
      </c>
      <c r="Z81">
        <f t="shared" si="11"/>
        <v>1.669495395025582</v>
      </c>
      <c r="AA81">
        <f t="shared" si="11"/>
        <v>2.0630294922217574</v>
      </c>
      <c r="AB81">
        <f t="shared" si="11"/>
        <v>2.4035025034617865</v>
      </c>
      <c r="AC81">
        <f t="shared" si="11"/>
        <v>1.2792943500021428</v>
      </c>
      <c r="AD81">
        <f t="shared" si="11"/>
        <v>2.8712529813639627</v>
      </c>
      <c r="AE81">
        <f t="shared" si="11"/>
        <v>1.3286067711317355</v>
      </c>
      <c r="AG81">
        <f>AG13</f>
        <v>56</v>
      </c>
      <c r="AH81">
        <f>ROUND(SUM(B81:AE81),2)</f>
        <v>54.84</v>
      </c>
      <c r="AI81">
        <f>AG81-AH81</f>
        <v>1.1599999999999966</v>
      </c>
    </row>
    <row r="82" spans="1:35" x14ac:dyDescent="0.25">
      <c r="A82" t="s">
        <v>20</v>
      </c>
      <c r="B82">
        <f t="shared" ref="B82:AE82" si="12">IFERROR(VLOOKUP($A82,table_rank_wins,2,0)/(VLOOKUP($A82,table_rank_wins,2,0)+VLOOKUP(B$70,table_rank_wins,2,0))*(B14+HLOOKUP($A82,table_h2h_wins,MATCH(B$70,$A$2:$A$32,0),0)),0)</f>
        <v>0.70570910841976975</v>
      </c>
      <c r="C82">
        <f t="shared" si="12"/>
        <v>1.6541348347799303</v>
      </c>
      <c r="D82">
        <f t="shared" si="12"/>
        <v>1.9764161583794526</v>
      </c>
      <c r="E82">
        <f t="shared" si="12"/>
        <v>2.2804780627365639</v>
      </c>
      <c r="F82">
        <f t="shared" si="12"/>
        <v>1.4701626006530986</v>
      </c>
      <c r="G82">
        <f t="shared" si="12"/>
        <v>1.2686628594986966</v>
      </c>
      <c r="H82">
        <f t="shared" si="12"/>
        <v>0.69917835381289317</v>
      </c>
      <c r="I82">
        <f t="shared" si="12"/>
        <v>1.2242518859412628</v>
      </c>
      <c r="J82">
        <f t="shared" si="12"/>
        <v>2.3863588196890793</v>
      </c>
      <c r="K82">
        <f t="shared" si="12"/>
        <v>0.26334982756684394</v>
      </c>
      <c r="L82">
        <f t="shared" si="12"/>
        <v>0.55682612497611195</v>
      </c>
      <c r="M82">
        <f t="shared" si="12"/>
        <v>0</v>
      </c>
      <c r="N82">
        <f t="shared" si="12"/>
        <v>0.51518198862806286</v>
      </c>
      <c r="O82">
        <f t="shared" si="12"/>
        <v>1.5339371669033901</v>
      </c>
      <c r="P82">
        <f t="shared" si="12"/>
        <v>0.52468607781579246</v>
      </c>
      <c r="Q82">
        <f t="shared" si="12"/>
        <v>2.1259299084251508</v>
      </c>
      <c r="R82">
        <f t="shared" si="12"/>
        <v>1.8876936057794367</v>
      </c>
      <c r="S82">
        <f t="shared" si="12"/>
        <v>1.642617876003692</v>
      </c>
      <c r="T82">
        <f t="shared" si="12"/>
        <v>0.77666468367435115</v>
      </c>
      <c r="U82">
        <f t="shared" si="12"/>
        <v>3.2220596669348764</v>
      </c>
      <c r="V82">
        <f t="shared" si="12"/>
        <v>0.86120531591436289</v>
      </c>
      <c r="W82">
        <f t="shared" si="12"/>
        <v>2.1241810011083038</v>
      </c>
      <c r="X82">
        <f t="shared" si="12"/>
        <v>3.1597298971143308</v>
      </c>
      <c r="Y82">
        <f t="shared" si="12"/>
        <v>0.51084713331559306</v>
      </c>
      <c r="Z82">
        <f t="shared" si="12"/>
        <v>0.65241704340054074</v>
      </c>
      <c r="AA82">
        <f t="shared" si="12"/>
        <v>0.58250999181333107</v>
      </c>
      <c r="AB82">
        <f t="shared" si="12"/>
        <v>1.2171185713561044</v>
      </c>
      <c r="AC82">
        <f t="shared" si="12"/>
        <v>1.2194561252235958</v>
      </c>
      <c r="AD82">
        <f t="shared" si="12"/>
        <v>0.99064692758563488</v>
      </c>
      <c r="AE82">
        <f t="shared" si="12"/>
        <v>1.7318091802700373</v>
      </c>
      <c r="AG82">
        <f>AG14</f>
        <v>38</v>
      </c>
      <c r="AH82">
        <f>ROUND(SUM(B82:AE82),2)</f>
        <v>39.76</v>
      </c>
      <c r="AI82">
        <f>AG82-AH82</f>
        <v>-1.759999999999998</v>
      </c>
    </row>
    <row r="83" spans="1:35" x14ac:dyDescent="0.25">
      <c r="A83" t="s">
        <v>41</v>
      </c>
      <c r="B83">
        <f t="shared" ref="B83:AE83" si="13">IFERROR(VLOOKUP($A83,table_rank_wins,2,0)/(VLOOKUP($A83,table_rank_wins,2,0)+VLOOKUP(B$70,table_rank_wins,2,0))*(B15+HLOOKUP($A83,table_h2h_wins,MATCH(B$70,$A$2:$A$32,0),0)),0)</f>
        <v>0.93984835921588827</v>
      </c>
      <c r="C83">
        <f t="shared" si="13"/>
        <v>1.5596917175221274</v>
      </c>
      <c r="D83">
        <f t="shared" si="13"/>
        <v>1.475745899228323</v>
      </c>
      <c r="E83">
        <f t="shared" si="13"/>
        <v>1.5852646595697615</v>
      </c>
      <c r="F83">
        <f t="shared" si="13"/>
        <v>1.2523046547516663</v>
      </c>
      <c r="G83">
        <f t="shared" si="13"/>
        <v>1.1448242822072241</v>
      </c>
      <c r="H83">
        <f t="shared" si="13"/>
        <v>1.8231195094745549</v>
      </c>
      <c r="I83">
        <f t="shared" si="13"/>
        <v>3.2790768305240201</v>
      </c>
      <c r="J83">
        <f t="shared" si="13"/>
        <v>1.6199361496974731</v>
      </c>
      <c r="K83">
        <f t="shared" si="13"/>
        <v>1.2165240978598582</v>
      </c>
      <c r="L83">
        <f t="shared" si="13"/>
        <v>2.1060806127929084</v>
      </c>
      <c r="M83">
        <f t="shared" si="13"/>
        <v>1.4848180113719371</v>
      </c>
      <c r="N83">
        <f t="shared" si="13"/>
        <v>0</v>
      </c>
      <c r="O83">
        <f t="shared" si="13"/>
        <v>3.6185330729133938</v>
      </c>
      <c r="P83">
        <f t="shared" si="13"/>
        <v>2.0247000843516187</v>
      </c>
      <c r="Q83">
        <f t="shared" si="13"/>
        <v>1.5315563862315522</v>
      </c>
      <c r="R83">
        <f t="shared" si="13"/>
        <v>1.4406614165149487</v>
      </c>
      <c r="S83">
        <f t="shared" si="13"/>
        <v>2.7894287849443034</v>
      </c>
      <c r="T83">
        <f t="shared" si="13"/>
        <v>1.9398496343607858</v>
      </c>
      <c r="U83">
        <f t="shared" si="13"/>
        <v>1.8454061812999996</v>
      </c>
      <c r="V83">
        <f t="shared" si="13"/>
        <v>2.0564806654631118</v>
      </c>
      <c r="W83">
        <f t="shared" si="13"/>
        <v>1.7496934310145555</v>
      </c>
      <c r="X83">
        <f t="shared" si="13"/>
        <v>1.8310505685560161</v>
      </c>
      <c r="Y83">
        <f t="shared" si="13"/>
        <v>3.0024806934339709</v>
      </c>
      <c r="Z83">
        <f t="shared" si="13"/>
        <v>2.3300960777050013</v>
      </c>
      <c r="AA83">
        <f t="shared" si="13"/>
        <v>2.1688279004355366</v>
      </c>
      <c r="AB83">
        <f t="shared" si="13"/>
        <v>3.2701711475741035</v>
      </c>
      <c r="AC83">
        <f t="shared" si="13"/>
        <v>1.3274833643744954</v>
      </c>
      <c r="AD83">
        <f t="shared" si="13"/>
        <v>2.955261547672579</v>
      </c>
      <c r="AE83">
        <f t="shared" si="13"/>
        <v>1.3751091486971783</v>
      </c>
      <c r="AG83">
        <f>AG15</f>
        <v>56</v>
      </c>
      <c r="AH83">
        <f>ROUND(SUM(B83:AE83),2)</f>
        <v>56.74</v>
      </c>
      <c r="AI83">
        <f>AG83-AH83</f>
        <v>-0.74000000000000199</v>
      </c>
    </row>
    <row r="84" spans="1:35" x14ac:dyDescent="0.25">
      <c r="A84" t="s">
        <v>17</v>
      </c>
      <c r="B84">
        <f t="shared" ref="B84:AE84" si="14">IFERROR(VLOOKUP($A84,table_rank_wins,2,0)/(VLOOKUP($A84,table_rank_wins,2,0)+VLOOKUP(B$70,table_rank_wins,2,0))*(B16+HLOOKUP($A84,table_h2h_wins,MATCH(B$70,$A$2:$A$32,0),0)),0)</f>
        <v>0.1709394221980674</v>
      </c>
      <c r="C84">
        <f t="shared" si="14"/>
        <v>0.54378913185168321</v>
      </c>
      <c r="D84">
        <f t="shared" si="14"/>
        <v>0.45768540350746789</v>
      </c>
      <c r="E84">
        <f t="shared" si="14"/>
        <v>0.57443614007622257</v>
      </c>
      <c r="F84">
        <f t="shared" si="14"/>
        <v>0.300139376587575</v>
      </c>
      <c r="G84">
        <f t="shared" si="14"/>
        <v>0.2473455572855412</v>
      </c>
      <c r="H84">
        <f t="shared" si="14"/>
        <v>0.56152932815991274</v>
      </c>
      <c r="I84">
        <f t="shared" si="14"/>
        <v>1.2963805686829715</v>
      </c>
      <c r="J84">
        <f t="shared" si="14"/>
        <v>0.62005228224557551</v>
      </c>
      <c r="K84">
        <f t="shared" si="14"/>
        <v>0.17617939103333566</v>
      </c>
      <c r="L84">
        <f t="shared" si="14"/>
        <v>0.31478686862866928</v>
      </c>
      <c r="M84">
        <f t="shared" si="14"/>
        <v>0.46606283309660984</v>
      </c>
      <c r="N84">
        <f t="shared" si="14"/>
        <v>0.38146692708660646</v>
      </c>
      <c r="O84">
        <f t="shared" si="14"/>
        <v>0</v>
      </c>
      <c r="P84">
        <f t="shared" si="14"/>
        <v>0.39007667160138898</v>
      </c>
      <c r="Q84">
        <f t="shared" si="14"/>
        <v>0.51264317783454727</v>
      </c>
      <c r="R84">
        <f t="shared" si="14"/>
        <v>0.42708687706802084</v>
      </c>
      <c r="S84">
        <f t="shared" si="14"/>
        <v>2.3308985103724296</v>
      </c>
      <c r="T84">
        <f t="shared" si="14"/>
        <v>0.64681796673763536</v>
      </c>
      <c r="U84">
        <f t="shared" si="14"/>
        <v>1.1144235140147574</v>
      </c>
      <c r="V84">
        <f t="shared" si="14"/>
        <v>0.56052453355053711</v>
      </c>
      <c r="W84">
        <f t="shared" si="14"/>
        <v>0.84852942017110566</v>
      </c>
      <c r="X84">
        <f t="shared" si="14"/>
        <v>1.0665245411568574</v>
      </c>
      <c r="Y84">
        <f t="shared" si="14"/>
        <v>0.96350812511160355</v>
      </c>
      <c r="Z84">
        <f t="shared" si="14"/>
        <v>0.51293952760915529</v>
      </c>
      <c r="AA84">
        <f t="shared" si="14"/>
        <v>0.33299935622664123</v>
      </c>
      <c r="AB84">
        <f t="shared" si="14"/>
        <v>1.28327448661757</v>
      </c>
      <c r="AC84">
        <f t="shared" si="14"/>
        <v>0.34449366973625767</v>
      </c>
      <c r="AD84">
        <f t="shared" si="14"/>
        <v>0.68911416675224291</v>
      </c>
      <c r="AE84">
        <f t="shared" si="14"/>
        <v>0.37660181282279803</v>
      </c>
      <c r="AG84">
        <f>AG16</f>
        <v>21</v>
      </c>
      <c r="AH84">
        <f>ROUND(SUM(B84:AE84),2)</f>
        <v>18.510000000000002</v>
      </c>
      <c r="AI84">
        <f>AG84-AH84</f>
        <v>2.4899999999999984</v>
      </c>
    </row>
    <row r="85" spans="1:35" x14ac:dyDescent="0.25">
      <c r="A85" t="s">
        <v>28</v>
      </c>
      <c r="B85">
        <f t="shared" ref="B85:AE85" si="15">IFERROR(VLOOKUP($A85,table_rank_wins,2,0)/(VLOOKUP($A85,table_rank_wins,2,0)+VLOOKUP(B$70,table_rank_wins,2,0))*(B17+HLOOKUP($A85,table_h2h_wins,MATCH(B$70,$A$2:$A$32,0),0)),0)</f>
        <v>0.92755213676825687</v>
      </c>
      <c r="C85">
        <f t="shared" si="15"/>
        <v>1.5511513527196403</v>
      </c>
      <c r="D85">
        <f t="shared" si="15"/>
        <v>1.4661346226000906</v>
      </c>
      <c r="E85">
        <f t="shared" si="15"/>
        <v>1.577085818638315</v>
      </c>
      <c r="F85">
        <f t="shared" si="15"/>
        <v>1.2407046417712411</v>
      </c>
      <c r="G85">
        <f t="shared" si="15"/>
        <v>1.1327116061513307</v>
      </c>
      <c r="H85">
        <f t="shared" si="15"/>
        <v>2.4072092513683141</v>
      </c>
      <c r="I85">
        <f t="shared" si="15"/>
        <v>2.4482723239614916</v>
      </c>
      <c r="J85">
        <f t="shared" si="15"/>
        <v>1.6122738213713257</v>
      </c>
      <c r="K85">
        <f t="shared" si="15"/>
        <v>0.89678634585689809</v>
      </c>
      <c r="L85">
        <f t="shared" si="15"/>
        <v>2.081433871700658</v>
      </c>
      <c r="M85">
        <f t="shared" si="15"/>
        <v>1.4753139221842075</v>
      </c>
      <c r="N85">
        <f t="shared" si="15"/>
        <v>1.975299915648381</v>
      </c>
      <c r="O85">
        <f t="shared" si="15"/>
        <v>3.6099233283986112</v>
      </c>
      <c r="P85">
        <f t="shared" si="15"/>
        <v>0</v>
      </c>
      <c r="Q85">
        <f t="shared" si="15"/>
        <v>1.522637324183461</v>
      </c>
      <c r="R85">
        <f t="shared" si="15"/>
        <v>1.4306550798502973</v>
      </c>
      <c r="S85">
        <f t="shared" si="15"/>
        <v>2.7845408352624803</v>
      </c>
      <c r="T85">
        <f t="shared" si="15"/>
        <v>2.5638078918249687</v>
      </c>
      <c r="U85">
        <f t="shared" si="15"/>
        <v>1.8418456832127452</v>
      </c>
      <c r="V85">
        <f t="shared" si="15"/>
        <v>2.7205756021564578</v>
      </c>
      <c r="W85">
        <f t="shared" si="15"/>
        <v>1.7442340626109056</v>
      </c>
      <c r="X85">
        <f t="shared" si="15"/>
        <v>1.8271904029991701</v>
      </c>
      <c r="Y85">
        <f t="shared" si="15"/>
        <v>2.2379033288782715</v>
      </c>
      <c r="Z85">
        <f t="shared" si="15"/>
        <v>2.3060197688228712</v>
      </c>
      <c r="AA85">
        <f t="shared" si="15"/>
        <v>2.1442782284231976</v>
      </c>
      <c r="AB85">
        <f t="shared" si="15"/>
        <v>3.2553169327266005</v>
      </c>
      <c r="AC85">
        <f t="shared" si="15"/>
        <v>1.3164130336280315</v>
      </c>
      <c r="AD85">
        <f t="shared" si="15"/>
        <v>2.9360831936085643</v>
      </c>
      <c r="AE85">
        <f t="shared" si="15"/>
        <v>1.3644474508139142</v>
      </c>
      <c r="AG85">
        <f>AG17</f>
        <v>55</v>
      </c>
      <c r="AH85">
        <f>ROUND(SUM(B85:AE85),2)</f>
        <v>56.4</v>
      </c>
      <c r="AI85">
        <f>AG85-AH85</f>
        <v>-1.3999999999999986</v>
      </c>
    </row>
    <row r="86" spans="1:35" x14ac:dyDescent="0.25">
      <c r="A86" t="s">
        <v>24</v>
      </c>
      <c r="B86">
        <f t="shared" ref="B86:AE86" si="16">IFERROR(VLOOKUP($A86,table_rank_wins,2,0)/(VLOOKUP($A86,table_rank_wins,2,0)+VLOOKUP(B$70,table_rank_wins,2,0))*(B18+HLOOKUP($A86,table_h2h_wins,MATCH(B$70,$A$2:$A$32,0),0)),0)</f>
        <v>0.85325011398187922</v>
      </c>
      <c r="C86">
        <f t="shared" si="16"/>
        <v>2.0801014660565262</v>
      </c>
      <c r="D86">
        <f t="shared" si="16"/>
        <v>1.8505971782258388</v>
      </c>
      <c r="E86">
        <f t="shared" si="16"/>
        <v>2.1559249944954648</v>
      </c>
      <c r="F86">
        <f t="shared" si="16"/>
        <v>1.0162438588571978</v>
      </c>
      <c r="G86">
        <f t="shared" si="16"/>
        <v>1.1620267036485969</v>
      </c>
      <c r="H86">
        <f t="shared" si="16"/>
        <v>0.6429758725640794</v>
      </c>
      <c r="I86">
        <f t="shared" si="16"/>
        <v>1.1635969218571702</v>
      </c>
      <c r="J86">
        <f t="shared" si="16"/>
        <v>1.6977267391038453</v>
      </c>
      <c r="K86">
        <f t="shared" si="16"/>
        <v>0.23582950380848144</v>
      </c>
      <c r="L86">
        <f t="shared" si="16"/>
        <v>0.50760127300278024</v>
      </c>
      <c r="M86">
        <f t="shared" si="16"/>
        <v>1.8740700915748496</v>
      </c>
      <c r="N86">
        <f t="shared" si="16"/>
        <v>0.46844361376844779</v>
      </c>
      <c r="O86">
        <f t="shared" si="16"/>
        <v>1.487356822165453</v>
      </c>
      <c r="P86">
        <f t="shared" si="16"/>
        <v>0.47736267581653902</v>
      </c>
      <c r="Q86">
        <f t="shared" si="16"/>
        <v>0</v>
      </c>
      <c r="R86">
        <f t="shared" si="16"/>
        <v>1.7626030578021898</v>
      </c>
      <c r="S86">
        <f t="shared" si="16"/>
        <v>1.6040961030556993</v>
      </c>
      <c r="T86">
        <f t="shared" si="16"/>
        <v>0.71766993890578168</v>
      </c>
      <c r="U86">
        <f t="shared" si="16"/>
        <v>2.3549918170469417</v>
      </c>
      <c r="V86">
        <f t="shared" si="16"/>
        <v>0.79998830410028543</v>
      </c>
      <c r="W86">
        <f t="shared" si="16"/>
        <v>2.7253154295703337</v>
      </c>
      <c r="X86">
        <f t="shared" si="16"/>
        <v>3.0729755825190455</v>
      </c>
      <c r="Y86">
        <f t="shared" si="16"/>
        <v>0.95867286043428668</v>
      </c>
      <c r="Z86">
        <f t="shared" si="16"/>
        <v>0.59824472237428084</v>
      </c>
      <c r="AA86">
        <f t="shared" si="16"/>
        <v>0.53185137257430493</v>
      </c>
      <c r="AB86">
        <f t="shared" si="16"/>
        <v>1.1562902392651979</v>
      </c>
      <c r="AC86">
        <f t="shared" si="16"/>
        <v>0.75291553380855758</v>
      </c>
      <c r="AD86">
        <f t="shared" si="16"/>
        <v>0.92772453753314699</v>
      </c>
      <c r="AE86">
        <f t="shared" si="16"/>
        <v>1.6091790944296831</v>
      </c>
      <c r="AG86">
        <f>AG18</f>
        <v>37</v>
      </c>
      <c r="AH86">
        <f>ROUND(SUM(B86:AE86),2)</f>
        <v>37.25</v>
      </c>
      <c r="AI86">
        <f>AG86-AH86</f>
        <v>-0.25</v>
      </c>
    </row>
    <row r="87" spans="1:35" x14ac:dyDescent="0.25">
      <c r="A87" t="s">
        <v>19</v>
      </c>
      <c r="B87">
        <f t="shared" ref="B87:AE87" si="17">IFERROR(VLOOKUP($A87,table_rank_wins,2,0)/(VLOOKUP($A87,table_rank_wins,2,0)+VLOOKUP(B$70,table_rank_wins,2,0))*(B19+HLOOKUP($A87,table_h2h_wins,MATCH(B$70,$A$2:$A$32,0),0)),0)</f>
        <v>1.0242379297746056</v>
      </c>
      <c r="C87">
        <f t="shared" si="17"/>
        <v>2.3159961748335447</v>
      </c>
      <c r="D87">
        <f t="shared" si="17"/>
        <v>1.5665860046428972</v>
      </c>
      <c r="E87">
        <f t="shared" si="17"/>
        <v>1.7922866235630304</v>
      </c>
      <c r="F87">
        <f t="shared" si="17"/>
        <v>1.5761639969460244</v>
      </c>
      <c r="G87">
        <f t="shared" si="17"/>
        <v>1.3679919419811928</v>
      </c>
      <c r="H87">
        <f t="shared" si="17"/>
        <v>0.75112757370952288</v>
      </c>
      <c r="I87">
        <f t="shared" si="17"/>
        <v>1.2769180040641652</v>
      </c>
      <c r="J87">
        <f t="shared" si="17"/>
        <v>2.4933139213543649</v>
      </c>
      <c r="K87">
        <f t="shared" si="17"/>
        <v>0.29013945709951855</v>
      </c>
      <c r="L87">
        <f t="shared" si="17"/>
        <v>0.60310227209853029</v>
      </c>
      <c r="M87">
        <f t="shared" si="17"/>
        <v>2.1123063942205635</v>
      </c>
      <c r="N87">
        <f t="shared" si="17"/>
        <v>0.55933858348505139</v>
      </c>
      <c r="O87">
        <f t="shared" si="17"/>
        <v>1.5729131229319793</v>
      </c>
      <c r="P87">
        <f t="shared" si="17"/>
        <v>0.56934492014970273</v>
      </c>
      <c r="Q87">
        <f t="shared" si="17"/>
        <v>2.2373969421978104</v>
      </c>
      <c r="R87">
        <f t="shared" si="17"/>
        <v>0</v>
      </c>
      <c r="S87">
        <f t="shared" si="17"/>
        <v>1.6744340865539515</v>
      </c>
      <c r="T87">
        <f t="shared" si="17"/>
        <v>0.83069462340453482</v>
      </c>
      <c r="U87">
        <f t="shared" si="17"/>
        <v>3.2901010446871615</v>
      </c>
      <c r="V87">
        <f t="shared" si="17"/>
        <v>0.91670936537054248</v>
      </c>
      <c r="W87">
        <f t="shared" si="17"/>
        <v>2.922980890643152</v>
      </c>
      <c r="X87">
        <f t="shared" si="17"/>
        <v>3.2319233031144248</v>
      </c>
      <c r="Y87">
        <f t="shared" si="17"/>
        <v>1.0777527451583533</v>
      </c>
      <c r="Z87">
        <f t="shared" si="17"/>
        <v>0.70276891563113375</v>
      </c>
      <c r="AA87">
        <f t="shared" si="17"/>
        <v>0.62998887048303565</v>
      </c>
      <c r="AB87">
        <f t="shared" si="17"/>
        <v>1.2699801963879929</v>
      </c>
      <c r="AC87">
        <f t="shared" si="17"/>
        <v>1.3016022905430447</v>
      </c>
      <c r="AD87">
        <f t="shared" si="17"/>
        <v>1.0468247172677503</v>
      </c>
      <c r="AE87">
        <f t="shared" si="17"/>
        <v>1.3821996577219882</v>
      </c>
      <c r="AG87">
        <f>AG19</f>
        <v>41</v>
      </c>
      <c r="AH87">
        <f>ROUND(SUM(B87:AE87),2)</f>
        <v>42.39</v>
      </c>
      <c r="AI87">
        <f>AG87-AH87</f>
        <v>-1.3900000000000006</v>
      </c>
    </row>
    <row r="88" spans="1:35" x14ac:dyDescent="0.25">
      <c r="A88" t="s">
        <v>29</v>
      </c>
      <c r="B88">
        <f t="shared" ref="B88:AE88" si="18">IFERROR(VLOOKUP($A88,table_rank_wins,2,0)/(VLOOKUP($A88,table_rank_wins,2,0)+VLOOKUP(B$70,table_rank_wins,2,0))*(B20+HLOOKUP($A88,table_h2h_wins,MATCH(B$70,$A$2:$A$32,0),0)),0)</f>
        <v>0.12544996910828027</v>
      </c>
      <c r="C88">
        <f t="shared" si="18"/>
        <v>0.42196947521110384</v>
      </c>
      <c r="D88">
        <f t="shared" si="18"/>
        <v>0.35051182911730649</v>
      </c>
      <c r="E88">
        <f t="shared" si="18"/>
        <v>0.44786246040559691</v>
      </c>
      <c r="F88">
        <f t="shared" si="18"/>
        <v>0.22448778153450788</v>
      </c>
      <c r="G88">
        <f t="shared" si="18"/>
        <v>0.18356391723219204</v>
      </c>
      <c r="H88">
        <f t="shared" si="18"/>
        <v>0.31409249068069911</v>
      </c>
      <c r="I88">
        <f t="shared" si="18"/>
        <v>1.0223857160717331</v>
      </c>
      <c r="J88">
        <f t="shared" si="18"/>
        <v>0.48686006404845422</v>
      </c>
      <c r="K88">
        <f t="shared" si="18"/>
        <v>0.12775554013454407</v>
      </c>
      <c r="L88">
        <f t="shared" si="18"/>
        <v>0.30977743910033689</v>
      </c>
      <c r="M88">
        <f t="shared" si="18"/>
        <v>0.3573821239963082</v>
      </c>
      <c r="N88">
        <f t="shared" si="18"/>
        <v>0.21057121505569687</v>
      </c>
      <c r="O88">
        <f t="shared" si="18"/>
        <v>1.6691014896275704</v>
      </c>
      <c r="P88">
        <f t="shared" si="18"/>
        <v>0.2154591647375198</v>
      </c>
      <c r="Q88">
        <f t="shared" si="18"/>
        <v>0.39590389694430078</v>
      </c>
      <c r="R88">
        <f t="shared" si="18"/>
        <v>0.32556591344604852</v>
      </c>
      <c r="S88">
        <f t="shared" si="18"/>
        <v>0</v>
      </c>
      <c r="T88">
        <f t="shared" si="18"/>
        <v>0.48545937508581111</v>
      </c>
      <c r="U88">
        <f t="shared" si="18"/>
        <v>0.94798963579194895</v>
      </c>
      <c r="V88">
        <f t="shared" si="18"/>
        <v>0.56515178318473569</v>
      </c>
      <c r="W88">
        <f t="shared" si="18"/>
        <v>0.69082822443597558</v>
      </c>
      <c r="X88">
        <f t="shared" si="18"/>
        <v>0.89997436018910981</v>
      </c>
      <c r="Y88">
        <f t="shared" si="18"/>
        <v>0.74059526424189825</v>
      </c>
      <c r="Z88">
        <f t="shared" si="18"/>
        <v>0.38118233858850836</v>
      </c>
      <c r="AA88">
        <f t="shared" si="18"/>
        <v>0.32828331954630519</v>
      </c>
      <c r="AB88">
        <f t="shared" si="18"/>
        <v>0.75826035697361083</v>
      </c>
      <c r="AC88">
        <f t="shared" si="18"/>
        <v>0.25936818233561948</v>
      </c>
      <c r="AD88">
        <f t="shared" si="18"/>
        <v>0.70384855857683981</v>
      </c>
      <c r="AE88">
        <f t="shared" si="18"/>
        <v>0.28490772270117276</v>
      </c>
      <c r="AG88">
        <f>AG20</f>
        <v>16</v>
      </c>
      <c r="AH88">
        <f>ROUND(SUM(B88:AE88),2)</f>
        <v>14.23</v>
      </c>
      <c r="AI88">
        <f>AG88-AH88</f>
        <v>1.7699999999999996</v>
      </c>
    </row>
    <row r="89" spans="1:35" x14ac:dyDescent="0.25">
      <c r="A89" t="s">
        <v>12</v>
      </c>
      <c r="B89">
        <f t="shared" ref="B89:AE89" si="19">IFERROR(VLOOKUP($A89,table_rank_wins,2,0)/(VLOOKUP($A89,table_rank_wins,2,0)+VLOOKUP(B$70,table_rank_wins,2,0))*(B21+HLOOKUP($A89,table_h2h_wins,MATCH(B$70,$A$2:$A$32,0),0)),0)</f>
        <v>0.65274039139590689</v>
      </c>
      <c r="C89">
        <f t="shared" si="19"/>
        <v>1.31877622371564</v>
      </c>
      <c r="D89">
        <f t="shared" si="19"/>
        <v>1.2121019771788366</v>
      </c>
      <c r="E89">
        <f t="shared" si="19"/>
        <v>1.3525329014378682</v>
      </c>
      <c r="F89">
        <f t="shared" si="19"/>
        <v>0.95580158650872704</v>
      </c>
      <c r="G89">
        <f t="shared" si="19"/>
        <v>0.8450091542742949</v>
      </c>
      <c r="H89">
        <f t="shared" si="19"/>
        <v>1.8338657613908143</v>
      </c>
      <c r="I89">
        <f t="shared" si="19"/>
        <v>2.8524793684173972</v>
      </c>
      <c r="J89">
        <f t="shared" si="19"/>
        <v>1.3992879335688269</v>
      </c>
      <c r="K89">
        <f t="shared" si="19"/>
        <v>0.77120971018770335</v>
      </c>
      <c r="L89">
        <f t="shared" si="19"/>
        <v>1.5120248721020078</v>
      </c>
      <c r="M89">
        <f t="shared" si="19"/>
        <v>1.2233353163256488</v>
      </c>
      <c r="N89">
        <f t="shared" si="19"/>
        <v>1.0601503656392142</v>
      </c>
      <c r="O89">
        <f t="shared" si="19"/>
        <v>3.3531820332623643</v>
      </c>
      <c r="P89">
        <f t="shared" si="19"/>
        <v>1.4361921081750311</v>
      </c>
      <c r="Q89">
        <f t="shared" si="19"/>
        <v>1.2823300610942183</v>
      </c>
      <c r="R89">
        <f t="shared" si="19"/>
        <v>1.1693053765954653</v>
      </c>
      <c r="S89">
        <f t="shared" si="19"/>
        <v>3.5145406249141891</v>
      </c>
      <c r="T89">
        <f t="shared" si="19"/>
        <v>0</v>
      </c>
      <c r="U89">
        <f t="shared" si="19"/>
        <v>1.7341761397630246</v>
      </c>
      <c r="V89">
        <f t="shared" si="19"/>
        <v>2.1744900646987064</v>
      </c>
      <c r="W89">
        <f t="shared" si="19"/>
        <v>1.5850817394075245</v>
      </c>
      <c r="X89">
        <f t="shared" si="19"/>
        <v>1.7111086247684959</v>
      </c>
      <c r="Y89">
        <f t="shared" si="19"/>
        <v>1.865772173178458</v>
      </c>
      <c r="Z89">
        <f t="shared" si="19"/>
        <v>1.2979433792475885</v>
      </c>
      <c r="AA89">
        <f t="shared" si="19"/>
        <v>1.5717615506127509</v>
      </c>
      <c r="AB89">
        <f t="shared" si="19"/>
        <v>2.8401678315278813</v>
      </c>
      <c r="AC89">
        <f t="shared" si="19"/>
        <v>1.0378886858500738</v>
      </c>
      <c r="AD89">
        <f t="shared" si="19"/>
        <v>1.8216452414082358</v>
      </c>
      <c r="AE89">
        <f t="shared" si="19"/>
        <v>1.0919949947128851</v>
      </c>
      <c r="AG89">
        <f>AG21</f>
        <v>45</v>
      </c>
      <c r="AH89">
        <f>ROUND(SUM(B89:AE89),2)</f>
        <v>46.48</v>
      </c>
      <c r="AI89">
        <f>AG89-AH89</f>
        <v>-1.4799999999999969</v>
      </c>
    </row>
    <row r="90" spans="1:35" x14ac:dyDescent="0.25">
      <c r="A90" t="s">
        <v>31</v>
      </c>
      <c r="B90">
        <f t="shared" ref="B90:AE90" si="20">IFERROR(VLOOKUP($A90,table_rank_wins,2,0)/(VLOOKUP($A90,table_rank_wins,2,0)+VLOOKUP(B$70,table_rank_wins,2,0))*(B22+HLOOKUP($A90,table_h2h_wins,MATCH(B$70,$A$2:$A$32,0),0)),0)</f>
        <v>0.20739552504135539</v>
      </c>
      <c r="C90">
        <f t="shared" si="20"/>
        <v>0.91535125661124028</v>
      </c>
      <c r="D90">
        <f t="shared" si="20"/>
        <v>0.76326741611475279</v>
      </c>
      <c r="E90">
        <f t="shared" si="20"/>
        <v>0.97017221390946651</v>
      </c>
      <c r="F90">
        <f t="shared" si="20"/>
        <v>0.36913411293100834</v>
      </c>
      <c r="G90">
        <f t="shared" si="20"/>
        <v>0.30251233830785973</v>
      </c>
      <c r="H90">
        <f t="shared" si="20"/>
        <v>0.22973221285564044</v>
      </c>
      <c r="I90">
        <f t="shared" si="20"/>
        <v>0.55180884162589716</v>
      </c>
      <c r="J90">
        <f t="shared" si="20"/>
        <v>1.0524521353495286</v>
      </c>
      <c r="K90">
        <f t="shared" si="20"/>
        <v>7.063936990069955E-2</v>
      </c>
      <c r="L90">
        <f t="shared" si="20"/>
        <v>0.17043597404020489</v>
      </c>
      <c r="M90">
        <f t="shared" si="20"/>
        <v>0.77794033306512389</v>
      </c>
      <c r="N90">
        <f t="shared" si="20"/>
        <v>0.15459381870000033</v>
      </c>
      <c r="O90">
        <f t="shared" si="20"/>
        <v>0.88557648598524252</v>
      </c>
      <c r="P90">
        <f t="shared" si="20"/>
        <v>0.1581543167872547</v>
      </c>
      <c r="Q90">
        <f t="shared" si="20"/>
        <v>0.64500818295305828</v>
      </c>
      <c r="R90">
        <f t="shared" si="20"/>
        <v>0.70989895531283853</v>
      </c>
      <c r="S90">
        <f t="shared" si="20"/>
        <v>1.0520103642080512</v>
      </c>
      <c r="T90">
        <f t="shared" si="20"/>
        <v>0.26582386023697541</v>
      </c>
      <c r="U90">
        <f t="shared" si="20"/>
        <v>0</v>
      </c>
      <c r="V90">
        <f t="shared" si="20"/>
        <v>0.30879498495743574</v>
      </c>
      <c r="W90">
        <f t="shared" si="20"/>
        <v>1.4772716337275957</v>
      </c>
      <c r="X90">
        <f t="shared" si="20"/>
        <v>1.9034672497143976</v>
      </c>
      <c r="Y90">
        <f t="shared" si="20"/>
        <v>0.40274734506558912</v>
      </c>
      <c r="Z90">
        <f t="shared" si="20"/>
        <v>0.20931557900638606</v>
      </c>
      <c r="AA90">
        <f t="shared" si="20"/>
        <v>0.18052682343755477</v>
      </c>
      <c r="AB90">
        <f t="shared" si="20"/>
        <v>0.5458367505236903</v>
      </c>
      <c r="AC90">
        <f t="shared" si="20"/>
        <v>0.56757949522874163</v>
      </c>
      <c r="AD90">
        <f t="shared" si="20"/>
        <v>0.38314243895329519</v>
      </c>
      <c r="AE90">
        <f t="shared" si="20"/>
        <v>0.6226079185701564</v>
      </c>
      <c r="AG90">
        <f>AG22</f>
        <v>17</v>
      </c>
      <c r="AH90">
        <f>ROUND(SUM(B90:AE90),2)</f>
        <v>16.850000000000001</v>
      </c>
      <c r="AI90">
        <f>AG90-AH90</f>
        <v>0.14999999999999858</v>
      </c>
    </row>
    <row r="91" spans="1:35" x14ac:dyDescent="0.25">
      <c r="A91" t="s">
        <v>38</v>
      </c>
      <c r="B91">
        <f t="shared" ref="B91:AE91" si="21">IFERROR(VLOOKUP($A91,table_rank_wins,2,0)/(VLOOKUP($A91,table_rank_wins,2,0)+VLOOKUP(B$70,table_rank_wins,2,0))*(B23+HLOOKUP($A91,table_h2h_wins,MATCH(B$70,$A$2:$A$32,0),0)),0)</f>
        <v>0.578272306254073</v>
      </c>
      <c r="C91">
        <f t="shared" si="21"/>
        <v>1.2381546635990932</v>
      </c>
      <c r="D91">
        <f t="shared" si="21"/>
        <v>1.1272109638529033</v>
      </c>
      <c r="E91">
        <f t="shared" si="21"/>
        <v>1.2737061801081064</v>
      </c>
      <c r="F91">
        <f t="shared" si="21"/>
        <v>0.86906146519785876</v>
      </c>
      <c r="G91">
        <f t="shared" si="21"/>
        <v>0.76099597765823357</v>
      </c>
      <c r="H91">
        <f t="shared" si="21"/>
        <v>1.6618265054473871</v>
      </c>
      <c r="I91">
        <f t="shared" si="21"/>
        <v>2.7041756929713587</v>
      </c>
      <c r="J91">
        <f t="shared" si="21"/>
        <v>1.3233055369133104</v>
      </c>
      <c r="K91">
        <f t="shared" si="21"/>
        <v>0.66811269961769504</v>
      </c>
      <c r="L91">
        <f t="shared" si="21"/>
        <v>1.0135069388135201</v>
      </c>
      <c r="M91">
        <f t="shared" si="21"/>
        <v>1.1387946840856371</v>
      </c>
      <c r="N91">
        <f t="shared" si="21"/>
        <v>0.94351933453688841</v>
      </c>
      <c r="O91">
        <f t="shared" si="21"/>
        <v>2.4394754664494629</v>
      </c>
      <c r="P91">
        <f t="shared" si="21"/>
        <v>1.2794243978435424</v>
      </c>
      <c r="Q91">
        <f t="shared" si="21"/>
        <v>1.2000116958997145</v>
      </c>
      <c r="R91">
        <f t="shared" si="21"/>
        <v>1.0832906346294575</v>
      </c>
      <c r="S91">
        <f t="shared" si="21"/>
        <v>3.4348482168152641</v>
      </c>
      <c r="T91">
        <f t="shared" si="21"/>
        <v>1.8255099353012938</v>
      </c>
      <c r="U91">
        <f t="shared" si="21"/>
        <v>1.6912050150425644</v>
      </c>
      <c r="V91">
        <f t="shared" si="21"/>
        <v>0</v>
      </c>
      <c r="W91">
        <f t="shared" si="21"/>
        <v>1.5246159790490663</v>
      </c>
      <c r="X91">
        <f t="shared" si="21"/>
        <v>1.6651286351921279</v>
      </c>
      <c r="Y91">
        <f t="shared" si="21"/>
        <v>2.3200143226646692</v>
      </c>
      <c r="Z91">
        <f t="shared" si="21"/>
        <v>1.5612573390320506</v>
      </c>
      <c r="AA91">
        <f t="shared" si="21"/>
        <v>1.0562433606309898</v>
      </c>
      <c r="AB91">
        <f t="shared" si="21"/>
        <v>2.6910031962326579</v>
      </c>
      <c r="AC91">
        <f t="shared" si="21"/>
        <v>0.95047996007543178</v>
      </c>
      <c r="AD91">
        <f t="shared" si="21"/>
        <v>2.2592197311813806</v>
      </c>
      <c r="AE91">
        <f t="shared" si="21"/>
        <v>1.0047883945269622</v>
      </c>
      <c r="AG91">
        <f>AG23</f>
        <v>45</v>
      </c>
      <c r="AH91">
        <f>ROUND(SUM(B91:AE91),2)</f>
        <v>43.29</v>
      </c>
      <c r="AI91">
        <f>AG91-AH91</f>
        <v>1.7100000000000009</v>
      </c>
    </row>
    <row r="92" spans="1:35" x14ac:dyDescent="0.25">
      <c r="A92" t="s">
        <v>13</v>
      </c>
      <c r="B92">
        <f t="shared" ref="B92:AE92" si="22">IFERROR(VLOOKUP($A92,table_rank_wins,2,0)/(VLOOKUP($A92,table_rank_wins,2,0)+VLOOKUP(B$70,table_rank_wins,2,0))*(B24+HLOOKUP($A92,table_h2h_wins,MATCH(B$70,$A$2:$A$32,0),0)),0)</f>
        <v>0.45019859992058392</v>
      </c>
      <c r="C92">
        <f t="shared" si="22"/>
        <v>1.0089572755120511</v>
      </c>
      <c r="D92">
        <f t="shared" si="22"/>
        <v>1.1483537342311838</v>
      </c>
      <c r="E92">
        <f t="shared" si="22"/>
        <v>1.4140423741602595</v>
      </c>
      <c r="F92">
        <f t="shared" si="22"/>
        <v>0.77316525384882262</v>
      </c>
      <c r="G92">
        <f t="shared" si="22"/>
        <v>0.48218861363386678</v>
      </c>
      <c r="H92">
        <f t="shared" si="22"/>
        <v>0.36281881870227811</v>
      </c>
      <c r="I92">
        <f t="shared" si="22"/>
        <v>0.78838410234841938</v>
      </c>
      <c r="J92">
        <f t="shared" si="22"/>
        <v>1.5151416915877234</v>
      </c>
      <c r="K92">
        <f t="shared" si="22"/>
        <v>0.11768875615746904</v>
      </c>
      <c r="L92">
        <f t="shared" si="22"/>
        <v>0.27449803763461417</v>
      </c>
      <c r="M92">
        <f t="shared" si="22"/>
        <v>0.87581899889169634</v>
      </c>
      <c r="N92">
        <f t="shared" si="22"/>
        <v>0.2503065689854444</v>
      </c>
      <c r="O92">
        <f t="shared" si="22"/>
        <v>1.1514705798288944</v>
      </c>
      <c r="P92">
        <f t="shared" si="22"/>
        <v>0.25576593738909426</v>
      </c>
      <c r="Q92">
        <f t="shared" si="22"/>
        <v>1.2746845704296665</v>
      </c>
      <c r="R92">
        <f t="shared" si="22"/>
        <v>1.077019109356848</v>
      </c>
      <c r="S92">
        <f t="shared" si="22"/>
        <v>1.3091717755640246</v>
      </c>
      <c r="T92">
        <f t="shared" si="22"/>
        <v>0.41491826059247533</v>
      </c>
      <c r="U92">
        <f t="shared" si="22"/>
        <v>2.5227283662724043</v>
      </c>
      <c r="V92">
        <f t="shared" si="22"/>
        <v>0.47538402095093374</v>
      </c>
      <c r="W92">
        <f t="shared" si="22"/>
        <v>0</v>
      </c>
      <c r="X92">
        <f t="shared" si="22"/>
        <v>1.823730606518668</v>
      </c>
      <c r="Y92">
        <f t="shared" si="22"/>
        <v>0.60198050501765099</v>
      </c>
      <c r="Z92">
        <f t="shared" si="22"/>
        <v>0.33279809257222959</v>
      </c>
      <c r="AA92">
        <f t="shared" si="22"/>
        <v>0.2897741732357727</v>
      </c>
      <c r="AB92">
        <f t="shared" si="22"/>
        <v>0.78123283179128455</v>
      </c>
      <c r="AC92">
        <f t="shared" si="22"/>
        <v>0.88080357081793992</v>
      </c>
      <c r="AD92">
        <f t="shared" si="22"/>
        <v>0.57617578687220028</v>
      </c>
      <c r="AE92">
        <f t="shared" si="22"/>
        <v>0.95772656892755281</v>
      </c>
      <c r="AG92">
        <f>AG24</f>
        <v>25</v>
      </c>
      <c r="AH92">
        <f>ROUND(SUM(B92:AE92),2)</f>
        <v>24.19</v>
      </c>
      <c r="AI92">
        <f>AG92-AH92</f>
        <v>0.80999999999999872</v>
      </c>
    </row>
    <row r="93" spans="1:35" x14ac:dyDescent="0.25">
      <c r="A93" t="s">
        <v>21</v>
      </c>
      <c r="B93">
        <f t="shared" ref="B93:AE93" si="23">IFERROR(VLOOKUP($A93,table_rank_wins,2,0)/(VLOOKUP($A93,table_rank_wins,2,0)+VLOOKUP(B$70,table_rank_wins,2,0))*(B25+HLOOKUP($A93,table_h2h_wins,MATCH(B$70,$A$2:$A$32,0),0)),0)</f>
        <v>0.3024542877578249</v>
      </c>
      <c r="C93">
        <f t="shared" si="23"/>
        <v>0.98532381093522281</v>
      </c>
      <c r="D93">
        <f t="shared" si="23"/>
        <v>0.82472248168408868</v>
      </c>
      <c r="E93">
        <f t="shared" si="23"/>
        <v>0.78218894553698048</v>
      </c>
      <c r="F93">
        <f t="shared" si="23"/>
        <v>0.40156317263121777</v>
      </c>
      <c r="G93">
        <f t="shared" si="23"/>
        <v>0.32982231107399385</v>
      </c>
      <c r="H93">
        <f t="shared" si="23"/>
        <v>0.25011950549681877</v>
      </c>
      <c r="I93">
        <f t="shared" si="23"/>
        <v>0.5912325288663729</v>
      </c>
      <c r="J93">
        <f t="shared" si="23"/>
        <v>1.1290690013580842</v>
      </c>
      <c r="K93">
        <f t="shared" si="23"/>
        <v>7.7526470966015296E-2</v>
      </c>
      <c r="L93">
        <f t="shared" si="23"/>
        <v>0.1861143273930615</v>
      </c>
      <c r="M93">
        <f t="shared" si="23"/>
        <v>0.84027010288566928</v>
      </c>
      <c r="N93">
        <f t="shared" si="23"/>
        <v>0.168949431443984</v>
      </c>
      <c r="O93">
        <f t="shared" si="23"/>
        <v>0.93347545884314265</v>
      </c>
      <c r="P93">
        <f t="shared" si="23"/>
        <v>0.17280959700082996</v>
      </c>
      <c r="Q93">
        <f t="shared" si="23"/>
        <v>0.92702441748095432</v>
      </c>
      <c r="R93">
        <f t="shared" si="23"/>
        <v>0.76807669688557489</v>
      </c>
      <c r="S93">
        <f t="shared" si="23"/>
        <v>1.1000256398108903</v>
      </c>
      <c r="T93">
        <f t="shared" si="23"/>
        <v>0.28889137523150427</v>
      </c>
      <c r="U93">
        <f t="shared" si="23"/>
        <v>2.0965327502856024</v>
      </c>
      <c r="V93">
        <f t="shared" si="23"/>
        <v>0.33487136480787205</v>
      </c>
      <c r="W93">
        <f t="shared" si="23"/>
        <v>1.1762693934813317</v>
      </c>
      <c r="X93">
        <f t="shared" si="23"/>
        <v>0</v>
      </c>
      <c r="Y93">
        <f t="shared" si="23"/>
        <v>0.43471821750787548</v>
      </c>
      <c r="Z93">
        <f t="shared" si="23"/>
        <v>0.2281245062166968</v>
      </c>
      <c r="AA93">
        <f t="shared" si="23"/>
        <v>0.19703346334938721</v>
      </c>
      <c r="AB93">
        <f t="shared" si="23"/>
        <v>0.58500612215230374</v>
      </c>
      <c r="AC93">
        <f t="shared" si="23"/>
        <v>0.6162785549983204</v>
      </c>
      <c r="AD93">
        <f t="shared" si="23"/>
        <v>0.41396037597877838</v>
      </c>
      <c r="AE93">
        <f t="shared" si="23"/>
        <v>0.67509984640096721</v>
      </c>
      <c r="AG93">
        <f>AG25</f>
        <v>18</v>
      </c>
      <c r="AH93">
        <f>ROUND(SUM(B93:AE93),2)</f>
        <v>17.82</v>
      </c>
      <c r="AI93">
        <f>AG93-AH93</f>
        <v>0.17999999999999972</v>
      </c>
    </row>
    <row r="94" spans="1:35" x14ac:dyDescent="0.25">
      <c r="A94" t="s">
        <v>35</v>
      </c>
      <c r="B94">
        <f t="shared" ref="B94:AE94" si="24">IFERROR(VLOOKUP($A94,table_rank_wins,2,0)/(VLOOKUP($A94,table_rank_wins,2,0)+VLOOKUP(B$70,table_rank_wins,2,0))*(B26+HLOOKUP($A94,table_h2h_wins,MATCH(B$70,$A$2:$A$32,0),0)),0)</f>
        <v>0.45503882584191369</v>
      </c>
      <c r="C94">
        <f t="shared" si="24"/>
        <v>1.0812433999617652</v>
      </c>
      <c r="D94">
        <f t="shared" si="24"/>
        <v>0.96652237670618069</v>
      </c>
      <c r="E94">
        <f t="shared" si="24"/>
        <v>1.1189065239167486</v>
      </c>
      <c r="F94">
        <f t="shared" si="24"/>
        <v>0.71502484770848906</v>
      </c>
      <c r="G94">
        <f t="shared" si="24"/>
        <v>0.6156858929032285</v>
      </c>
      <c r="H94">
        <f t="shared" si="24"/>
        <v>1.3591504259732405</v>
      </c>
      <c r="I94">
        <f t="shared" si="24"/>
        <v>1.8053218135445164</v>
      </c>
      <c r="J94">
        <f t="shared" si="24"/>
        <v>1.1722068423936371</v>
      </c>
      <c r="K94">
        <f t="shared" si="24"/>
        <v>0.50716819423021164</v>
      </c>
      <c r="L94">
        <f t="shared" si="24"/>
        <v>1.0791173880464291</v>
      </c>
      <c r="M94">
        <f t="shared" si="24"/>
        <v>0.48915286668440683</v>
      </c>
      <c r="N94">
        <f t="shared" si="24"/>
        <v>0.99751930656602894</v>
      </c>
      <c r="O94">
        <f t="shared" si="24"/>
        <v>3.0364918748883967</v>
      </c>
      <c r="P94">
        <f t="shared" si="24"/>
        <v>0.76209667112172863</v>
      </c>
      <c r="Q94">
        <f t="shared" si="24"/>
        <v>1.0413271395657133</v>
      </c>
      <c r="R94">
        <f t="shared" si="24"/>
        <v>0.92224725484164671</v>
      </c>
      <c r="S94">
        <f t="shared" si="24"/>
        <v>3.2594047357581015</v>
      </c>
      <c r="T94">
        <f t="shared" si="24"/>
        <v>1.1342278268215416</v>
      </c>
      <c r="U94">
        <f t="shared" si="24"/>
        <v>1.5972526549344108</v>
      </c>
      <c r="V94">
        <f t="shared" si="24"/>
        <v>1.6799856773353312</v>
      </c>
      <c r="W94">
        <f t="shared" si="24"/>
        <v>1.3980194949823492</v>
      </c>
      <c r="X94">
        <f t="shared" si="24"/>
        <v>1.5652817824921244</v>
      </c>
      <c r="Y94">
        <f t="shared" si="24"/>
        <v>0</v>
      </c>
      <c r="Z94">
        <f t="shared" si="24"/>
        <v>1.2669729857690322</v>
      </c>
      <c r="AA94">
        <f t="shared" si="24"/>
        <v>1.129515549511479</v>
      </c>
      <c r="AB94">
        <f t="shared" si="24"/>
        <v>2.3926983080858704</v>
      </c>
      <c r="AC94">
        <f t="shared" si="24"/>
        <v>0.79211994901140448</v>
      </c>
      <c r="AD94">
        <f t="shared" si="24"/>
        <v>1.4534384391470407</v>
      </c>
      <c r="AE94">
        <f t="shared" si="24"/>
        <v>0.84466221689342236</v>
      </c>
      <c r="AG94">
        <f>AG26</f>
        <v>38</v>
      </c>
      <c r="AH94">
        <f>ROUND(SUM(B94:AE94),2)</f>
        <v>36.64</v>
      </c>
      <c r="AI94">
        <f>AG94-AH94</f>
        <v>1.3599999999999994</v>
      </c>
    </row>
    <row r="95" spans="1:35" x14ac:dyDescent="0.25">
      <c r="A95" t="s">
        <v>39</v>
      </c>
      <c r="B95">
        <f t="shared" ref="B95:AE95" si="25">IFERROR(VLOOKUP($A95,table_rank_wins,2,0)/(VLOOKUP($A95,table_rank_wins,2,0)+VLOOKUP(B$70,table_rank_wins,2,0))*(B27+HLOOKUP($A95,table_h2h_wins,MATCH(B$70,$A$2:$A$32,0),0)),0)</f>
        <v>0.77701410434370266</v>
      </c>
      <c r="C95">
        <f t="shared" si="25"/>
        <v>1.4348096651402202</v>
      </c>
      <c r="D95">
        <f t="shared" si="25"/>
        <v>1.3371729968720336</v>
      </c>
      <c r="E95">
        <f t="shared" si="25"/>
        <v>1.4651484668210719</v>
      </c>
      <c r="F95">
        <f t="shared" si="25"/>
        <v>1.0910480752158502</v>
      </c>
      <c r="G95">
        <f t="shared" si="25"/>
        <v>0.97928099779596933</v>
      </c>
      <c r="H95">
        <f t="shared" si="25"/>
        <v>2.1044432576879188</v>
      </c>
      <c r="I95">
        <f t="shared" si="25"/>
        <v>3.0609710907605661</v>
      </c>
      <c r="J95">
        <f t="shared" si="25"/>
        <v>1.5067370651279044</v>
      </c>
      <c r="K95">
        <f t="shared" si="25"/>
        <v>0.71554068740416688</v>
      </c>
      <c r="L95">
        <f t="shared" si="25"/>
        <v>1.330504604974418</v>
      </c>
      <c r="M95">
        <f t="shared" si="25"/>
        <v>1.3475829565994593</v>
      </c>
      <c r="N95">
        <f t="shared" si="25"/>
        <v>1.669903922294999</v>
      </c>
      <c r="O95">
        <f t="shared" si="25"/>
        <v>3.4870604723908447</v>
      </c>
      <c r="P95">
        <f t="shared" si="25"/>
        <v>1.693980231177129</v>
      </c>
      <c r="Q95">
        <f t="shared" si="25"/>
        <v>1.4017552776257192</v>
      </c>
      <c r="R95">
        <f t="shared" si="25"/>
        <v>1.2972310843688664</v>
      </c>
      <c r="S95">
        <f t="shared" si="25"/>
        <v>3.6188176614114917</v>
      </c>
      <c r="T95">
        <f t="shared" si="25"/>
        <v>1.7020566207524117</v>
      </c>
      <c r="U95">
        <f t="shared" si="25"/>
        <v>1.7906844209936139</v>
      </c>
      <c r="V95">
        <f t="shared" si="25"/>
        <v>2.4387426609679492</v>
      </c>
      <c r="W95">
        <f t="shared" si="25"/>
        <v>1.6672019074277704</v>
      </c>
      <c r="X95">
        <f t="shared" si="25"/>
        <v>1.7718754937833032</v>
      </c>
      <c r="Y95">
        <f t="shared" si="25"/>
        <v>2.7330270142309674</v>
      </c>
      <c r="Z95">
        <f t="shared" si="25"/>
        <v>0</v>
      </c>
      <c r="AA95">
        <f t="shared" si="25"/>
        <v>1.8364532307659625</v>
      </c>
      <c r="AB95">
        <f t="shared" si="25"/>
        <v>2.2876136752044647</v>
      </c>
      <c r="AC95">
        <f t="shared" si="25"/>
        <v>1.1717166966077146</v>
      </c>
      <c r="AD95">
        <f t="shared" si="25"/>
        <v>2.6786660904952129</v>
      </c>
      <c r="AE95">
        <f t="shared" si="25"/>
        <v>1.2239245065408897</v>
      </c>
      <c r="AG95">
        <f>AG27</f>
        <v>51</v>
      </c>
      <c r="AH95">
        <f>ROUND(SUM(B95:AE95),2)</f>
        <v>51.62</v>
      </c>
      <c r="AI95">
        <f>AG95-AH95</f>
        <v>-0.61999999999999744</v>
      </c>
    </row>
    <row r="96" spans="1:35" x14ac:dyDescent="0.25">
      <c r="A96" t="s">
        <v>15</v>
      </c>
      <c r="B96">
        <f t="shared" ref="B96:AE96" si="26">IFERROR(VLOOKUP($A96,table_rank_wins,2,0)/(VLOOKUP($A96,table_rank_wins,2,0)+VLOOKUP(B$70,table_rank_wins,2,0))*(B28+HLOOKUP($A96,table_h2h_wins,MATCH(B$70,$A$2:$A$32,0),0)),0)</f>
        <v>0.85616475226177513</v>
      </c>
      <c r="C96">
        <f t="shared" si="26"/>
        <v>1.4988461469993102</v>
      </c>
      <c r="D96">
        <f t="shared" si="26"/>
        <v>1.4077052239101902</v>
      </c>
      <c r="E96">
        <f t="shared" si="26"/>
        <v>1.5268810028239643</v>
      </c>
      <c r="F96">
        <f t="shared" si="26"/>
        <v>1.1715442597648664</v>
      </c>
      <c r="G96">
        <f t="shared" si="26"/>
        <v>1.061158000145882</v>
      </c>
      <c r="H96">
        <f t="shared" si="26"/>
        <v>2.2668504847986131</v>
      </c>
      <c r="I96">
        <f t="shared" si="26"/>
        <v>3.1736072487065949</v>
      </c>
      <c r="J96">
        <f t="shared" si="26"/>
        <v>1.565094295578574</v>
      </c>
      <c r="K96">
        <f t="shared" si="26"/>
        <v>0.80863433028731013</v>
      </c>
      <c r="L96">
        <f t="shared" si="26"/>
        <v>1.9369705077782424</v>
      </c>
      <c r="M96">
        <f t="shared" si="26"/>
        <v>1.417490008186669</v>
      </c>
      <c r="N96">
        <f t="shared" si="26"/>
        <v>1.8311720995644631</v>
      </c>
      <c r="O96">
        <f t="shared" si="26"/>
        <v>2.6670006437733589</v>
      </c>
      <c r="P96">
        <f t="shared" si="26"/>
        <v>1.8557217715768024</v>
      </c>
      <c r="Q96">
        <f t="shared" si="26"/>
        <v>1.4681486274256952</v>
      </c>
      <c r="R96">
        <f t="shared" si="26"/>
        <v>1.3700111295169644</v>
      </c>
      <c r="S96">
        <f t="shared" si="26"/>
        <v>3.6717166804536951</v>
      </c>
      <c r="T96">
        <f t="shared" si="26"/>
        <v>2.4282384493872491</v>
      </c>
      <c r="U96">
        <f t="shared" si="26"/>
        <v>1.819473176562445</v>
      </c>
      <c r="V96">
        <f t="shared" si="26"/>
        <v>1.9437566393690102</v>
      </c>
      <c r="W96">
        <f t="shared" si="26"/>
        <v>1.7102258267642272</v>
      </c>
      <c r="X96">
        <f t="shared" si="26"/>
        <v>1.8029665366506129</v>
      </c>
      <c r="Y96">
        <f t="shared" si="26"/>
        <v>2.870484450488521</v>
      </c>
      <c r="Z96">
        <f t="shared" si="26"/>
        <v>2.1635467692340375</v>
      </c>
      <c r="AA96">
        <f t="shared" si="26"/>
        <v>0</v>
      </c>
      <c r="AB96">
        <f t="shared" si="26"/>
        <v>3.1637309593040648</v>
      </c>
      <c r="AC96">
        <f t="shared" si="26"/>
        <v>1.2499798996023948</v>
      </c>
      <c r="AD96">
        <f t="shared" si="26"/>
        <v>2.1146053233007338</v>
      </c>
      <c r="AE96">
        <f t="shared" si="26"/>
        <v>1.3002008931508424</v>
      </c>
      <c r="AG96">
        <f>AG28</f>
        <v>55</v>
      </c>
      <c r="AH96">
        <f>ROUND(SUM(B96:AE96),2)</f>
        <v>54.12</v>
      </c>
      <c r="AI96">
        <f>AG96-AH96</f>
        <v>0.88000000000000256</v>
      </c>
    </row>
    <row r="97" spans="1:35" x14ac:dyDescent="0.25">
      <c r="A97" t="s">
        <v>37</v>
      </c>
      <c r="B97">
        <f t="shared" ref="B97:AE97" si="27">IFERROR(VLOOKUP($A97,table_rank_wins,2,0)/(VLOOKUP($A97,table_rank_wins,2,0)+VLOOKUP(B$70,table_rank_wins,2,0))*(B29+HLOOKUP($A97,table_h2h_wins,MATCH(B$70,$A$2:$A$32,0),0)),0)</f>
        <v>0.33034458607681755</v>
      </c>
      <c r="C97">
        <f t="shared" si="27"/>
        <v>0.88302830491700224</v>
      </c>
      <c r="D97">
        <f t="shared" si="27"/>
        <v>0.77167407813342181</v>
      </c>
      <c r="E97">
        <f t="shared" si="27"/>
        <v>0.92070607921264636</v>
      </c>
      <c r="F97">
        <f t="shared" si="27"/>
        <v>0.54418088369957418</v>
      </c>
      <c r="G97">
        <f t="shared" si="27"/>
        <v>0.46007903946244849</v>
      </c>
      <c r="H97">
        <f t="shared" si="27"/>
        <v>0.77072172986412746</v>
      </c>
      <c r="I97">
        <f t="shared" si="27"/>
        <v>2.0149968127205669</v>
      </c>
      <c r="J97">
        <f t="shared" si="27"/>
        <v>0.97501280461322537</v>
      </c>
      <c r="K97">
        <f t="shared" si="27"/>
        <v>0.35548668426095414</v>
      </c>
      <c r="L97">
        <f t="shared" si="27"/>
        <v>0.5964974965382136</v>
      </c>
      <c r="M97">
        <f t="shared" si="27"/>
        <v>0.78288142864389565</v>
      </c>
      <c r="N97">
        <f t="shared" si="27"/>
        <v>0.72982885242589635</v>
      </c>
      <c r="O97">
        <f t="shared" si="27"/>
        <v>2.7167255133824297</v>
      </c>
      <c r="P97">
        <f t="shared" si="27"/>
        <v>0.7446830672733995</v>
      </c>
      <c r="Q97">
        <f t="shared" si="27"/>
        <v>0.84370976073480219</v>
      </c>
      <c r="R97">
        <f t="shared" si="27"/>
        <v>0.73001980361200725</v>
      </c>
      <c r="S97">
        <f t="shared" si="27"/>
        <v>2.2417396430263894</v>
      </c>
      <c r="T97">
        <f t="shared" si="27"/>
        <v>1.1598321684721185</v>
      </c>
      <c r="U97">
        <f t="shared" si="27"/>
        <v>1.4541632494763099</v>
      </c>
      <c r="V97">
        <f t="shared" si="27"/>
        <v>1.3089968037673421</v>
      </c>
      <c r="W97">
        <f t="shared" si="27"/>
        <v>1.2187671682087153</v>
      </c>
      <c r="X97">
        <f t="shared" si="27"/>
        <v>1.4149938778476965</v>
      </c>
      <c r="Y97">
        <f t="shared" si="27"/>
        <v>1.607301691914129</v>
      </c>
      <c r="Z97">
        <f t="shared" si="27"/>
        <v>0.71238632479553532</v>
      </c>
      <c r="AA97">
        <f t="shared" si="27"/>
        <v>0.836269040695935</v>
      </c>
      <c r="AB97">
        <f t="shared" si="27"/>
        <v>0</v>
      </c>
      <c r="AC97">
        <f t="shared" si="27"/>
        <v>0.61162319888262184</v>
      </c>
      <c r="AD97">
        <f t="shared" si="27"/>
        <v>1.5479746519595983</v>
      </c>
      <c r="AE97">
        <f t="shared" si="27"/>
        <v>0.65872218709266217</v>
      </c>
      <c r="AG97">
        <f>AG29</f>
        <v>29</v>
      </c>
      <c r="AH97">
        <f>ROUND(SUM(B97:AE97),2)</f>
        <v>29.94</v>
      </c>
      <c r="AI97">
        <f>AG97-AH97</f>
        <v>-0.94000000000000128</v>
      </c>
    </row>
    <row r="98" spans="1:35" x14ac:dyDescent="0.25">
      <c r="A98" t="s">
        <v>27</v>
      </c>
      <c r="B98">
        <f t="shared" ref="B98:AE98" si="28">IFERROR(VLOOKUP($A98,table_rank_wins,2,0)/(VLOOKUP($A98,table_rank_wins,2,0)+VLOOKUP(B$70,table_rank_wins,2,0))*(B30+HLOOKUP($A98,table_h2h_wins,MATCH(B$70,$A$2:$A$32,0),0)),0)</f>
        <v>1.2397067492201268</v>
      </c>
      <c r="C98">
        <f t="shared" si="28"/>
        <v>2.5686431546891142</v>
      </c>
      <c r="D98">
        <f t="shared" si="28"/>
        <v>2.3512493153001</v>
      </c>
      <c r="E98">
        <f t="shared" si="28"/>
        <v>2.637807633058852</v>
      </c>
      <c r="F98">
        <f t="shared" si="28"/>
        <v>1.8361002710492518</v>
      </c>
      <c r="G98">
        <f t="shared" si="28"/>
        <v>1.6164930428975175</v>
      </c>
      <c r="H98">
        <f t="shared" si="28"/>
        <v>0.87942368516185798</v>
      </c>
      <c r="I98">
        <f t="shared" si="28"/>
        <v>1.3947256845461715</v>
      </c>
      <c r="J98">
        <f t="shared" si="28"/>
        <v>2.7339013179138276</v>
      </c>
      <c r="K98">
        <f t="shared" si="28"/>
        <v>0.36255501184727401</v>
      </c>
      <c r="L98">
        <f t="shared" si="28"/>
        <v>0.72070564999785702</v>
      </c>
      <c r="M98">
        <f t="shared" si="28"/>
        <v>1.780543874776404</v>
      </c>
      <c r="N98">
        <f t="shared" si="28"/>
        <v>0.67251663562550446</v>
      </c>
      <c r="O98">
        <f t="shared" si="28"/>
        <v>1.6555063302637423</v>
      </c>
      <c r="P98">
        <f t="shared" si="28"/>
        <v>0.68358696637196836</v>
      </c>
      <c r="Q98">
        <f t="shared" si="28"/>
        <v>1.2470844661914424</v>
      </c>
      <c r="R98">
        <f t="shared" si="28"/>
        <v>1.6983977094569553</v>
      </c>
      <c r="S98">
        <f t="shared" si="28"/>
        <v>1.7406318176643805</v>
      </c>
      <c r="T98">
        <f t="shared" si="28"/>
        <v>0.96211131414992601</v>
      </c>
      <c r="U98">
        <f t="shared" si="28"/>
        <v>3.4324205047712586</v>
      </c>
      <c r="V98">
        <f t="shared" si="28"/>
        <v>1.0495200399245681</v>
      </c>
      <c r="W98">
        <f t="shared" si="28"/>
        <v>3.1191964291820597</v>
      </c>
      <c r="X98">
        <f t="shared" si="28"/>
        <v>3.3837214450016799</v>
      </c>
      <c r="Y98">
        <f t="shared" si="28"/>
        <v>1.2078800509885956</v>
      </c>
      <c r="Z98">
        <f t="shared" si="28"/>
        <v>0.82828330339228551</v>
      </c>
      <c r="AA98">
        <f t="shared" si="28"/>
        <v>0.75002010039760503</v>
      </c>
      <c r="AB98">
        <f t="shared" si="28"/>
        <v>1.3883768011173783</v>
      </c>
      <c r="AC98">
        <f t="shared" si="28"/>
        <v>0</v>
      </c>
      <c r="AD98">
        <f t="shared" si="28"/>
        <v>1.1779875306889365</v>
      </c>
      <c r="AE98">
        <f t="shared" si="28"/>
        <v>1.5814433397113836</v>
      </c>
      <c r="AG98">
        <f>AG30</f>
        <v>48</v>
      </c>
      <c r="AH98">
        <f>ROUND(SUM(B98:AE98),2)</f>
        <v>46.7</v>
      </c>
      <c r="AI98">
        <f>AG98-AH98</f>
        <v>1.2999999999999972</v>
      </c>
    </row>
    <row r="99" spans="1:35" x14ac:dyDescent="0.25">
      <c r="A99" t="s">
        <v>34</v>
      </c>
      <c r="B99">
        <f t="shared" ref="B99:AE99" si="29">IFERROR(VLOOKUP($A99,table_rank_wins,2,0)/(VLOOKUP($A99,table_rank_wins,2,0)+VLOOKUP(B$70,table_rank_wins,2,0))*(B31+HLOOKUP($A99,table_h2h_wins,MATCH(B$70,$A$2:$A$32,0),0)),0)</f>
        <v>0.47723671809035717</v>
      </c>
      <c r="C99">
        <f t="shared" si="29"/>
        <v>1.1120019850009668</v>
      </c>
      <c r="D99">
        <f t="shared" si="29"/>
        <v>0.99756088259215137</v>
      </c>
      <c r="E99">
        <f t="shared" si="29"/>
        <v>1.1493961459649862</v>
      </c>
      <c r="F99">
        <f t="shared" si="29"/>
        <v>0.74379955831757261</v>
      </c>
      <c r="G99">
        <f t="shared" si="29"/>
        <v>0.64246167654205832</v>
      </c>
      <c r="H99">
        <f t="shared" si="29"/>
        <v>1.4154180688510634</v>
      </c>
      <c r="I99">
        <f t="shared" si="29"/>
        <v>2.4662320210961979</v>
      </c>
      <c r="J99">
        <f t="shared" si="29"/>
        <v>1.2021672023103913</v>
      </c>
      <c r="K99">
        <f t="shared" si="29"/>
        <v>0.53531419915047518</v>
      </c>
      <c r="L99">
        <f t="shared" si="29"/>
        <v>1.1287470186360371</v>
      </c>
      <c r="M99">
        <f t="shared" si="29"/>
        <v>1.0093530724143651</v>
      </c>
      <c r="N99">
        <f t="shared" si="29"/>
        <v>1.0447384523274206</v>
      </c>
      <c r="O99">
        <f t="shared" si="29"/>
        <v>2.3108858332477569</v>
      </c>
      <c r="P99">
        <f t="shared" si="29"/>
        <v>1.0639168063914355</v>
      </c>
      <c r="Q99">
        <f t="shared" si="29"/>
        <v>1.0722754624668529</v>
      </c>
      <c r="R99">
        <f t="shared" si="29"/>
        <v>0.95317528273224961</v>
      </c>
      <c r="S99">
        <f t="shared" si="29"/>
        <v>3.2961514414231599</v>
      </c>
      <c r="T99">
        <f t="shared" si="29"/>
        <v>1.1783547585917638</v>
      </c>
      <c r="U99">
        <f t="shared" si="29"/>
        <v>1.6168575610467049</v>
      </c>
      <c r="V99">
        <f t="shared" si="29"/>
        <v>1.7407802688186196</v>
      </c>
      <c r="W99">
        <f t="shared" si="29"/>
        <v>1.4238242131277996</v>
      </c>
      <c r="X99">
        <f t="shared" si="29"/>
        <v>1.5860396240212218</v>
      </c>
      <c r="Y99">
        <f t="shared" si="29"/>
        <v>1.5465615608529595</v>
      </c>
      <c r="Z99">
        <f t="shared" si="29"/>
        <v>1.3213339095047876</v>
      </c>
      <c r="AA99">
        <f t="shared" si="29"/>
        <v>0.88539467669926597</v>
      </c>
      <c r="AB99">
        <f t="shared" si="29"/>
        <v>2.4520253480404017</v>
      </c>
      <c r="AC99">
        <f t="shared" si="29"/>
        <v>0.82201246931106342</v>
      </c>
      <c r="AD99">
        <f t="shared" si="29"/>
        <v>0</v>
      </c>
      <c r="AE99">
        <f t="shared" si="29"/>
        <v>0.87510101373135496</v>
      </c>
      <c r="AG99">
        <f>AG31</f>
        <v>38</v>
      </c>
      <c r="AH99">
        <f>ROUND(SUM(B99:AE99),2)</f>
        <v>38.07</v>
      </c>
      <c r="AI99">
        <f>AG99-AH99</f>
        <v>-7.0000000000000284E-2</v>
      </c>
    </row>
    <row r="100" spans="1:35" x14ac:dyDescent="0.25">
      <c r="A100" t="s">
        <v>25</v>
      </c>
      <c r="B100">
        <f t="shared" ref="B100:AE100" si="30">IFERROR(VLOOKUP($A100,table_rank_wins,2,0)/(VLOOKUP($A100,table_rank_wins,2,0)+VLOOKUP(B$70,table_rank_wins,2,0))*(B32+HLOOKUP($A100,table_h2h_wins,MATCH(B$70,$A$2:$A$32,0),0)),0)</f>
        <v>1.148686963791189</v>
      </c>
      <c r="C100">
        <f t="shared" si="30"/>
        <v>2.4672653975516985</v>
      </c>
      <c r="D100">
        <f t="shared" si="30"/>
        <v>1.6837457802105011</v>
      </c>
      <c r="E100">
        <f t="shared" si="30"/>
        <v>2.5385413906040033</v>
      </c>
      <c r="F100">
        <f t="shared" si="30"/>
        <v>1.728716232293477</v>
      </c>
      <c r="G100">
        <f t="shared" si="30"/>
        <v>1.5129725426700309</v>
      </c>
      <c r="H100">
        <f t="shared" si="30"/>
        <v>0.82626552302055267</v>
      </c>
      <c r="I100">
        <f t="shared" si="30"/>
        <v>1.3478859652634629</v>
      </c>
      <c r="J100">
        <f t="shared" si="30"/>
        <v>1.9785165119126338</v>
      </c>
      <c r="K100">
        <f t="shared" si="30"/>
        <v>0.33139998762304429</v>
      </c>
      <c r="L100">
        <f t="shared" si="30"/>
        <v>0.67139322886826447</v>
      </c>
      <c r="M100">
        <f t="shared" si="30"/>
        <v>2.2681908197299627</v>
      </c>
      <c r="N100">
        <f t="shared" si="30"/>
        <v>0.62489085130282163</v>
      </c>
      <c r="O100">
        <f t="shared" si="30"/>
        <v>1.6233981871772019</v>
      </c>
      <c r="P100">
        <f t="shared" si="30"/>
        <v>0.63555254918608572</v>
      </c>
      <c r="Q100">
        <f t="shared" si="30"/>
        <v>2.3908209055703171</v>
      </c>
      <c r="R100">
        <f t="shared" si="30"/>
        <v>1.6178003422780121</v>
      </c>
      <c r="S100">
        <f t="shared" si="30"/>
        <v>1.7150922772988275</v>
      </c>
      <c r="T100">
        <f t="shared" si="30"/>
        <v>0.90800500528711492</v>
      </c>
      <c r="U100">
        <f t="shared" si="30"/>
        <v>3.3773920814298437</v>
      </c>
      <c r="V100">
        <f t="shared" si="30"/>
        <v>0.99521160547303755</v>
      </c>
      <c r="W100">
        <f t="shared" si="30"/>
        <v>3.0422734310724469</v>
      </c>
      <c r="X100">
        <f t="shared" si="30"/>
        <v>3.324900153599033</v>
      </c>
      <c r="Y100">
        <f t="shared" si="30"/>
        <v>1.1553377831065774</v>
      </c>
      <c r="Z100">
        <f t="shared" si="30"/>
        <v>0.77607549345911031</v>
      </c>
      <c r="AA100">
        <f t="shared" si="30"/>
        <v>0.69979910684915758</v>
      </c>
      <c r="AB100">
        <f t="shared" si="30"/>
        <v>1.3412778129073377</v>
      </c>
      <c r="AC100">
        <f t="shared" si="30"/>
        <v>1.4185566602886166</v>
      </c>
      <c r="AD100">
        <f t="shared" si="30"/>
        <v>1.1248989862686449</v>
      </c>
      <c r="AE100">
        <f t="shared" si="30"/>
        <v>0</v>
      </c>
      <c r="AG100">
        <f>AG32</f>
        <v>46</v>
      </c>
      <c r="AH100">
        <f>ROUND(SUM(B100:AE100),2)</f>
        <v>45.27</v>
      </c>
      <c r="AI100">
        <f>AG100-AH100</f>
        <v>0.72999999999999687</v>
      </c>
    </row>
    <row r="101" spans="1:35" x14ac:dyDescent="0.25">
      <c r="AG101">
        <f>AG33</f>
        <v>1228</v>
      </c>
      <c r="AH101">
        <f>SUM(AH71:AH100)</f>
        <v>1227.99</v>
      </c>
      <c r="AI101">
        <f t="shared" ref="AI101" si="31">SUM(AI71:AI100)</f>
        <v>9.9999999999944578E-3</v>
      </c>
    </row>
    <row r="102" spans="1:35" x14ac:dyDescent="0.25">
      <c r="A102" t="s">
        <v>77</v>
      </c>
    </row>
    <row r="103" spans="1:35" x14ac:dyDescent="0.25">
      <c r="B103" t="s">
        <v>26</v>
      </c>
      <c r="C103" t="s">
        <v>23</v>
      </c>
      <c r="D103" t="s">
        <v>22</v>
      </c>
      <c r="E103" t="s">
        <v>18</v>
      </c>
      <c r="F103" t="s">
        <v>30</v>
      </c>
      <c r="G103" t="s">
        <v>40</v>
      </c>
      <c r="H103" t="s">
        <v>14</v>
      </c>
      <c r="I103" t="s">
        <v>32</v>
      </c>
      <c r="J103" t="s">
        <v>33</v>
      </c>
      <c r="K103" t="s">
        <v>36</v>
      </c>
      <c r="L103" t="s">
        <v>16</v>
      </c>
      <c r="M103" t="s">
        <v>20</v>
      </c>
      <c r="N103" t="s">
        <v>41</v>
      </c>
      <c r="O103" t="s">
        <v>17</v>
      </c>
      <c r="P103" t="s">
        <v>28</v>
      </c>
      <c r="Q103" t="s">
        <v>24</v>
      </c>
      <c r="R103" t="s">
        <v>19</v>
      </c>
      <c r="S103" t="s">
        <v>29</v>
      </c>
      <c r="T103" t="s">
        <v>12</v>
      </c>
      <c r="U103" t="s">
        <v>31</v>
      </c>
      <c r="V103" t="s">
        <v>38</v>
      </c>
      <c r="W103" t="s">
        <v>13</v>
      </c>
      <c r="X103" t="s">
        <v>21</v>
      </c>
      <c r="Y103" t="s">
        <v>35</v>
      </c>
      <c r="Z103" t="s">
        <v>39</v>
      </c>
      <c r="AA103" t="s">
        <v>15</v>
      </c>
      <c r="AB103" t="s">
        <v>37</v>
      </c>
      <c r="AC103" t="s">
        <v>27</v>
      </c>
      <c r="AD103" t="s">
        <v>34</v>
      </c>
      <c r="AE103" t="s">
        <v>25</v>
      </c>
    </row>
    <row r="104" spans="1:35" x14ac:dyDescent="0.25">
      <c r="A104" t="s">
        <v>26</v>
      </c>
      <c r="B104">
        <f t="shared" ref="B104:AE104" si="32">(B3-B71)^2</f>
        <v>0</v>
      </c>
      <c r="C104">
        <f t="shared" si="32"/>
        <v>0.64110401715717968</v>
      </c>
      <c r="D104">
        <f t="shared" si="32"/>
        <v>7.923251068776728E-2</v>
      </c>
      <c r="E104">
        <f t="shared" si="32"/>
        <v>1.5548462099069602</v>
      </c>
      <c r="F104">
        <f t="shared" si="32"/>
        <v>1.4685931128613778E-3</v>
      </c>
      <c r="G104">
        <f t="shared" si="32"/>
        <v>0.35234739507805646</v>
      </c>
      <c r="H104">
        <f t="shared" si="32"/>
        <v>0.52992618768437372</v>
      </c>
      <c r="I104">
        <f t="shared" si="32"/>
        <v>0.45396679909870402</v>
      </c>
      <c r="J104">
        <f t="shared" si="32"/>
        <v>9.6893868921850021E-2</v>
      </c>
      <c r="K104">
        <f t="shared" si="32"/>
        <v>0.11532018601751569</v>
      </c>
      <c r="L104">
        <f t="shared" si="32"/>
        <v>0.78706712914395616</v>
      </c>
      <c r="M104">
        <f t="shared" si="32"/>
        <v>0.49802534570662632</v>
      </c>
      <c r="N104">
        <f t="shared" si="32"/>
        <v>0.88331493832079711</v>
      </c>
      <c r="O104">
        <f t="shared" si="32"/>
        <v>0.68734144166527444</v>
      </c>
      <c r="P104">
        <f t="shared" si="32"/>
        <v>5.2486928868453577E-3</v>
      </c>
      <c r="Q104">
        <f t="shared" si="32"/>
        <v>0.72803575701008971</v>
      </c>
      <c r="R104">
        <f t="shared" si="32"/>
        <v>5.8747723975871233E-4</v>
      </c>
      <c r="S104">
        <f t="shared" si="32"/>
        <v>1.573769474926846E-2</v>
      </c>
      <c r="T104">
        <f t="shared" si="32"/>
        <v>0.12058923576786794</v>
      </c>
      <c r="U104">
        <f t="shared" si="32"/>
        <v>0.62822185372446882</v>
      </c>
      <c r="V104">
        <f t="shared" si="32"/>
        <v>0.17785424767225849</v>
      </c>
      <c r="W104">
        <f t="shared" si="32"/>
        <v>0.30228157952928586</v>
      </c>
      <c r="X104">
        <f t="shared" si="32"/>
        <v>0.48657002066744365</v>
      </c>
      <c r="Y104">
        <f t="shared" si="32"/>
        <v>0.20706033302358756</v>
      </c>
      <c r="Z104">
        <f t="shared" si="32"/>
        <v>0.60375091834904615</v>
      </c>
      <c r="AA104">
        <f t="shared" si="32"/>
        <v>1.3083590739683666</v>
      </c>
      <c r="AB104">
        <f t="shared" si="32"/>
        <v>0.10912754555026388</v>
      </c>
      <c r="AC104">
        <f t="shared" si="32"/>
        <v>3.0986323287411719</v>
      </c>
      <c r="AD104">
        <f t="shared" si="32"/>
        <v>0.22775488509365527</v>
      </c>
      <c r="AE104">
        <f t="shared" si="32"/>
        <v>2.210781320144227E-2</v>
      </c>
    </row>
    <row r="105" spans="1:35" x14ac:dyDescent="0.25">
      <c r="A105" t="s">
        <v>23</v>
      </c>
      <c r="B105">
        <f t="shared" ref="B105:AE105" si="33">(B4-B72)^2</f>
        <v>0.64110401715717946</v>
      </c>
      <c r="C105">
        <f t="shared" si="33"/>
        <v>0</v>
      </c>
      <c r="D105">
        <f t="shared" si="33"/>
        <v>0.59471906361797588</v>
      </c>
      <c r="E105">
        <f t="shared" si="33"/>
        <v>0.19620845059624112</v>
      </c>
      <c r="F105">
        <f t="shared" si="33"/>
        <v>8.0733727251629431E-2</v>
      </c>
      <c r="G105">
        <f t="shared" si="33"/>
        <v>9.4239320506428192E-3</v>
      </c>
      <c r="H105">
        <f t="shared" si="33"/>
        <v>0.15325431895302682</v>
      </c>
      <c r="I105">
        <f t="shared" si="33"/>
        <v>0.76674361589284856</v>
      </c>
      <c r="J105">
        <f t="shared" si="33"/>
        <v>0.13076814971799694</v>
      </c>
      <c r="K105">
        <f t="shared" si="33"/>
        <v>0.60892818998881859</v>
      </c>
      <c r="L105">
        <f t="shared" si="33"/>
        <v>0.22833858270033175</v>
      </c>
      <c r="M105">
        <f t="shared" si="33"/>
        <v>0.42789238207256697</v>
      </c>
      <c r="N105">
        <f t="shared" si="33"/>
        <v>0.31325481866286914</v>
      </c>
      <c r="O105">
        <f t="shared" si="33"/>
        <v>0.29570661992000707</v>
      </c>
      <c r="P105">
        <f t="shared" si="33"/>
        <v>0.20146510816540858</v>
      </c>
      <c r="Q105">
        <f t="shared" si="33"/>
        <v>3.6860103806383</v>
      </c>
      <c r="R105">
        <f t="shared" si="33"/>
        <v>0.46786123284234277</v>
      </c>
      <c r="S105">
        <f t="shared" si="33"/>
        <v>0.33411928758772669</v>
      </c>
      <c r="T105">
        <f t="shared" si="33"/>
        <v>0.4640658333751238</v>
      </c>
      <c r="U105">
        <f t="shared" si="33"/>
        <v>0.83786792297977708</v>
      </c>
      <c r="V105">
        <f t="shared" si="33"/>
        <v>1.5330269709921838</v>
      </c>
      <c r="W105">
        <f t="shared" si="33"/>
        <v>1.0179947838087009</v>
      </c>
      <c r="X105">
        <f t="shared" si="33"/>
        <v>2.1539052546507578E-4</v>
      </c>
      <c r="Y105">
        <f t="shared" si="33"/>
        <v>0.84411369011381709</v>
      </c>
      <c r="Z105">
        <f t="shared" si="33"/>
        <v>0.18905944489935045</v>
      </c>
      <c r="AA105">
        <f t="shared" si="33"/>
        <v>0.2488474783760575</v>
      </c>
      <c r="AB105">
        <f t="shared" si="33"/>
        <v>0.77973898728459468</v>
      </c>
      <c r="AC105">
        <f t="shared" si="33"/>
        <v>0.32335503737478732</v>
      </c>
      <c r="AD105">
        <f t="shared" si="33"/>
        <v>0.78854047464222354</v>
      </c>
      <c r="AE105">
        <f t="shared" si="33"/>
        <v>0.21833695174914725</v>
      </c>
    </row>
    <row r="106" spans="1:35" x14ac:dyDescent="0.25">
      <c r="A106" t="s">
        <v>22</v>
      </c>
      <c r="B106">
        <f t="shared" ref="B106:AE106" si="34">(B5-B73)^2</f>
        <v>7.9232510687767335E-2</v>
      </c>
      <c r="C106">
        <f t="shared" si="34"/>
        <v>0.59471906361797555</v>
      </c>
      <c r="D106">
        <f t="shared" si="34"/>
        <v>0</v>
      </c>
      <c r="E106">
        <f t="shared" si="34"/>
        <v>9.2148619633535087E-2</v>
      </c>
      <c r="F106">
        <f t="shared" si="34"/>
        <v>0.24222146632201147</v>
      </c>
      <c r="G106">
        <f t="shared" si="34"/>
        <v>0.50526265713048568</v>
      </c>
      <c r="H106">
        <f t="shared" si="34"/>
        <v>0.50401673428653004</v>
      </c>
      <c r="I106">
        <f t="shared" si="34"/>
        <v>0.58458063734414145</v>
      </c>
      <c r="J106">
        <f t="shared" si="34"/>
        <v>3.7342387788941479E-2</v>
      </c>
      <c r="K106">
        <f t="shared" si="34"/>
        <v>7.2248106248798433E-2</v>
      </c>
      <c r="L106">
        <f t="shared" si="34"/>
        <v>0.32075442527585046</v>
      </c>
      <c r="M106">
        <f t="shared" si="34"/>
        <v>0.95338851434448835</v>
      </c>
      <c r="N106">
        <f t="shared" si="34"/>
        <v>0.2748423621759199</v>
      </c>
      <c r="O106">
        <f t="shared" si="34"/>
        <v>0.29410512156885782</v>
      </c>
      <c r="P106">
        <f t="shared" si="34"/>
        <v>0.21728148638652872</v>
      </c>
      <c r="Q106">
        <f t="shared" si="34"/>
        <v>1.3211268467024038</v>
      </c>
      <c r="R106">
        <f t="shared" si="34"/>
        <v>0.18784769137140653</v>
      </c>
      <c r="S106">
        <f t="shared" si="34"/>
        <v>0.42183488411654674</v>
      </c>
      <c r="T106">
        <f t="shared" si="34"/>
        <v>1.4691912030808445</v>
      </c>
      <c r="U106">
        <f t="shared" si="34"/>
        <v>5.6042316272985608E-2</v>
      </c>
      <c r="V106">
        <f t="shared" si="34"/>
        <v>0.76176070161857801</v>
      </c>
      <c r="W106">
        <f t="shared" si="34"/>
        <v>0.72530136199796869</v>
      </c>
      <c r="X106">
        <f t="shared" si="34"/>
        <v>0.68016717179516184</v>
      </c>
      <c r="Y106">
        <f t="shared" si="34"/>
        <v>1.120751261402881E-3</v>
      </c>
      <c r="Z106">
        <f t="shared" si="34"/>
        <v>0.11368562981966847</v>
      </c>
      <c r="AA106">
        <f t="shared" si="34"/>
        <v>0.35081310178327813</v>
      </c>
      <c r="AB106">
        <f t="shared" si="34"/>
        <v>5.2132726596222714E-2</v>
      </c>
      <c r="AC106">
        <f t="shared" si="34"/>
        <v>0.12337608149878919</v>
      </c>
      <c r="AD106">
        <f t="shared" si="34"/>
        <v>0.99512771447803205</v>
      </c>
      <c r="AE106">
        <f t="shared" si="34"/>
        <v>0.10001673153466466</v>
      </c>
    </row>
    <row r="107" spans="1:35" x14ac:dyDescent="0.25">
      <c r="A107" t="s">
        <v>18</v>
      </c>
      <c r="B107">
        <f t="shared" ref="B107:AE107" si="35">(B6-B74)^2</f>
        <v>1.5548462099069591</v>
      </c>
      <c r="C107">
        <f t="shared" si="35"/>
        <v>0.19620845059624112</v>
      </c>
      <c r="D107">
        <f t="shared" si="35"/>
        <v>9.214861963353535E-2</v>
      </c>
      <c r="E107">
        <f t="shared" si="35"/>
        <v>0</v>
      </c>
      <c r="F107">
        <f t="shared" si="35"/>
        <v>0.6104125898084507</v>
      </c>
      <c r="G107">
        <f t="shared" si="35"/>
        <v>0.60552599665089979</v>
      </c>
      <c r="H107">
        <f t="shared" si="35"/>
        <v>0.33269030784269876</v>
      </c>
      <c r="I107">
        <f t="shared" si="35"/>
        <v>0.83404245222966789</v>
      </c>
      <c r="J107">
        <f t="shared" si="35"/>
        <v>1.1843768089920043E-2</v>
      </c>
      <c r="K107">
        <f t="shared" si="35"/>
        <v>4.2114213631524462E-2</v>
      </c>
      <c r="L107">
        <f t="shared" si="35"/>
        <v>0.20315275903654359</v>
      </c>
      <c r="M107">
        <f t="shared" si="35"/>
        <v>0.51771181820332801</v>
      </c>
      <c r="N107">
        <f t="shared" si="35"/>
        <v>0.17200540260178587</v>
      </c>
      <c r="O107">
        <f t="shared" si="35"/>
        <v>0.18110459887322464</v>
      </c>
      <c r="P107">
        <f t="shared" si="35"/>
        <v>0.17885640479682421</v>
      </c>
      <c r="Q107">
        <f t="shared" si="35"/>
        <v>2.4312603908410804E-2</v>
      </c>
      <c r="R107">
        <f t="shared" si="35"/>
        <v>0.62771809387690736</v>
      </c>
      <c r="S107">
        <f t="shared" si="35"/>
        <v>0.20058078344055491</v>
      </c>
      <c r="T107">
        <f t="shared" si="35"/>
        <v>0.12427944659620162</v>
      </c>
      <c r="U107">
        <f t="shared" si="35"/>
        <v>8.8969682306260347E-4</v>
      </c>
      <c r="V107">
        <f t="shared" si="35"/>
        <v>0.52750271281315797</v>
      </c>
      <c r="W107">
        <f t="shared" si="35"/>
        <v>0.34334633927974539</v>
      </c>
      <c r="X107">
        <f t="shared" si="35"/>
        <v>4.7441655446292308E-2</v>
      </c>
      <c r="Y107">
        <f t="shared" si="35"/>
        <v>1.4138761429964309E-2</v>
      </c>
      <c r="Z107">
        <f t="shared" si="35"/>
        <v>0.28606616254385003</v>
      </c>
      <c r="AA107">
        <f t="shared" si="35"/>
        <v>0.22384158548885771</v>
      </c>
      <c r="AB107">
        <f t="shared" si="35"/>
        <v>1.1648753674485386</v>
      </c>
      <c r="AC107">
        <f t="shared" si="35"/>
        <v>0.40679857678813552</v>
      </c>
      <c r="AD107">
        <f t="shared" si="35"/>
        <v>2.2319208429191523E-2</v>
      </c>
      <c r="AE107">
        <f t="shared" si="35"/>
        <v>0.29002682939369318</v>
      </c>
    </row>
    <row r="108" spans="1:35" x14ac:dyDescent="0.25">
      <c r="A108" t="s">
        <v>30</v>
      </c>
      <c r="B108">
        <f t="shared" ref="B108:AE108" si="36">(B7-B75)^2</f>
        <v>1.4685931128613438E-3</v>
      </c>
      <c r="C108">
        <f t="shared" si="36"/>
        <v>8.0733727251629681E-2</v>
      </c>
      <c r="D108">
        <f t="shared" si="36"/>
        <v>0.24222146632201191</v>
      </c>
      <c r="E108">
        <f t="shared" si="36"/>
        <v>0.61041258980845103</v>
      </c>
      <c r="F108">
        <f t="shared" si="36"/>
        <v>0</v>
      </c>
      <c r="G108">
        <f t="shared" si="36"/>
        <v>0.60355299384167926</v>
      </c>
      <c r="H108">
        <f t="shared" si="36"/>
        <v>1.5219311188414311E-3</v>
      </c>
      <c r="I108">
        <f t="shared" si="36"/>
        <v>0.21320321436621095</v>
      </c>
      <c r="J108">
        <f t="shared" si="36"/>
        <v>0.75967078434333857</v>
      </c>
      <c r="K108">
        <f t="shared" si="36"/>
        <v>0.34352820812963936</v>
      </c>
      <c r="L108">
        <f t="shared" si="36"/>
        <v>4.0790724200014533E-2</v>
      </c>
      <c r="M108">
        <f t="shared" si="36"/>
        <v>0.28072766974668789</v>
      </c>
      <c r="N108">
        <f t="shared" si="36"/>
        <v>6.3657638809357528E-2</v>
      </c>
      <c r="O108">
        <f t="shared" si="36"/>
        <v>0.48980489220322809</v>
      </c>
      <c r="P108">
        <f t="shared" si="36"/>
        <v>5.7938724570221492E-2</v>
      </c>
      <c r="Q108">
        <f t="shared" si="36"/>
        <v>2.6386295057255661E-4</v>
      </c>
      <c r="R108">
        <f t="shared" si="36"/>
        <v>0.33196495137681814</v>
      </c>
      <c r="S108">
        <f t="shared" si="36"/>
        <v>5.0394764058284837E-2</v>
      </c>
      <c r="T108">
        <f t="shared" si="36"/>
        <v>0.91355667277259966</v>
      </c>
      <c r="U108">
        <f t="shared" si="36"/>
        <v>0.13625999332936245</v>
      </c>
      <c r="V108">
        <f t="shared" si="36"/>
        <v>1.7144899896131494E-2</v>
      </c>
      <c r="W108">
        <f t="shared" si="36"/>
        <v>1.5051234943638241</v>
      </c>
      <c r="X108">
        <f t="shared" si="36"/>
        <v>0.16125298161364912</v>
      </c>
      <c r="Y108">
        <f t="shared" si="36"/>
        <v>8.1210837423569854E-2</v>
      </c>
      <c r="Z108">
        <f t="shared" si="36"/>
        <v>8.2897520005111424E-3</v>
      </c>
      <c r="AA108">
        <f t="shared" si="36"/>
        <v>2.9427433058275932E-2</v>
      </c>
      <c r="AB108">
        <f t="shared" si="36"/>
        <v>0.20777106678490123</v>
      </c>
      <c r="AC108">
        <f t="shared" si="36"/>
        <v>3.3712642053471349</v>
      </c>
      <c r="AD108">
        <f t="shared" si="36"/>
        <v>6.5638666318270936E-2</v>
      </c>
      <c r="AE108">
        <f t="shared" si="36"/>
        <v>7.359488262104659E-2</v>
      </c>
    </row>
    <row r="109" spans="1:35" x14ac:dyDescent="0.25">
      <c r="A109" t="s">
        <v>40</v>
      </c>
      <c r="B109">
        <f t="shared" ref="B109:AE109" si="37">(B8-B76)^2</f>
        <v>0.3523473950780559</v>
      </c>
      <c r="C109">
        <f t="shared" si="37"/>
        <v>9.4239320506428626E-3</v>
      </c>
      <c r="D109">
        <f t="shared" si="37"/>
        <v>0.50526265713048513</v>
      </c>
      <c r="E109">
        <f t="shared" si="37"/>
        <v>0.60552599665089979</v>
      </c>
      <c r="F109">
        <f t="shared" si="37"/>
        <v>0.6035529938416796</v>
      </c>
      <c r="G109">
        <f t="shared" si="37"/>
        <v>0</v>
      </c>
      <c r="H109">
        <f t="shared" si="37"/>
        <v>5.3088413219953955E-3</v>
      </c>
      <c r="I109">
        <f t="shared" si="37"/>
        <v>0.2972561799178764</v>
      </c>
      <c r="J109">
        <f t="shared" si="37"/>
        <v>1.9317428511573052E-3</v>
      </c>
      <c r="K109">
        <f t="shared" si="37"/>
        <v>0.25781579712559172</v>
      </c>
      <c r="L109">
        <f t="shared" si="37"/>
        <v>0.82356627906098789</v>
      </c>
      <c r="M109">
        <f t="shared" si="37"/>
        <v>0.53485401307662317</v>
      </c>
      <c r="N109">
        <f t="shared" si="37"/>
        <v>1.3106226371312863</v>
      </c>
      <c r="O109">
        <f t="shared" si="37"/>
        <v>6.1179824708894832E-2</v>
      </c>
      <c r="P109">
        <f t="shared" si="37"/>
        <v>1.2830355827099278</v>
      </c>
      <c r="Q109">
        <f t="shared" si="37"/>
        <v>0.70219924539803669</v>
      </c>
      <c r="R109">
        <f t="shared" si="37"/>
        <v>0.13541806936308939</v>
      </c>
      <c r="S109">
        <f t="shared" si="37"/>
        <v>3.3695711709626999E-2</v>
      </c>
      <c r="T109">
        <f t="shared" si="37"/>
        <v>2.4022162258769283E-2</v>
      </c>
      <c r="U109">
        <f t="shared" si="37"/>
        <v>0.48648903821276968</v>
      </c>
      <c r="V109">
        <f t="shared" si="37"/>
        <v>5.7122922695543484E-2</v>
      </c>
      <c r="W109">
        <f t="shared" si="37"/>
        <v>0.23250585911815078</v>
      </c>
      <c r="X109">
        <f t="shared" si="37"/>
        <v>0.44913813473420283</v>
      </c>
      <c r="Y109">
        <f t="shared" si="37"/>
        <v>0.14769733291358875</v>
      </c>
      <c r="Z109">
        <f t="shared" si="37"/>
        <v>4.2927705233062767E-4</v>
      </c>
      <c r="AA109">
        <f t="shared" si="37"/>
        <v>3.7403009818437051E-3</v>
      </c>
      <c r="AB109">
        <f t="shared" si="37"/>
        <v>0.29151464362779217</v>
      </c>
      <c r="AC109">
        <f t="shared" si="37"/>
        <v>0.38006367194104007</v>
      </c>
      <c r="AD109">
        <f t="shared" si="37"/>
        <v>0.12783365274111588</v>
      </c>
      <c r="AE109">
        <f t="shared" si="37"/>
        <v>0.26314082953335688</v>
      </c>
    </row>
    <row r="110" spans="1:35" x14ac:dyDescent="0.25">
      <c r="A110" t="s">
        <v>14</v>
      </c>
      <c r="B110">
        <f t="shared" ref="B110:AE110" si="38">(B9-B77)^2</f>
        <v>0.52992618768437338</v>
      </c>
      <c r="C110">
        <f t="shared" si="38"/>
        <v>0.15325431895302699</v>
      </c>
      <c r="D110">
        <f t="shared" si="38"/>
        <v>0.50401673428653015</v>
      </c>
      <c r="E110">
        <f t="shared" si="38"/>
        <v>0.33269030784269898</v>
      </c>
      <c r="F110">
        <f t="shared" si="38"/>
        <v>1.5219311188414397E-3</v>
      </c>
      <c r="G110">
        <f t="shared" si="38"/>
        <v>5.3088413219953791E-3</v>
      </c>
      <c r="H110">
        <f t="shared" si="38"/>
        <v>0</v>
      </c>
      <c r="I110">
        <f t="shared" si="38"/>
        <v>5.6565968842275889E-2</v>
      </c>
      <c r="J110">
        <f t="shared" si="38"/>
        <v>0.21796764164950266</v>
      </c>
      <c r="K110">
        <f t="shared" si="38"/>
        <v>0.77474053305544532</v>
      </c>
      <c r="L110">
        <f t="shared" si="38"/>
        <v>0.45091401581555657</v>
      </c>
      <c r="M110">
        <f t="shared" si="38"/>
        <v>1.6921369551889343</v>
      </c>
      <c r="N110">
        <f t="shared" si="38"/>
        <v>3.1286707928521985E-2</v>
      </c>
      <c r="O110">
        <f t="shared" si="38"/>
        <v>0.31531518638372297</v>
      </c>
      <c r="P110">
        <f t="shared" si="38"/>
        <v>0.35140087166331463</v>
      </c>
      <c r="Q110">
        <f t="shared" si="38"/>
        <v>0.1274662275713804</v>
      </c>
      <c r="R110">
        <f t="shared" si="38"/>
        <v>0.56419263198675473</v>
      </c>
      <c r="S110">
        <f t="shared" si="38"/>
        <v>9.8654092702005133E-2</v>
      </c>
      <c r="T110">
        <f t="shared" si="38"/>
        <v>0.6953321080198831</v>
      </c>
      <c r="U110">
        <f t="shared" si="38"/>
        <v>5.2776889623549213E-2</v>
      </c>
      <c r="V110">
        <f t="shared" si="38"/>
        <v>0.43801432331270029</v>
      </c>
      <c r="W110">
        <f t="shared" si="38"/>
        <v>0.13163749520451667</v>
      </c>
      <c r="X110">
        <f t="shared" si="38"/>
        <v>6.2559767029973179E-2</v>
      </c>
      <c r="Y110">
        <f t="shared" si="38"/>
        <v>2.6923873245837986</v>
      </c>
      <c r="Z110">
        <f t="shared" si="38"/>
        <v>1.0908394076464972E-2</v>
      </c>
      <c r="AA110">
        <f t="shared" si="38"/>
        <v>7.1209181237255059E-2</v>
      </c>
      <c r="AB110">
        <f t="shared" si="38"/>
        <v>0.5940119848847536</v>
      </c>
      <c r="AC110">
        <f t="shared" si="38"/>
        <v>0.77338601802366269</v>
      </c>
      <c r="AD110">
        <f t="shared" si="38"/>
        <v>0.17257217192794683</v>
      </c>
      <c r="AE110">
        <f t="shared" si="38"/>
        <v>0.68271471453242705</v>
      </c>
    </row>
    <row r="111" spans="1:35" x14ac:dyDescent="0.25">
      <c r="A111" t="s">
        <v>32</v>
      </c>
      <c r="B111">
        <f t="shared" ref="B111:AE111" si="39">(B10-B78)^2</f>
        <v>0.45396679909870402</v>
      </c>
      <c r="C111">
        <f t="shared" si="39"/>
        <v>0.76674361589284812</v>
      </c>
      <c r="D111">
        <f t="shared" si="39"/>
        <v>0.58458063734414134</v>
      </c>
      <c r="E111">
        <f t="shared" si="39"/>
        <v>0.83404245222966855</v>
      </c>
      <c r="F111">
        <f t="shared" si="39"/>
        <v>0.21320321436621087</v>
      </c>
      <c r="G111">
        <f t="shared" si="39"/>
        <v>0.2972561799178764</v>
      </c>
      <c r="H111">
        <f t="shared" si="39"/>
        <v>5.6565968842275993E-2</v>
      </c>
      <c r="I111">
        <f t="shared" si="39"/>
        <v>0</v>
      </c>
      <c r="J111">
        <f t="shared" si="39"/>
        <v>1.0549189758516766E-3</v>
      </c>
      <c r="K111">
        <f t="shared" si="39"/>
        <v>0.54317739597031067</v>
      </c>
      <c r="L111">
        <f t="shared" si="39"/>
        <v>0.61750852030449743</v>
      </c>
      <c r="M111">
        <f t="shared" si="39"/>
        <v>1.4987926802307387</v>
      </c>
      <c r="N111">
        <f t="shared" si="39"/>
        <v>7.7883877335332571E-2</v>
      </c>
      <c r="O111">
        <f t="shared" si="39"/>
        <v>8.7841441492841829E-2</v>
      </c>
      <c r="P111">
        <f t="shared" si="39"/>
        <v>0.2009480764298367</v>
      </c>
      <c r="Q111">
        <f t="shared" si="39"/>
        <v>2.6763952841141025E-2</v>
      </c>
      <c r="R111">
        <f t="shared" si="39"/>
        <v>7.6683580974880899E-2</v>
      </c>
      <c r="S111">
        <f t="shared" si="39"/>
        <v>5.0112028404426042E-4</v>
      </c>
      <c r="T111">
        <f t="shared" si="39"/>
        <v>3.4316798104121191</v>
      </c>
      <c r="U111">
        <f t="shared" si="39"/>
        <v>0.20087531444472023</v>
      </c>
      <c r="V111">
        <f t="shared" si="39"/>
        <v>8.7512020628975951E-2</v>
      </c>
      <c r="W111">
        <f t="shared" si="39"/>
        <v>0.62154949283572314</v>
      </c>
      <c r="X111">
        <f t="shared" si="39"/>
        <v>1.9846257877242355</v>
      </c>
      <c r="Y111">
        <f t="shared" si="39"/>
        <v>3.7899596281595872E-2</v>
      </c>
      <c r="Z111">
        <f t="shared" si="39"/>
        <v>0.88177529238740104</v>
      </c>
      <c r="AA111">
        <f t="shared" si="39"/>
        <v>0.68292497939028363</v>
      </c>
      <c r="AB111">
        <f t="shared" si="39"/>
        <v>2.2490439177575583E-4</v>
      </c>
      <c r="AC111">
        <f t="shared" si="39"/>
        <v>0.36635699694810053</v>
      </c>
      <c r="AD111">
        <f t="shared" si="39"/>
        <v>0.21737229749544529</v>
      </c>
      <c r="AE111">
        <f t="shared" si="39"/>
        <v>0.42525271430036549</v>
      </c>
    </row>
    <row r="112" spans="1:35" x14ac:dyDescent="0.25">
      <c r="A112" t="s">
        <v>33</v>
      </c>
      <c r="B112">
        <f t="shared" ref="B112:AE112" si="40">(B11-B79)^2</f>
        <v>9.689386892185016E-2</v>
      </c>
      <c r="C112">
        <f t="shared" si="40"/>
        <v>0.13076814971799694</v>
      </c>
      <c r="D112">
        <f t="shared" si="40"/>
        <v>3.734238778894157E-2</v>
      </c>
      <c r="E112">
        <f t="shared" si="40"/>
        <v>1.1843768089920043E-2</v>
      </c>
      <c r="F112">
        <f t="shared" si="40"/>
        <v>0.75967078434333857</v>
      </c>
      <c r="G112">
        <f t="shared" si="40"/>
        <v>1.9317428511573345E-3</v>
      </c>
      <c r="H112">
        <f t="shared" si="40"/>
        <v>0.21796764164950244</v>
      </c>
      <c r="I112">
        <f t="shared" si="40"/>
        <v>1.0549189758516549E-3</v>
      </c>
      <c r="J112">
        <f t="shared" si="40"/>
        <v>0</v>
      </c>
      <c r="K112">
        <f t="shared" si="40"/>
        <v>3.4598349075992511E-2</v>
      </c>
      <c r="L112">
        <f t="shared" si="40"/>
        <v>0.3435953328104499</v>
      </c>
      <c r="M112">
        <f t="shared" si="40"/>
        <v>0.14927313755153881</v>
      </c>
      <c r="N112">
        <f t="shared" si="40"/>
        <v>0.14444853030678143</v>
      </c>
      <c r="O112">
        <f t="shared" si="40"/>
        <v>1.9042557037356451</v>
      </c>
      <c r="P112">
        <f t="shared" si="40"/>
        <v>0.37487923233664616</v>
      </c>
      <c r="Q112">
        <f t="shared" si="40"/>
        <v>0.4868226024604857</v>
      </c>
      <c r="R112">
        <f t="shared" si="40"/>
        <v>0.25673078229329094</v>
      </c>
      <c r="S112">
        <f t="shared" si="40"/>
        <v>2.2895924657714484</v>
      </c>
      <c r="T112">
        <f t="shared" si="40"/>
        <v>0.36085498675601019</v>
      </c>
      <c r="U112">
        <f t="shared" si="40"/>
        <v>2.7512265027253183E-3</v>
      </c>
      <c r="V112">
        <f t="shared" si="40"/>
        <v>0.10452647019880393</v>
      </c>
      <c r="W112">
        <f t="shared" si="40"/>
        <v>0.26537096241186064</v>
      </c>
      <c r="X112">
        <f t="shared" si="40"/>
        <v>3.5003828016792347</v>
      </c>
      <c r="Y112">
        <f t="shared" si="40"/>
        <v>2.9655196567186987E-2</v>
      </c>
      <c r="Z112">
        <f t="shared" si="40"/>
        <v>0.24330832291863311</v>
      </c>
      <c r="AA112">
        <f t="shared" si="40"/>
        <v>0.31933156289544479</v>
      </c>
      <c r="AB112">
        <f t="shared" si="40"/>
        <v>0.95064996915974798</v>
      </c>
      <c r="AC112">
        <f t="shared" si="40"/>
        <v>0.53861114443565239</v>
      </c>
      <c r="AD112">
        <f t="shared" si="40"/>
        <v>0.63653717306922841</v>
      </c>
      <c r="AE112">
        <f t="shared" si="40"/>
        <v>4.6154026039999679E-4</v>
      </c>
    </row>
    <row r="113" spans="1:31" x14ac:dyDescent="0.25">
      <c r="A113" t="s">
        <v>36</v>
      </c>
      <c r="B113">
        <f t="shared" ref="B113:AE113" si="41">(B12-B80)^2</f>
        <v>0.11532018601751569</v>
      </c>
      <c r="C113">
        <f t="shared" si="41"/>
        <v>0.60892818998881881</v>
      </c>
      <c r="D113">
        <f t="shared" si="41"/>
        <v>7.2248106248798405E-2</v>
      </c>
      <c r="E113">
        <f t="shared" si="41"/>
        <v>4.2114213631524483E-2</v>
      </c>
      <c r="F113">
        <f t="shared" si="41"/>
        <v>0.34352820812963919</v>
      </c>
      <c r="G113">
        <f t="shared" si="41"/>
        <v>0.25781579712559161</v>
      </c>
      <c r="H113">
        <f t="shared" si="41"/>
        <v>0.77474053305544544</v>
      </c>
      <c r="I113">
        <f t="shared" si="41"/>
        <v>0.54317739597031067</v>
      </c>
      <c r="J113">
        <f t="shared" si="41"/>
        <v>3.4598349075992525E-2</v>
      </c>
      <c r="K113">
        <f t="shared" si="41"/>
        <v>0</v>
      </c>
      <c r="L113">
        <f t="shared" si="41"/>
        <v>1.2736259578893854</v>
      </c>
      <c r="M113">
        <f t="shared" si="41"/>
        <v>0.54265347654579843</v>
      </c>
      <c r="N113">
        <f t="shared" si="41"/>
        <v>4.6882684954025429E-2</v>
      </c>
      <c r="O113">
        <f t="shared" si="41"/>
        <v>0.67868039575820616</v>
      </c>
      <c r="P113">
        <f t="shared" si="41"/>
        <v>1.0653058401571812E-2</v>
      </c>
      <c r="Q113">
        <f t="shared" si="41"/>
        <v>5.5615554866554562E-2</v>
      </c>
      <c r="R113">
        <f t="shared" si="41"/>
        <v>8.4180904566003398E-2</v>
      </c>
      <c r="S113">
        <f t="shared" si="41"/>
        <v>1.6321478035069038E-2</v>
      </c>
      <c r="T113">
        <f t="shared" si="41"/>
        <v>5.2344996712394593E-2</v>
      </c>
      <c r="U113">
        <f t="shared" si="41"/>
        <v>4.9899205799678534E-3</v>
      </c>
      <c r="V113">
        <f t="shared" si="41"/>
        <v>0.11014918015505425</v>
      </c>
      <c r="W113">
        <f t="shared" si="41"/>
        <v>1.3850643325892168E-2</v>
      </c>
      <c r="X113">
        <f t="shared" si="41"/>
        <v>6.010353700444445E-3</v>
      </c>
      <c r="Y113">
        <f t="shared" si="41"/>
        <v>0.2428831887783105</v>
      </c>
      <c r="Z113">
        <f t="shared" si="41"/>
        <v>0.51199847533082754</v>
      </c>
      <c r="AA113">
        <f t="shared" si="41"/>
        <v>1.4193521589699662</v>
      </c>
      <c r="AB113">
        <f t="shared" si="41"/>
        <v>0.12637078268684726</v>
      </c>
      <c r="AC113">
        <f t="shared" si="41"/>
        <v>0.131446136615577</v>
      </c>
      <c r="AD113">
        <f t="shared" si="41"/>
        <v>0.21593289351116415</v>
      </c>
      <c r="AE113">
        <f t="shared" si="41"/>
        <v>0.10982595179655387</v>
      </c>
    </row>
    <row r="114" spans="1:31" x14ac:dyDescent="0.25">
      <c r="A114" t="s">
        <v>16</v>
      </c>
      <c r="B114">
        <f t="shared" ref="B114:AE114" si="42">(B13-B81)^2</f>
        <v>0.78706712914395593</v>
      </c>
      <c r="C114">
        <f t="shared" si="42"/>
        <v>0.22833858270033183</v>
      </c>
      <c r="D114">
        <f t="shared" si="42"/>
        <v>0.32075442527585024</v>
      </c>
      <c r="E114">
        <f t="shared" si="42"/>
        <v>0.20315275903654353</v>
      </c>
      <c r="F114">
        <f t="shared" si="42"/>
        <v>4.0790724200014533E-2</v>
      </c>
      <c r="G114">
        <f t="shared" si="42"/>
        <v>0.82356627906098789</v>
      </c>
      <c r="H114">
        <f t="shared" si="42"/>
        <v>0.45091401581555718</v>
      </c>
      <c r="I114">
        <f t="shared" si="42"/>
        <v>0.61750852030449721</v>
      </c>
      <c r="J114">
        <f t="shared" si="42"/>
        <v>0.3435953328104499</v>
      </c>
      <c r="K114">
        <f t="shared" si="42"/>
        <v>1.2736259578893854</v>
      </c>
      <c r="L114">
        <f t="shared" si="42"/>
        <v>0</v>
      </c>
      <c r="M114">
        <f t="shared" si="42"/>
        <v>0.31005533345591263</v>
      </c>
      <c r="N114">
        <f t="shared" si="42"/>
        <v>1.1253096410518908E-2</v>
      </c>
      <c r="O114">
        <f t="shared" si="42"/>
        <v>0.4695170354037046</v>
      </c>
      <c r="P114">
        <f t="shared" si="42"/>
        <v>6.6314754601592227E-3</v>
      </c>
      <c r="Q114">
        <f t="shared" si="42"/>
        <v>0.25765905235404291</v>
      </c>
      <c r="R114">
        <f t="shared" si="42"/>
        <v>0.36373235061040954</v>
      </c>
      <c r="S114">
        <f t="shared" si="42"/>
        <v>9.5962061775562699E-2</v>
      </c>
      <c r="T114">
        <f t="shared" si="42"/>
        <v>0.23811972544706189</v>
      </c>
      <c r="U114">
        <f t="shared" si="42"/>
        <v>2.9048421247033451E-2</v>
      </c>
      <c r="V114">
        <f t="shared" si="42"/>
        <v>1.0271963150231518</v>
      </c>
      <c r="W114">
        <f t="shared" si="42"/>
        <v>0.52635309739602565</v>
      </c>
      <c r="X114">
        <f t="shared" si="42"/>
        <v>3.4638542860971663E-2</v>
      </c>
      <c r="Y114">
        <f t="shared" si="42"/>
        <v>6.2595610912892768E-3</v>
      </c>
      <c r="Z114">
        <f t="shared" si="42"/>
        <v>0.44822408396046004</v>
      </c>
      <c r="AA114">
        <f t="shared" si="42"/>
        <v>1.1300317013332473</v>
      </c>
      <c r="AB114">
        <f t="shared" si="42"/>
        <v>0.35580926337635599</v>
      </c>
      <c r="AC114">
        <f t="shared" si="42"/>
        <v>7.8005333943119412E-2</v>
      </c>
      <c r="AD114">
        <f t="shared" si="42"/>
        <v>1.6575794807668142E-2</v>
      </c>
      <c r="AE114">
        <f t="shared" si="42"/>
        <v>0.10798241003362481</v>
      </c>
    </row>
    <row r="115" spans="1:31" x14ac:dyDescent="0.25">
      <c r="A115" t="s">
        <v>20</v>
      </c>
      <c r="B115">
        <f t="shared" ref="B115:AE115" si="43">(B14-B82)^2</f>
        <v>0.49802534570662632</v>
      </c>
      <c r="C115">
        <f t="shared" si="43"/>
        <v>0.42789238207256669</v>
      </c>
      <c r="D115">
        <f t="shared" si="43"/>
        <v>0.95338851434448835</v>
      </c>
      <c r="E115">
        <f t="shared" si="43"/>
        <v>0.51771181820332801</v>
      </c>
      <c r="F115">
        <f t="shared" si="43"/>
        <v>0.28072766974668789</v>
      </c>
      <c r="G115">
        <f t="shared" si="43"/>
        <v>0.53485401307662317</v>
      </c>
      <c r="H115">
        <f t="shared" si="43"/>
        <v>1.6921369551889349</v>
      </c>
      <c r="I115">
        <f t="shared" si="43"/>
        <v>1.4987926802307387</v>
      </c>
      <c r="J115">
        <f t="shared" si="43"/>
        <v>0.14927313755153845</v>
      </c>
      <c r="K115">
        <f t="shared" si="43"/>
        <v>0.54265347654579843</v>
      </c>
      <c r="L115">
        <f t="shared" si="43"/>
        <v>0.31005533345591263</v>
      </c>
      <c r="M115">
        <f t="shared" si="43"/>
        <v>0</v>
      </c>
      <c r="N115">
        <f t="shared" si="43"/>
        <v>0.26541248140676549</v>
      </c>
      <c r="O115">
        <f t="shared" si="43"/>
        <v>0.28508889820081867</v>
      </c>
      <c r="P115">
        <f t="shared" si="43"/>
        <v>0.2752954802537198</v>
      </c>
      <c r="Q115">
        <f t="shared" si="43"/>
        <v>0.76399852498566523</v>
      </c>
      <c r="R115">
        <f t="shared" si="43"/>
        <v>1.2612726182824578E-2</v>
      </c>
      <c r="S115">
        <f t="shared" si="43"/>
        <v>0.41295773455949647</v>
      </c>
      <c r="T115">
        <f t="shared" si="43"/>
        <v>1.4965492961695752</v>
      </c>
      <c r="U115">
        <f t="shared" si="43"/>
        <v>0.60519116180947541</v>
      </c>
      <c r="V115">
        <f t="shared" si="43"/>
        <v>1.9263964330431808E-2</v>
      </c>
      <c r="W115">
        <f t="shared" si="43"/>
        <v>0.76705891881965305</v>
      </c>
      <c r="X115">
        <f t="shared" si="43"/>
        <v>2.5513640032154714E-2</v>
      </c>
      <c r="Y115">
        <f t="shared" si="43"/>
        <v>0.26096479361675928</v>
      </c>
      <c r="Z115">
        <f t="shared" si="43"/>
        <v>0.42564799851950308</v>
      </c>
      <c r="AA115">
        <f t="shared" si="43"/>
        <v>0.33931789056236705</v>
      </c>
      <c r="AB115">
        <f t="shared" si="43"/>
        <v>1.4813776167399244</v>
      </c>
      <c r="AC115">
        <f t="shared" si="43"/>
        <v>1.4870732413453462</v>
      </c>
      <c r="AD115">
        <f t="shared" si="43"/>
        <v>1.0187936247923186</v>
      </c>
      <c r="AE115">
        <f t="shared" si="43"/>
        <v>7.1926315787429362E-2</v>
      </c>
    </row>
    <row r="116" spans="1:31" x14ac:dyDescent="0.25">
      <c r="A116" t="s">
        <v>41</v>
      </c>
      <c r="B116">
        <f t="shared" ref="B116:AE116" si="44">(B15-B83)^2</f>
        <v>0.88331493832079733</v>
      </c>
      <c r="C116">
        <f t="shared" si="44"/>
        <v>0.31325481866286886</v>
      </c>
      <c r="D116">
        <f t="shared" si="44"/>
        <v>0.27484236217591967</v>
      </c>
      <c r="E116">
        <f t="shared" si="44"/>
        <v>0.17200540260178585</v>
      </c>
      <c r="F116">
        <f t="shared" si="44"/>
        <v>6.3657638809357528E-2</v>
      </c>
      <c r="G116">
        <f t="shared" si="44"/>
        <v>1.3106226371312859</v>
      </c>
      <c r="H116">
        <f t="shared" si="44"/>
        <v>3.1286707928522069E-2</v>
      </c>
      <c r="I116">
        <f t="shared" si="44"/>
        <v>7.7883877335332641E-2</v>
      </c>
      <c r="J116">
        <f t="shared" si="44"/>
        <v>0.14444853030678156</v>
      </c>
      <c r="K116">
        <f t="shared" si="44"/>
        <v>4.6882684954025429E-2</v>
      </c>
      <c r="L116">
        <f t="shared" si="44"/>
        <v>1.1253096410518955E-2</v>
      </c>
      <c r="M116">
        <f t="shared" si="44"/>
        <v>0.26541248140676549</v>
      </c>
      <c r="N116">
        <f t="shared" si="44"/>
        <v>0</v>
      </c>
      <c r="O116">
        <f t="shared" si="44"/>
        <v>0.14551701646089815</v>
      </c>
      <c r="P116">
        <f t="shared" si="44"/>
        <v>6.1009416697708119E-4</v>
      </c>
      <c r="Q116">
        <f t="shared" si="44"/>
        <v>0.28255219174354712</v>
      </c>
      <c r="R116">
        <f t="shared" si="44"/>
        <v>0.19418248400496113</v>
      </c>
      <c r="S116">
        <f t="shared" si="44"/>
        <v>4.4340236610032446E-2</v>
      </c>
      <c r="T116">
        <f t="shared" si="44"/>
        <v>3.6180664865311562E-3</v>
      </c>
      <c r="U116">
        <f t="shared" si="44"/>
        <v>2.3899248780248607E-2</v>
      </c>
      <c r="V116">
        <f t="shared" si="44"/>
        <v>3.1900655711559513E-3</v>
      </c>
      <c r="W116">
        <f t="shared" si="44"/>
        <v>6.265337847726507E-2</v>
      </c>
      <c r="X116">
        <f t="shared" si="44"/>
        <v>2.8543910385245411E-2</v>
      </c>
      <c r="Y116">
        <f t="shared" si="44"/>
        <v>0.99504476697197142</v>
      </c>
      <c r="Z116">
        <f t="shared" si="44"/>
        <v>0.44877126510622373</v>
      </c>
      <c r="AA116">
        <f t="shared" si="44"/>
        <v>2.8502859965471472E-2</v>
      </c>
      <c r="AB116">
        <f t="shared" si="44"/>
        <v>7.2992448981508029E-2</v>
      </c>
      <c r="AC116">
        <f t="shared" si="44"/>
        <v>1.7622120826910295</v>
      </c>
      <c r="AD116">
        <f t="shared" si="44"/>
        <v>1.0914784337714949</v>
      </c>
      <c r="AE116">
        <f t="shared" si="44"/>
        <v>0.14070687343632179</v>
      </c>
    </row>
    <row r="117" spans="1:31" x14ac:dyDescent="0.25">
      <c r="A117" t="s">
        <v>17</v>
      </c>
      <c r="B117">
        <f t="shared" ref="B117:AE117" si="45">(B16-B84)^2</f>
        <v>0.68734144166527444</v>
      </c>
      <c r="C117">
        <f t="shared" si="45"/>
        <v>0.2957066199200073</v>
      </c>
      <c r="D117">
        <f t="shared" si="45"/>
        <v>0.29410512156885793</v>
      </c>
      <c r="E117">
        <f t="shared" si="45"/>
        <v>0.18110459887322447</v>
      </c>
      <c r="F117">
        <f t="shared" si="45"/>
        <v>0.48980489220322809</v>
      </c>
      <c r="G117">
        <f t="shared" si="45"/>
        <v>6.1179824708894943E-2</v>
      </c>
      <c r="H117">
        <f t="shared" si="45"/>
        <v>0.31531518638372297</v>
      </c>
      <c r="I117">
        <f t="shared" si="45"/>
        <v>8.7841441492841565E-2</v>
      </c>
      <c r="J117">
        <f t="shared" si="45"/>
        <v>1.9042557037356445</v>
      </c>
      <c r="K117">
        <f t="shared" si="45"/>
        <v>0.6786803957582056</v>
      </c>
      <c r="L117">
        <f t="shared" si="45"/>
        <v>0.4695170354037046</v>
      </c>
      <c r="M117">
        <f t="shared" si="45"/>
        <v>0.28508889820081867</v>
      </c>
      <c r="N117">
        <f t="shared" si="45"/>
        <v>0.14551701646089832</v>
      </c>
      <c r="O117">
        <f t="shared" si="45"/>
        <v>0</v>
      </c>
      <c r="P117">
        <f t="shared" si="45"/>
        <v>0.15215980972761786</v>
      </c>
      <c r="Q117">
        <f t="shared" si="45"/>
        <v>0.26280302778030323</v>
      </c>
      <c r="R117">
        <f t="shared" si="45"/>
        <v>0.32822944642767304</v>
      </c>
      <c r="S117">
        <f t="shared" si="45"/>
        <v>0.44769680342183377</v>
      </c>
      <c r="T117">
        <f t="shared" si="45"/>
        <v>0.41837348209460878</v>
      </c>
      <c r="U117">
        <f t="shared" si="45"/>
        <v>1.2419397685890001</v>
      </c>
      <c r="V117">
        <f t="shared" si="45"/>
        <v>0.31418775271204719</v>
      </c>
      <c r="W117">
        <f t="shared" si="45"/>
        <v>2.2943336553701451E-2</v>
      </c>
      <c r="X117">
        <f t="shared" si="45"/>
        <v>0.87137643226241568</v>
      </c>
      <c r="Y117">
        <f t="shared" si="45"/>
        <v>0.92834790715607751</v>
      </c>
      <c r="Z117">
        <f t="shared" si="45"/>
        <v>0.26310695898390341</v>
      </c>
      <c r="AA117">
        <f t="shared" si="45"/>
        <v>0.44488985879407505</v>
      </c>
      <c r="AB117">
        <f t="shared" si="45"/>
        <v>8.0244434768447864E-2</v>
      </c>
      <c r="AC117">
        <f t="shared" si="45"/>
        <v>0.42968854901583836</v>
      </c>
      <c r="AD117">
        <f t="shared" si="45"/>
        <v>9.6650001314152231E-2</v>
      </c>
      <c r="AE117">
        <f t="shared" si="45"/>
        <v>0.14182892542141781</v>
      </c>
    </row>
    <row r="118" spans="1:31" x14ac:dyDescent="0.25">
      <c r="A118" t="s">
        <v>28</v>
      </c>
      <c r="B118">
        <f t="shared" ref="B118:AE118" si="46">(B17-B85)^2</f>
        <v>5.2486928868453577E-3</v>
      </c>
      <c r="C118">
        <f t="shared" si="46"/>
        <v>0.20146510816540872</v>
      </c>
      <c r="D118">
        <f t="shared" si="46"/>
        <v>0.21728148638652894</v>
      </c>
      <c r="E118">
        <f t="shared" si="46"/>
        <v>0.17885640479682421</v>
      </c>
      <c r="F118">
        <f t="shared" si="46"/>
        <v>5.7938724570221492E-2</v>
      </c>
      <c r="G118">
        <f t="shared" si="46"/>
        <v>1.2830355827099273</v>
      </c>
      <c r="H118">
        <f t="shared" si="46"/>
        <v>0.35140087166331463</v>
      </c>
      <c r="I118">
        <f t="shared" si="46"/>
        <v>0.2009480764298365</v>
      </c>
      <c r="J118">
        <f t="shared" si="46"/>
        <v>0.37487923233664605</v>
      </c>
      <c r="K118">
        <f t="shared" si="46"/>
        <v>1.0653058401571857E-2</v>
      </c>
      <c r="L118">
        <f t="shared" si="46"/>
        <v>6.6314754601592227E-3</v>
      </c>
      <c r="M118">
        <f t="shared" si="46"/>
        <v>0.2752954802537198</v>
      </c>
      <c r="N118">
        <f t="shared" si="46"/>
        <v>6.1009416697709214E-4</v>
      </c>
      <c r="O118">
        <f t="shared" si="46"/>
        <v>0.15215980972761772</v>
      </c>
      <c r="P118">
        <f t="shared" si="46"/>
        <v>0</v>
      </c>
      <c r="Q118">
        <f t="shared" si="46"/>
        <v>0.22787512426272613</v>
      </c>
      <c r="R118">
        <f t="shared" si="46"/>
        <v>0.18546379780086591</v>
      </c>
      <c r="S118">
        <f t="shared" si="46"/>
        <v>0.61550432219435025</v>
      </c>
      <c r="T118">
        <f t="shared" si="46"/>
        <v>0.31787933888411563</v>
      </c>
      <c r="U118">
        <f t="shared" si="46"/>
        <v>2.5012787918443337E-2</v>
      </c>
      <c r="V118">
        <f t="shared" si="46"/>
        <v>7.8077994110226159E-2</v>
      </c>
      <c r="W118">
        <f t="shared" si="46"/>
        <v>6.5416214728522146E-2</v>
      </c>
      <c r="X118">
        <f t="shared" si="46"/>
        <v>2.986315681558923E-2</v>
      </c>
      <c r="Y118">
        <f t="shared" si="46"/>
        <v>0.58079133613482004</v>
      </c>
      <c r="Z118">
        <f t="shared" si="46"/>
        <v>2.8695690236189186</v>
      </c>
      <c r="AA118">
        <f t="shared" si="46"/>
        <v>2.0816207196936384E-2</v>
      </c>
      <c r="AB118">
        <f t="shared" si="46"/>
        <v>6.5186736136919443E-2</v>
      </c>
      <c r="AC118">
        <f t="shared" si="46"/>
        <v>0.10011720784969382</v>
      </c>
      <c r="AD118">
        <f t="shared" si="46"/>
        <v>0.87625174535640882</v>
      </c>
      <c r="AE118">
        <f t="shared" si="46"/>
        <v>1.8617168460325888</v>
      </c>
    </row>
    <row r="119" spans="1:31" x14ac:dyDescent="0.25">
      <c r="A119" t="s">
        <v>24</v>
      </c>
      <c r="B119">
        <f t="shared" ref="B119:AE119" si="47">(B18-B86)^2</f>
        <v>0.72803575701008993</v>
      </c>
      <c r="C119">
        <f t="shared" si="47"/>
        <v>3.6860103806383</v>
      </c>
      <c r="D119">
        <f t="shared" si="47"/>
        <v>1.3211268467024042</v>
      </c>
      <c r="E119">
        <f t="shared" si="47"/>
        <v>2.4312603908410734E-2</v>
      </c>
      <c r="F119">
        <f t="shared" si="47"/>
        <v>2.6386295057256382E-4</v>
      </c>
      <c r="G119">
        <f t="shared" si="47"/>
        <v>0.70219924539803635</v>
      </c>
      <c r="H119">
        <f t="shared" si="47"/>
        <v>0.12746622757138049</v>
      </c>
      <c r="I119">
        <f t="shared" si="47"/>
        <v>2.6763952841141064E-2</v>
      </c>
      <c r="J119">
        <f t="shared" si="47"/>
        <v>0.48682260246048542</v>
      </c>
      <c r="K119">
        <f t="shared" si="47"/>
        <v>5.5615554866554562E-2</v>
      </c>
      <c r="L119">
        <f t="shared" si="47"/>
        <v>0.25765905235404302</v>
      </c>
      <c r="M119">
        <f t="shared" si="47"/>
        <v>0.76399852498566601</v>
      </c>
      <c r="N119">
        <f t="shared" si="47"/>
        <v>0.28255219174354712</v>
      </c>
      <c r="O119">
        <f t="shared" si="47"/>
        <v>0.26280302778030301</v>
      </c>
      <c r="P119">
        <f t="shared" si="47"/>
        <v>0.22787512426272613</v>
      </c>
      <c r="Q119">
        <f t="shared" si="47"/>
        <v>0</v>
      </c>
      <c r="R119">
        <f t="shared" si="47"/>
        <v>3.1067695393736297</v>
      </c>
      <c r="S119">
        <f t="shared" si="47"/>
        <v>0.36493210172708201</v>
      </c>
      <c r="T119">
        <f t="shared" si="47"/>
        <v>0.51505014120902837</v>
      </c>
      <c r="U119">
        <f t="shared" si="47"/>
        <v>0.41603555607640591</v>
      </c>
      <c r="V119">
        <f t="shared" si="47"/>
        <v>0.63998128669725074</v>
      </c>
      <c r="W119">
        <f t="shared" si="47"/>
        <v>7.5451613232130316E-2</v>
      </c>
      <c r="X119">
        <f t="shared" si="47"/>
        <v>5.3254356439940125E-3</v>
      </c>
      <c r="Y119">
        <f t="shared" si="47"/>
        <v>1.0843622115961107</v>
      </c>
      <c r="Z119">
        <f t="shared" si="47"/>
        <v>0.16140730310011869</v>
      </c>
      <c r="AA119">
        <f t="shared" si="47"/>
        <v>0.28286588250917211</v>
      </c>
      <c r="AB119">
        <f t="shared" si="47"/>
        <v>0.71184616035917703</v>
      </c>
      <c r="AC119">
        <f t="shared" si="47"/>
        <v>6.1050733433110051E-2</v>
      </c>
      <c r="AD119">
        <f t="shared" si="47"/>
        <v>5.2237424747974791E-3</v>
      </c>
      <c r="AE119">
        <f t="shared" si="47"/>
        <v>0.37109916909016877</v>
      </c>
    </row>
    <row r="120" spans="1:31" x14ac:dyDescent="0.25">
      <c r="A120" t="s">
        <v>19</v>
      </c>
      <c r="B120">
        <f t="shared" ref="B120:AE120" si="48">(B19-B87)^2</f>
        <v>5.8747723975871233E-4</v>
      </c>
      <c r="C120">
        <f t="shared" si="48"/>
        <v>0.46786123284234277</v>
      </c>
      <c r="D120">
        <f t="shared" si="48"/>
        <v>0.18784769137140672</v>
      </c>
      <c r="E120">
        <f t="shared" si="48"/>
        <v>0.62771809387690702</v>
      </c>
      <c r="F120">
        <f t="shared" si="48"/>
        <v>0.33196495137681842</v>
      </c>
      <c r="G120">
        <f t="shared" si="48"/>
        <v>0.13541806936308956</v>
      </c>
      <c r="H120">
        <f t="shared" si="48"/>
        <v>0.56419263198675473</v>
      </c>
      <c r="I120">
        <f t="shared" si="48"/>
        <v>7.6683580974881024E-2</v>
      </c>
      <c r="J120">
        <f t="shared" si="48"/>
        <v>0.25673078229329072</v>
      </c>
      <c r="K120">
        <f t="shared" si="48"/>
        <v>8.418090456600337E-2</v>
      </c>
      <c r="L120">
        <f t="shared" si="48"/>
        <v>0.36373235061040965</v>
      </c>
      <c r="M120">
        <f t="shared" si="48"/>
        <v>1.2612726182824628E-2</v>
      </c>
      <c r="N120">
        <f t="shared" si="48"/>
        <v>0.19418248400496102</v>
      </c>
      <c r="O120">
        <f t="shared" si="48"/>
        <v>0.32822944642767321</v>
      </c>
      <c r="P120">
        <f t="shared" si="48"/>
        <v>0.18546379780086591</v>
      </c>
      <c r="Q120">
        <f t="shared" si="48"/>
        <v>3.1067695393736292</v>
      </c>
      <c r="R120">
        <f t="shared" si="48"/>
        <v>0</v>
      </c>
      <c r="S120">
        <f t="shared" si="48"/>
        <v>0.10599316399795992</v>
      </c>
      <c r="T120">
        <f t="shared" si="48"/>
        <v>0.69005355735320195</v>
      </c>
      <c r="U120">
        <f t="shared" si="48"/>
        <v>0.5039565267542595</v>
      </c>
      <c r="V120">
        <f t="shared" si="48"/>
        <v>6.9373298169777874E-3</v>
      </c>
      <c r="W120">
        <f t="shared" si="48"/>
        <v>0.85189372449242617</v>
      </c>
      <c r="X120">
        <f t="shared" si="48"/>
        <v>0.58994181229865583</v>
      </c>
      <c r="Y120">
        <f t="shared" si="48"/>
        <v>6.0454893796598307E-3</v>
      </c>
      <c r="Z120">
        <f t="shared" si="48"/>
        <v>8.8346317515092088E-2</v>
      </c>
      <c r="AA120">
        <f t="shared" si="48"/>
        <v>0.39688597693249106</v>
      </c>
      <c r="AB120">
        <f t="shared" si="48"/>
        <v>0.53292891366571349</v>
      </c>
      <c r="AC120">
        <f t="shared" si="48"/>
        <v>9.0963941660811121E-2</v>
      </c>
      <c r="AD120">
        <f t="shared" si="48"/>
        <v>1.0958419886827053</v>
      </c>
      <c r="AE120">
        <f t="shared" si="48"/>
        <v>0.14607657836280491</v>
      </c>
    </row>
    <row r="121" spans="1:31" x14ac:dyDescent="0.25">
      <c r="A121" t="s">
        <v>29</v>
      </c>
      <c r="B121">
        <f t="shared" ref="B121:AE121" si="49">(B20-B88)^2</f>
        <v>1.5737694749268474E-2</v>
      </c>
      <c r="C121">
        <f t="shared" si="49"/>
        <v>0.33411928758772669</v>
      </c>
      <c r="D121">
        <f t="shared" si="49"/>
        <v>0.4218348841165469</v>
      </c>
      <c r="E121">
        <f t="shared" si="49"/>
        <v>0.20058078344055486</v>
      </c>
      <c r="F121">
        <f t="shared" si="49"/>
        <v>5.0394764058284934E-2</v>
      </c>
      <c r="G121">
        <f t="shared" si="49"/>
        <v>3.3695711709627048E-2</v>
      </c>
      <c r="H121">
        <f t="shared" si="49"/>
        <v>9.8654092702005064E-2</v>
      </c>
      <c r="I121">
        <f t="shared" si="49"/>
        <v>5.0112028404425044E-4</v>
      </c>
      <c r="J121">
        <f t="shared" si="49"/>
        <v>2.2895924657714484</v>
      </c>
      <c r="K121">
        <f t="shared" si="49"/>
        <v>1.6321478035069101E-2</v>
      </c>
      <c r="L121">
        <f t="shared" si="49"/>
        <v>9.5962061775562935E-2</v>
      </c>
      <c r="M121">
        <f t="shared" si="49"/>
        <v>0.41295773455949619</v>
      </c>
      <c r="N121">
        <f t="shared" si="49"/>
        <v>4.4340236610032543E-2</v>
      </c>
      <c r="O121">
        <f t="shared" si="49"/>
        <v>0.44769680342183377</v>
      </c>
      <c r="P121">
        <f t="shared" si="49"/>
        <v>0.61550432219435014</v>
      </c>
      <c r="Q121">
        <f t="shared" si="49"/>
        <v>0.36493210172708201</v>
      </c>
      <c r="R121">
        <f t="shared" si="49"/>
        <v>0.10599316399795995</v>
      </c>
      <c r="S121">
        <f t="shared" si="49"/>
        <v>0</v>
      </c>
      <c r="T121">
        <f t="shared" si="49"/>
        <v>0.23567080485870623</v>
      </c>
      <c r="U121">
        <f t="shared" si="49"/>
        <v>1.106725806401156</v>
      </c>
      <c r="V121">
        <f t="shared" si="49"/>
        <v>0.3193965380368865</v>
      </c>
      <c r="W121">
        <f t="shared" si="49"/>
        <v>0.47724363567736267</v>
      </c>
      <c r="X121">
        <f t="shared" si="49"/>
        <v>0.80995384899779754</v>
      </c>
      <c r="Y121">
        <f t="shared" si="49"/>
        <v>6.7290816933730596E-2</v>
      </c>
      <c r="Z121">
        <f t="shared" si="49"/>
        <v>2.6205706208977713</v>
      </c>
      <c r="AA121">
        <f t="shared" si="49"/>
        <v>0.10776993789234152</v>
      </c>
      <c r="AB121">
        <f t="shared" si="49"/>
        <v>0.57495876895774767</v>
      </c>
      <c r="AC121">
        <f t="shared" si="49"/>
        <v>6.7271854008083151E-2</v>
      </c>
      <c r="AD121">
        <f t="shared" si="49"/>
        <v>8.7705676257015475E-2</v>
      </c>
      <c r="AE121">
        <f t="shared" si="49"/>
        <v>0.5113569650524229</v>
      </c>
    </row>
    <row r="122" spans="1:31" x14ac:dyDescent="0.25">
      <c r="A122" t="s">
        <v>12</v>
      </c>
      <c r="B122">
        <f t="shared" ref="B122:AE122" si="50">(B21-B89)^2</f>
        <v>0.12058923576786794</v>
      </c>
      <c r="C122">
        <f t="shared" si="50"/>
        <v>0.4640658333751238</v>
      </c>
      <c r="D122">
        <f t="shared" si="50"/>
        <v>1.4691912030808449</v>
      </c>
      <c r="E122">
        <f t="shared" si="50"/>
        <v>0.12427944659620169</v>
      </c>
      <c r="F122">
        <f t="shared" si="50"/>
        <v>0.91355667277259966</v>
      </c>
      <c r="G122">
        <f t="shared" si="50"/>
        <v>2.4022162258769318E-2</v>
      </c>
      <c r="H122">
        <f t="shared" si="50"/>
        <v>0.69533210801988232</v>
      </c>
      <c r="I122">
        <f t="shared" si="50"/>
        <v>3.4316798104121191</v>
      </c>
      <c r="J122">
        <f t="shared" si="50"/>
        <v>0.36085498675601019</v>
      </c>
      <c r="K122">
        <f t="shared" si="50"/>
        <v>5.2344996712394697E-2</v>
      </c>
      <c r="L122">
        <f t="shared" si="50"/>
        <v>0.23811972544706189</v>
      </c>
      <c r="M122">
        <f t="shared" si="50"/>
        <v>1.4965492961695752</v>
      </c>
      <c r="N122">
        <f t="shared" si="50"/>
        <v>3.6180664865311562E-3</v>
      </c>
      <c r="O122">
        <f t="shared" si="50"/>
        <v>0.41837348209460917</v>
      </c>
      <c r="P122">
        <f t="shared" si="50"/>
        <v>0.31787933888411585</v>
      </c>
      <c r="Q122">
        <f t="shared" si="50"/>
        <v>0.51505014120902837</v>
      </c>
      <c r="R122">
        <f t="shared" si="50"/>
        <v>0.69005355735320173</v>
      </c>
      <c r="S122">
        <f t="shared" si="50"/>
        <v>0.23567080485870606</v>
      </c>
      <c r="T122">
        <f t="shared" si="50"/>
        <v>0</v>
      </c>
      <c r="U122">
        <f t="shared" si="50"/>
        <v>0.53901460419733627</v>
      </c>
      <c r="V122">
        <f t="shared" si="50"/>
        <v>0.68146665328114586</v>
      </c>
      <c r="W122">
        <f t="shared" si="50"/>
        <v>0.34232064178813443</v>
      </c>
      <c r="X122">
        <f t="shared" si="50"/>
        <v>0.50567547622014153</v>
      </c>
      <c r="Y122">
        <f t="shared" si="50"/>
        <v>1.801710949323387E-2</v>
      </c>
      <c r="Z122">
        <f t="shared" si="50"/>
        <v>1.6846570157326495</v>
      </c>
      <c r="AA122">
        <f t="shared" si="50"/>
        <v>2.0398650683080937</v>
      </c>
      <c r="AB122">
        <f t="shared" si="50"/>
        <v>2.5546322078499727E-2</v>
      </c>
      <c r="AC122">
        <f t="shared" si="50"/>
        <v>0.92565818081529805</v>
      </c>
      <c r="AD122">
        <f t="shared" si="50"/>
        <v>3.1810419912326485E-2</v>
      </c>
      <c r="AE122">
        <f t="shared" si="50"/>
        <v>1.1924530684779939</v>
      </c>
    </row>
    <row r="123" spans="1:31" x14ac:dyDescent="0.25">
      <c r="A123" t="s">
        <v>31</v>
      </c>
      <c r="B123">
        <f t="shared" ref="B123:AE123" si="51">(B22-B90)^2</f>
        <v>0.6282218537244687</v>
      </c>
      <c r="C123">
        <f t="shared" si="51"/>
        <v>0.83786792297977664</v>
      </c>
      <c r="D123">
        <f t="shared" si="51"/>
        <v>5.6042316272985608E-2</v>
      </c>
      <c r="E123">
        <f t="shared" si="51"/>
        <v>8.8969682306262331E-4</v>
      </c>
      <c r="F123">
        <f t="shared" si="51"/>
        <v>0.13625999332936242</v>
      </c>
      <c r="G123">
        <f t="shared" si="51"/>
        <v>0.48648903821276951</v>
      </c>
      <c r="H123">
        <f t="shared" si="51"/>
        <v>5.2776889623549289E-2</v>
      </c>
      <c r="I123">
        <f t="shared" si="51"/>
        <v>0.20087531444472012</v>
      </c>
      <c r="J123">
        <f t="shared" si="51"/>
        <v>2.7512265027252718E-3</v>
      </c>
      <c r="K123">
        <f t="shared" si="51"/>
        <v>4.9899205799678577E-3</v>
      </c>
      <c r="L123">
        <f t="shared" si="51"/>
        <v>2.9048421247033395E-2</v>
      </c>
      <c r="M123">
        <f t="shared" si="51"/>
        <v>0.60519116180947585</v>
      </c>
      <c r="N123">
        <f t="shared" si="51"/>
        <v>2.3899248780248572E-2</v>
      </c>
      <c r="O123">
        <f t="shared" si="51"/>
        <v>1.2419397685890001</v>
      </c>
      <c r="P123">
        <f t="shared" si="51"/>
        <v>2.5012787918443313E-2</v>
      </c>
      <c r="Q123">
        <f t="shared" si="51"/>
        <v>0.41603555607640591</v>
      </c>
      <c r="R123">
        <f t="shared" si="51"/>
        <v>0.5039565267542595</v>
      </c>
      <c r="S123">
        <f t="shared" si="51"/>
        <v>1.1067258064011565</v>
      </c>
      <c r="T123">
        <f t="shared" si="51"/>
        <v>0.53901460419733627</v>
      </c>
      <c r="U123">
        <f t="shared" si="51"/>
        <v>0</v>
      </c>
      <c r="V123">
        <f t="shared" si="51"/>
        <v>0.47776437281999151</v>
      </c>
      <c r="W123">
        <f t="shared" si="51"/>
        <v>0.27324494490581686</v>
      </c>
      <c r="X123">
        <f t="shared" si="51"/>
        <v>1.2023840724489072</v>
      </c>
      <c r="Y123">
        <f t="shared" si="51"/>
        <v>0.16220542395738072</v>
      </c>
      <c r="Z123">
        <f t="shared" si="51"/>
        <v>4.3813011614778644E-2</v>
      </c>
      <c r="AA123">
        <f t="shared" si="51"/>
        <v>0.67153628710534452</v>
      </c>
      <c r="AB123">
        <f t="shared" si="51"/>
        <v>0.29793775822226132</v>
      </c>
      <c r="AC123">
        <f t="shared" si="51"/>
        <v>0.18698749294662989</v>
      </c>
      <c r="AD123">
        <f t="shared" si="51"/>
        <v>0.14679812852707955</v>
      </c>
      <c r="AE123">
        <f t="shared" si="51"/>
        <v>0.3876406202662625</v>
      </c>
    </row>
    <row r="124" spans="1:31" x14ac:dyDescent="0.25">
      <c r="A124" t="s">
        <v>38</v>
      </c>
      <c r="B124">
        <f t="shared" ref="B124:AE124" si="52">(B23-B91)^2</f>
        <v>0.17785424767225841</v>
      </c>
      <c r="C124">
        <f t="shared" si="52"/>
        <v>1.5330269709921838</v>
      </c>
      <c r="D124">
        <f t="shared" si="52"/>
        <v>0.76176070161857801</v>
      </c>
      <c r="E124">
        <f t="shared" si="52"/>
        <v>0.5275027128131583</v>
      </c>
      <c r="F124">
        <f t="shared" si="52"/>
        <v>1.7144899896131553E-2</v>
      </c>
      <c r="G124">
        <f t="shared" si="52"/>
        <v>5.7122922695543588E-2</v>
      </c>
      <c r="H124">
        <f t="shared" si="52"/>
        <v>0.43801432331270029</v>
      </c>
      <c r="I124">
        <f t="shared" si="52"/>
        <v>8.7512020628975812E-2</v>
      </c>
      <c r="J124">
        <f t="shared" si="52"/>
        <v>0.10452647019880393</v>
      </c>
      <c r="K124">
        <f t="shared" si="52"/>
        <v>0.11014918015505433</v>
      </c>
      <c r="L124">
        <f t="shared" si="52"/>
        <v>1.0271963150231522</v>
      </c>
      <c r="M124">
        <f t="shared" si="52"/>
        <v>1.9263964330431808E-2</v>
      </c>
      <c r="N124">
        <f t="shared" si="52"/>
        <v>3.1900655711559265E-3</v>
      </c>
      <c r="O124">
        <f t="shared" si="52"/>
        <v>0.31418775271204719</v>
      </c>
      <c r="P124">
        <f t="shared" si="52"/>
        <v>7.8077994110226284E-2</v>
      </c>
      <c r="Q124">
        <f t="shared" si="52"/>
        <v>0.63998128669725096</v>
      </c>
      <c r="R124">
        <f t="shared" si="52"/>
        <v>6.9373298169777874E-3</v>
      </c>
      <c r="S124">
        <f t="shared" si="52"/>
        <v>0.31939653803688672</v>
      </c>
      <c r="T124">
        <f t="shared" si="52"/>
        <v>0.68146665328114631</v>
      </c>
      <c r="U124">
        <f t="shared" si="52"/>
        <v>0.47776437281999162</v>
      </c>
      <c r="V124">
        <f t="shared" si="52"/>
        <v>0</v>
      </c>
      <c r="W124">
        <f t="shared" si="52"/>
        <v>0.22598996737547775</v>
      </c>
      <c r="X124">
        <f t="shared" si="52"/>
        <v>0.11213883096828693</v>
      </c>
      <c r="Y124">
        <f t="shared" si="52"/>
        <v>0.46238052138118857</v>
      </c>
      <c r="Z124">
        <f t="shared" si="52"/>
        <v>0.31500980061733813</v>
      </c>
      <c r="AA124">
        <f t="shared" si="52"/>
        <v>3.163315615067571E-3</v>
      </c>
      <c r="AB124">
        <f t="shared" si="52"/>
        <v>9.5479024738433296E-2</v>
      </c>
      <c r="AC124">
        <f t="shared" si="52"/>
        <v>2.4522343541308299E-3</v>
      </c>
      <c r="AD124">
        <f t="shared" si="52"/>
        <v>6.7194869033747245E-2</v>
      </c>
      <c r="AE124">
        <f t="shared" si="52"/>
        <v>0.99044613966822137</v>
      </c>
    </row>
    <row r="125" spans="1:31" x14ac:dyDescent="0.25">
      <c r="A125" t="s">
        <v>13</v>
      </c>
      <c r="B125">
        <f t="shared" ref="B125:AE125" si="53">(B24-B92)^2</f>
        <v>0.30228157952928608</v>
      </c>
      <c r="C125">
        <f t="shared" si="53"/>
        <v>1.0179947838087009</v>
      </c>
      <c r="D125">
        <f t="shared" si="53"/>
        <v>0.72530136199796913</v>
      </c>
      <c r="E125">
        <f t="shared" si="53"/>
        <v>0.34334633927974539</v>
      </c>
      <c r="F125">
        <f t="shared" si="53"/>
        <v>1.5051234943638241</v>
      </c>
      <c r="G125">
        <f t="shared" si="53"/>
        <v>0.23250585911815044</v>
      </c>
      <c r="H125">
        <f t="shared" si="53"/>
        <v>0.13163749520451656</v>
      </c>
      <c r="I125">
        <f t="shared" si="53"/>
        <v>0.62154949283572303</v>
      </c>
      <c r="J125">
        <f t="shared" si="53"/>
        <v>0.26537096241186109</v>
      </c>
      <c r="K125">
        <f t="shared" si="53"/>
        <v>1.3850643325892208E-2</v>
      </c>
      <c r="L125">
        <f t="shared" si="53"/>
        <v>0.52635309739602565</v>
      </c>
      <c r="M125">
        <f t="shared" si="53"/>
        <v>0.76705891881965316</v>
      </c>
      <c r="N125">
        <f t="shared" si="53"/>
        <v>6.2653378477265043E-2</v>
      </c>
      <c r="O125">
        <f t="shared" si="53"/>
        <v>2.2943336553701486E-2</v>
      </c>
      <c r="P125">
        <f t="shared" si="53"/>
        <v>6.5416214728522076E-2</v>
      </c>
      <c r="Q125">
        <f t="shared" si="53"/>
        <v>7.5451613232130441E-2</v>
      </c>
      <c r="R125">
        <f t="shared" si="53"/>
        <v>0.85189372449242617</v>
      </c>
      <c r="S125">
        <f t="shared" si="53"/>
        <v>0.47724363567736233</v>
      </c>
      <c r="T125">
        <f t="shared" si="53"/>
        <v>0.34232064178813465</v>
      </c>
      <c r="U125">
        <f t="shared" si="53"/>
        <v>0.27324494490581686</v>
      </c>
      <c r="V125">
        <f t="shared" si="53"/>
        <v>0.2259899673754778</v>
      </c>
      <c r="W125">
        <f t="shared" si="53"/>
        <v>0</v>
      </c>
      <c r="X125">
        <f t="shared" si="53"/>
        <v>3.1070899078276638E-2</v>
      </c>
      <c r="Y125">
        <f t="shared" si="53"/>
        <v>0.15841951838600415</v>
      </c>
      <c r="Z125">
        <f t="shared" si="53"/>
        <v>0.44515838527525514</v>
      </c>
      <c r="AA125">
        <f t="shared" si="53"/>
        <v>8.3969071474475604E-2</v>
      </c>
      <c r="AB125">
        <f t="shared" si="53"/>
        <v>1.4853934103034916</v>
      </c>
      <c r="AC125">
        <f t="shared" si="53"/>
        <v>0.77581493036563365</v>
      </c>
      <c r="AD125">
        <f t="shared" si="53"/>
        <v>0.17962696363339861</v>
      </c>
      <c r="AE125">
        <f t="shared" si="53"/>
        <v>0.91724018082974257</v>
      </c>
    </row>
    <row r="126" spans="1:31" x14ac:dyDescent="0.25">
      <c r="A126" t="s">
        <v>21</v>
      </c>
      <c r="B126">
        <f t="shared" ref="B126:AE126" si="54">(B25-B93)^2</f>
        <v>0.48657002066744337</v>
      </c>
      <c r="C126">
        <f t="shared" si="54"/>
        <v>2.1539052546508557E-4</v>
      </c>
      <c r="D126">
        <f t="shared" si="54"/>
        <v>0.68016717179516195</v>
      </c>
      <c r="E126">
        <f t="shared" si="54"/>
        <v>4.7441655446292454E-2</v>
      </c>
      <c r="F126">
        <f t="shared" si="54"/>
        <v>0.1612529816136492</v>
      </c>
      <c r="G126">
        <f t="shared" si="54"/>
        <v>0.44913813473420267</v>
      </c>
      <c r="H126">
        <f t="shared" si="54"/>
        <v>6.2559767029973151E-2</v>
      </c>
      <c r="I126">
        <f t="shared" si="54"/>
        <v>1.9846257877242348</v>
      </c>
      <c r="J126">
        <f t="shared" si="54"/>
        <v>3.5003828016792364</v>
      </c>
      <c r="K126">
        <f t="shared" si="54"/>
        <v>6.0103537004444129E-3</v>
      </c>
      <c r="L126">
        <f t="shared" si="54"/>
        <v>3.4638542860971684E-2</v>
      </c>
      <c r="M126">
        <f t="shared" si="54"/>
        <v>2.5513640032154679E-2</v>
      </c>
      <c r="N126">
        <f t="shared" si="54"/>
        <v>2.8543910385245449E-2</v>
      </c>
      <c r="O126">
        <f t="shared" si="54"/>
        <v>0.87137643226241568</v>
      </c>
      <c r="P126">
        <f t="shared" si="54"/>
        <v>2.9863156815589258E-2</v>
      </c>
      <c r="Q126">
        <f t="shared" si="54"/>
        <v>5.3254356439940455E-3</v>
      </c>
      <c r="R126">
        <f t="shared" si="54"/>
        <v>0.58994181229865528</v>
      </c>
      <c r="S126">
        <f t="shared" si="54"/>
        <v>0.80995384899779732</v>
      </c>
      <c r="T126">
        <f t="shared" si="54"/>
        <v>0.5056754762201412</v>
      </c>
      <c r="U126">
        <f t="shared" si="54"/>
        <v>1.2023840724489072</v>
      </c>
      <c r="V126">
        <f t="shared" si="54"/>
        <v>0.11213883096828693</v>
      </c>
      <c r="W126">
        <f t="shared" si="54"/>
        <v>3.1070899078276558E-2</v>
      </c>
      <c r="X126">
        <f t="shared" si="54"/>
        <v>0</v>
      </c>
      <c r="Y126">
        <f t="shared" si="54"/>
        <v>0.18897992863322455</v>
      </c>
      <c r="Z126">
        <f t="shared" si="54"/>
        <v>5.2040790336611742E-2</v>
      </c>
      <c r="AA126">
        <f t="shared" si="54"/>
        <v>3.8822185679454314E-2</v>
      </c>
      <c r="AB126">
        <f t="shared" si="54"/>
        <v>0.17221991865106864</v>
      </c>
      <c r="AC126">
        <f t="shared" si="54"/>
        <v>0.37979925735081782</v>
      </c>
      <c r="AD126">
        <f t="shared" si="54"/>
        <v>0.17136319288049157</v>
      </c>
      <c r="AE126">
        <f t="shared" si="54"/>
        <v>0.1055601098086751</v>
      </c>
    </row>
    <row r="127" spans="1:31" x14ac:dyDescent="0.25">
      <c r="A127" t="s">
        <v>35</v>
      </c>
      <c r="B127">
        <f t="shared" ref="B127:AE127" si="55">(B26-B94)^2</f>
        <v>0.20706033302358745</v>
      </c>
      <c r="C127">
        <f t="shared" si="55"/>
        <v>0.84411369011381687</v>
      </c>
      <c r="D127">
        <f t="shared" si="55"/>
        <v>1.1207512614028736E-3</v>
      </c>
      <c r="E127">
        <f t="shared" si="55"/>
        <v>1.4138761429964309E-2</v>
      </c>
      <c r="F127">
        <f t="shared" si="55"/>
        <v>8.1210837423569854E-2</v>
      </c>
      <c r="G127">
        <f t="shared" si="55"/>
        <v>0.14769733291358875</v>
      </c>
      <c r="H127">
        <f t="shared" si="55"/>
        <v>2.6923873245837981</v>
      </c>
      <c r="I127">
        <f t="shared" si="55"/>
        <v>3.7899596281596046E-2</v>
      </c>
      <c r="J127">
        <f t="shared" si="55"/>
        <v>2.9655196567186987E-2</v>
      </c>
      <c r="K127">
        <f t="shared" si="55"/>
        <v>0.24288318877831039</v>
      </c>
      <c r="L127">
        <f t="shared" si="55"/>
        <v>6.2595610912892412E-3</v>
      </c>
      <c r="M127">
        <f t="shared" si="55"/>
        <v>0.26096479361675945</v>
      </c>
      <c r="N127">
        <f t="shared" si="55"/>
        <v>0.9950447669719712</v>
      </c>
      <c r="O127">
        <f t="shared" si="55"/>
        <v>0.92834790715607707</v>
      </c>
      <c r="P127">
        <f t="shared" si="55"/>
        <v>0.58079133613482026</v>
      </c>
      <c r="Q127">
        <f t="shared" si="55"/>
        <v>1.0843622115961107</v>
      </c>
      <c r="R127">
        <f t="shared" si="55"/>
        <v>6.0454893796598307E-3</v>
      </c>
      <c r="S127">
        <f t="shared" si="55"/>
        <v>6.7290816933730471E-2</v>
      </c>
      <c r="T127">
        <f t="shared" si="55"/>
        <v>1.8017109493233749E-2</v>
      </c>
      <c r="U127">
        <f t="shared" si="55"/>
        <v>0.16220542395738077</v>
      </c>
      <c r="V127">
        <f t="shared" si="55"/>
        <v>0.46238052138118918</v>
      </c>
      <c r="W127">
        <f t="shared" si="55"/>
        <v>0.15841951838600432</v>
      </c>
      <c r="X127">
        <f t="shared" si="55"/>
        <v>0.18897992863322469</v>
      </c>
      <c r="Y127">
        <f t="shared" si="55"/>
        <v>0</v>
      </c>
      <c r="Z127">
        <f t="shared" si="55"/>
        <v>7.1274575130431853E-2</v>
      </c>
      <c r="AA127">
        <f t="shared" si="55"/>
        <v>1.6774277565260377E-2</v>
      </c>
      <c r="AB127">
        <f t="shared" si="55"/>
        <v>1.9396085773452458</v>
      </c>
      <c r="AC127">
        <f t="shared" si="55"/>
        <v>4.3214115599021073E-2</v>
      </c>
      <c r="AD127">
        <f t="shared" si="55"/>
        <v>0.2987295398020231</v>
      </c>
      <c r="AE127">
        <f t="shared" si="55"/>
        <v>1.3348053930736214</v>
      </c>
    </row>
    <row r="128" spans="1:31" x14ac:dyDescent="0.25">
      <c r="A128" t="s">
        <v>39</v>
      </c>
      <c r="B128">
        <f t="shared" ref="B128:AE128" si="56">(B27-B95)^2</f>
        <v>0.60375091834904648</v>
      </c>
      <c r="C128">
        <f t="shared" si="56"/>
        <v>0.18905944489935045</v>
      </c>
      <c r="D128">
        <f t="shared" si="56"/>
        <v>0.11368562981966839</v>
      </c>
      <c r="E128">
        <f t="shared" si="56"/>
        <v>0.28606616254385003</v>
      </c>
      <c r="F128">
        <f t="shared" si="56"/>
        <v>8.2897520005111216E-3</v>
      </c>
      <c r="G128">
        <f t="shared" si="56"/>
        <v>4.2927705233062767E-4</v>
      </c>
      <c r="H128">
        <f t="shared" si="56"/>
        <v>1.0908394076465018E-2</v>
      </c>
      <c r="I128">
        <f t="shared" si="56"/>
        <v>0.88177529238740104</v>
      </c>
      <c r="J128">
        <f t="shared" si="56"/>
        <v>0.24330832291863322</v>
      </c>
      <c r="K128">
        <f t="shared" si="56"/>
        <v>0.51199847533082765</v>
      </c>
      <c r="L128">
        <f t="shared" si="56"/>
        <v>0.44822408396046004</v>
      </c>
      <c r="M128">
        <f t="shared" si="56"/>
        <v>0.42564799851950308</v>
      </c>
      <c r="N128">
        <f t="shared" si="56"/>
        <v>0.448771265106224</v>
      </c>
      <c r="O128">
        <f t="shared" si="56"/>
        <v>0.26310695898390341</v>
      </c>
      <c r="P128">
        <f t="shared" si="56"/>
        <v>2.8695690236189195</v>
      </c>
      <c r="Q128">
        <f t="shared" si="56"/>
        <v>0.16140730310011869</v>
      </c>
      <c r="R128">
        <f t="shared" si="56"/>
        <v>8.8346317515092157E-2</v>
      </c>
      <c r="S128">
        <f t="shared" si="56"/>
        <v>2.6205706208977713</v>
      </c>
      <c r="T128">
        <f t="shared" si="56"/>
        <v>1.6846570157326488</v>
      </c>
      <c r="U128">
        <f t="shared" si="56"/>
        <v>4.3813011614778657E-2</v>
      </c>
      <c r="V128">
        <f t="shared" si="56"/>
        <v>0.31500980061733841</v>
      </c>
      <c r="W128">
        <f t="shared" si="56"/>
        <v>0.44515838527525514</v>
      </c>
      <c r="X128">
        <f t="shared" si="56"/>
        <v>5.2040790336611728E-2</v>
      </c>
      <c r="Y128">
        <f t="shared" si="56"/>
        <v>7.1274575130432088E-2</v>
      </c>
      <c r="Z128">
        <f t="shared" si="56"/>
        <v>0</v>
      </c>
      <c r="AA128">
        <f t="shared" si="56"/>
        <v>1.3538410841949666</v>
      </c>
      <c r="AB128">
        <f t="shared" si="56"/>
        <v>8.2721626164619297E-2</v>
      </c>
      <c r="AC128">
        <f t="shared" si="56"/>
        <v>0.68605323067843671</v>
      </c>
      <c r="AD128">
        <f t="shared" si="56"/>
        <v>0.46058766238805648</v>
      </c>
      <c r="AE128">
        <f t="shared" si="56"/>
        <v>5.0142184629580949E-2</v>
      </c>
    </row>
    <row r="129" spans="1:31" x14ac:dyDescent="0.25">
      <c r="A129" t="s">
        <v>15</v>
      </c>
      <c r="B129">
        <f t="shared" ref="B129:AE129" si="57">(B28-B96)^2</f>
        <v>1.3083590739683659</v>
      </c>
      <c r="C129">
        <f t="shared" si="57"/>
        <v>0.24884747837605739</v>
      </c>
      <c r="D129">
        <f t="shared" si="57"/>
        <v>0.35081310178327796</v>
      </c>
      <c r="E129">
        <f t="shared" si="57"/>
        <v>0.22384158548885766</v>
      </c>
      <c r="F129">
        <f t="shared" si="57"/>
        <v>2.942743305827597E-2</v>
      </c>
      <c r="G129">
        <f t="shared" si="57"/>
        <v>3.7403009818437051E-3</v>
      </c>
      <c r="H129">
        <f t="shared" si="57"/>
        <v>7.1209181237254823E-2</v>
      </c>
      <c r="I129">
        <f t="shared" si="57"/>
        <v>0.68292497939028363</v>
      </c>
      <c r="J129">
        <f t="shared" si="57"/>
        <v>0.31933156289544479</v>
      </c>
      <c r="K129">
        <f t="shared" si="57"/>
        <v>1.4193521589699662</v>
      </c>
      <c r="L129">
        <f t="shared" si="57"/>
        <v>1.1300317013332477</v>
      </c>
      <c r="M129">
        <f t="shared" si="57"/>
        <v>0.33931789056236689</v>
      </c>
      <c r="N129">
        <f t="shared" si="57"/>
        <v>2.8502859965471548E-2</v>
      </c>
      <c r="O129">
        <f t="shared" si="57"/>
        <v>0.44488985879407517</v>
      </c>
      <c r="P129">
        <f t="shared" si="57"/>
        <v>2.0816207196936384E-2</v>
      </c>
      <c r="Q129">
        <f t="shared" si="57"/>
        <v>0.282865882509172</v>
      </c>
      <c r="R129">
        <f t="shared" si="57"/>
        <v>0.39688597693249106</v>
      </c>
      <c r="S129">
        <f t="shared" si="57"/>
        <v>0.10776993789234131</v>
      </c>
      <c r="T129">
        <f t="shared" si="57"/>
        <v>2.0398650683080937</v>
      </c>
      <c r="U129">
        <f t="shared" si="57"/>
        <v>0.67153628710534419</v>
      </c>
      <c r="V129">
        <f t="shared" si="57"/>
        <v>3.163315615067571E-3</v>
      </c>
      <c r="W129">
        <f t="shared" si="57"/>
        <v>8.3969071474475673E-2</v>
      </c>
      <c r="X129">
        <f t="shared" si="57"/>
        <v>3.8822185679454266E-2</v>
      </c>
      <c r="Y129">
        <f t="shared" si="57"/>
        <v>1.6774277565260377E-2</v>
      </c>
      <c r="Z129">
        <f t="shared" si="57"/>
        <v>1.3538410841949666</v>
      </c>
      <c r="AA129">
        <f t="shared" si="57"/>
        <v>0</v>
      </c>
      <c r="AB129">
        <f t="shared" si="57"/>
        <v>2.680782703462932E-2</v>
      </c>
      <c r="AC129">
        <f t="shared" si="57"/>
        <v>6.2489950205223362E-2</v>
      </c>
      <c r="AD129">
        <f t="shared" si="57"/>
        <v>1.2423450267303333</v>
      </c>
      <c r="AE129">
        <f t="shared" si="57"/>
        <v>9.0120576248563511E-2</v>
      </c>
    </row>
    <row r="130" spans="1:31" x14ac:dyDescent="0.25">
      <c r="A130" t="s">
        <v>37</v>
      </c>
      <c r="B130">
        <f t="shared" ref="B130:AE130" si="58">(B29-B97)^2</f>
        <v>0.10912754555026392</v>
      </c>
      <c r="C130">
        <f t="shared" si="58"/>
        <v>0.77973898728459423</v>
      </c>
      <c r="D130">
        <f t="shared" si="58"/>
        <v>5.2132726596222763E-2</v>
      </c>
      <c r="E130">
        <f t="shared" si="58"/>
        <v>1.1648753674485386</v>
      </c>
      <c r="F130">
        <f t="shared" si="58"/>
        <v>0.20777106678490112</v>
      </c>
      <c r="G130">
        <f t="shared" si="58"/>
        <v>0.29151464362779217</v>
      </c>
      <c r="H130">
        <f t="shared" si="58"/>
        <v>0.59401198488475304</v>
      </c>
      <c r="I130">
        <f t="shared" si="58"/>
        <v>2.2490439177575583E-4</v>
      </c>
      <c r="J130">
        <f t="shared" si="58"/>
        <v>0.95064996915974764</v>
      </c>
      <c r="K130">
        <f t="shared" si="58"/>
        <v>0.12637078268684732</v>
      </c>
      <c r="L130">
        <f t="shared" si="58"/>
        <v>0.35580926337635616</v>
      </c>
      <c r="M130">
        <f t="shared" si="58"/>
        <v>1.4813776167399244</v>
      </c>
      <c r="N130">
        <f t="shared" si="58"/>
        <v>7.2992448981508098E-2</v>
      </c>
      <c r="O130">
        <f t="shared" si="58"/>
        <v>8.0244434768447989E-2</v>
      </c>
      <c r="P130">
        <f t="shared" si="58"/>
        <v>6.5186736136919443E-2</v>
      </c>
      <c r="Q130">
        <f t="shared" si="58"/>
        <v>0.71184616035917714</v>
      </c>
      <c r="R130">
        <f t="shared" si="58"/>
        <v>0.5329289136657136</v>
      </c>
      <c r="S130">
        <f t="shared" si="58"/>
        <v>0.57495876895774733</v>
      </c>
      <c r="T130">
        <f t="shared" si="58"/>
        <v>2.5546322078499654E-2</v>
      </c>
      <c r="U130">
        <f t="shared" si="58"/>
        <v>0.2979377582222611</v>
      </c>
      <c r="V130">
        <f t="shared" si="58"/>
        <v>9.5479024738433296E-2</v>
      </c>
      <c r="W130">
        <f t="shared" si="58"/>
        <v>1.4853934103034909</v>
      </c>
      <c r="X130">
        <f t="shared" si="58"/>
        <v>0.17221991865106884</v>
      </c>
      <c r="Y130">
        <f t="shared" si="58"/>
        <v>1.9396085773452478</v>
      </c>
      <c r="Z130">
        <f t="shared" si="58"/>
        <v>8.2721626164619297E-2</v>
      </c>
      <c r="AA130">
        <f t="shared" si="58"/>
        <v>2.6807827034629389E-2</v>
      </c>
      <c r="AB130">
        <f t="shared" si="58"/>
        <v>0</v>
      </c>
      <c r="AC130">
        <f t="shared" si="58"/>
        <v>0.37408293741141119</v>
      </c>
      <c r="AD130">
        <f t="shared" si="58"/>
        <v>0.30027621919024283</v>
      </c>
      <c r="AE130">
        <f t="shared" si="58"/>
        <v>0.11647054558281589</v>
      </c>
    </row>
    <row r="131" spans="1:31" x14ac:dyDescent="0.25">
      <c r="A131" t="s">
        <v>27</v>
      </c>
      <c r="B131">
        <f t="shared" ref="B131:AE131" si="59">(B30-B98)^2</f>
        <v>3.0986323287411737</v>
      </c>
      <c r="C131">
        <f t="shared" si="59"/>
        <v>0.32335503737478788</v>
      </c>
      <c r="D131">
        <f t="shared" si="59"/>
        <v>0.12337608149878904</v>
      </c>
      <c r="E131">
        <f t="shared" si="59"/>
        <v>0.40679857678813525</v>
      </c>
      <c r="F131">
        <f t="shared" si="59"/>
        <v>3.3712642053471358</v>
      </c>
      <c r="G131">
        <f t="shared" si="59"/>
        <v>0.38006367194104035</v>
      </c>
      <c r="H131">
        <f t="shared" si="59"/>
        <v>0.77338601802366269</v>
      </c>
      <c r="I131">
        <f t="shared" si="59"/>
        <v>0.3663569969481007</v>
      </c>
      <c r="J131">
        <f t="shared" si="59"/>
        <v>0.53861114443565306</v>
      </c>
      <c r="K131">
        <f t="shared" si="59"/>
        <v>0.131446136615577</v>
      </c>
      <c r="L131">
        <f t="shared" si="59"/>
        <v>7.8005333943119537E-2</v>
      </c>
      <c r="M131">
        <f t="shared" si="59"/>
        <v>1.4870732413453467</v>
      </c>
      <c r="N131">
        <f t="shared" si="59"/>
        <v>1.7622120826910295</v>
      </c>
      <c r="O131">
        <f t="shared" si="59"/>
        <v>0.42968854901583836</v>
      </c>
      <c r="P131">
        <f t="shared" si="59"/>
        <v>0.10011720784969388</v>
      </c>
      <c r="Q131">
        <f t="shared" si="59"/>
        <v>6.1050733433110051E-2</v>
      </c>
      <c r="R131">
        <f t="shared" si="59"/>
        <v>9.0963941660811121E-2</v>
      </c>
      <c r="S131">
        <f t="shared" si="59"/>
        <v>6.7271854008083179E-2</v>
      </c>
      <c r="T131">
        <f t="shared" si="59"/>
        <v>0.9256581808152976</v>
      </c>
      <c r="U131">
        <f t="shared" si="59"/>
        <v>0.18698749294663009</v>
      </c>
      <c r="V131">
        <f t="shared" si="59"/>
        <v>2.452234354130819E-3</v>
      </c>
      <c r="W131">
        <f t="shared" si="59"/>
        <v>0.77581493036563431</v>
      </c>
      <c r="X131">
        <f t="shared" si="59"/>
        <v>0.37979925735081743</v>
      </c>
      <c r="Y131">
        <f t="shared" si="59"/>
        <v>4.3214115599021122E-2</v>
      </c>
      <c r="Z131">
        <f t="shared" si="59"/>
        <v>0.68605323067843693</v>
      </c>
      <c r="AA131">
        <f t="shared" si="59"/>
        <v>6.2489950205223473E-2</v>
      </c>
      <c r="AB131">
        <f t="shared" si="59"/>
        <v>0.37408293741141108</v>
      </c>
      <c r="AC131">
        <f t="shared" si="59"/>
        <v>0</v>
      </c>
      <c r="AD131">
        <f t="shared" si="59"/>
        <v>0.67570449970287216</v>
      </c>
      <c r="AE131">
        <f t="shared" si="59"/>
        <v>2.0123029984491931</v>
      </c>
    </row>
    <row r="132" spans="1:31" x14ac:dyDescent="0.25">
      <c r="A132" t="s">
        <v>34</v>
      </c>
      <c r="B132">
        <f t="shared" ref="B132:AE132" si="60">(B31-B99)^2</f>
        <v>0.22775488509365505</v>
      </c>
      <c r="C132">
        <f t="shared" si="60"/>
        <v>0.78854047464222321</v>
      </c>
      <c r="D132">
        <f t="shared" si="60"/>
        <v>0.99512771447803205</v>
      </c>
      <c r="E132">
        <f t="shared" si="60"/>
        <v>2.2319208429191457E-2</v>
      </c>
      <c r="F132">
        <f t="shared" si="60"/>
        <v>6.563866631827088E-2</v>
      </c>
      <c r="G132">
        <f t="shared" si="60"/>
        <v>0.12783365274111572</v>
      </c>
      <c r="H132">
        <f t="shared" si="60"/>
        <v>0.17257217192794683</v>
      </c>
      <c r="I132">
        <f t="shared" si="60"/>
        <v>0.21737229749544551</v>
      </c>
      <c r="J132">
        <f t="shared" si="60"/>
        <v>0.63653717306922808</v>
      </c>
      <c r="K132">
        <f t="shared" si="60"/>
        <v>0.21593289351116424</v>
      </c>
      <c r="L132">
        <f t="shared" si="60"/>
        <v>1.6575794807668087E-2</v>
      </c>
      <c r="M132">
        <f t="shared" si="60"/>
        <v>1.0187936247923186</v>
      </c>
      <c r="N132">
        <f t="shared" si="60"/>
        <v>1.091478433771494</v>
      </c>
      <c r="O132">
        <f t="shared" si="60"/>
        <v>9.6650001314152093E-2</v>
      </c>
      <c r="P132">
        <f t="shared" si="60"/>
        <v>0.87625174535640926</v>
      </c>
      <c r="Q132">
        <f t="shared" si="60"/>
        <v>5.2237424747974626E-3</v>
      </c>
      <c r="R132">
        <f t="shared" si="60"/>
        <v>1.0958419886827058</v>
      </c>
      <c r="S132">
        <f t="shared" si="60"/>
        <v>8.770567625701528E-2</v>
      </c>
      <c r="T132">
        <f t="shared" si="60"/>
        <v>3.1810419912326325E-2</v>
      </c>
      <c r="U132">
        <f t="shared" si="60"/>
        <v>0.14679812852707949</v>
      </c>
      <c r="V132">
        <f t="shared" si="60"/>
        <v>6.7194869033747134E-2</v>
      </c>
      <c r="W132">
        <f t="shared" si="60"/>
        <v>0.1796269636333985</v>
      </c>
      <c r="X132">
        <f t="shared" si="60"/>
        <v>0.17136319288049143</v>
      </c>
      <c r="Y132">
        <f t="shared" si="60"/>
        <v>0.29872953980202333</v>
      </c>
      <c r="Z132">
        <f t="shared" si="60"/>
        <v>0.46058766238805587</v>
      </c>
      <c r="AA132">
        <f t="shared" si="60"/>
        <v>1.2423450267303338</v>
      </c>
      <c r="AB132">
        <f t="shared" si="60"/>
        <v>0.30027621919024283</v>
      </c>
      <c r="AC132">
        <f t="shared" si="60"/>
        <v>0.67570449970287194</v>
      </c>
      <c r="AD132">
        <f t="shared" si="60"/>
        <v>0</v>
      </c>
      <c r="AE132">
        <f t="shared" si="60"/>
        <v>0.76580178423364509</v>
      </c>
    </row>
    <row r="133" spans="1:31" x14ac:dyDescent="0.25">
      <c r="A133" t="s">
        <v>25</v>
      </c>
      <c r="B133">
        <f t="shared" ref="B133:AE133" si="61">(B32-B100)^2</f>
        <v>2.2107813201442335E-2</v>
      </c>
      <c r="C133">
        <f t="shared" si="61"/>
        <v>0.21833695174914683</v>
      </c>
      <c r="D133">
        <f t="shared" si="61"/>
        <v>0.10001673153466466</v>
      </c>
      <c r="E133">
        <f t="shared" si="61"/>
        <v>0.29002682939369367</v>
      </c>
      <c r="F133">
        <f t="shared" si="61"/>
        <v>7.3594882621046714E-2</v>
      </c>
      <c r="G133">
        <f t="shared" si="61"/>
        <v>0.26314082953335666</v>
      </c>
      <c r="H133">
        <f t="shared" si="61"/>
        <v>0.68271471453242749</v>
      </c>
      <c r="I133">
        <f t="shared" si="61"/>
        <v>0.42525271430036549</v>
      </c>
      <c r="J133">
        <f t="shared" si="61"/>
        <v>4.6154026040000633E-4</v>
      </c>
      <c r="K133">
        <f t="shared" si="61"/>
        <v>0.10982595179655391</v>
      </c>
      <c r="L133">
        <f t="shared" si="61"/>
        <v>0.10798241003362481</v>
      </c>
      <c r="M133">
        <f t="shared" si="61"/>
        <v>7.1926315787429362E-2</v>
      </c>
      <c r="N133">
        <f t="shared" si="61"/>
        <v>0.14070687343632188</v>
      </c>
      <c r="O133">
        <f t="shared" si="61"/>
        <v>0.1418289254214179</v>
      </c>
      <c r="P133">
        <f t="shared" si="61"/>
        <v>1.8617168460325892</v>
      </c>
      <c r="Q133">
        <f t="shared" si="61"/>
        <v>0.37109916909016849</v>
      </c>
      <c r="R133">
        <f t="shared" si="61"/>
        <v>0.14607657836280474</v>
      </c>
      <c r="S133">
        <f t="shared" si="61"/>
        <v>0.51135696505242323</v>
      </c>
      <c r="T133">
        <f t="shared" si="61"/>
        <v>1.1924530684779939</v>
      </c>
      <c r="U133">
        <f t="shared" si="61"/>
        <v>0.38764062026626239</v>
      </c>
      <c r="V133">
        <f t="shared" si="61"/>
        <v>0.99044613966822093</v>
      </c>
      <c r="W133">
        <f t="shared" si="61"/>
        <v>0.91724018082974323</v>
      </c>
      <c r="X133">
        <f t="shared" si="61"/>
        <v>0.10556010980867525</v>
      </c>
      <c r="Y133">
        <f t="shared" si="61"/>
        <v>1.334805393073621</v>
      </c>
      <c r="Z133">
        <f t="shared" si="61"/>
        <v>5.0142184629580949E-2</v>
      </c>
      <c r="AA133">
        <f t="shared" si="61"/>
        <v>9.0120576248563511E-2</v>
      </c>
      <c r="AB133">
        <f t="shared" si="61"/>
        <v>0.1164705455828158</v>
      </c>
      <c r="AC133">
        <f t="shared" si="61"/>
        <v>2.0123029984491936</v>
      </c>
      <c r="AD133">
        <f t="shared" si="61"/>
        <v>0.76580178423364531</v>
      </c>
      <c r="AE133">
        <f t="shared" si="61"/>
        <v>0</v>
      </c>
    </row>
    <row r="135" spans="1:31" x14ac:dyDescent="0.25">
      <c r="A135" t="s">
        <v>89</v>
      </c>
    </row>
    <row r="136" spans="1:31" x14ac:dyDescent="0.25">
      <c r="A136">
        <f>SUM(B103:AE133)</f>
        <v>391.52877615519378</v>
      </c>
    </row>
    <row r="138" spans="1:31" x14ac:dyDescent="0.25">
      <c r="A138" t="s">
        <v>90</v>
      </c>
    </row>
    <row r="139" spans="1:31" x14ac:dyDescent="0.25">
      <c r="A139" t="s">
        <v>78</v>
      </c>
      <c r="B139" t="s">
        <v>82</v>
      </c>
      <c r="C139" t="s">
        <v>80</v>
      </c>
    </row>
    <row r="140" spans="1:31" x14ac:dyDescent="0.25">
      <c r="B140" t="s">
        <v>81</v>
      </c>
      <c r="C140" t="s">
        <v>97</v>
      </c>
    </row>
    <row r="141" spans="1:31" x14ac:dyDescent="0.25">
      <c r="B141" t="s">
        <v>83</v>
      </c>
      <c r="C141" t="s">
        <v>95</v>
      </c>
    </row>
    <row r="142" spans="1:31" x14ac:dyDescent="0.25">
      <c r="A142" t="s">
        <v>91</v>
      </c>
    </row>
    <row r="143" spans="1:31" x14ac:dyDescent="0.25">
      <c r="B143" t="s">
        <v>82</v>
      </c>
      <c r="C143" t="s">
        <v>93</v>
      </c>
    </row>
    <row r="144" spans="1:31" x14ac:dyDescent="0.25">
      <c r="B144" t="s">
        <v>81</v>
      </c>
      <c r="C144" t="s">
        <v>94</v>
      </c>
    </row>
    <row r="145" spans="1:3" x14ac:dyDescent="0.25">
      <c r="B145" t="s">
        <v>83</v>
      </c>
      <c r="C145" t="s">
        <v>96</v>
      </c>
    </row>
    <row r="146" spans="1:3" x14ac:dyDescent="0.25">
      <c r="B146" t="s">
        <v>92</v>
      </c>
      <c r="C146" t="s">
        <v>26</v>
      </c>
    </row>
    <row r="147" spans="1:3" x14ac:dyDescent="0.25">
      <c r="B147" t="s">
        <v>98</v>
      </c>
      <c r="C147" t="s">
        <v>99</v>
      </c>
    </row>
    <row r="148" spans="1:3" x14ac:dyDescent="0.25">
      <c r="A148" t="s">
        <v>115</v>
      </c>
    </row>
    <row r="149" spans="1:3" x14ac:dyDescent="0.25">
      <c r="A149" t="s">
        <v>116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O67"/>
  <sheetViews>
    <sheetView zoomScale="80" zoomScaleNormal="80" workbookViewId="0">
      <selection activeCell="AJ42" sqref="AJ42"/>
    </sheetView>
  </sheetViews>
  <sheetFormatPr defaultRowHeight="15" x14ac:dyDescent="0.25"/>
  <cols>
    <col min="2" max="32" width="5.7109375" customWidth="1"/>
  </cols>
  <sheetData>
    <row r="1" spans="1:41" x14ac:dyDescent="0.25">
      <c r="A1" t="s">
        <v>125</v>
      </c>
      <c r="AG1" t="s">
        <v>130</v>
      </c>
      <c r="AH1" t="s">
        <v>51</v>
      </c>
      <c r="AI1" t="s">
        <v>132</v>
      </c>
      <c r="AJ1" t="s">
        <v>129</v>
      </c>
      <c r="AK1" t="s">
        <v>126</v>
      </c>
      <c r="AL1" t="s">
        <v>111</v>
      </c>
      <c r="AM1" t="s">
        <v>112</v>
      </c>
      <c r="AN1" t="s">
        <v>114</v>
      </c>
      <c r="AO1" t="s">
        <v>113</v>
      </c>
    </row>
    <row r="2" spans="1:41" x14ac:dyDescent="0.25">
      <c r="B2" t="s">
        <v>26</v>
      </c>
      <c r="C2" t="s">
        <v>23</v>
      </c>
      <c r="D2" t="s">
        <v>22</v>
      </c>
      <c r="E2" t="s">
        <v>18</v>
      </c>
      <c r="F2" t="s">
        <v>30</v>
      </c>
      <c r="G2" t="s">
        <v>40</v>
      </c>
      <c r="H2" t="s">
        <v>14</v>
      </c>
      <c r="I2" t="s">
        <v>32</v>
      </c>
      <c r="J2" t="s">
        <v>33</v>
      </c>
      <c r="K2" t="s">
        <v>36</v>
      </c>
      <c r="L2" t="s">
        <v>16</v>
      </c>
      <c r="M2" t="s">
        <v>20</v>
      </c>
      <c r="N2" t="s">
        <v>41</v>
      </c>
      <c r="O2" t="s">
        <v>17</v>
      </c>
      <c r="P2" t="s">
        <v>28</v>
      </c>
      <c r="Q2" t="s">
        <v>24</v>
      </c>
      <c r="R2" t="s">
        <v>19</v>
      </c>
      <c r="S2" t="s">
        <v>29</v>
      </c>
      <c r="T2" t="s">
        <v>12</v>
      </c>
      <c r="U2" t="s">
        <v>31</v>
      </c>
      <c r="V2" t="s">
        <v>38</v>
      </c>
      <c r="W2" t="s">
        <v>13</v>
      </c>
      <c r="X2" t="s">
        <v>21</v>
      </c>
      <c r="Y2" t="s">
        <v>35</v>
      </c>
      <c r="Z2" t="s">
        <v>39</v>
      </c>
      <c r="AA2" t="s">
        <v>15</v>
      </c>
      <c r="AB2" t="s">
        <v>37</v>
      </c>
      <c r="AC2" t="s">
        <v>27</v>
      </c>
      <c r="AD2" t="s">
        <v>34</v>
      </c>
      <c r="AE2" t="s">
        <v>25</v>
      </c>
    </row>
    <row r="3" spans="1:41" x14ac:dyDescent="0.25">
      <c r="A3" t="s">
        <v>26</v>
      </c>
      <c r="B3">
        <f>IF($A3=B$2,0,SUMIFS(d_sched!$M:$M,d_sched!$D:$D,$A3,d_sched!$I:$I,B$2)+SUMIFS(d_sched!$M:$M,d_sched!$D:$D,$A3,d_sched!$K:$K,B$2))</f>
        <v>0</v>
      </c>
      <c r="C3">
        <f>IF($A3=C$2,0,SUMIFS(d_sched!$M:$M,d_sched!$D:$D,$A3,d_sched!$I:$I,C$2)+SUMIFS(d_sched!$M:$M,d_sched!$D:$D,$A3,d_sched!$K:$K,C$2))</f>
        <v>2.157155120372233</v>
      </c>
      <c r="D3">
        <f>IF($A3=D$2,0,SUMIFS(d_sched!$M:$M,d_sched!$D:$D,$A3,d_sched!$I:$I,D$2)+SUMIFS(d_sched!$M:$M,d_sched!$D:$D,$A3,d_sched!$K:$K,D$2))</f>
        <v>2.0912640693298088</v>
      </c>
      <c r="E3">
        <f>IF($A3=E$2,0,SUMIFS(d_sched!$M:$M,d_sched!$D:$D,$A3,d_sched!$I:$I,E$2)+SUMIFS(d_sched!$M:$M,d_sched!$D:$D,$A3,d_sched!$K:$K,E$2))</f>
        <v>1.9075457131262523</v>
      </c>
      <c r="F3">
        <f>IF($A3=F$2,0,SUMIFS(d_sched!$M:$M,d_sched!$D:$D,$A3,d_sched!$I:$I,F$2)+SUMIFS(d_sched!$M:$M,d_sched!$D:$D,$A3,d_sched!$K:$K,F$2))</f>
        <v>1.1920417572009094</v>
      </c>
      <c r="G3">
        <f>IF($A3=G$2,0,SUMIFS(d_sched!$M:$M,d_sched!$D:$D,$A3,d_sched!$I:$I,G$2)+SUMIFS(d_sched!$M:$M,d_sched!$D:$D,$A3,d_sched!$K:$K,G$2))</f>
        <v>1.5500915305041132</v>
      </c>
      <c r="H3">
        <f>IF($A3=H$2,0,SUMIFS(d_sched!$M:$M,d_sched!$D:$D,$A3,d_sched!$I:$I,H$2)+SUMIFS(d_sched!$M:$M,d_sched!$D:$D,$A3,d_sched!$K:$K,H$2))</f>
        <v>0.84496311618235687</v>
      </c>
      <c r="I3">
        <f>IF($A3=I$2,0,SUMIFS(d_sched!$M:$M,d_sched!$D:$D,$A3,d_sched!$I:$I,I$2)+SUMIFS(d_sched!$M:$M,d_sched!$D:$D,$A3,d_sched!$K:$K,I$2))</f>
        <v>1.0785775601861165</v>
      </c>
      <c r="J3">
        <f>IF($A3=J$2,0,SUMIFS(d_sched!$M:$M,d_sched!$D:$D,$A3,d_sched!$I:$I,J$2)+SUMIFS(d_sched!$M:$M,d_sched!$D:$D,$A3,d_sched!$K:$K,J$2))</f>
        <v>2.3338783325533616</v>
      </c>
      <c r="K3">
        <f>IF($A3=K$2,0,SUMIFS(d_sched!$M:$M,d_sched!$D:$D,$A3,d_sched!$I:$I,K$2)+SUMIFS(d_sched!$M:$M,d_sched!$D:$D,$A3,d_sched!$K:$K,K$2))</f>
        <v>0.83088873618039105</v>
      </c>
      <c r="L3">
        <f>IF($A3=L$2,0,SUMIFS(d_sched!$M:$M,d_sched!$D:$D,$A3,d_sched!$I:$I,L$2)+SUMIFS(d_sched!$M:$M,d_sched!$D:$D,$A3,d_sched!$K:$K,L$2))</f>
        <v>0.91261807797405958</v>
      </c>
      <c r="M3">
        <f>IF($A3=M$2,0,SUMIFS(d_sched!$M:$M,d_sched!$D:$D,$A3,d_sched!$I:$I,M$2)+SUMIFS(d_sched!$M:$M,d_sched!$D:$D,$A3,d_sched!$K:$K,M$2))</f>
        <v>1.7972129423461454</v>
      </c>
      <c r="N3">
        <f>IF($A3=N$2,0,SUMIFS(d_sched!$M:$M,d_sched!$D:$D,$A3,d_sched!$I:$I,N$2)+SUMIFS(d_sched!$M:$M,d_sched!$D:$D,$A3,d_sched!$K:$K,N$2))</f>
        <v>0.7750457652520566</v>
      </c>
      <c r="O3">
        <f>IF($A3=O$2,0,SUMIFS(d_sched!$M:$M,d_sched!$D:$D,$A3,d_sched!$I:$I,O$2)+SUMIFS(d_sched!$M:$M,d_sched!$D:$D,$A3,d_sched!$K:$K,O$2))</f>
        <v>1.2300153546039667</v>
      </c>
      <c r="P3">
        <f>IF($A3=P$2,0,SUMIFS(d_sched!$M:$M,d_sched!$D:$D,$A3,d_sched!$I:$I,P$2)+SUMIFS(d_sched!$M:$M,d_sched!$D:$D,$A3,d_sched!$K:$K,P$2))</f>
        <v>0.87643258225441234</v>
      </c>
      <c r="Q3">
        <f>IF($A3=Q$2,0,SUMIFS(d_sched!$M:$M,d_sched!$D:$D,$A3,d_sched!$I:$I,Q$2)+SUMIFS(d_sched!$M:$M,d_sched!$D:$D,$A3,d_sched!$K:$K,Q$2))</f>
        <v>1.9525063302174519</v>
      </c>
      <c r="R3">
        <f>IF($A3=R$2,0,SUMIFS(d_sched!$M:$M,d_sched!$D:$D,$A3,d_sched!$I:$I,R$2)+SUMIFS(d_sched!$M:$M,d_sched!$D:$D,$A3,d_sched!$K:$K,R$2))</f>
        <v>2.7224786123683433</v>
      </c>
      <c r="S3">
        <f>IF($A3=S$2,0,SUMIFS(d_sched!$M:$M,d_sched!$D:$D,$A3,d_sched!$I:$I,S$2)+SUMIFS(d_sched!$M:$M,d_sched!$D:$D,$A3,d_sched!$K:$K,S$2))</f>
        <v>1.3941760462198725</v>
      </c>
      <c r="T3">
        <f>IF($A3=T$2,0,SUMIFS(d_sched!$M:$M,d_sched!$D:$D,$A3,d_sched!$I:$I,T$2)+SUMIFS(d_sched!$M:$M,d_sched!$D:$D,$A3,d_sched!$K:$K,T$2))</f>
        <v>1.0512038799461267</v>
      </c>
      <c r="U3">
        <f>IF($A3=U$2,0,SUMIFS(d_sched!$M:$M,d_sched!$D:$D,$A3,d_sched!$I:$I,U$2)+SUMIFS(d_sched!$M:$M,d_sched!$D:$D,$A3,d_sched!$K:$K,U$2))</f>
        <v>1.6178663402791749</v>
      </c>
      <c r="V3">
        <f>IF($A3=V$2,0,SUMIFS(d_sched!$M:$M,d_sched!$D:$D,$A3,d_sched!$I:$I,V$2)+SUMIFS(d_sched!$M:$M,d_sched!$D:$D,$A3,d_sched!$K:$K,V$2))</f>
        <v>0.81785482413734478</v>
      </c>
      <c r="W3">
        <f>IF($A3=W$2,0,SUMIFS(d_sched!$M:$M,d_sched!$D:$D,$A3,d_sched!$I:$I,W$2)+SUMIFS(d_sched!$M:$M,d_sched!$D:$D,$A3,d_sched!$K:$K,W$2))</f>
        <v>2.5903912649472387</v>
      </c>
      <c r="X3">
        <f>IF($A3=X$2,0,SUMIFS(d_sched!$M:$M,d_sched!$D:$D,$A3,d_sched!$I:$I,X$2)+SUMIFS(d_sched!$M:$M,d_sched!$D:$D,$A3,d_sched!$K:$K,X$2))</f>
        <v>2.91813895161195</v>
      </c>
      <c r="Y3">
        <f>IF($A3=Y$2,0,SUMIFS(d_sched!$M:$M,d_sched!$D:$D,$A3,d_sched!$I:$I,Y$2)+SUMIFS(d_sched!$M:$M,d_sched!$D:$D,$A3,d_sched!$K:$K,Y$2))</f>
        <v>1</v>
      </c>
      <c r="Z3">
        <f>IF($A3=Z$2,0,SUMIFS(d_sched!$M:$M,d_sched!$D:$D,$A3,d_sched!$I:$I,Z$2)+SUMIFS(d_sched!$M:$M,d_sched!$D:$D,$A3,d_sched!$K:$K,Z$2))</f>
        <v>0.89391706339067845</v>
      </c>
      <c r="AA3">
        <f>IF($A3=AA$2,0,SUMIFS(d_sched!$M:$M,d_sched!$D:$D,$A3,d_sched!$I:$I,AA$2)+SUMIFS(d_sched!$M:$M,d_sched!$D:$D,$A3,d_sched!$K:$K,AA$2))</f>
        <v>0.79469450480060633</v>
      </c>
      <c r="AB3">
        <f>IF($A3=AB$2,0,SUMIFS(d_sched!$M:$M,d_sched!$D:$D,$A3,d_sched!$I:$I,AB$2)+SUMIFS(d_sched!$M:$M,d_sched!$D:$D,$A3,d_sched!$K:$K,AB$2))</f>
        <v>1.2300153546039667</v>
      </c>
      <c r="AC3">
        <f>IF($A3=AC$2,0,SUMIFS(d_sched!$M:$M,d_sched!$D:$D,$A3,d_sched!$I:$I,AC$2)+SUMIFS(d_sched!$M:$M,d_sched!$D:$D,$A3,d_sched!$K:$K,AC$2))</f>
        <v>1.6899262323647137</v>
      </c>
      <c r="AD3">
        <f>IF($A3=AD$2,0,SUMIFS(d_sched!$M:$M,d_sched!$D:$D,$A3,d_sched!$I:$I,AD$2)+SUMIFS(d_sched!$M:$M,d_sched!$D:$D,$A3,d_sched!$K:$K,AD$2))</f>
        <v>1.2951956324736194</v>
      </c>
      <c r="AE3">
        <f>IF($A3=AE$2,0,SUMIFS(d_sched!$M:$M,d_sched!$D:$D,$A3,d_sched!$I:$I,AE$2)+SUMIFS(d_sched!$M:$M,d_sched!$D:$D,$A3,d_sched!$K:$K,AE$2))</f>
        <v>1.8252361559481192</v>
      </c>
      <c r="AG3">
        <f>ROUND(SUM(B3:AE3),2)</f>
        <v>43.37</v>
      </c>
      <c r="AH3">
        <f>VLOOKUP($A3,p_win_totals!$D$2:$J$31,6,0)</f>
        <v>43</v>
      </c>
      <c r="AI3">
        <f>VLOOKUP($A3,d_win_totals!$E$2:$K$31,3,0)</f>
        <v>60</v>
      </c>
      <c r="AJ3">
        <f>RANK(AG3,AG$3:AG$32)</f>
        <v>15</v>
      </c>
      <c r="AK3">
        <f>VLOOKUP($A3,p_win_totals!$D$2:$J$31,7,0)</f>
        <v>15</v>
      </c>
      <c r="AL3">
        <f>VLOOKUP($A3,d_win_totals!$E$2:$K$31,6,0)</f>
        <v>18</v>
      </c>
      <c r="AM3">
        <f>$AL3-$AJ3</f>
        <v>3</v>
      </c>
      <c r="AN3">
        <f>ABS($AL3-$AJ3)</f>
        <v>3</v>
      </c>
      <c r="AO3">
        <f>($AL3-$AJ3)^2</f>
        <v>9</v>
      </c>
    </row>
    <row r="4" spans="1:41" x14ac:dyDescent="0.25">
      <c r="A4" t="s">
        <v>23</v>
      </c>
      <c r="B4">
        <f>IF($A4=B$2,0,SUMIFS(d_sched!$M:$M,d_sched!$D:$D,$A4,d_sched!$I:$I,B$2)+SUMIFS(d_sched!$M:$M,d_sched!$D:$D,$A4,d_sched!$K:$K,B$2))</f>
        <v>1.842844879627767</v>
      </c>
      <c r="C4">
        <f>IF($A4=C$2,0,SUMIFS(d_sched!$M:$M,d_sched!$D:$D,$A4,d_sched!$I:$I,C$2)+SUMIFS(d_sched!$M:$M,d_sched!$D:$D,$A4,d_sched!$K:$K,C$2))</f>
        <v>0</v>
      </c>
      <c r="D4">
        <f>IF($A4=D$2,0,SUMIFS(d_sched!$M:$M,d_sched!$D:$D,$A4,d_sched!$I:$I,D$2)+SUMIFS(d_sched!$M:$M,d_sched!$D:$D,$A4,d_sched!$K:$K,D$2))</f>
        <v>2.6513721778677466</v>
      </c>
      <c r="E4">
        <f>IF($A4=E$2,0,SUMIFS(d_sched!$M:$M,d_sched!$D:$D,$A4,d_sched!$I:$I,E$2)+SUMIFS(d_sched!$M:$M,d_sched!$D:$D,$A4,d_sched!$K:$K,E$2))</f>
        <v>1.3134704973426059</v>
      </c>
      <c r="F4">
        <f>IF($A4=F$2,0,SUMIFS(d_sched!$M:$M,d_sched!$D:$D,$A4,d_sched!$I:$I,F$2)+SUMIFS(d_sched!$M:$M,d_sched!$D:$D,$A4,d_sched!$K:$K,F$2))</f>
        <v>1.441247904278987</v>
      </c>
      <c r="G4">
        <f>IF($A4=G$2,0,SUMIFS(d_sched!$M:$M,d_sched!$D:$D,$A4,d_sched!$I:$I,G$2)+SUMIFS(d_sched!$M:$M,d_sched!$D:$D,$A4,d_sched!$K:$K,G$2))</f>
        <v>1.4034806970475162</v>
      </c>
      <c r="H4">
        <f>IF($A4=H$2,0,SUMIFS(d_sched!$M:$M,d_sched!$D:$D,$A4,d_sched!$I:$I,H$2)+SUMIFS(d_sched!$M:$M,d_sched!$D:$D,$A4,d_sched!$K:$K,H$2))</f>
        <v>0.76919729154377459</v>
      </c>
      <c r="I4">
        <f>IF($A4=I$2,0,SUMIFS(d_sched!$M:$M,d_sched!$D:$D,$A4,d_sched!$I:$I,I$2)+SUMIFS(d_sched!$M:$M,d_sched!$D:$D,$A4,d_sched!$K:$K,I$2))</f>
        <v>1</v>
      </c>
      <c r="J4">
        <f>IF($A4=J$2,0,SUMIFS(d_sched!$M:$M,d_sched!$D:$D,$A4,d_sched!$I:$I,J$2)+SUMIFS(d_sched!$M:$M,d_sched!$D:$D,$A4,d_sched!$K:$K,J$2))</f>
        <v>1.6343041672012026</v>
      </c>
      <c r="K4">
        <f>IF($A4=K$2,0,SUMIFS(d_sched!$M:$M,d_sched!$D:$D,$A4,d_sched!$I:$I,K$2)+SUMIFS(d_sched!$M:$M,d_sched!$D:$D,$A4,d_sched!$K:$K,K$2))</f>
        <v>0.75555938851874471</v>
      </c>
      <c r="L4">
        <f>IF($A4=L$2,0,SUMIFS(d_sched!$M:$M,d_sched!$D:$D,$A4,d_sched!$I:$I,L$2)+SUMIFS(d_sched!$M:$M,d_sched!$D:$D,$A4,d_sched!$K:$K,L$2))</f>
        <v>0.83517226756349949</v>
      </c>
      <c r="M4">
        <f>IF($A4=M$2,0,SUMIFS(d_sched!$M:$M,d_sched!$D:$D,$A4,d_sched!$I:$I,M$2)+SUMIFS(d_sched!$M:$M,d_sched!$D:$D,$A4,d_sched!$K:$K,M$2))</f>
        <v>1.6821831040757143</v>
      </c>
      <c r="N4">
        <f>IF($A4=N$2,0,SUMIFS(d_sched!$M:$M,d_sched!$D:$D,$A4,d_sched!$I:$I,N$2)+SUMIFS(d_sched!$M:$M,d_sched!$D:$D,$A4,d_sched!$K:$K,N$2))</f>
        <v>0.70174034852375811</v>
      </c>
      <c r="O4">
        <f>IF($A4=O$2,0,SUMIFS(d_sched!$M:$M,d_sched!$D:$D,$A4,d_sched!$I:$I,O$2)+SUMIFS(d_sched!$M:$M,d_sched!$D:$D,$A4,d_sched!$K:$K,O$2))</f>
        <v>1.1542252689256318</v>
      </c>
      <c r="P4">
        <f>IF($A4=P$2,0,SUMIFS(d_sched!$M:$M,d_sched!$D:$D,$A4,d_sched!$I:$I,P$2)+SUMIFS(d_sched!$M:$M,d_sched!$D:$D,$A4,d_sched!$K:$K,P$2))</f>
        <v>0.79979889991593134</v>
      </c>
      <c r="Q4">
        <f>IF($A4=Q$2,0,SUMIFS(d_sched!$M:$M,d_sched!$D:$D,$A4,d_sched!$I:$I,Q$2)+SUMIFS(d_sched!$M:$M,d_sched!$D:$D,$A4,d_sched!$K:$K,Q$2))</f>
        <v>1.7957323667833016</v>
      </c>
      <c r="R4">
        <f>IF($A4=R$2,0,SUMIFS(d_sched!$M:$M,d_sched!$D:$D,$A4,d_sched!$I:$I,R$2)+SUMIFS(d_sched!$M:$M,d_sched!$D:$D,$A4,d_sched!$K:$K,R$2))</f>
        <v>2.5818391734189734</v>
      </c>
      <c r="S4">
        <f>IF($A4=S$2,0,SUMIFS(d_sched!$M:$M,d_sched!$D:$D,$A4,d_sched!$I:$I,S$2)+SUMIFS(d_sched!$M:$M,d_sched!$D:$D,$A4,d_sched!$K:$K,S$2))</f>
        <v>1.3256860889338733</v>
      </c>
      <c r="T4">
        <f>IF($A4=T$2,0,SUMIFS(d_sched!$M:$M,d_sched!$D:$D,$A4,d_sched!$I:$I,T$2)+SUMIFS(d_sched!$M:$M,d_sched!$D:$D,$A4,d_sched!$K:$K,T$2))</f>
        <v>0.97251573749057385</v>
      </c>
      <c r="U4">
        <f>IF($A4=U$2,0,SUMIFS(d_sched!$M:$M,d_sched!$D:$D,$A4,d_sched!$I:$I,U$2)+SUMIFS(d_sched!$M:$M,d_sched!$D:$D,$A4,d_sched!$K:$K,U$2))</f>
        <v>2</v>
      </c>
      <c r="V4">
        <f>IF($A4=V$2,0,SUMIFS(d_sched!$M:$M,d_sched!$D:$D,$A4,d_sched!$I:$I,V$2)+SUMIFS(d_sched!$M:$M,d_sched!$D:$D,$A4,d_sched!$K:$K,V$2))</f>
        <v>0.74295620925171524</v>
      </c>
      <c r="W4">
        <f>IF($A4=W$2,0,SUMIFS(d_sched!$M:$M,d_sched!$D:$D,$A4,d_sched!$I:$I,W$2)+SUMIFS(d_sched!$M:$M,d_sched!$D:$D,$A4,d_sched!$K:$K,W$2))</f>
        <v>1.8326430134682563</v>
      </c>
      <c r="X4">
        <f>IF($A4=X$2,0,SUMIFS(d_sched!$M:$M,d_sched!$D:$D,$A4,d_sched!$I:$I,X$2)+SUMIFS(d_sched!$M:$M,d_sched!$D:$D,$A4,d_sched!$K:$K,X$2))</f>
        <v>2.7894617365993999</v>
      </c>
      <c r="Y4">
        <f>IF($A4=Y$2,0,SUMIFS(d_sched!$M:$M,d_sched!$D:$D,$A4,d_sched!$I:$I,Y$2)+SUMIFS(d_sched!$M:$M,d_sched!$D:$D,$A4,d_sched!$K:$K,Y$2))</f>
        <v>0.9214224398138835</v>
      </c>
      <c r="Z4">
        <f>IF($A4=Z$2,0,SUMIFS(d_sched!$M:$M,d_sched!$D:$D,$A4,d_sched!$I:$I,Z$2)+SUMIFS(d_sched!$M:$M,d_sched!$D:$D,$A4,d_sched!$K:$K,Z$2))</f>
        <v>0.81686605981044802</v>
      </c>
      <c r="AA4">
        <f>IF($A4=AA$2,0,SUMIFS(d_sched!$M:$M,d_sched!$D:$D,$A4,d_sched!$I:$I,AA$2)+SUMIFS(d_sched!$M:$M,d_sched!$D:$D,$A4,d_sched!$K:$K,AA$2))</f>
        <v>0.72062395213949348</v>
      </c>
      <c r="AB4">
        <f>IF($A4=AB$2,0,SUMIFS(d_sched!$M:$M,d_sched!$D:$D,$A4,d_sched!$I:$I,AB$2)+SUMIFS(d_sched!$M:$M,d_sched!$D:$D,$A4,d_sched!$K:$K,AB$2))</f>
        <v>1.1542252689256318</v>
      </c>
      <c r="AC4">
        <f>IF($A4=AC$2,0,SUMIFS(d_sched!$M:$M,d_sched!$D:$D,$A4,d_sched!$I:$I,AC$2)+SUMIFS(d_sched!$M:$M,d_sched!$D:$D,$A4,d_sched!$K:$K,AC$2))</f>
        <v>1.5383945830875492</v>
      </c>
      <c r="AD4">
        <f>IF($A4=AD$2,0,SUMIFS(d_sched!$M:$M,d_sched!$D:$D,$A4,d_sched!$I:$I,AD$2)+SUMIFS(d_sched!$M:$M,d_sched!$D:$D,$A4,d_sched!$K:$K,AD$2))</f>
        <v>1.2217620089788375</v>
      </c>
      <c r="AE4">
        <f>IF($A4=AE$2,0,SUMIFS(d_sched!$M:$M,d_sched!$D:$D,$A4,d_sched!$I:$I,AE$2)+SUMIFS(d_sched!$M:$M,d_sched!$D:$D,$A4,d_sched!$K:$K,AE$2))</f>
        <v>1.670344535126999</v>
      </c>
      <c r="AG4">
        <f>ROUND(SUM(B4:AE4),2)</f>
        <v>40.07</v>
      </c>
      <c r="AH4">
        <f>VLOOKUP($A4,p_win_totals!$D$2:$J$31,6,0)</f>
        <v>40</v>
      </c>
      <c r="AI4">
        <f>VLOOKUP($A4,d_win_totals!$E$2:$K$31,3,0)</f>
        <v>38</v>
      </c>
      <c r="AJ4">
        <f t="shared" ref="AJ4:AJ32" si="0">RANK(AG4,AG$3:AG$32)</f>
        <v>19</v>
      </c>
      <c r="AK4">
        <f>VLOOKUP($A4,p_win_totals!$D$2:$J$31,7,0)</f>
        <v>18</v>
      </c>
      <c r="AL4">
        <f>VLOOKUP($A4,d_win_totals!$E$2:$K$31,6,0)</f>
        <v>16</v>
      </c>
      <c r="AM4">
        <f t="shared" ref="AM4:AM32" si="1">$AL4-$AJ4</f>
        <v>-3</v>
      </c>
      <c r="AN4">
        <f t="shared" ref="AN4:AN32" si="2">ABS($AL4-$AJ4)</f>
        <v>3</v>
      </c>
      <c r="AO4">
        <f t="shared" ref="AO4:AO32" si="3">($AL4-$AJ4)^2</f>
        <v>9</v>
      </c>
    </row>
    <row r="5" spans="1:41" x14ac:dyDescent="0.25">
      <c r="A5" t="s">
        <v>22</v>
      </c>
      <c r="B5">
        <f>IF($A5=B$2,0,SUMIFS(d_sched!$M:$M,d_sched!$D:$D,$A5,d_sched!$I:$I,B$2)+SUMIFS(d_sched!$M:$M,d_sched!$D:$D,$A5,d_sched!$K:$K,B$2))</f>
        <v>0.90873593067019132</v>
      </c>
      <c r="C5">
        <f>IF($A5=C$2,0,SUMIFS(d_sched!$M:$M,d_sched!$D:$D,$A5,d_sched!$I:$I,C$2)+SUMIFS(d_sched!$M:$M,d_sched!$D:$D,$A5,d_sched!$K:$K,C$2))</f>
        <v>1.3486278221322536</v>
      </c>
      <c r="D5">
        <f>IF($A5=D$2,0,SUMIFS(d_sched!$M:$M,d_sched!$D:$D,$A5,d_sched!$I:$I,D$2)+SUMIFS(d_sched!$M:$M,d_sched!$D:$D,$A5,d_sched!$K:$K,D$2))</f>
        <v>0</v>
      </c>
      <c r="E5">
        <f>IF($A5=E$2,0,SUMIFS(d_sched!$M:$M,d_sched!$D:$D,$A5,d_sched!$I:$I,E$2)+SUMIFS(d_sched!$M:$M,d_sched!$D:$D,$A5,d_sched!$K:$K,E$2))</f>
        <v>1.1349561322517085</v>
      </c>
      <c r="F5">
        <f>IF($A5=F$2,0,SUMIFS(d_sched!$M:$M,d_sched!$D:$D,$A5,d_sched!$I:$I,F$2)+SUMIFS(d_sched!$M:$M,d_sched!$D:$D,$A5,d_sched!$K:$K,F$2))</f>
        <v>0.8908005553012357</v>
      </c>
      <c r="G5">
        <f>IF($A5=G$2,0,SUMIFS(d_sched!$M:$M,d_sched!$D:$D,$A5,d_sched!$I:$I,G$2)+SUMIFS(d_sched!$M:$M,d_sched!$D:$D,$A5,d_sched!$K:$K,G$2))</f>
        <v>0.8625949321081634</v>
      </c>
      <c r="H5">
        <f>IF($A5=H$2,0,SUMIFS(d_sched!$M:$M,d_sched!$D:$D,$A5,d_sched!$I:$I,H$2)+SUMIFS(d_sched!$M:$M,d_sched!$D:$D,$A5,d_sched!$K:$K,H$2))</f>
        <v>0.48241748264253609</v>
      </c>
      <c r="I5">
        <f>IF($A5=I$2,0,SUMIFS(d_sched!$M:$M,d_sched!$D:$D,$A5,d_sched!$I:$I,I$2)+SUMIFS(d_sched!$M:$M,d_sched!$D:$D,$A5,d_sched!$K:$K,I$2))</f>
        <v>0.67431391106612681</v>
      </c>
      <c r="J5">
        <f>IF($A5=J$2,0,SUMIFS(d_sched!$M:$M,d_sched!$D:$D,$A5,d_sched!$I:$I,J$2)+SUMIFS(d_sched!$M:$M,d_sched!$D:$D,$A5,d_sched!$K:$K,J$2))</f>
        <v>1.13513533724849</v>
      </c>
      <c r="K5">
        <f>IF($A5=K$2,0,SUMIFS(d_sched!$M:$M,d_sched!$D:$D,$A5,d_sched!$I:$I,K$2)+SUMIFS(d_sched!$M:$M,d_sched!$D:$D,$A5,d_sched!$K:$K,K$2))</f>
        <v>0.47191465289842049</v>
      </c>
      <c r="L5">
        <f>IF($A5=L$2,0,SUMIFS(d_sched!$M:$M,d_sched!$D:$D,$A5,d_sched!$I:$I,L$2)+SUMIFS(d_sched!$M:$M,d_sched!$D:$D,$A5,d_sched!$K:$K,L$2))</f>
        <v>0.534476459653762</v>
      </c>
      <c r="M5">
        <f>IF($A5=M$2,0,SUMIFS(d_sched!$M:$M,d_sched!$D:$D,$A5,d_sched!$I:$I,M$2)+SUMIFS(d_sched!$M:$M,d_sched!$D:$D,$A5,d_sched!$K:$K,M$2))</f>
        <v>1.5747159491420133</v>
      </c>
      <c r="N5">
        <f>IF($A5=N$2,0,SUMIFS(d_sched!$M:$M,d_sched!$D:$D,$A5,d_sched!$I:$I,N$2)+SUMIFS(d_sched!$M:$M,d_sched!$D:$D,$A5,d_sched!$K:$K,N$2))</f>
        <v>0.4312974660540817</v>
      </c>
      <c r="O5">
        <f>IF($A5=O$2,0,SUMIFS(d_sched!$M:$M,d_sched!$D:$D,$A5,d_sched!$I:$I,O$2)+SUMIFS(d_sched!$M:$M,d_sched!$D:$D,$A5,d_sched!$K:$K,O$2))</f>
        <v>0.81947140472968594</v>
      </c>
      <c r="P5">
        <f>IF($A5=P$2,0,SUMIFS(d_sched!$M:$M,d_sched!$D:$D,$A5,d_sched!$I:$I,P$2)+SUMIFS(d_sched!$M:$M,d_sched!$D:$D,$A5,d_sched!$K:$K,P$2))</f>
        <v>0.50630318299195975</v>
      </c>
      <c r="Q5">
        <f>IF($A5=Q$2,0,SUMIFS(d_sched!$M:$M,d_sched!$D:$D,$A5,d_sched!$I:$I,Q$2)+SUMIFS(d_sched!$M:$M,d_sched!$D:$D,$A5,d_sched!$K:$K,Q$2))</f>
        <v>1.1719055606983069</v>
      </c>
      <c r="R5">
        <f>IF($A5=R$2,0,SUMIFS(d_sched!$M:$M,d_sched!$D:$D,$A5,d_sched!$I:$I,R$2)+SUMIFS(d_sched!$M:$M,d_sched!$D:$D,$A5,d_sched!$K:$K,R$2))</f>
        <v>1.4423919748601099</v>
      </c>
      <c r="S5">
        <f>IF($A5=S$2,0,SUMIFS(d_sched!$M:$M,d_sched!$D:$D,$A5,d_sched!$I:$I,S$2)+SUMIFS(d_sched!$M:$M,d_sched!$D:$D,$A5,d_sched!$K:$K,S$2))</f>
        <v>1</v>
      </c>
      <c r="T5">
        <f>IF($A5=T$2,0,SUMIFS(d_sched!$M:$M,d_sched!$D:$D,$A5,d_sched!$I:$I,T$2)+SUMIFS(d_sched!$M:$M,d_sched!$D:$D,$A5,d_sched!$K:$K,T$2))</f>
        <v>0.6499629151991011</v>
      </c>
      <c r="U5">
        <f>IF($A5=U$2,0,SUMIFS(d_sched!$M:$M,d_sched!$D:$D,$A5,d_sched!$I:$I,U$2)+SUMIFS(d_sched!$M:$M,d_sched!$D:$D,$A5,d_sched!$K:$K,U$2))</f>
        <v>1.3486278221322536</v>
      </c>
      <c r="V5">
        <f>IF($A5=V$2,0,SUMIFS(d_sched!$M:$M,d_sched!$D:$D,$A5,d_sched!$I:$I,V$2)+SUMIFS(d_sched!$M:$M,d_sched!$D:$D,$A5,d_sched!$K:$K,V$2))</f>
        <v>0.46228522803428129</v>
      </c>
      <c r="W5">
        <f>IF($A5=W$2,0,SUMIFS(d_sched!$M:$M,d_sched!$D:$D,$A5,d_sched!$I:$I,W$2)+SUMIFS(d_sched!$M:$M,d_sched!$D:$D,$A5,d_sched!$K:$K,W$2))</f>
        <v>1.775971420427189</v>
      </c>
      <c r="X5">
        <f>IF($A5=X$2,0,SUMIFS(d_sched!$M:$M,d_sched!$D:$D,$A5,d_sched!$I:$I,X$2)+SUMIFS(d_sched!$M:$M,d_sched!$D:$D,$A5,d_sched!$K:$K,X$2))</f>
        <v>2.1584610503250699</v>
      </c>
      <c r="Y5">
        <f>IF($A5=Y$2,0,SUMIFS(d_sched!$M:$M,d_sched!$D:$D,$A5,d_sched!$I:$I,Y$2)+SUMIFS(d_sched!$M:$M,d_sched!$D:$D,$A5,d_sched!$K:$K,Y$2))</f>
        <v>0.60582395378012754</v>
      </c>
      <c r="Z5">
        <f>IF($A5=Z$2,0,SUMIFS(d_sched!$M:$M,d_sched!$D:$D,$A5,d_sched!$I:$I,Z$2)+SUMIFS(d_sched!$M:$M,d_sched!$D:$D,$A5,d_sched!$K:$K,Z$2))</f>
        <v>0.51981991663187455</v>
      </c>
      <c r="AA5">
        <f>IF($A5=AA$2,0,SUMIFS(d_sched!$M:$M,d_sched!$D:$D,$A5,d_sched!$I:$I,AA$2)+SUMIFS(d_sched!$M:$M,d_sched!$D:$D,$A5,d_sched!$K:$K,AA$2))</f>
        <v>0.44540027765061785</v>
      </c>
      <c r="AB5">
        <f>IF($A5=AB$2,0,SUMIFS(d_sched!$M:$M,d_sched!$D:$D,$A5,d_sched!$I:$I,AB$2)+SUMIFS(d_sched!$M:$M,d_sched!$D:$D,$A5,d_sched!$K:$K,AB$2))</f>
        <v>0.81947140472968594</v>
      </c>
      <c r="AC5">
        <f>IF($A5=AC$2,0,SUMIFS(d_sched!$M:$M,d_sched!$D:$D,$A5,d_sched!$I:$I,AC$2)+SUMIFS(d_sched!$M:$M,d_sched!$D:$D,$A5,d_sched!$K:$K,AC$2))</f>
        <v>0.96483496528507218</v>
      </c>
      <c r="AD5">
        <f>IF($A5=AD$2,0,SUMIFS(d_sched!$M:$M,d_sched!$D:$D,$A5,d_sched!$I:$I,AD$2)+SUMIFS(d_sched!$M:$M,d_sched!$D:$D,$A5,d_sched!$K:$K,AD$2))</f>
        <v>0.88798571021359451</v>
      </c>
      <c r="AE5">
        <f>IF($A5=AE$2,0,SUMIFS(d_sched!$M:$M,d_sched!$D:$D,$A5,d_sched!$I:$I,AE$2)+SUMIFS(d_sched!$M:$M,d_sched!$D:$D,$A5,d_sched!$K:$K,AE$2))</f>
        <v>0.80171468948064306</v>
      </c>
      <c r="AG5">
        <f>ROUND(SUM(B5:AE5),2)</f>
        <v>26.83</v>
      </c>
      <c r="AH5">
        <f>VLOOKUP($A5,p_win_totals!$D$2:$J$31,6,0)</f>
        <v>24</v>
      </c>
      <c r="AI5">
        <f>VLOOKUP($A5,d_win_totals!$E$2:$K$31,3,0)</f>
        <v>40</v>
      </c>
      <c r="AJ5">
        <f t="shared" si="0"/>
        <v>28</v>
      </c>
      <c r="AK5">
        <f>VLOOKUP($A5,p_win_totals!$D$2:$J$31,7,0)</f>
        <v>28</v>
      </c>
      <c r="AL5">
        <f>VLOOKUP($A5,d_win_totals!$E$2:$K$31,6,0)</f>
        <v>26</v>
      </c>
      <c r="AM5">
        <f t="shared" si="1"/>
        <v>-2</v>
      </c>
      <c r="AN5">
        <f t="shared" si="2"/>
        <v>2</v>
      </c>
      <c r="AO5">
        <f t="shared" si="3"/>
        <v>4</v>
      </c>
    </row>
    <row r="6" spans="1:41" x14ac:dyDescent="0.25">
      <c r="A6" t="s">
        <v>18</v>
      </c>
      <c r="B6">
        <f>IF($A6=B$2,0,SUMIFS(d_sched!$M:$M,d_sched!$D:$D,$A6,d_sched!$I:$I,B$2)+SUMIFS(d_sched!$M:$M,d_sched!$D:$D,$A6,d_sched!$K:$K,B$2))</f>
        <v>2.0924542868737479</v>
      </c>
      <c r="C6">
        <f>IF($A6=C$2,0,SUMIFS(d_sched!$M:$M,d_sched!$D:$D,$A6,d_sched!$I:$I,C$2)+SUMIFS(d_sched!$M:$M,d_sched!$D:$D,$A6,d_sched!$K:$K,C$2))</f>
        <v>1.6865295026573941</v>
      </c>
      <c r="D6">
        <f>IF($A6=D$2,0,SUMIFS(d_sched!$M:$M,d_sched!$D:$D,$A6,d_sched!$I:$I,D$2)+SUMIFS(d_sched!$M:$M,d_sched!$D:$D,$A6,d_sched!$K:$K,D$2))</f>
        <v>2.8650438677482915</v>
      </c>
      <c r="E6">
        <f>IF($A6=E$2,0,SUMIFS(d_sched!$M:$M,d_sched!$D:$D,$A6,d_sched!$I:$I,E$2)+SUMIFS(d_sched!$M:$M,d_sched!$D:$D,$A6,d_sched!$K:$K,E$2))</f>
        <v>0</v>
      </c>
      <c r="F6">
        <f>IF($A6=F$2,0,SUMIFS(d_sched!$M:$M,d_sched!$D:$D,$A6,d_sched!$I:$I,F$2)+SUMIFS(d_sched!$M:$M,d_sched!$D:$D,$A6,d_sched!$K:$K,F$2))</f>
        <v>1.6787948389653204</v>
      </c>
      <c r="G6">
        <f>IF($A6=G$2,0,SUMIFS(d_sched!$M:$M,d_sched!$D:$D,$A6,d_sched!$I:$I,G$2)+SUMIFS(d_sched!$M:$M,d_sched!$D:$D,$A6,d_sched!$K:$K,G$2))</f>
        <v>1.2290921950243756</v>
      </c>
      <c r="H6">
        <f>IF($A6=H$2,0,SUMIFS(d_sched!$M:$M,d_sched!$D:$D,$A6,d_sched!$I:$I,H$2)+SUMIFS(d_sched!$M:$M,d_sched!$D:$D,$A6,d_sched!$K:$K,H$2))</f>
        <v>0.8904048004391768</v>
      </c>
      <c r="I6">
        <f>IF($A6=I$2,0,SUMIFS(d_sched!$M:$M,d_sched!$D:$D,$A6,d_sched!$I:$I,I$2)+SUMIFS(d_sched!$M:$M,d_sched!$D:$D,$A6,d_sched!$K:$K,I$2))</f>
        <v>1.1243530017715961</v>
      </c>
      <c r="J6">
        <f>IF($A6=J$2,0,SUMIFS(d_sched!$M:$M,d_sched!$D:$D,$A6,d_sched!$I:$I,J$2)+SUMIFS(d_sched!$M:$M,d_sched!$D:$D,$A6,d_sched!$K:$K,J$2))</f>
        <v>2.4230677544657833</v>
      </c>
      <c r="K6">
        <f>IF($A6=K$2,0,SUMIFS(d_sched!$M:$M,d_sched!$D:$D,$A6,d_sched!$I:$I,K$2)+SUMIFS(d_sched!$M:$M,d_sched!$D:$D,$A6,d_sched!$K:$K,K$2))</f>
        <v>0.87614766015452561</v>
      </c>
      <c r="L6">
        <f>IF($A6=L$2,0,SUMIFS(d_sched!$M:$M,d_sched!$D:$D,$A6,d_sched!$I:$I,L$2)+SUMIFS(d_sched!$M:$M,d_sched!$D:$D,$A6,d_sched!$K:$K,L$2))</f>
        <v>0.95867830587194414</v>
      </c>
      <c r="M6">
        <f>IF($A6=M$2,0,SUMIFS(d_sched!$M:$M,d_sched!$D:$D,$A6,d_sched!$I:$I,M$2)+SUMIFS(d_sched!$M:$M,d_sched!$D:$D,$A6,d_sched!$K:$K,M$2))</f>
        <v>2.484302225903638</v>
      </c>
      <c r="N6">
        <f>IF($A6=N$2,0,SUMIFS(d_sched!$M:$M,d_sched!$D:$D,$A6,d_sched!$I:$I,N$2)+SUMIFS(d_sched!$M:$M,d_sched!$D:$D,$A6,d_sched!$K:$K,N$2))</f>
        <v>0.81939479668291704</v>
      </c>
      <c r="O6">
        <f>IF($A6=O$2,0,SUMIFS(d_sched!$M:$M,d_sched!$D:$D,$A6,d_sched!$I:$I,O$2)+SUMIFS(d_sched!$M:$M,d_sched!$D:$D,$A6,d_sched!$K:$K,O$2))</f>
        <v>1.27333612789712</v>
      </c>
      <c r="P6">
        <f>IF($A6=P$2,0,SUMIFS(d_sched!$M:$M,d_sched!$D:$D,$A6,d_sched!$I:$I,P$2)+SUMIFS(d_sched!$M:$M,d_sched!$D:$D,$A6,d_sched!$K:$K,P$2))</f>
        <v>0.92221540697019733</v>
      </c>
      <c r="Q6">
        <f>IF($A6=Q$2,0,SUMIFS(d_sched!$M:$M,d_sched!$D:$D,$A6,d_sched!$I:$I,Q$2)+SUMIFS(d_sched!$M:$M,d_sched!$D:$D,$A6,d_sched!$K:$K,Q$2))</f>
        <v>2.045010026773495</v>
      </c>
      <c r="R6">
        <f>IF($A6=R$2,0,SUMIFS(d_sched!$M:$M,d_sched!$D:$D,$A6,d_sched!$I:$I,R$2)+SUMIFS(d_sched!$M:$M,d_sched!$D:$D,$A6,d_sched!$K:$K,R$2))</f>
        <v>2.1011608525505494</v>
      </c>
      <c r="S6">
        <f>IF($A6=S$2,0,SUMIFS(d_sched!$M:$M,d_sched!$D:$D,$A6,d_sched!$I:$I,S$2)+SUMIFS(d_sched!$M:$M,d_sched!$D:$D,$A6,d_sched!$K:$K,S$2))</f>
        <v>1.4325219338741457</v>
      </c>
      <c r="T6">
        <f>IF($A6=T$2,0,SUMIFS(d_sched!$M:$M,d_sched!$D:$D,$A6,d_sched!$I:$I,T$2)+SUMIFS(d_sched!$M:$M,d_sched!$D:$D,$A6,d_sched!$K:$K,T$2))</f>
        <v>1.0972009478546285</v>
      </c>
      <c r="U6">
        <f>IF($A6=U$2,0,SUMIFS(d_sched!$M:$M,d_sched!$D:$D,$A6,d_sched!$I:$I,U$2)+SUMIFS(d_sched!$M:$M,d_sched!$D:$D,$A6,d_sched!$K:$K,U$2))</f>
        <v>2.2487060035431923</v>
      </c>
      <c r="V6">
        <f>IF($A6=V$2,0,SUMIFS(d_sched!$M:$M,d_sched!$D:$D,$A6,d_sched!$I:$I,V$2)+SUMIFS(d_sched!$M:$M,d_sched!$D:$D,$A6,d_sched!$K:$K,V$2))</f>
        <v>0.8629278127434058</v>
      </c>
      <c r="W6">
        <f>IF($A6=W$2,0,SUMIFS(d_sched!$M:$M,d_sched!$D:$D,$A6,d_sched!$I:$I,W$2)+SUMIFS(d_sched!$M:$M,d_sched!$D:$D,$A6,d_sched!$K:$K,W$2))</f>
        <v>2.6736528507680011</v>
      </c>
      <c r="X6">
        <f>IF($A6=X$2,0,SUMIFS(d_sched!$M:$M,d_sched!$D:$D,$A6,d_sched!$I:$I,X$2)+SUMIFS(d_sched!$M:$M,d_sched!$D:$D,$A6,d_sched!$K:$K,X$2))</f>
        <v>2.2421944707929411</v>
      </c>
      <c r="Y6">
        <f>IF($A6=Y$2,0,SUMIFS(d_sched!$M:$M,d_sched!$D:$D,$A6,d_sched!$I:$I,Y$2)+SUMIFS(d_sched!$M:$M,d_sched!$D:$D,$A6,d_sched!$K:$K,Y$2))</f>
        <v>1.046227143436874</v>
      </c>
      <c r="Z6">
        <f>IF($A6=Z$2,0,SUMIFS(d_sched!$M:$M,d_sched!$D:$D,$A6,d_sched!$I:$I,Z$2)+SUMIFS(d_sched!$M:$M,d_sched!$D:$D,$A6,d_sched!$K:$K,Z$2))</f>
        <v>0.93984923281104638</v>
      </c>
      <c r="AA6">
        <f>IF($A6=AA$2,0,SUMIFS(d_sched!$M:$M,d_sched!$D:$D,$A6,d_sched!$I:$I,AA$2)+SUMIFS(d_sched!$M:$M,d_sched!$D:$D,$A6,d_sched!$K:$K,AA$2))</f>
        <v>0.83939741948266022</v>
      </c>
      <c r="AB6">
        <f>IF($A6=AB$2,0,SUMIFS(d_sched!$M:$M,d_sched!$D:$D,$A6,d_sched!$I:$I,AB$2)+SUMIFS(d_sched!$M:$M,d_sched!$D:$D,$A6,d_sched!$K:$K,AB$2))</f>
        <v>1.27333612789712</v>
      </c>
      <c r="AC6">
        <f>IF($A6=AC$2,0,SUMIFS(d_sched!$M:$M,d_sched!$D:$D,$A6,d_sched!$I:$I,AC$2)+SUMIFS(d_sched!$M:$M,d_sched!$D:$D,$A6,d_sched!$K:$K,AC$2))</f>
        <v>1.7808096008783536</v>
      </c>
      <c r="AD6">
        <f>IF($A6=AD$2,0,SUMIFS(d_sched!$M:$M,d_sched!$D:$D,$A6,d_sched!$I:$I,AD$2)+SUMIFS(d_sched!$M:$M,d_sched!$D:$D,$A6,d_sched!$K:$K,AD$2))</f>
        <v>1.3368264253840005</v>
      </c>
      <c r="AE6">
        <f>IF($A6=AE$2,0,SUMIFS(d_sched!$M:$M,d_sched!$D:$D,$A6,d_sched!$I:$I,AE$2)+SUMIFS(d_sched!$M:$M,d_sched!$D:$D,$A6,d_sched!$K:$K,AE$2))</f>
        <v>1.9173566117438883</v>
      </c>
      <c r="AG6">
        <f>ROUND(SUM(B6:AE6),2)</f>
        <v>45.16</v>
      </c>
      <c r="AH6">
        <f>VLOOKUP($A6,p_win_totals!$D$2:$J$31,6,0)</f>
        <v>47</v>
      </c>
      <c r="AI6">
        <f>VLOOKUP($A6,d_win_totals!$E$2:$K$31,3,0)</f>
        <v>33</v>
      </c>
      <c r="AJ6">
        <f t="shared" si="0"/>
        <v>13</v>
      </c>
      <c r="AK6">
        <f>VLOOKUP($A6,p_win_totals!$D$2:$J$31,7,0)</f>
        <v>13</v>
      </c>
      <c r="AL6">
        <f>VLOOKUP($A6,d_win_totals!$E$2:$K$31,6,0)</f>
        <v>13</v>
      </c>
      <c r="AM6">
        <f t="shared" si="1"/>
        <v>0</v>
      </c>
      <c r="AN6">
        <f t="shared" si="2"/>
        <v>0</v>
      </c>
      <c r="AO6">
        <f t="shared" si="3"/>
        <v>0</v>
      </c>
    </row>
    <row r="7" spans="1:41" x14ac:dyDescent="0.25">
      <c r="A7" t="s">
        <v>30</v>
      </c>
      <c r="B7">
        <f>IF($A7=B$2,0,SUMIFS(d_sched!$M:$M,d_sched!$D:$D,$A7,d_sched!$I:$I,B$2)+SUMIFS(d_sched!$M:$M,d_sched!$D:$D,$A7,d_sched!$K:$K,B$2))</f>
        <v>1.8079582427990908</v>
      </c>
      <c r="C7">
        <f>IF($A7=C$2,0,SUMIFS(d_sched!$M:$M,d_sched!$D:$D,$A7,d_sched!$I:$I,C$2)+SUMIFS(d_sched!$M:$M,d_sched!$D:$D,$A7,d_sched!$K:$K,C$2))</f>
        <v>2.558752095721013</v>
      </c>
      <c r="D7">
        <f>IF($A7=D$2,0,SUMIFS(d_sched!$M:$M,d_sched!$D:$D,$A7,d_sched!$I:$I,D$2)+SUMIFS(d_sched!$M:$M,d_sched!$D:$D,$A7,d_sched!$K:$K,D$2))</f>
        <v>3.1091994446987647</v>
      </c>
      <c r="E7">
        <f>IF($A7=E$2,0,SUMIFS(d_sched!$M:$M,d_sched!$D:$D,$A7,d_sched!$I:$I,E$2)+SUMIFS(d_sched!$M:$M,d_sched!$D:$D,$A7,d_sched!$K:$K,E$2))</f>
        <v>2.3212051610346798</v>
      </c>
      <c r="F7">
        <f>IF($A7=F$2,0,SUMIFS(d_sched!$M:$M,d_sched!$D:$D,$A7,d_sched!$I:$I,F$2)+SUMIFS(d_sched!$M:$M,d_sched!$D:$D,$A7,d_sched!$K:$K,F$2))</f>
        <v>0</v>
      </c>
      <c r="G7">
        <f>IF($A7=G$2,0,SUMIFS(d_sched!$M:$M,d_sched!$D:$D,$A7,d_sched!$I:$I,G$2)+SUMIFS(d_sched!$M:$M,d_sched!$D:$D,$A7,d_sched!$K:$K,G$2))</f>
        <v>1.9587997128079662</v>
      </c>
      <c r="H7">
        <f>IF($A7=H$2,0,SUMIFS(d_sched!$M:$M,d_sched!$D:$D,$A7,d_sched!$I:$I,H$2)+SUMIFS(d_sched!$M:$M,d_sched!$D:$D,$A7,d_sched!$K:$K,H$2))</f>
        <v>1.0519212611901307</v>
      </c>
      <c r="I7">
        <f>IF($A7=I$2,0,SUMIFS(d_sched!$M:$M,d_sched!$D:$D,$A7,d_sched!$I:$I,I$2)+SUMIFS(d_sched!$M:$M,d_sched!$D:$D,$A7,d_sched!$K:$K,I$2))</f>
        <v>1.2793760478605065</v>
      </c>
      <c r="J7">
        <f>IF($A7=J$2,0,SUMIFS(d_sched!$M:$M,d_sched!$D:$D,$A7,d_sched!$I:$I,J$2)+SUMIFS(d_sched!$M:$M,d_sched!$D:$D,$A7,d_sched!$K:$K,J$2))</f>
        <v>2.7198185998701767</v>
      </c>
      <c r="K7">
        <f>IF($A7=K$2,0,SUMIFS(d_sched!$M:$M,d_sched!$D:$D,$A7,d_sched!$I:$I,K$2)+SUMIFS(d_sched!$M:$M,d_sched!$D:$D,$A7,d_sched!$K:$K,K$2))</f>
        <v>1.0374960753076243</v>
      </c>
      <c r="L7">
        <f>IF($A7=L$2,0,SUMIFS(d_sched!$M:$M,d_sched!$D:$D,$A7,d_sched!$I:$I,L$2)+SUMIFS(d_sched!$M:$M,d_sched!$D:$D,$A7,d_sched!$K:$K,L$2))</f>
        <v>1.1200777669646882</v>
      </c>
      <c r="M7">
        <f>IF($A7=M$2,0,SUMIFS(d_sched!$M:$M,d_sched!$D:$D,$A7,d_sched!$I:$I,M$2)+SUMIFS(d_sched!$M:$M,d_sched!$D:$D,$A7,d_sched!$K:$K,M$2))</f>
        <v>2.7753538048815658</v>
      </c>
      <c r="N7">
        <f>IF($A7=N$2,0,SUMIFS(d_sched!$M:$M,d_sched!$D:$D,$A7,d_sched!$I:$I,N$2)+SUMIFS(d_sched!$M:$M,d_sched!$D:$D,$A7,d_sched!$K:$K,N$2))</f>
        <v>0.97939985640398308</v>
      </c>
      <c r="O7">
        <f>IF($A7=O$2,0,SUMIFS(d_sched!$M:$M,d_sched!$D:$D,$A7,d_sched!$I:$I,O$2)+SUMIFS(d_sched!$M:$M,d_sched!$D:$D,$A7,d_sched!$K:$K,O$2))</f>
        <v>1.4156905231832475</v>
      </c>
      <c r="P7">
        <f>IF($A7=P$2,0,SUMIFS(d_sched!$M:$M,d_sched!$D:$D,$A7,d_sched!$I:$I,P$2)+SUMIFS(d_sched!$M:$M,d_sched!$D:$D,$A7,d_sched!$K:$K,P$2))</f>
        <v>1.0838656715364505</v>
      </c>
      <c r="Q7">
        <f>IF($A7=Q$2,0,SUMIFS(d_sched!$M:$M,d_sched!$D:$D,$A7,d_sched!$I:$I,Q$2)+SUMIFS(d_sched!$M:$M,d_sched!$D:$D,$A7,d_sched!$K:$K,Q$2))</f>
        <v>1.7736722399763967</v>
      </c>
      <c r="R7">
        <f>IF($A7=R$2,0,SUMIFS(d_sched!$M:$M,d_sched!$D:$D,$A7,d_sched!$I:$I,R$2)+SUMIFS(d_sched!$M:$M,d_sched!$D:$D,$A7,d_sched!$K:$K,R$2))</f>
        <v>3.0548567680350525</v>
      </c>
      <c r="S7">
        <f>IF($A7=S$2,0,SUMIFS(d_sched!$M:$M,d_sched!$D:$D,$A7,d_sched!$I:$I,S$2)+SUMIFS(d_sched!$M:$M,d_sched!$D:$D,$A7,d_sched!$K:$K,S$2))</f>
        <v>1.5545997223493824</v>
      </c>
      <c r="T7">
        <f>IF($A7=T$2,0,SUMIFS(d_sched!$M:$M,d_sched!$D:$D,$A7,d_sched!$I:$I,T$2)+SUMIFS(d_sched!$M:$M,d_sched!$D:$D,$A7,d_sched!$K:$K,T$2))</f>
        <v>1.2538408885608172</v>
      </c>
      <c r="U7">
        <f>IF($A7=U$2,0,SUMIFS(d_sched!$M:$M,d_sched!$D:$D,$A7,d_sched!$I:$I,U$2)+SUMIFS(d_sched!$M:$M,d_sched!$D:$D,$A7,d_sched!$K:$K,U$2))</f>
        <v>1.9190640717907597</v>
      </c>
      <c r="V7">
        <f>IF($A7=V$2,0,SUMIFS(d_sched!$M:$M,d_sched!$D:$D,$A7,d_sched!$I:$I,V$2)+SUMIFS(d_sched!$M:$M,d_sched!$D:$D,$A7,d_sched!$K:$K,V$2))</f>
        <v>1.0240600548446979</v>
      </c>
      <c r="W7">
        <f>IF($A7=W$2,0,SUMIFS(d_sched!$M:$M,d_sched!$D:$D,$A7,d_sched!$I:$I,W$2)+SUMIFS(d_sched!$M:$M,d_sched!$D:$D,$A7,d_sched!$K:$K,W$2))</f>
        <v>2.9438028162086241</v>
      </c>
      <c r="X7">
        <f>IF($A7=X$2,0,SUMIFS(d_sched!$M:$M,d_sched!$D:$D,$A7,d_sched!$I:$I,X$2)+SUMIFS(d_sched!$M:$M,d_sched!$D:$D,$A7,d_sched!$K:$K,X$2))</f>
        <v>2.4107269130142877</v>
      </c>
      <c r="Y7">
        <f>IF($A7=Y$2,0,SUMIFS(d_sched!$M:$M,d_sched!$D:$D,$A7,d_sched!$I:$I,Y$2)+SUMIFS(d_sched!$M:$M,d_sched!$D:$D,$A7,d_sched!$K:$K,Y$2))</f>
        <v>1.2053054951993938</v>
      </c>
      <c r="Z7">
        <f>IF($A7=Z$2,0,SUMIFS(d_sched!$M:$M,d_sched!$D:$D,$A7,d_sched!$I:$I,Z$2)+SUMIFS(d_sched!$M:$M,d_sched!$D:$D,$A7,d_sched!$K:$K,Z$2))</f>
        <v>1.1014316807348239</v>
      </c>
      <c r="AA7">
        <f>IF($A7=AA$2,0,SUMIFS(d_sched!$M:$M,d_sched!$D:$D,$A7,d_sched!$I:$I,AA$2)+SUMIFS(d_sched!$M:$M,d_sched!$D:$D,$A7,d_sched!$K:$K,AA$2))</f>
        <v>1</v>
      </c>
      <c r="AB7">
        <f>IF($A7=AB$2,0,SUMIFS(d_sched!$M:$M,d_sched!$D:$D,$A7,d_sched!$I:$I,AB$2)+SUMIFS(d_sched!$M:$M,d_sched!$D:$D,$A7,d_sched!$K:$K,AB$2))</f>
        <v>1.4156905231832475</v>
      </c>
      <c r="AC7">
        <f>IF($A7=AC$2,0,SUMIFS(d_sched!$M:$M,d_sched!$D:$D,$A7,d_sched!$I:$I,AC$2)+SUMIFS(d_sched!$M:$M,d_sched!$D:$D,$A7,d_sched!$K:$K,AC$2))</f>
        <v>2.1038425223802615</v>
      </c>
      <c r="AD7">
        <f>IF($A7=AD$2,0,SUMIFS(d_sched!$M:$M,d_sched!$D:$D,$A7,d_sched!$I:$I,AD$2)+SUMIFS(d_sched!$M:$M,d_sched!$D:$D,$A7,d_sched!$K:$K,AD$2))</f>
        <v>1.471901408104312</v>
      </c>
      <c r="AE7">
        <f>IF($A7=AE$2,0,SUMIFS(d_sched!$M:$M,d_sched!$D:$D,$A7,d_sched!$I:$I,AE$2)+SUMIFS(d_sched!$M:$M,d_sched!$D:$D,$A7,d_sched!$K:$K,AE$2))</f>
        <v>2.2401555339293764</v>
      </c>
      <c r="AG7">
        <f>ROUND(SUM(B7:AE7),2)</f>
        <v>51.69</v>
      </c>
      <c r="AH7">
        <f>VLOOKUP($A7,p_win_totals!$D$2:$J$31,6,0)</f>
        <v>56</v>
      </c>
      <c r="AI7">
        <f>VLOOKUP($A7,d_win_totals!$E$2:$K$31,3,0)</f>
        <v>50</v>
      </c>
      <c r="AJ7">
        <f t="shared" si="0"/>
        <v>2</v>
      </c>
      <c r="AK7">
        <f>VLOOKUP($A7,p_win_totals!$D$2:$J$31,7,0)</f>
        <v>3</v>
      </c>
      <c r="AL7">
        <f>VLOOKUP($A7,d_win_totals!$E$2:$K$31,6,0)</f>
        <v>4</v>
      </c>
      <c r="AM7">
        <f t="shared" si="1"/>
        <v>2</v>
      </c>
      <c r="AN7">
        <f t="shared" si="2"/>
        <v>2</v>
      </c>
      <c r="AO7">
        <f t="shared" si="3"/>
        <v>4</v>
      </c>
    </row>
    <row r="8" spans="1:41" x14ac:dyDescent="0.25">
      <c r="A8" t="s">
        <v>40</v>
      </c>
      <c r="B8">
        <f>IF($A8=B$2,0,SUMIFS(d_sched!$M:$M,d_sched!$D:$D,$A8,d_sched!$I:$I,B$2)+SUMIFS(d_sched!$M:$M,d_sched!$D:$D,$A8,d_sched!$K:$K,B$2))</f>
        <v>2.4499084694958868</v>
      </c>
      <c r="C8">
        <f>IF($A8=C$2,0,SUMIFS(d_sched!$M:$M,d_sched!$D:$D,$A8,d_sched!$I:$I,C$2)+SUMIFS(d_sched!$M:$M,d_sched!$D:$D,$A8,d_sched!$K:$K,C$2))</f>
        <v>2.5965193029524842</v>
      </c>
      <c r="D8">
        <f>IF($A8=D$2,0,SUMIFS(d_sched!$M:$M,d_sched!$D:$D,$A8,d_sched!$I:$I,D$2)+SUMIFS(d_sched!$M:$M,d_sched!$D:$D,$A8,d_sched!$K:$K,D$2))</f>
        <v>3.1374050678918368</v>
      </c>
      <c r="E8">
        <f>IF($A8=E$2,0,SUMIFS(d_sched!$M:$M,d_sched!$D:$D,$A8,d_sched!$I:$I,E$2)+SUMIFS(d_sched!$M:$M,d_sched!$D:$D,$A8,d_sched!$K:$K,E$2))</f>
        <v>1.7709078049756242</v>
      </c>
      <c r="F8">
        <f>IF($A8=F$2,0,SUMIFS(d_sched!$M:$M,d_sched!$D:$D,$A8,d_sched!$I:$I,F$2)+SUMIFS(d_sched!$M:$M,d_sched!$D:$D,$A8,d_sched!$K:$K,F$2))</f>
        <v>2.0412002871920336</v>
      </c>
      <c r="G8">
        <f>IF($A8=G$2,0,SUMIFS(d_sched!$M:$M,d_sched!$D:$D,$A8,d_sched!$I:$I,G$2)+SUMIFS(d_sched!$M:$M,d_sched!$D:$D,$A8,d_sched!$K:$K,G$2))</f>
        <v>0</v>
      </c>
      <c r="H8">
        <f>IF($A8=H$2,0,SUMIFS(d_sched!$M:$M,d_sched!$D:$D,$A8,d_sched!$I:$I,H$2)+SUMIFS(d_sched!$M:$M,d_sched!$D:$D,$A8,d_sched!$K:$K,H$2))</f>
        <v>1.0724439198245617</v>
      </c>
      <c r="I8">
        <f>IF($A8=I$2,0,SUMIFS(d_sched!$M:$M,d_sched!$D:$D,$A8,d_sched!$I:$I,I$2)+SUMIFS(d_sched!$M:$M,d_sched!$D:$D,$A8,d_sched!$K:$K,I$2))</f>
        <v>1.2982596514762421</v>
      </c>
      <c r="J8">
        <f>IF($A8=J$2,0,SUMIFS(d_sched!$M:$M,d_sched!$D:$D,$A8,d_sched!$I:$I,J$2)+SUMIFS(d_sched!$M:$M,d_sched!$D:$D,$A8,d_sched!$K:$K,J$2))</f>
        <v>2.7554180789865326</v>
      </c>
      <c r="K8">
        <f>IF($A8=K$2,0,SUMIFS(d_sched!$M:$M,d_sched!$D:$D,$A8,d_sched!$I:$I,K$2)+SUMIFS(d_sched!$M:$M,d_sched!$D:$D,$A8,d_sched!$K:$K,K$2))</f>
        <v>1.0580513785944878</v>
      </c>
      <c r="L8">
        <f>IF($A8=L$2,0,SUMIFS(d_sched!$M:$M,d_sched!$D:$D,$A8,d_sched!$I:$I,L$2)+SUMIFS(d_sched!$M:$M,d_sched!$D:$D,$A8,d_sched!$K:$K,L$2))</f>
        <v>1.1403307856291052</v>
      </c>
      <c r="M8">
        <f>IF($A8=M$2,0,SUMIFS(d_sched!$M:$M,d_sched!$D:$D,$A8,d_sched!$I:$I,M$2)+SUMIFS(d_sched!$M:$M,d_sched!$D:$D,$A8,d_sched!$K:$K,M$2))</f>
        <v>2.8100845945983273</v>
      </c>
      <c r="N8">
        <f>IF($A8=N$2,0,SUMIFS(d_sched!$M:$M,d_sched!$D:$D,$A8,d_sched!$I:$I,N$2)+SUMIFS(d_sched!$M:$M,d_sched!$D:$D,$A8,d_sched!$K:$K,N$2))</f>
        <v>1</v>
      </c>
      <c r="O8">
        <f>IF($A8=O$2,0,SUMIFS(d_sched!$M:$M,d_sched!$D:$D,$A8,d_sched!$I:$I,O$2)+SUMIFS(d_sched!$M:$M,d_sched!$D:$D,$A8,d_sched!$K:$K,O$2))</f>
        <v>1.4325863071735097</v>
      </c>
      <c r="P8">
        <f>IF($A8=P$2,0,SUMIFS(d_sched!$M:$M,d_sched!$D:$D,$A8,d_sched!$I:$I,P$2)+SUMIFS(d_sched!$M:$M,d_sched!$D:$D,$A8,d_sched!$K:$K,P$2))</f>
        <v>1.1042856465694868</v>
      </c>
      <c r="Q8">
        <f>IF($A8=Q$2,0,SUMIFS(d_sched!$M:$M,d_sched!$D:$D,$A8,d_sched!$I:$I,Q$2)+SUMIFS(d_sched!$M:$M,d_sched!$D:$D,$A8,d_sched!$K:$K,Q$2))</f>
        <v>2.4045760250434802</v>
      </c>
      <c r="R8">
        <f>IF($A8=R$2,0,SUMIFS(d_sched!$M:$M,d_sched!$D:$D,$A8,d_sched!$I:$I,R$2)+SUMIFS(d_sched!$M:$M,d_sched!$D:$D,$A8,d_sched!$K:$K,R$2))</f>
        <v>3.0842762844834661</v>
      </c>
      <c r="S8">
        <f>IF($A8=S$2,0,SUMIFS(d_sched!$M:$M,d_sched!$D:$D,$A8,d_sched!$I:$I,S$2)+SUMIFS(d_sched!$M:$M,d_sched!$D:$D,$A8,d_sched!$K:$K,S$2))</f>
        <v>1.5687025339459184</v>
      </c>
      <c r="T8">
        <f>IF($A8=T$2,0,SUMIFS(d_sched!$M:$M,d_sched!$D:$D,$A8,d_sched!$I:$I,T$2)+SUMIFS(d_sched!$M:$M,d_sched!$D:$D,$A8,d_sched!$K:$K,T$2))</f>
        <v>1.2730134017369381</v>
      </c>
      <c r="U8">
        <f>IF($A8=U$2,0,SUMIFS(d_sched!$M:$M,d_sched!$D:$D,$A8,d_sched!$I:$I,U$2)+SUMIFS(d_sched!$M:$M,d_sched!$D:$D,$A8,d_sched!$K:$K,U$2))</f>
        <v>1.9473894772143632</v>
      </c>
      <c r="V8">
        <f>IF($A8=V$2,0,SUMIFS(d_sched!$M:$M,d_sched!$D:$D,$A8,d_sched!$I:$I,V$2)+SUMIFS(d_sched!$M:$M,d_sched!$D:$D,$A8,d_sched!$K:$K,V$2))</f>
        <v>1.0446380739996162</v>
      </c>
      <c r="W8">
        <f>IF($A8=W$2,0,SUMIFS(d_sched!$M:$M,d_sched!$D:$D,$A8,d_sched!$I:$I,W$2)+SUMIFS(d_sched!$M:$M,d_sched!$D:$D,$A8,d_sched!$K:$K,W$2))</f>
        <v>2.2316398830172259</v>
      </c>
      <c r="X8">
        <f>IF($A8=X$2,0,SUMIFS(d_sched!$M:$M,d_sched!$D:$D,$A8,d_sched!$I:$I,X$2)+SUMIFS(d_sched!$M:$M,d_sched!$D:$D,$A8,d_sched!$K:$K,X$2))</f>
        <v>2.4299953019540612</v>
      </c>
      <c r="Y8">
        <f>IF($A8=Y$2,0,SUMIFS(d_sched!$M:$M,d_sched!$D:$D,$A8,d_sched!$I:$I,Y$2)+SUMIFS(d_sched!$M:$M,d_sched!$D:$D,$A8,d_sched!$K:$K,Y$2))</f>
        <v>1.2249542347479434</v>
      </c>
      <c r="Z8">
        <f>IF($A8=Z$2,0,SUMIFS(d_sched!$M:$M,d_sched!$D:$D,$A8,d_sched!$I:$I,Z$2)+SUMIFS(d_sched!$M:$M,d_sched!$D:$D,$A8,d_sched!$K:$K,Z$2))</f>
        <v>1.1217773696415996</v>
      </c>
      <c r="AA8">
        <f>IF($A8=AA$2,0,SUMIFS(d_sched!$M:$M,d_sched!$D:$D,$A8,d_sched!$I:$I,AA$2)+SUMIFS(d_sched!$M:$M,d_sched!$D:$D,$A8,d_sched!$K:$K,AA$2))</f>
        <v>1.0206001435960168</v>
      </c>
      <c r="AB8">
        <f>IF($A8=AB$2,0,SUMIFS(d_sched!$M:$M,d_sched!$D:$D,$A8,d_sched!$I:$I,AB$2)+SUMIFS(d_sched!$M:$M,d_sched!$D:$D,$A8,d_sched!$K:$K,AB$2))</f>
        <v>1.4325863071735097</v>
      </c>
      <c r="AC8">
        <f>IF($A8=AC$2,0,SUMIFS(d_sched!$M:$M,d_sched!$D:$D,$A8,d_sched!$I:$I,AC$2)+SUMIFS(d_sched!$M:$M,d_sched!$D:$D,$A8,d_sched!$K:$K,AC$2))</f>
        <v>2.1448878396491233</v>
      </c>
      <c r="AD8">
        <f>IF($A8=AD$2,0,SUMIFS(d_sched!$M:$M,d_sched!$D:$D,$A8,d_sched!$I:$I,AD$2)+SUMIFS(d_sched!$M:$M,d_sched!$D:$D,$A8,d_sched!$K:$K,AD$2))</f>
        <v>1.4877599220114841</v>
      </c>
      <c r="AE8">
        <f>IF($A8=AE$2,0,SUMIFS(d_sched!$M:$M,d_sched!$D:$D,$A8,d_sched!$I:$I,AE$2)+SUMIFS(d_sched!$M:$M,d_sched!$D:$D,$A8,d_sched!$K:$K,AE$2))</f>
        <v>2.2806615712582103</v>
      </c>
      <c r="AG8">
        <f>ROUND(SUM(B8:AE8),2)</f>
        <v>52.36</v>
      </c>
      <c r="AH8">
        <f>VLOOKUP($A8,p_win_totals!$D$2:$J$31,6,0)</f>
        <v>58</v>
      </c>
      <c r="AI8">
        <f>VLOOKUP($A8,d_win_totals!$E$2:$K$31,3,0)</f>
        <v>53</v>
      </c>
      <c r="AJ8">
        <f t="shared" si="0"/>
        <v>1</v>
      </c>
      <c r="AK8">
        <f>VLOOKUP($A8,p_win_totals!$D$2:$J$31,7,0)</f>
        <v>1</v>
      </c>
      <c r="AL8">
        <f>VLOOKUP($A8,d_win_totals!$E$2:$K$31,6,0)</f>
        <v>1</v>
      </c>
      <c r="AM8">
        <f t="shared" si="1"/>
        <v>0</v>
      </c>
      <c r="AN8">
        <f t="shared" si="2"/>
        <v>0</v>
      </c>
      <c r="AO8">
        <f t="shared" si="3"/>
        <v>0</v>
      </c>
    </row>
    <row r="9" spans="1:41" x14ac:dyDescent="0.25">
      <c r="A9" t="s">
        <v>14</v>
      </c>
      <c r="B9">
        <f>IF($A9=B$2,0,SUMIFS(d_sched!$M:$M,d_sched!$D:$D,$A9,d_sched!$I:$I,B$2)+SUMIFS(d_sched!$M:$M,d_sched!$D:$D,$A9,d_sched!$K:$K,B$2))</f>
        <v>1.155036883817643</v>
      </c>
      <c r="C9">
        <f>IF($A9=C$2,0,SUMIFS(d_sched!$M:$M,d_sched!$D:$D,$A9,d_sched!$I:$I,C$2)+SUMIFS(d_sched!$M:$M,d_sched!$D:$D,$A9,d_sched!$K:$K,C$2))</f>
        <v>1.2308027084562256</v>
      </c>
      <c r="D9">
        <f>IF($A9=D$2,0,SUMIFS(d_sched!$M:$M,d_sched!$D:$D,$A9,d_sched!$I:$I,D$2)+SUMIFS(d_sched!$M:$M,d_sched!$D:$D,$A9,d_sched!$K:$K,D$2))</f>
        <v>1.517582517357464</v>
      </c>
      <c r="E9">
        <f>IF($A9=E$2,0,SUMIFS(d_sched!$M:$M,d_sched!$D:$D,$A9,d_sched!$I:$I,E$2)+SUMIFS(d_sched!$M:$M,d_sched!$D:$D,$A9,d_sched!$K:$K,E$2))</f>
        <v>1.1095951995608231</v>
      </c>
      <c r="F9">
        <f>IF($A9=F$2,0,SUMIFS(d_sched!$M:$M,d_sched!$D:$D,$A9,d_sched!$I:$I,F$2)+SUMIFS(d_sched!$M:$M,d_sched!$D:$D,$A9,d_sched!$K:$K,F$2))</f>
        <v>0.94807873880986915</v>
      </c>
      <c r="G9">
        <f>IF($A9=G$2,0,SUMIFS(d_sched!$M:$M,d_sched!$D:$D,$A9,d_sched!$I:$I,G$2)+SUMIFS(d_sched!$M:$M,d_sched!$D:$D,$A9,d_sched!$K:$K,G$2))</f>
        <v>0.92755608017543822</v>
      </c>
      <c r="H9">
        <f>IF($A9=H$2,0,SUMIFS(d_sched!$M:$M,d_sched!$D:$D,$A9,d_sched!$I:$I,H$2)+SUMIFS(d_sched!$M:$M,d_sched!$D:$D,$A9,d_sched!$K:$K,H$2))</f>
        <v>0</v>
      </c>
      <c r="I9">
        <f>IF($A9=I$2,0,SUMIFS(d_sched!$M:$M,d_sched!$D:$D,$A9,d_sched!$I:$I,I$2)+SUMIFS(d_sched!$M:$M,d_sched!$D:$D,$A9,d_sched!$K:$K,I$2))</f>
        <v>1.8462040626843383</v>
      </c>
      <c r="J9">
        <f>IF($A9=J$2,0,SUMIFS(d_sched!$M:$M,d_sched!$D:$D,$A9,d_sched!$I:$I,J$2)+SUMIFS(d_sched!$M:$M,d_sched!$D:$D,$A9,d_sched!$K:$K,J$2))</f>
        <v>1.3138529922764879</v>
      </c>
      <c r="K9">
        <f>IF($A9=K$2,0,SUMIFS(d_sched!$M:$M,d_sched!$D:$D,$A9,d_sched!$I:$I,K$2)+SUMIFS(d_sched!$M:$M,d_sched!$D:$D,$A9,d_sched!$K:$K,K$2))</f>
        <v>1.9710933515137066</v>
      </c>
      <c r="L9">
        <f>IF($A9=L$2,0,SUMIFS(d_sched!$M:$M,d_sched!$D:$D,$A9,d_sched!$I:$I,L$2)+SUMIFS(d_sched!$M:$M,d_sched!$D:$D,$A9,d_sched!$K:$K,L$2))</f>
        <v>2.137168198907121</v>
      </c>
      <c r="M9">
        <f>IF($A9=M$2,0,SUMIFS(d_sched!$M:$M,d_sched!$D:$D,$A9,d_sched!$I:$I,M$2)+SUMIFS(d_sched!$M:$M,d_sched!$D:$D,$A9,d_sched!$K:$K,M$2))</f>
        <v>1.342652787403785</v>
      </c>
      <c r="N9">
        <f>IF($A9=N$2,0,SUMIFS(d_sched!$M:$M,d_sched!$D:$D,$A9,d_sched!$I:$I,N$2)+SUMIFS(d_sched!$M:$M,d_sched!$D:$D,$A9,d_sched!$K:$K,N$2))</f>
        <v>1.3913341202631573</v>
      </c>
      <c r="O9">
        <f>IF($A9=O$2,0,SUMIFS(d_sched!$M:$M,d_sched!$D:$D,$A9,d_sched!$I:$I,O$2)+SUMIFS(d_sched!$M:$M,d_sched!$D:$D,$A9,d_sched!$K:$K,O$2))</f>
        <v>2.7435875041291333</v>
      </c>
      <c r="P9">
        <f>IF($A9=P$2,0,SUMIFS(d_sched!$M:$M,d_sched!$D:$D,$A9,d_sched!$I:$I,P$2)+SUMIFS(d_sched!$M:$M,d_sched!$D:$D,$A9,d_sched!$K:$K,P$2))</f>
        <v>2.0641682355915747</v>
      </c>
      <c r="Q9">
        <f>IF($A9=Q$2,0,SUMIFS(d_sched!$M:$M,d_sched!$D:$D,$A9,d_sched!$I:$I,Q$2)+SUMIFS(d_sched!$M:$M,d_sched!$D:$D,$A9,d_sched!$K:$K,Q$2))</f>
        <v>1.1317751971414676</v>
      </c>
      <c r="R9">
        <f>IF($A9=R$2,0,SUMIFS(d_sched!$M:$M,d_sched!$D:$D,$A9,d_sched!$I:$I,R$2)+SUMIFS(d_sched!$M:$M,d_sched!$D:$D,$A9,d_sched!$K:$K,R$2))</f>
        <v>1.4888953995989787</v>
      </c>
      <c r="S9">
        <f>IF($A9=S$2,0,SUMIFS(d_sched!$M:$M,d_sched!$D:$D,$A9,d_sched!$I:$I,S$2)+SUMIFS(d_sched!$M:$M,d_sched!$D:$D,$A9,d_sched!$K:$K,S$2))</f>
        <v>2.2763737760361957</v>
      </c>
      <c r="T9">
        <f>IF($A9=T$2,0,SUMIFS(d_sched!$M:$M,d_sched!$D:$D,$A9,d_sched!$I:$I,T$2)+SUMIFS(d_sched!$M:$M,d_sched!$D:$D,$A9,d_sched!$K:$K,T$2))</f>
        <v>2.4092328367509599</v>
      </c>
      <c r="U9">
        <f>IF($A9=U$2,0,SUMIFS(d_sched!$M:$M,d_sched!$D:$D,$A9,d_sched!$I:$I,U$2)+SUMIFS(d_sched!$M:$M,d_sched!$D:$D,$A9,d_sched!$K:$K,U$2))</f>
        <v>1.2308027084562256</v>
      </c>
      <c r="V9">
        <f>IF($A9=V$2,0,SUMIFS(d_sched!$M:$M,d_sched!$D:$D,$A9,d_sched!$I:$I,V$2)+SUMIFS(d_sched!$M:$M,d_sched!$D:$D,$A9,d_sched!$K:$K,V$2))</f>
        <v>1.944207890221558</v>
      </c>
      <c r="W9">
        <f>IF($A9=W$2,0,SUMIFS(d_sched!$M:$M,d_sched!$D:$D,$A9,d_sched!$I:$I,W$2)+SUMIFS(d_sched!$M:$M,d_sched!$D:$D,$A9,d_sched!$K:$K,W$2))</f>
        <v>1.4305288424564537</v>
      </c>
      <c r="X9">
        <f>IF($A9=X$2,0,SUMIFS(d_sched!$M:$M,d_sched!$D:$D,$A9,d_sched!$I:$I,X$2)+SUMIFS(d_sched!$M:$M,d_sched!$D:$D,$A9,d_sched!$K:$K,X$2))</f>
        <v>1.5733028474858013</v>
      </c>
      <c r="Y9">
        <f>IF($A9=Y$2,0,SUMIFS(d_sched!$M:$M,d_sched!$D:$D,$A9,d_sched!$I:$I,Y$2)+SUMIFS(d_sched!$M:$M,d_sched!$D:$D,$A9,d_sched!$K:$K,Y$2))</f>
        <v>2.310073767635286</v>
      </c>
      <c r="Z9">
        <f>IF($A9=Z$2,0,SUMIFS(d_sched!$M:$M,d_sched!$D:$D,$A9,d_sched!$I:$I,Z$2)+SUMIFS(d_sched!$M:$M,d_sched!$D:$D,$A9,d_sched!$K:$K,Z$2))</f>
        <v>2.0995450893993848</v>
      </c>
      <c r="AA9">
        <f>IF($A9=AA$2,0,SUMIFS(d_sched!$M:$M,d_sched!$D:$D,$A9,d_sched!$I:$I,AA$2)+SUMIFS(d_sched!$M:$M,d_sched!$D:$D,$A9,d_sched!$K:$K,AA$2))</f>
        <v>1.8961574776197383</v>
      </c>
      <c r="AB9">
        <f>IF($A9=AB$2,0,SUMIFS(d_sched!$M:$M,d_sched!$D:$D,$A9,d_sched!$I:$I,AB$2)+SUMIFS(d_sched!$M:$M,d_sched!$D:$D,$A9,d_sched!$K:$K,AB$2))</f>
        <v>2.0576906280968501</v>
      </c>
      <c r="AC9">
        <f>IF($A9=AC$2,0,SUMIFS(d_sched!$M:$M,d_sched!$D:$D,$A9,d_sched!$I:$I,AC$2)+SUMIFS(d_sched!$M:$M,d_sched!$D:$D,$A9,d_sched!$K:$K,AC$2))</f>
        <v>1</v>
      </c>
      <c r="AD9">
        <f>IF($A9=AD$2,0,SUMIFS(d_sched!$M:$M,d_sched!$D:$D,$A9,d_sched!$I:$I,AD$2)+SUMIFS(d_sched!$M:$M,d_sched!$D:$D,$A9,d_sched!$K:$K,AD$2))</f>
        <v>2.8610576849129075</v>
      </c>
      <c r="AE9">
        <f>IF($A9=AE$2,0,SUMIFS(d_sched!$M:$M,d_sched!$D:$D,$A9,d_sched!$I:$I,AE$2)+SUMIFS(d_sched!$M:$M,d_sched!$D:$D,$A9,d_sched!$K:$K,AE$2))</f>
        <v>1.0685840994535605</v>
      </c>
      <c r="AG9">
        <f>ROUND(SUM(B9:AE9),2)</f>
        <v>48.48</v>
      </c>
      <c r="AH9">
        <f>VLOOKUP($A9,p_win_totals!$D$2:$J$31,6,0)</f>
        <v>52</v>
      </c>
      <c r="AI9">
        <f>VLOOKUP($A9,d_win_totals!$E$2:$K$31,3,0)</f>
        <v>50</v>
      </c>
      <c r="AJ9">
        <f t="shared" si="0"/>
        <v>8</v>
      </c>
      <c r="AK9">
        <f>VLOOKUP($A9,p_win_totals!$D$2:$J$31,7,0)</f>
        <v>7</v>
      </c>
      <c r="AL9">
        <f>VLOOKUP($A9,d_win_totals!$E$2:$K$31,6,0)</f>
        <v>7</v>
      </c>
      <c r="AM9">
        <f t="shared" si="1"/>
        <v>-1</v>
      </c>
      <c r="AN9">
        <f t="shared" si="2"/>
        <v>1</v>
      </c>
      <c r="AO9">
        <f t="shared" si="3"/>
        <v>1</v>
      </c>
    </row>
    <row r="10" spans="1:41" x14ac:dyDescent="0.25">
      <c r="A10" t="s">
        <v>32</v>
      </c>
      <c r="B10">
        <f>IF($A10=B$2,0,SUMIFS(d_sched!$M:$M,d_sched!$D:$D,$A10,d_sched!$I:$I,B$2)+SUMIFS(d_sched!$M:$M,d_sched!$D:$D,$A10,d_sched!$K:$K,B$2))</f>
        <v>0.9214224398138835</v>
      </c>
      <c r="C10">
        <f>IF($A10=C$2,0,SUMIFS(d_sched!$M:$M,d_sched!$D:$D,$A10,d_sched!$I:$I,C$2)+SUMIFS(d_sched!$M:$M,d_sched!$D:$D,$A10,d_sched!$K:$K,C$2))</f>
        <v>1</v>
      </c>
      <c r="D10">
        <f>IF($A10=D$2,0,SUMIFS(d_sched!$M:$M,d_sched!$D:$D,$A10,d_sched!$I:$I,D$2)+SUMIFS(d_sched!$M:$M,d_sched!$D:$D,$A10,d_sched!$K:$K,D$2))</f>
        <v>1.3256860889338733</v>
      </c>
      <c r="E10">
        <f>IF($A10=E$2,0,SUMIFS(d_sched!$M:$M,d_sched!$D:$D,$A10,d_sched!$I:$I,E$2)+SUMIFS(d_sched!$M:$M,d_sched!$D:$D,$A10,d_sched!$K:$K,E$2))</f>
        <v>0.87564699822840386</v>
      </c>
      <c r="F10">
        <f>IF($A10=F$2,0,SUMIFS(d_sched!$M:$M,d_sched!$D:$D,$A10,d_sched!$I:$I,F$2)+SUMIFS(d_sched!$M:$M,d_sched!$D:$D,$A10,d_sched!$K:$K,F$2))</f>
        <v>0.72062395213949348</v>
      </c>
      <c r="G10">
        <f>IF($A10=G$2,0,SUMIFS(d_sched!$M:$M,d_sched!$D:$D,$A10,d_sched!$I:$I,G$2)+SUMIFS(d_sched!$M:$M,d_sched!$D:$D,$A10,d_sched!$K:$K,G$2))</f>
        <v>0.70174034852375811</v>
      </c>
      <c r="H10">
        <f>IF($A10=H$2,0,SUMIFS(d_sched!$M:$M,d_sched!$D:$D,$A10,d_sched!$I:$I,H$2)+SUMIFS(d_sched!$M:$M,d_sched!$D:$D,$A10,d_sched!$K:$K,H$2))</f>
        <v>1.1537959373156619</v>
      </c>
      <c r="I10">
        <f>IF($A10=I$2,0,SUMIFS(d_sched!$M:$M,d_sched!$D:$D,$A10,d_sched!$I:$I,I$2)+SUMIFS(d_sched!$M:$M,d_sched!$D:$D,$A10,d_sched!$K:$K,I$2))</f>
        <v>0</v>
      </c>
      <c r="J10">
        <f>IF($A10=J$2,0,SUMIFS(d_sched!$M:$M,d_sched!$D:$D,$A10,d_sched!$I:$I,J$2)+SUMIFS(d_sched!$M:$M,d_sched!$D:$D,$A10,d_sched!$K:$K,J$2))</f>
        <v>1.0895361114674684</v>
      </c>
      <c r="K10">
        <f>IF($A10=K$2,0,SUMIFS(d_sched!$M:$M,d_sched!$D:$D,$A10,d_sched!$I:$I,K$2)+SUMIFS(d_sched!$M:$M,d_sched!$D:$D,$A10,d_sched!$K:$K,K$2))</f>
        <v>1.1333390827781171</v>
      </c>
      <c r="L10">
        <f>IF($A10=L$2,0,SUMIFS(d_sched!$M:$M,d_sched!$D:$D,$A10,d_sched!$I:$I,L$2)+SUMIFS(d_sched!$M:$M,d_sched!$D:$D,$A10,d_sched!$K:$K,L$2))</f>
        <v>1.670344535126999</v>
      </c>
      <c r="M10">
        <f>IF($A10=M$2,0,SUMIFS(d_sched!$M:$M,d_sched!$D:$D,$A10,d_sched!$I:$I,M$2)+SUMIFS(d_sched!$M:$M,d_sched!$D:$D,$A10,d_sched!$K:$K,M$2))</f>
        <v>1.1214554027171428</v>
      </c>
      <c r="N10">
        <f>IF($A10=N$2,0,SUMIFS(d_sched!$M:$M,d_sched!$D:$D,$A10,d_sched!$I:$I,N$2)+SUMIFS(d_sched!$M:$M,d_sched!$D:$D,$A10,d_sched!$K:$K,N$2))</f>
        <v>1.4034806970475162</v>
      </c>
      <c r="O10">
        <f>IF($A10=O$2,0,SUMIFS(d_sched!$M:$M,d_sched!$D:$D,$A10,d_sched!$I:$I,O$2)+SUMIFS(d_sched!$M:$M,d_sched!$D:$D,$A10,d_sched!$K:$K,O$2))</f>
        <v>2.3084505378512636</v>
      </c>
      <c r="P10">
        <f>IF($A10=P$2,0,SUMIFS(d_sched!$M:$M,d_sched!$D:$D,$A10,d_sched!$I:$I,P$2)+SUMIFS(d_sched!$M:$M,d_sched!$D:$D,$A10,d_sched!$K:$K,P$2))</f>
        <v>1.1996983498738971</v>
      </c>
      <c r="Q10">
        <f>IF($A10=Q$2,0,SUMIFS(d_sched!$M:$M,d_sched!$D:$D,$A10,d_sched!$I:$I,Q$2)+SUMIFS(d_sched!$M:$M,d_sched!$D:$D,$A10,d_sched!$K:$K,Q$2))</f>
        <v>0.89786618339165081</v>
      </c>
      <c r="R10">
        <f>IF($A10=R$2,0,SUMIFS(d_sched!$M:$M,d_sched!$D:$D,$A10,d_sched!$I:$I,R$2)+SUMIFS(d_sched!$M:$M,d_sched!$D:$D,$A10,d_sched!$K:$K,R$2))</f>
        <v>1.2909195867094867</v>
      </c>
      <c r="S10">
        <f>IF($A10=S$2,0,SUMIFS(d_sched!$M:$M,d_sched!$D:$D,$A10,d_sched!$I:$I,S$2)+SUMIFS(d_sched!$M:$M,d_sched!$D:$D,$A10,d_sched!$K:$K,S$2))</f>
        <v>2.6513721778677466</v>
      </c>
      <c r="T10">
        <f>IF($A10=T$2,0,SUMIFS(d_sched!$M:$M,d_sched!$D:$D,$A10,d_sched!$I:$I,T$2)+SUMIFS(d_sched!$M:$M,d_sched!$D:$D,$A10,d_sched!$K:$K,T$2))</f>
        <v>1.9450314749811477</v>
      </c>
      <c r="U10">
        <f>IF($A10=U$2,0,SUMIFS(d_sched!$M:$M,d_sched!$D:$D,$A10,d_sched!$I:$I,U$2)+SUMIFS(d_sched!$M:$M,d_sched!$D:$D,$A10,d_sched!$K:$K,U$2))</f>
        <v>1</v>
      </c>
      <c r="V10">
        <f>IF($A10=V$2,0,SUMIFS(d_sched!$M:$M,d_sched!$D:$D,$A10,d_sched!$I:$I,V$2)+SUMIFS(d_sched!$M:$M,d_sched!$D:$D,$A10,d_sched!$K:$K,V$2))</f>
        <v>1.4859124185034305</v>
      </c>
      <c r="W10">
        <f>IF($A10=W$2,0,SUMIFS(d_sched!$M:$M,d_sched!$D:$D,$A10,d_sched!$I:$I,W$2)+SUMIFS(d_sched!$M:$M,d_sched!$D:$D,$A10,d_sched!$K:$K,W$2))</f>
        <v>1.2217620089788375</v>
      </c>
      <c r="X10">
        <f>IF($A10=X$2,0,SUMIFS(d_sched!$M:$M,d_sched!$D:$D,$A10,d_sched!$I:$I,X$2)+SUMIFS(d_sched!$M:$M,d_sched!$D:$D,$A10,d_sched!$K:$K,X$2))</f>
        <v>1.3947308682996999</v>
      </c>
      <c r="Y10">
        <f>IF($A10=Y$2,0,SUMIFS(d_sched!$M:$M,d_sched!$D:$D,$A10,d_sched!$I:$I,Y$2)+SUMIFS(d_sched!$M:$M,d_sched!$D:$D,$A10,d_sched!$K:$K,Y$2))</f>
        <v>1.3821336597208251</v>
      </c>
      <c r="Z10">
        <f>IF($A10=Z$2,0,SUMIFS(d_sched!$M:$M,d_sched!$D:$D,$A10,d_sched!$I:$I,Z$2)+SUMIFS(d_sched!$M:$M,d_sched!$D:$D,$A10,d_sched!$K:$K,Z$2))</f>
        <v>1.633732119620896</v>
      </c>
      <c r="AA10">
        <f>IF($A10=AA$2,0,SUMIFS(d_sched!$M:$M,d_sched!$D:$D,$A10,d_sched!$I:$I,AA$2)+SUMIFS(d_sched!$M:$M,d_sched!$D:$D,$A10,d_sched!$K:$K,AA$2))</f>
        <v>1.441247904278987</v>
      </c>
      <c r="AB10">
        <f>IF($A10=AB$2,0,SUMIFS(d_sched!$M:$M,d_sched!$D:$D,$A10,d_sched!$I:$I,AB$2)+SUMIFS(d_sched!$M:$M,d_sched!$D:$D,$A10,d_sched!$K:$K,AB$2))</f>
        <v>2.3084505378512636</v>
      </c>
      <c r="AC10">
        <f>IF($A10=AC$2,0,SUMIFS(d_sched!$M:$M,d_sched!$D:$D,$A10,d_sched!$I:$I,AC$2)+SUMIFS(d_sched!$M:$M,d_sched!$D:$D,$A10,d_sched!$K:$K,AC$2))</f>
        <v>0.76919729154377459</v>
      </c>
      <c r="AD10">
        <f>IF($A10=AD$2,0,SUMIFS(d_sched!$M:$M,d_sched!$D:$D,$A10,d_sched!$I:$I,AD$2)+SUMIFS(d_sched!$M:$M,d_sched!$D:$D,$A10,d_sched!$K:$K,AD$2))</f>
        <v>2.4435240179576749</v>
      </c>
      <c r="AE10">
        <f>IF($A10=AE$2,0,SUMIFS(d_sched!$M:$M,d_sched!$D:$D,$A10,d_sched!$I:$I,AE$2)+SUMIFS(d_sched!$M:$M,d_sched!$D:$D,$A10,d_sched!$K:$K,AE$2))</f>
        <v>0.83517226756349949</v>
      </c>
      <c r="AG10">
        <f>ROUND(SUM(B10:AE10),2)</f>
        <v>39.33</v>
      </c>
      <c r="AH10">
        <f>VLOOKUP($A10,p_win_totals!$D$2:$J$31,6,0)</f>
        <v>40</v>
      </c>
      <c r="AI10">
        <f>VLOOKUP($A10,d_win_totals!$E$2:$K$31,3,0)</f>
        <v>30</v>
      </c>
      <c r="AJ10">
        <f t="shared" si="0"/>
        <v>20</v>
      </c>
      <c r="AK10">
        <f>VLOOKUP($A10,p_win_totals!$D$2:$J$31,7,0)</f>
        <v>18</v>
      </c>
      <c r="AL10">
        <f>VLOOKUP($A10,d_win_totals!$E$2:$K$31,6,0)</f>
        <v>18</v>
      </c>
      <c r="AM10">
        <f t="shared" si="1"/>
        <v>-2</v>
      </c>
      <c r="AN10">
        <f t="shared" si="2"/>
        <v>2</v>
      </c>
      <c r="AO10">
        <f t="shared" si="3"/>
        <v>4</v>
      </c>
    </row>
    <row r="11" spans="1:41" x14ac:dyDescent="0.25">
      <c r="A11" t="s">
        <v>33</v>
      </c>
      <c r="B11">
        <f>IF($A11=B$2,0,SUMIFS(d_sched!$M:$M,d_sched!$D:$D,$A11,d_sched!$I:$I,B$2)+SUMIFS(d_sched!$M:$M,d_sched!$D:$D,$A11,d_sched!$K:$K,B$2))</f>
        <v>1.6661216674466384</v>
      </c>
      <c r="C11">
        <f>IF($A11=C$2,0,SUMIFS(d_sched!$M:$M,d_sched!$D:$D,$A11,d_sched!$I:$I,C$2)+SUMIFS(d_sched!$M:$M,d_sched!$D:$D,$A11,d_sched!$K:$K,C$2))</f>
        <v>1.3656958327987974</v>
      </c>
      <c r="D11">
        <f>IF($A11=D$2,0,SUMIFS(d_sched!$M:$M,d_sched!$D:$D,$A11,d_sched!$I:$I,D$2)+SUMIFS(d_sched!$M:$M,d_sched!$D:$D,$A11,d_sched!$K:$K,D$2))</f>
        <v>1.86486466275151</v>
      </c>
      <c r="E11">
        <f>IF($A11=E$2,0,SUMIFS(d_sched!$M:$M,d_sched!$D:$D,$A11,d_sched!$I:$I,E$2)+SUMIFS(d_sched!$M:$M,d_sched!$D:$D,$A11,d_sched!$K:$K,E$2))</f>
        <v>1.5769322455342165</v>
      </c>
      <c r="F11">
        <f>IF($A11=F$2,0,SUMIFS(d_sched!$M:$M,d_sched!$D:$D,$A11,d_sched!$I:$I,F$2)+SUMIFS(d_sched!$M:$M,d_sched!$D:$D,$A11,d_sched!$K:$K,F$2))</f>
        <v>1.2801814001298235</v>
      </c>
      <c r="G11">
        <f>IF($A11=G$2,0,SUMIFS(d_sched!$M:$M,d_sched!$D:$D,$A11,d_sched!$I:$I,G$2)+SUMIFS(d_sched!$M:$M,d_sched!$D:$D,$A11,d_sched!$K:$K,G$2))</f>
        <v>1.2445819210134679</v>
      </c>
      <c r="H11">
        <f>IF($A11=H$2,0,SUMIFS(d_sched!$M:$M,d_sched!$D:$D,$A11,d_sched!$I:$I,H$2)+SUMIFS(d_sched!$M:$M,d_sched!$D:$D,$A11,d_sched!$K:$K,H$2))</f>
        <v>0.68614700772351245</v>
      </c>
      <c r="I11">
        <f>IF($A11=I$2,0,SUMIFS(d_sched!$M:$M,d_sched!$D:$D,$A11,d_sched!$I:$I,I$2)+SUMIFS(d_sched!$M:$M,d_sched!$D:$D,$A11,d_sched!$K:$K,I$2))</f>
        <v>0.91046388853253157</v>
      </c>
      <c r="J11">
        <f>IF($A11=J$2,0,SUMIFS(d_sched!$M:$M,d_sched!$D:$D,$A11,d_sched!$I:$I,J$2)+SUMIFS(d_sched!$M:$M,d_sched!$D:$D,$A11,d_sched!$K:$K,J$2))</f>
        <v>0</v>
      </c>
      <c r="K11">
        <f>IF($A11=K$2,0,SUMIFS(d_sched!$M:$M,d_sched!$D:$D,$A11,d_sched!$I:$I,K$2)+SUMIFS(d_sched!$M:$M,d_sched!$D:$D,$A11,d_sched!$K:$K,K$2))</f>
        <v>0.67317622770617713</v>
      </c>
      <c r="L11">
        <f>IF($A11=L$2,0,SUMIFS(d_sched!$M:$M,d_sched!$D:$D,$A11,d_sched!$I:$I,L$2)+SUMIFS(d_sched!$M:$M,d_sched!$D:$D,$A11,d_sched!$K:$K,L$2))</f>
        <v>0.74933547178230209</v>
      </c>
      <c r="M11">
        <f>IF($A11=M$2,0,SUMIFS(d_sched!$M:$M,d_sched!$D:$D,$A11,d_sched!$I:$I,M$2)+SUMIFS(d_sched!$M:$M,d_sched!$D:$D,$A11,d_sched!$K:$K,M$2))</f>
        <v>2.0645404368039175</v>
      </c>
      <c r="N11">
        <f>IF($A11=N$2,0,SUMIFS(d_sched!$M:$M,d_sched!$D:$D,$A11,d_sched!$I:$I,N$2)+SUMIFS(d_sched!$M:$M,d_sched!$D:$D,$A11,d_sched!$K:$K,N$2))</f>
        <v>0.62229096050673394</v>
      </c>
      <c r="O11">
        <f>IF($A11=O$2,0,SUMIFS(d_sched!$M:$M,d_sched!$D:$D,$A11,d_sched!$I:$I,O$2)+SUMIFS(d_sched!$M:$M,d_sched!$D:$D,$A11,d_sched!$K:$K,O$2))</f>
        <v>1.0655949403356677</v>
      </c>
      <c r="P11">
        <f>IF($A11=P$2,0,SUMIFS(d_sched!$M:$M,d_sched!$D:$D,$A11,d_sched!$I:$I,P$2)+SUMIFS(d_sched!$M:$M,d_sched!$D:$D,$A11,d_sched!$K:$K,P$2))</f>
        <v>0.71536493685582736</v>
      </c>
      <c r="Q11">
        <f>IF($A11=Q$2,0,SUMIFS(d_sched!$M:$M,d_sched!$D:$D,$A11,d_sched!$I:$I,Q$2)+SUMIFS(d_sched!$M:$M,d_sched!$D:$D,$A11,d_sched!$K:$K,Q$2))</f>
        <v>1.2151004190524071</v>
      </c>
      <c r="R11">
        <f>IF($A11=R$2,0,SUMIFS(d_sched!$M:$M,d_sched!$D:$D,$A11,d_sched!$I:$I,R$2)+SUMIFS(d_sched!$M:$M,d_sched!$D:$D,$A11,d_sched!$K:$K,R$2))</f>
        <v>2.4135387280989593</v>
      </c>
      <c r="S11">
        <f>IF($A11=S$2,0,SUMIFS(d_sched!$M:$M,d_sched!$D:$D,$A11,d_sched!$I:$I,S$2)+SUMIFS(d_sched!$M:$M,d_sched!$D:$D,$A11,d_sched!$K:$K,S$2))</f>
        <v>1.2432431085010067</v>
      </c>
      <c r="T11">
        <f>IF($A11=T$2,0,SUMIFS(d_sched!$M:$M,d_sched!$D:$D,$A11,d_sched!$I:$I,T$2)+SUMIFS(d_sched!$M:$M,d_sched!$D:$D,$A11,d_sched!$K:$K,T$2))</f>
        <v>0.88326688683593013</v>
      </c>
      <c r="U11">
        <f>IF($A11=U$2,0,SUMIFS(d_sched!$M:$M,d_sched!$D:$D,$A11,d_sched!$I:$I,U$2)+SUMIFS(d_sched!$M:$M,d_sched!$D:$D,$A11,d_sched!$K:$K,U$2))</f>
        <v>1.8209277770650631</v>
      </c>
      <c r="V11">
        <f>IF($A11=V$2,0,SUMIFS(d_sched!$M:$M,d_sched!$D:$D,$A11,d_sched!$I:$I,V$2)+SUMIFS(d_sched!$M:$M,d_sched!$D:$D,$A11,d_sched!$K:$K,V$2))</f>
        <v>0.66121708543638391</v>
      </c>
      <c r="W11">
        <f>IF($A11=W$2,0,SUMIFS(d_sched!$M:$M,d_sched!$D:$D,$A11,d_sched!$I:$I,W$2)+SUMIFS(d_sched!$M:$M,d_sched!$D:$D,$A11,d_sched!$K:$K,W$2))</f>
        <v>2.2698090446163053</v>
      </c>
      <c r="X11">
        <f>IF($A11=X$2,0,SUMIFS(d_sched!$M:$M,d_sched!$D:$D,$A11,d_sched!$I:$I,X$2)+SUMIFS(d_sched!$M:$M,d_sched!$D:$D,$A11,d_sched!$K:$K,X$2))</f>
        <v>2.6327526809765924</v>
      </c>
      <c r="Y11">
        <f>IF($A11=Y$2,0,SUMIFS(d_sched!$M:$M,d_sched!$D:$D,$A11,d_sched!$I:$I,Y$2)+SUMIFS(d_sched!$M:$M,d_sched!$D:$D,$A11,d_sched!$K:$K,Y$2))</f>
        <v>0.83306083372331918</v>
      </c>
      <c r="Z11">
        <f>IF($A11=Z$2,0,SUMIFS(d_sched!$M:$M,d_sched!$D:$D,$A11,d_sched!$I:$I,Z$2)+SUMIFS(d_sched!$M:$M,d_sched!$D:$D,$A11,d_sched!$K:$K,Z$2))</f>
        <v>0.73172881797839862</v>
      </c>
      <c r="AA11">
        <f>IF($A11=AA$2,0,SUMIFS(d_sched!$M:$M,d_sched!$D:$D,$A11,d_sched!$I:$I,AA$2)+SUMIFS(d_sched!$M:$M,d_sched!$D:$D,$A11,d_sched!$K:$K,AA$2))</f>
        <v>0.64009070006491176</v>
      </c>
      <c r="AB11">
        <f>IF($A11=AB$2,0,SUMIFS(d_sched!$M:$M,d_sched!$D:$D,$A11,d_sched!$I:$I,AB$2)+SUMIFS(d_sched!$M:$M,d_sched!$D:$D,$A11,d_sched!$K:$K,AB$2))</f>
        <v>1.0655949403356677</v>
      </c>
      <c r="AC11">
        <f>IF($A11=AC$2,0,SUMIFS(d_sched!$M:$M,d_sched!$D:$D,$A11,d_sched!$I:$I,AC$2)+SUMIFS(d_sched!$M:$M,d_sched!$D:$D,$A11,d_sched!$K:$K,AC$2))</f>
        <v>1.3722940154470249</v>
      </c>
      <c r="AD11">
        <f>IF($A11=AD$2,0,SUMIFS(d_sched!$M:$M,d_sched!$D:$D,$A11,d_sched!$I:$I,AD$2)+SUMIFS(d_sched!$M:$M,d_sched!$D:$D,$A11,d_sched!$K:$K,AD$2))</f>
        <v>1.1349045223081526</v>
      </c>
      <c r="AE11">
        <f>IF($A11=AE$2,0,SUMIFS(d_sched!$M:$M,d_sched!$D:$D,$A11,d_sched!$I:$I,AE$2)+SUMIFS(d_sched!$M:$M,d_sched!$D:$D,$A11,d_sched!$K:$K,AE$2))</f>
        <v>1.1240032076734532</v>
      </c>
      <c r="AG11">
        <f>ROUND(SUM(B11:AE11),2)</f>
        <v>36.53</v>
      </c>
      <c r="AH11">
        <f>VLOOKUP($A11,p_win_totals!$D$2:$J$31,6,0)</f>
        <v>34</v>
      </c>
      <c r="AI11">
        <f>VLOOKUP($A11,d_win_totals!$E$2:$K$31,3,0)</f>
        <v>32</v>
      </c>
      <c r="AJ11">
        <f t="shared" si="0"/>
        <v>21</v>
      </c>
      <c r="AK11">
        <f>VLOOKUP($A11,p_win_totals!$D$2:$J$31,7,0)</f>
        <v>21</v>
      </c>
      <c r="AL11">
        <f>VLOOKUP($A11,d_win_totals!$E$2:$K$31,6,0)</f>
        <v>21</v>
      </c>
      <c r="AM11">
        <f t="shared" si="1"/>
        <v>0</v>
      </c>
      <c r="AN11">
        <f t="shared" si="2"/>
        <v>0</v>
      </c>
      <c r="AO11">
        <f t="shared" si="3"/>
        <v>0</v>
      </c>
    </row>
    <row r="12" spans="1:41" x14ac:dyDescent="0.25">
      <c r="A12" t="s">
        <v>36</v>
      </c>
      <c r="B12">
        <f>IF($A12=B$2,0,SUMIFS(d_sched!$M:$M,d_sched!$D:$D,$A12,d_sched!$I:$I,B$2)+SUMIFS(d_sched!$M:$M,d_sched!$D:$D,$A12,d_sched!$K:$K,B$2))</f>
        <v>1.1691112638196091</v>
      </c>
      <c r="C12">
        <f>IF($A12=C$2,0,SUMIFS(d_sched!$M:$M,d_sched!$D:$D,$A12,d_sched!$I:$I,C$2)+SUMIFS(d_sched!$M:$M,d_sched!$D:$D,$A12,d_sched!$K:$K,C$2))</f>
        <v>1.244440611481255</v>
      </c>
      <c r="D12">
        <f>IF($A12=D$2,0,SUMIFS(d_sched!$M:$M,d_sched!$D:$D,$A12,d_sched!$I:$I,D$2)+SUMIFS(d_sched!$M:$M,d_sched!$D:$D,$A12,d_sched!$K:$K,D$2))</f>
        <v>1.5280853471015794</v>
      </c>
      <c r="E12">
        <f>IF($A12=E$2,0,SUMIFS(d_sched!$M:$M,d_sched!$D:$D,$A12,d_sched!$I:$I,E$2)+SUMIFS(d_sched!$M:$M,d_sched!$D:$D,$A12,d_sched!$K:$K,E$2))</f>
        <v>1.1238523398454745</v>
      </c>
      <c r="F12">
        <f>IF($A12=F$2,0,SUMIFS(d_sched!$M:$M,d_sched!$D:$D,$A12,d_sched!$I:$I,F$2)+SUMIFS(d_sched!$M:$M,d_sched!$D:$D,$A12,d_sched!$K:$K,F$2))</f>
        <v>0.96250392469237589</v>
      </c>
      <c r="G12">
        <f>IF($A12=G$2,0,SUMIFS(d_sched!$M:$M,d_sched!$D:$D,$A12,d_sched!$I:$I,G$2)+SUMIFS(d_sched!$M:$M,d_sched!$D:$D,$A12,d_sched!$K:$K,G$2))</f>
        <v>0.94194862140551217</v>
      </c>
      <c r="H12">
        <f>IF($A12=H$2,0,SUMIFS(d_sched!$M:$M,d_sched!$D:$D,$A12,d_sched!$I:$I,H$2)+SUMIFS(d_sched!$M:$M,d_sched!$D:$D,$A12,d_sched!$K:$K,H$2))</f>
        <v>2.0289066484862937</v>
      </c>
      <c r="I12">
        <f>IF($A12=I$2,0,SUMIFS(d_sched!$M:$M,d_sched!$D:$D,$A12,d_sched!$I:$I,I$2)+SUMIFS(d_sched!$M:$M,d_sched!$D:$D,$A12,d_sched!$K:$K,I$2))</f>
        <v>1.8666609172218824</v>
      </c>
      <c r="J12">
        <f>IF($A12=J$2,0,SUMIFS(d_sched!$M:$M,d_sched!$D:$D,$A12,d_sched!$I:$I,J$2)+SUMIFS(d_sched!$M:$M,d_sched!$D:$D,$A12,d_sched!$K:$K,J$2))</f>
        <v>1.3268237722938228</v>
      </c>
      <c r="K12">
        <f>IF($A12=K$2,0,SUMIFS(d_sched!$M:$M,d_sched!$D:$D,$A12,d_sched!$I:$I,K$2)+SUMIFS(d_sched!$M:$M,d_sched!$D:$D,$A12,d_sched!$K:$K,K$2))</f>
        <v>0</v>
      </c>
      <c r="L12">
        <f>IF($A12=L$2,0,SUMIFS(d_sched!$M:$M,d_sched!$D:$D,$A12,d_sched!$I:$I,L$2)+SUMIFS(d_sched!$M:$M,d_sched!$D:$D,$A12,d_sched!$K:$K,L$2))</f>
        <v>2.1659103856994872</v>
      </c>
      <c r="M12">
        <f>IF($A12=M$2,0,SUMIFS(d_sched!$M:$M,d_sched!$D:$D,$A12,d_sched!$I:$I,M$2)+SUMIFS(d_sched!$M:$M,d_sched!$D:$D,$A12,d_sched!$K:$K,M$2))</f>
        <v>1.3553462692552929</v>
      </c>
      <c r="N12">
        <f>IF($A12=N$2,0,SUMIFS(d_sched!$M:$M,d_sched!$D:$D,$A12,d_sched!$I:$I,N$2)+SUMIFS(d_sched!$M:$M,d_sched!$D:$D,$A12,d_sched!$K:$K,N$2))</f>
        <v>1.8838972428110243</v>
      </c>
      <c r="O12">
        <f>IF($A12=O$2,0,SUMIFS(d_sched!$M:$M,d_sched!$D:$D,$A12,d_sched!$I:$I,O$2)+SUMIFS(d_sched!$M:$M,d_sched!$D:$D,$A12,d_sched!$K:$K,O$2))</f>
        <v>2.7683652224961697</v>
      </c>
      <c r="P12">
        <f>IF($A12=P$2,0,SUMIFS(d_sched!$M:$M,d_sched!$D:$D,$A12,d_sched!$I:$I,P$2)+SUMIFS(d_sched!$M:$M,d_sched!$D:$D,$A12,d_sched!$K:$K,P$2))</f>
        <v>1.5697738073978935</v>
      </c>
      <c r="Q12">
        <f>IF($A12=Q$2,0,SUMIFS(d_sched!$M:$M,d_sched!$D:$D,$A12,d_sched!$I:$I,Q$2)+SUMIFS(d_sched!$M:$M,d_sched!$D:$D,$A12,d_sched!$K:$K,Q$2))</f>
        <v>1.1459505454860521</v>
      </c>
      <c r="R12">
        <f>IF($A12=R$2,0,SUMIFS(d_sched!$M:$M,d_sched!$D:$D,$A12,d_sched!$I:$I,R$2)+SUMIFS(d_sched!$M:$M,d_sched!$D:$D,$A12,d_sched!$K:$K,R$2))</f>
        <v>1.4998169355398807</v>
      </c>
      <c r="S12">
        <f>IF($A12=S$2,0,SUMIFS(d_sched!$M:$M,d_sched!$D:$D,$A12,d_sched!$I:$I,S$2)+SUMIFS(d_sched!$M:$M,d_sched!$D:$D,$A12,d_sched!$K:$K,S$2))</f>
        <v>3.0561706942031588</v>
      </c>
      <c r="T12">
        <f>IF($A12=T$2,0,SUMIFS(d_sched!$M:$M,d_sched!$D:$D,$A12,d_sched!$I:$I,T$2)+SUMIFS(d_sched!$M:$M,d_sched!$D:$D,$A12,d_sched!$K:$K,T$2))</f>
        <v>2.4368475577566389</v>
      </c>
      <c r="U12">
        <f>IF($A12=U$2,0,SUMIFS(d_sched!$M:$M,d_sched!$D:$D,$A12,d_sched!$I:$I,U$2)+SUMIFS(d_sched!$M:$M,d_sched!$D:$D,$A12,d_sched!$K:$K,U$2))</f>
        <v>1.244440611481255</v>
      </c>
      <c r="V12">
        <f>IF($A12=V$2,0,SUMIFS(d_sched!$M:$M,d_sched!$D:$D,$A12,d_sched!$I:$I,V$2)+SUMIFS(d_sched!$M:$M,d_sched!$D:$D,$A12,d_sched!$K:$K,V$2))</f>
        <v>1.9731036943668456</v>
      </c>
      <c r="W12">
        <f>IF($A12=W$2,0,SUMIFS(d_sched!$M:$M,d_sched!$D:$D,$A12,d_sched!$I:$I,W$2)+SUMIFS(d_sched!$M:$M,d_sched!$D:$D,$A12,d_sched!$K:$K,W$2))</f>
        <v>1.4422303560457261</v>
      </c>
      <c r="X12">
        <f>IF($A12=X$2,0,SUMIFS(d_sched!$M:$M,d_sched!$D:$D,$A12,d_sched!$I:$I,X$2)+SUMIFS(d_sched!$M:$M,d_sched!$D:$D,$A12,d_sched!$K:$K,X$2))</f>
        <v>1.5829259702259366</v>
      </c>
      <c r="Y12">
        <f>IF($A12=Y$2,0,SUMIFS(d_sched!$M:$M,d_sched!$D:$D,$A12,d_sched!$I:$I,Y$2)+SUMIFS(d_sched!$M:$M,d_sched!$D:$D,$A12,d_sched!$K:$K,Y$2))</f>
        <v>2.3382225276392181</v>
      </c>
      <c r="Z12">
        <f>IF($A12=Z$2,0,SUMIFS(d_sched!$M:$M,d_sched!$D:$D,$A12,d_sched!$I:$I,Z$2)+SUMIFS(d_sched!$M:$M,d_sched!$D:$D,$A12,d_sched!$K:$K,Z$2))</f>
        <v>1.5962695491485479</v>
      </c>
      <c r="AA12">
        <f>IF($A12=AA$2,0,SUMIFS(d_sched!$M:$M,d_sched!$D:$D,$A12,d_sched!$I:$I,AA$2)+SUMIFS(d_sched!$M:$M,d_sched!$D:$D,$A12,d_sched!$K:$K,AA$2))</f>
        <v>1.4437558870385638</v>
      </c>
      <c r="AB12">
        <f>IF($A12=AB$2,0,SUMIFS(d_sched!$M:$M,d_sched!$D:$D,$A12,d_sched!$I:$I,AB$2)+SUMIFS(d_sched!$M:$M,d_sched!$D:$D,$A12,d_sched!$K:$K,AB$2))</f>
        <v>2.7683652224961697</v>
      </c>
      <c r="AC12">
        <f>IF($A12=AC$2,0,SUMIFS(d_sched!$M:$M,d_sched!$D:$D,$A12,d_sched!$I:$I,AC$2)+SUMIFS(d_sched!$M:$M,d_sched!$D:$D,$A12,d_sched!$K:$K,AC$2))</f>
        <v>1.0144533242431468</v>
      </c>
      <c r="AD12">
        <f>IF($A12=AD$2,0,SUMIFS(d_sched!$M:$M,d_sched!$D:$D,$A12,d_sched!$I:$I,AD$2)+SUMIFS(d_sched!$M:$M,d_sched!$D:$D,$A12,d_sched!$K:$K,AD$2))</f>
        <v>2.8844607120914523</v>
      </c>
      <c r="AE12">
        <f>IF($A12=AE$2,0,SUMIFS(d_sched!$M:$M,d_sched!$D:$D,$A12,d_sched!$I:$I,AE$2)+SUMIFS(d_sched!$M:$M,d_sched!$D:$D,$A12,d_sched!$K:$K,AE$2))</f>
        <v>1.0829551928497436</v>
      </c>
      <c r="AG12">
        <f>ROUND(SUM(B12:AE12),2)</f>
        <v>49.45</v>
      </c>
      <c r="AH12">
        <f>VLOOKUP($A12,p_win_totals!$D$2:$J$31,6,0)</f>
        <v>53</v>
      </c>
      <c r="AI12">
        <f>VLOOKUP($A12,d_win_totals!$E$2:$K$31,3,0)</f>
        <v>67</v>
      </c>
      <c r="AJ12">
        <f t="shared" si="0"/>
        <v>6</v>
      </c>
      <c r="AK12">
        <f>VLOOKUP($A12,p_win_totals!$D$2:$J$31,7,0)</f>
        <v>6</v>
      </c>
      <c r="AL12">
        <f>VLOOKUP($A12,d_win_totals!$E$2:$K$31,6,0)</f>
        <v>6</v>
      </c>
      <c r="AM12">
        <f t="shared" si="1"/>
        <v>0</v>
      </c>
      <c r="AN12">
        <f t="shared" si="2"/>
        <v>0</v>
      </c>
      <c r="AO12">
        <f t="shared" si="3"/>
        <v>0</v>
      </c>
    </row>
    <row r="13" spans="1:41" x14ac:dyDescent="0.25">
      <c r="A13" t="s">
        <v>16</v>
      </c>
      <c r="B13">
        <f>IF($A13=B$2,0,SUMIFS(d_sched!$M:$M,d_sched!$D:$D,$A13,d_sched!$I:$I,B$2)+SUMIFS(d_sched!$M:$M,d_sched!$D:$D,$A13,d_sched!$K:$K,B$2))</f>
        <v>1.0873819220259404</v>
      </c>
      <c r="C13">
        <f>IF($A13=C$2,0,SUMIFS(d_sched!$M:$M,d_sched!$D:$D,$A13,d_sched!$I:$I,C$2)+SUMIFS(d_sched!$M:$M,d_sched!$D:$D,$A13,d_sched!$K:$K,C$2))</f>
        <v>1.1648277324365004</v>
      </c>
      <c r="D13">
        <f>IF($A13=D$2,0,SUMIFS(d_sched!$M:$M,d_sched!$D:$D,$A13,d_sched!$I:$I,D$2)+SUMIFS(d_sched!$M:$M,d_sched!$D:$D,$A13,d_sched!$K:$K,D$2))</f>
        <v>1.4655235403462381</v>
      </c>
      <c r="E13">
        <f>IF($A13=E$2,0,SUMIFS(d_sched!$M:$M,d_sched!$D:$D,$A13,d_sched!$I:$I,E$2)+SUMIFS(d_sched!$M:$M,d_sched!$D:$D,$A13,d_sched!$K:$K,E$2))</f>
        <v>1.0413216941280561</v>
      </c>
      <c r="F13">
        <f>IF($A13=F$2,0,SUMIFS(d_sched!$M:$M,d_sched!$D:$D,$A13,d_sched!$I:$I,F$2)+SUMIFS(d_sched!$M:$M,d_sched!$D:$D,$A13,d_sched!$K:$K,F$2))</f>
        <v>0.87992223303531203</v>
      </c>
      <c r="G13">
        <f>IF($A13=G$2,0,SUMIFS(d_sched!$M:$M,d_sched!$D:$D,$A13,d_sched!$I:$I,G$2)+SUMIFS(d_sched!$M:$M,d_sched!$D:$D,$A13,d_sched!$K:$K,G$2))</f>
        <v>0.85966921437089494</v>
      </c>
      <c r="H13">
        <f>IF($A13=H$2,0,SUMIFS(d_sched!$M:$M,d_sched!$D:$D,$A13,d_sched!$I:$I,H$2)+SUMIFS(d_sched!$M:$M,d_sched!$D:$D,$A13,d_sched!$K:$K,H$2))</f>
        <v>1.862831801092879</v>
      </c>
      <c r="I13">
        <f>IF($A13=I$2,0,SUMIFS(d_sched!$M:$M,d_sched!$D:$D,$A13,d_sched!$I:$I,I$2)+SUMIFS(d_sched!$M:$M,d_sched!$D:$D,$A13,d_sched!$K:$K,I$2))</f>
        <v>2.3296554648730008</v>
      </c>
      <c r="J13">
        <f>IF($A13=J$2,0,SUMIFS(d_sched!$M:$M,d_sched!$D:$D,$A13,d_sched!$I:$I,J$2)+SUMIFS(d_sched!$M:$M,d_sched!$D:$D,$A13,d_sched!$K:$K,J$2))</f>
        <v>1.2506645282176978</v>
      </c>
      <c r="K13">
        <f>IF($A13=K$2,0,SUMIFS(d_sched!$M:$M,d_sched!$D:$D,$A13,d_sched!$I:$I,K$2)+SUMIFS(d_sched!$M:$M,d_sched!$D:$D,$A13,d_sched!$K:$K,K$2))</f>
        <v>1.834089614300513</v>
      </c>
      <c r="L13">
        <f>IF($A13=L$2,0,SUMIFS(d_sched!$M:$M,d_sched!$D:$D,$A13,d_sched!$I:$I,L$2)+SUMIFS(d_sched!$M:$M,d_sched!$D:$D,$A13,d_sched!$K:$K,L$2))</f>
        <v>0</v>
      </c>
      <c r="M13">
        <f>IF($A13=M$2,0,SUMIFS(d_sched!$M:$M,d_sched!$D:$D,$A13,d_sched!$I:$I,M$2)+SUMIFS(d_sched!$M:$M,d_sched!$D:$D,$A13,d_sched!$K:$K,M$2))</f>
        <v>1.2806644521270794</v>
      </c>
      <c r="N13">
        <f>IF($A13=N$2,0,SUMIFS(d_sched!$M:$M,d_sched!$D:$D,$A13,d_sched!$I:$I,N$2)+SUMIFS(d_sched!$M:$M,d_sched!$D:$D,$A13,d_sched!$K:$K,N$2))</f>
        <v>1.7193384287417899</v>
      </c>
      <c r="O13">
        <f>IF($A13=O$2,0,SUMIFS(d_sched!$M:$M,d_sched!$D:$D,$A13,d_sched!$I:$I,O$2)+SUMIFS(d_sched!$M:$M,d_sched!$D:$D,$A13,d_sched!$K:$K,O$2))</f>
        <v>1.966715317995174</v>
      </c>
      <c r="P13">
        <f>IF($A13=P$2,0,SUMIFS(d_sched!$M:$M,d_sched!$D:$D,$A13,d_sched!$I:$I,P$2)+SUMIFS(d_sched!$M:$M,d_sched!$D:$D,$A13,d_sched!$K:$K,P$2))</f>
        <v>1.9268390489141922</v>
      </c>
      <c r="Q13">
        <f>IF($A13=Q$2,0,SUMIFS(d_sched!$M:$M,d_sched!$D:$D,$A13,d_sched!$I:$I,Q$2)+SUMIFS(d_sched!$M:$M,d_sched!$D:$D,$A13,d_sched!$K:$K,Q$2))</f>
        <v>1.0637674073153836</v>
      </c>
      <c r="R13">
        <f>IF($A13=R$2,0,SUMIFS(d_sched!$M:$M,d_sched!$D:$D,$A13,d_sched!$I:$I,R$2)+SUMIFS(d_sched!$M:$M,d_sched!$D:$D,$A13,d_sched!$K:$K,R$2))</f>
        <v>1.4348934743505717</v>
      </c>
      <c r="S13">
        <f>IF($A13=S$2,0,SUMIFS(d_sched!$M:$M,d_sched!$D:$D,$A13,d_sched!$I:$I,S$2)+SUMIFS(d_sched!$M:$M,d_sched!$D:$D,$A13,d_sched!$K:$K,S$2))</f>
        <v>2.9310470806924762</v>
      </c>
      <c r="T13">
        <f>IF($A13=T$2,0,SUMIFS(d_sched!$M:$M,d_sched!$D:$D,$A13,d_sched!$I:$I,T$2)+SUMIFS(d_sched!$M:$M,d_sched!$D:$D,$A13,d_sched!$K:$K,T$2))</f>
        <v>2.2759369809192078</v>
      </c>
      <c r="U13">
        <f>IF($A13=U$2,0,SUMIFS(d_sched!$M:$M,d_sched!$D:$D,$A13,d_sched!$I:$I,U$2)+SUMIFS(d_sched!$M:$M,d_sched!$D:$D,$A13,d_sched!$K:$K,U$2))</f>
        <v>1.1648277324365004</v>
      </c>
      <c r="V13">
        <f>IF($A13=V$2,0,SUMIFS(d_sched!$M:$M,d_sched!$D:$D,$A13,d_sched!$I:$I,V$2)+SUMIFS(d_sched!$M:$M,d_sched!$D:$D,$A13,d_sched!$K:$K,V$2))</f>
        <v>1.3555561222398276</v>
      </c>
      <c r="W13">
        <f>IF($A13=W$2,0,SUMIFS(d_sched!$M:$M,d_sched!$D:$D,$A13,d_sched!$I:$I,W$2)+SUMIFS(d_sched!$M:$M,d_sched!$D:$D,$A13,d_sched!$K:$K,W$2))</f>
        <v>1.3729572120751616</v>
      </c>
      <c r="X13">
        <f>IF($A13=X$2,0,SUMIFS(d_sched!$M:$M,d_sched!$D:$D,$A13,d_sched!$I:$I,X$2)+SUMIFS(d_sched!$M:$M,d_sched!$D:$D,$A13,d_sched!$K:$K,X$2))</f>
        <v>1.5253762585575723</v>
      </c>
      <c r="Y13">
        <f>IF($A13=Y$2,0,SUMIFS(d_sched!$M:$M,d_sched!$D:$D,$A13,d_sched!$I:$I,Y$2)+SUMIFS(d_sched!$M:$M,d_sched!$D:$D,$A13,d_sched!$K:$K,Y$2))</f>
        <v>2.1747638440518808</v>
      </c>
      <c r="Z13">
        <f>IF($A13=Z$2,0,SUMIFS(d_sched!$M:$M,d_sched!$D:$D,$A13,d_sched!$I:$I,Z$2)+SUMIFS(d_sched!$M:$M,d_sched!$D:$D,$A13,d_sched!$K:$K,Z$2))</f>
        <v>1.4716860151043785</v>
      </c>
      <c r="AA13">
        <f>IF($A13=AA$2,0,SUMIFS(d_sched!$M:$M,d_sched!$D:$D,$A13,d_sched!$I:$I,AA$2)+SUMIFS(d_sched!$M:$M,d_sched!$D:$D,$A13,d_sched!$K:$K,AA$2))</f>
        <v>1.7598444660706241</v>
      </c>
      <c r="AB13">
        <f>IF($A13=AB$2,0,SUMIFS(d_sched!$M:$M,d_sched!$D:$D,$A13,d_sched!$I:$I,AB$2)+SUMIFS(d_sched!$M:$M,d_sched!$D:$D,$A13,d_sched!$K:$K,AB$2))</f>
        <v>1.966715317995174</v>
      </c>
      <c r="AC13">
        <f>IF($A13=AC$2,0,SUMIFS(d_sched!$M:$M,d_sched!$D:$D,$A13,d_sched!$I:$I,AC$2)+SUMIFS(d_sched!$M:$M,d_sched!$D:$D,$A13,d_sched!$K:$K,AC$2))</f>
        <v>0.93141590054643952</v>
      </c>
      <c r="AD13">
        <f>IF($A13=AD$2,0,SUMIFS(d_sched!$M:$M,d_sched!$D:$D,$A13,d_sched!$I:$I,AD$2)+SUMIFS(d_sched!$M:$M,d_sched!$D:$D,$A13,d_sched!$K:$K,AD$2))</f>
        <v>2.7459144241503233</v>
      </c>
      <c r="AE13">
        <f>IF($A13=AE$2,0,SUMIFS(d_sched!$M:$M,d_sched!$D:$D,$A13,d_sched!$I:$I,AE$2)+SUMIFS(d_sched!$M:$M,d_sched!$D:$D,$A13,d_sched!$K:$K,AE$2))</f>
        <v>1</v>
      </c>
      <c r="AG13">
        <f>ROUND(SUM(B13:AE13),2)</f>
        <v>45.84</v>
      </c>
      <c r="AH13">
        <f>VLOOKUP($A13,p_win_totals!$D$2:$J$31,6,0)</f>
        <v>48</v>
      </c>
      <c r="AI13">
        <f>VLOOKUP($A13,d_win_totals!$E$2:$K$31,3,0)</f>
        <v>56</v>
      </c>
      <c r="AJ13">
        <f t="shared" si="0"/>
        <v>12</v>
      </c>
      <c r="AK13">
        <f>VLOOKUP($A13,p_win_totals!$D$2:$J$31,7,0)</f>
        <v>11</v>
      </c>
      <c r="AL13">
        <f>VLOOKUP($A13,d_win_totals!$E$2:$K$31,6,0)</f>
        <v>7</v>
      </c>
      <c r="AM13">
        <f t="shared" si="1"/>
        <v>-5</v>
      </c>
      <c r="AN13">
        <f t="shared" si="2"/>
        <v>5</v>
      </c>
      <c r="AO13">
        <f t="shared" si="3"/>
        <v>25</v>
      </c>
    </row>
    <row r="14" spans="1:41" x14ac:dyDescent="0.25">
      <c r="A14" t="s">
        <v>20</v>
      </c>
      <c r="B14">
        <f>IF($A14=B$2,0,SUMIFS(d_sched!$M:$M,d_sched!$D:$D,$A14,d_sched!$I:$I,B$2)+SUMIFS(d_sched!$M:$M,d_sched!$D:$D,$A14,d_sched!$K:$K,B$2))</f>
        <v>1.2027870576538546</v>
      </c>
      <c r="C14">
        <f>IF($A14=C$2,0,SUMIFS(d_sched!$M:$M,d_sched!$D:$D,$A14,d_sched!$I:$I,C$2)+SUMIFS(d_sched!$M:$M,d_sched!$D:$D,$A14,d_sched!$K:$K,C$2))</f>
        <v>1.3178168959242857</v>
      </c>
      <c r="D14">
        <f>IF($A14=D$2,0,SUMIFS(d_sched!$M:$M,d_sched!$D:$D,$A14,d_sched!$I:$I,D$2)+SUMIFS(d_sched!$M:$M,d_sched!$D:$D,$A14,d_sched!$K:$K,D$2))</f>
        <v>2.4252840508579867</v>
      </c>
      <c r="E14">
        <f>IF($A14=E$2,0,SUMIFS(d_sched!$M:$M,d_sched!$D:$D,$A14,d_sched!$I:$I,E$2)+SUMIFS(d_sched!$M:$M,d_sched!$D:$D,$A14,d_sched!$K:$K,E$2))</f>
        <v>1.5156977740963622</v>
      </c>
      <c r="F14">
        <f>IF($A14=F$2,0,SUMIFS(d_sched!$M:$M,d_sched!$D:$D,$A14,d_sched!$I:$I,F$2)+SUMIFS(d_sched!$M:$M,d_sched!$D:$D,$A14,d_sched!$K:$K,F$2))</f>
        <v>1.2246461951184344</v>
      </c>
      <c r="G14">
        <f>IF($A14=G$2,0,SUMIFS(d_sched!$M:$M,d_sched!$D:$D,$A14,d_sched!$I:$I,G$2)+SUMIFS(d_sched!$M:$M,d_sched!$D:$D,$A14,d_sched!$K:$K,G$2))</f>
        <v>1.1899154054016725</v>
      </c>
      <c r="H14">
        <f>IF($A14=H$2,0,SUMIFS(d_sched!$M:$M,d_sched!$D:$D,$A14,d_sched!$I:$I,H$2)+SUMIFS(d_sched!$M:$M,d_sched!$D:$D,$A14,d_sched!$K:$K,H$2))</f>
        <v>0.65734721259621476</v>
      </c>
      <c r="I14">
        <f>IF($A14=I$2,0,SUMIFS(d_sched!$M:$M,d_sched!$D:$D,$A14,d_sched!$I:$I,I$2)+SUMIFS(d_sched!$M:$M,d_sched!$D:$D,$A14,d_sched!$K:$K,I$2))</f>
        <v>0.87854459728285716</v>
      </c>
      <c r="J14">
        <f>IF($A14=J$2,0,SUMIFS(d_sched!$M:$M,d_sched!$D:$D,$A14,d_sched!$I:$I,J$2)+SUMIFS(d_sched!$M:$M,d_sched!$D:$D,$A14,d_sched!$K:$K,J$2))</f>
        <v>1.9354595631960823</v>
      </c>
      <c r="K14">
        <f>IF($A14=K$2,0,SUMIFS(d_sched!$M:$M,d_sched!$D:$D,$A14,d_sched!$I:$I,K$2)+SUMIFS(d_sched!$M:$M,d_sched!$D:$D,$A14,d_sched!$K:$K,K$2))</f>
        <v>0.64465373074470722</v>
      </c>
      <c r="L14">
        <f>IF($A14=L$2,0,SUMIFS(d_sched!$M:$M,d_sched!$D:$D,$A14,d_sched!$I:$I,L$2)+SUMIFS(d_sched!$M:$M,d_sched!$D:$D,$A14,d_sched!$K:$K,L$2))</f>
        <v>0.71933554787292053</v>
      </c>
      <c r="M14">
        <f>IF($A14=M$2,0,SUMIFS(d_sched!$M:$M,d_sched!$D:$D,$A14,d_sched!$I:$I,M$2)+SUMIFS(d_sched!$M:$M,d_sched!$D:$D,$A14,d_sched!$K:$K,M$2))</f>
        <v>0</v>
      </c>
      <c r="N14">
        <f>IF($A14=N$2,0,SUMIFS(d_sched!$M:$M,d_sched!$D:$D,$A14,d_sched!$I:$I,N$2)+SUMIFS(d_sched!$M:$M,d_sched!$D:$D,$A14,d_sched!$K:$K,N$2))</f>
        <v>0.59495770270083626</v>
      </c>
      <c r="O14">
        <f>IF($A14=O$2,0,SUMIFS(d_sched!$M:$M,d_sched!$D:$D,$A14,d_sched!$I:$I,O$2)+SUMIFS(d_sched!$M:$M,d_sched!$D:$D,$A14,d_sched!$K:$K,O$2))</f>
        <v>1.0333954121081219</v>
      </c>
      <c r="P14">
        <f>IF($A14=P$2,0,SUMIFS(d_sched!$M:$M,d_sched!$D:$D,$A14,d_sched!$I:$I,P$2)+SUMIFS(d_sched!$M:$M,d_sched!$D:$D,$A14,d_sched!$K:$K,P$2))</f>
        <v>0.68597907465300234</v>
      </c>
      <c r="Q14">
        <f>IF($A14=Q$2,0,SUMIFS(d_sched!$M:$M,d_sched!$D:$D,$A14,d_sched!$I:$I,Q$2)+SUMIFS(d_sched!$M:$M,d_sched!$D:$D,$A14,d_sched!$K:$K,Q$2))</f>
        <v>1.5583007102194308</v>
      </c>
      <c r="R14">
        <f>IF($A14=R$2,0,SUMIFS(d_sched!$M:$M,d_sched!$D:$D,$A14,d_sched!$I:$I,R$2)+SUMIFS(d_sched!$M:$M,d_sched!$D:$D,$A14,d_sched!$K:$K,R$2))</f>
        <v>2.3513426223203022</v>
      </c>
      <c r="S14">
        <f>IF($A14=S$2,0,SUMIFS(d_sched!$M:$M,d_sched!$D:$D,$A14,d_sched!$I:$I,S$2)+SUMIFS(d_sched!$M:$M,d_sched!$D:$D,$A14,d_sched!$K:$K,S$2))</f>
        <v>1.2126420254289934</v>
      </c>
      <c r="T14">
        <f>IF($A14=T$2,0,SUMIFS(d_sched!$M:$M,d_sched!$D:$D,$A14,d_sched!$I:$I,T$2)+SUMIFS(d_sched!$M:$M,d_sched!$D:$D,$A14,d_sched!$K:$K,T$2))</f>
        <v>0.85155585797072175</v>
      </c>
      <c r="U14">
        <f>IF($A14=U$2,0,SUMIFS(d_sched!$M:$M,d_sched!$D:$D,$A14,d_sched!$I:$I,U$2)+SUMIFS(d_sched!$M:$M,d_sched!$D:$D,$A14,d_sched!$K:$K,U$2))</f>
        <v>1.7570891945657143</v>
      </c>
      <c r="V14">
        <f>IF($A14=V$2,0,SUMIFS(d_sched!$M:$M,d_sched!$D:$D,$A14,d_sched!$I:$I,V$2)+SUMIFS(d_sched!$M:$M,d_sched!$D:$D,$A14,d_sched!$K:$K,V$2))</f>
        <v>0.63295957271202075</v>
      </c>
      <c r="W14">
        <f>IF($A14=W$2,0,SUMIFS(d_sched!$M:$M,d_sched!$D:$D,$A14,d_sched!$I:$I,W$2)+SUMIFS(d_sched!$M:$M,d_sched!$D:$D,$A14,d_sched!$K:$K,W$2))</f>
        <v>1.6546245983380325</v>
      </c>
      <c r="X14">
        <f>IF($A14=X$2,0,SUMIFS(d_sched!$M:$M,d_sched!$D:$D,$A14,d_sched!$I:$I,X$2)+SUMIFS(d_sched!$M:$M,d_sched!$D:$D,$A14,d_sched!$K:$K,X$2))</f>
        <v>2.574073264457756</v>
      </c>
      <c r="Y14">
        <f>IF($A14=Y$2,0,SUMIFS(d_sched!$M:$M,d_sched!$D:$D,$A14,d_sched!$I:$I,Y$2)+SUMIFS(d_sched!$M:$M,d_sched!$D:$D,$A14,d_sched!$K:$K,Y$2))</f>
        <v>0.40092901921795154</v>
      </c>
      <c r="Z14">
        <f>IF($A14=Z$2,0,SUMIFS(d_sched!$M:$M,d_sched!$D:$D,$A14,d_sched!$I:$I,Z$2)+SUMIFS(d_sched!$M:$M,d_sched!$D:$D,$A14,d_sched!$K:$K,Z$2))</f>
        <v>0.70203810623546226</v>
      </c>
      <c r="AA14">
        <f>IF($A14=AA$2,0,SUMIFS(d_sched!$M:$M,d_sched!$D:$D,$A14,d_sched!$I:$I,AA$2)+SUMIFS(d_sched!$M:$M,d_sched!$D:$D,$A14,d_sched!$K:$K,AA$2))</f>
        <v>0.61232309755921721</v>
      </c>
      <c r="AB14">
        <f>IF($A14=AB$2,0,SUMIFS(d_sched!$M:$M,d_sched!$D:$D,$A14,d_sched!$I:$I,AB$2)+SUMIFS(d_sched!$M:$M,d_sched!$D:$D,$A14,d_sched!$K:$K,AB$2))</f>
        <v>1.0333954121081219</v>
      </c>
      <c r="AC14">
        <f>IF($A14=AC$2,0,SUMIFS(d_sched!$M:$M,d_sched!$D:$D,$A14,d_sched!$I:$I,AC$2)+SUMIFS(d_sched!$M:$M,d_sched!$D:$D,$A14,d_sched!$K:$K,AC$2))</f>
        <v>0.98602081889432214</v>
      </c>
      <c r="AD14">
        <f>IF($A14=AD$2,0,SUMIFS(d_sched!$M:$M,d_sched!$D:$D,$A14,d_sched!$I:$I,AD$2)+SUMIFS(d_sched!$M:$M,d_sched!$D:$D,$A14,d_sched!$K:$K,AD$2))</f>
        <v>1.1030830655586883</v>
      </c>
      <c r="AE14">
        <f>IF($A14=AE$2,0,SUMIFS(d_sched!$M:$M,d_sched!$D:$D,$A14,d_sched!$I:$I,AE$2)+SUMIFS(d_sched!$M:$M,d_sched!$D:$D,$A14,d_sched!$K:$K,AE$2))</f>
        <v>1.4386710957458411</v>
      </c>
      <c r="AG14">
        <f>ROUND(SUM(B14:AE14),2)</f>
        <v>34.89</v>
      </c>
      <c r="AH14">
        <f>VLOOKUP($A14,p_win_totals!$D$2:$J$31,6,0)</f>
        <v>33</v>
      </c>
      <c r="AI14">
        <f>VLOOKUP($A14,d_win_totals!$E$2:$K$31,3,0)</f>
        <v>38</v>
      </c>
      <c r="AJ14">
        <f t="shared" si="0"/>
        <v>22</v>
      </c>
      <c r="AK14">
        <f>VLOOKUP($A14,p_win_totals!$D$2:$J$31,7,0)</f>
        <v>22</v>
      </c>
      <c r="AL14">
        <f>VLOOKUP($A14,d_win_totals!$E$2:$K$31,6,0)</f>
        <v>22</v>
      </c>
      <c r="AM14">
        <f t="shared" si="1"/>
        <v>0</v>
      </c>
      <c r="AN14">
        <f t="shared" si="2"/>
        <v>0</v>
      </c>
      <c r="AO14">
        <f t="shared" si="3"/>
        <v>0</v>
      </c>
    </row>
    <row r="15" spans="1:41" x14ac:dyDescent="0.25">
      <c r="A15" t="s">
        <v>41</v>
      </c>
      <c r="B15">
        <f>IF($A15=B$2,0,SUMIFS(d_sched!$M:$M,d_sched!$D:$D,$A15,d_sched!$I:$I,B$2)+SUMIFS(d_sched!$M:$M,d_sched!$D:$D,$A15,d_sched!$K:$K,B$2))</f>
        <v>1.2249542347479434</v>
      </c>
      <c r="C15">
        <f>IF($A15=C$2,0,SUMIFS(d_sched!$M:$M,d_sched!$D:$D,$A15,d_sched!$I:$I,C$2)+SUMIFS(d_sched!$M:$M,d_sched!$D:$D,$A15,d_sched!$K:$K,C$2))</f>
        <v>1.2982596514762421</v>
      </c>
      <c r="D15">
        <f>IF($A15=D$2,0,SUMIFS(d_sched!$M:$M,d_sched!$D:$D,$A15,d_sched!$I:$I,D$2)+SUMIFS(d_sched!$M:$M,d_sched!$D:$D,$A15,d_sched!$K:$K,D$2))</f>
        <v>1.5687025339459184</v>
      </c>
      <c r="E15">
        <f>IF($A15=E$2,0,SUMIFS(d_sched!$M:$M,d_sched!$D:$D,$A15,d_sched!$I:$I,E$2)+SUMIFS(d_sched!$M:$M,d_sched!$D:$D,$A15,d_sched!$K:$K,E$2))</f>
        <v>1.1806052033170829</v>
      </c>
      <c r="F15">
        <f>IF($A15=F$2,0,SUMIFS(d_sched!$M:$M,d_sched!$D:$D,$A15,d_sched!$I:$I,F$2)+SUMIFS(d_sched!$M:$M,d_sched!$D:$D,$A15,d_sched!$K:$K,F$2))</f>
        <v>1.0206001435960168</v>
      </c>
      <c r="G15">
        <f>IF($A15=G$2,0,SUMIFS(d_sched!$M:$M,d_sched!$D:$D,$A15,d_sched!$I:$I,G$2)+SUMIFS(d_sched!$M:$M,d_sched!$D:$D,$A15,d_sched!$K:$K,G$2))</f>
        <v>1</v>
      </c>
      <c r="H15">
        <f>IF($A15=H$2,0,SUMIFS(d_sched!$M:$M,d_sched!$D:$D,$A15,d_sched!$I:$I,H$2)+SUMIFS(d_sched!$M:$M,d_sched!$D:$D,$A15,d_sched!$K:$K,H$2))</f>
        <v>1.6086658797368425</v>
      </c>
      <c r="I15">
        <f>IF($A15=I$2,0,SUMIFS(d_sched!$M:$M,d_sched!$D:$D,$A15,d_sched!$I:$I,I$2)+SUMIFS(d_sched!$M:$M,d_sched!$D:$D,$A15,d_sched!$K:$K,I$2))</f>
        <v>2.5965193029524842</v>
      </c>
      <c r="J15">
        <f>IF($A15=J$2,0,SUMIFS(d_sched!$M:$M,d_sched!$D:$D,$A15,d_sched!$I:$I,J$2)+SUMIFS(d_sched!$M:$M,d_sched!$D:$D,$A15,d_sched!$K:$K,J$2))</f>
        <v>1.3777090394932663</v>
      </c>
      <c r="K15">
        <f>IF($A15=K$2,0,SUMIFS(d_sched!$M:$M,d_sched!$D:$D,$A15,d_sched!$I:$I,K$2)+SUMIFS(d_sched!$M:$M,d_sched!$D:$D,$A15,d_sched!$K:$K,K$2))</f>
        <v>2.1161027571889757</v>
      </c>
      <c r="L15">
        <f>IF($A15=L$2,0,SUMIFS(d_sched!$M:$M,d_sched!$D:$D,$A15,d_sched!$I:$I,L$2)+SUMIFS(d_sched!$M:$M,d_sched!$D:$D,$A15,d_sched!$K:$K,L$2))</f>
        <v>2.2806615712582103</v>
      </c>
      <c r="M15">
        <f>IF($A15=M$2,0,SUMIFS(d_sched!$M:$M,d_sched!$D:$D,$A15,d_sched!$I:$I,M$2)+SUMIFS(d_sched!$M:$M,d_sched!$D:$D,$A15,d_sched!$K:$K,M$2))</f>
        <v>1.4050422972991636</v>
      </c>
      <c r="N15">
        <f>IF($A15=N$2,0,SUMIFS(d_sched!$M:$M,d_sched!$D:$D,$A15,d_sched!$I:$I,N$2)+SUMIFS(d_sched!$M:$M,d_sched!$D:$D,$A15,d_sched!$K:$K,N$2))</f>
        <v>0</v>
      </c>
      <c r="O15">
        <f>IF($A15=O$2,0,SUMIFS(d_sched!$M:$M,d_sched!$D:$D,$A15,d_sched!$I:$I,O$2)+SUMIFS(d_sched!$M:$M,d_sched!$D:$D,$A15,d_sched!$K:$K,O$2))</f>
        <v>2.8651726143470193</v>
      </c>
      <c r="P15">
        <f>IF($A15=P$2,0,SUMIFS(d_sched!$M:$M,d_sched!$D:$D,$A15,d_sched!$I:$I,P$2)+SUMIFS(d_sched!$M:$M,d_sched!$D:$D,$A15,d_sched!$K:$K,P$2))</f>
        <v>2.2085712931389736</v>
      </c>
      <c r="Q15">
        <f>IF($A15=Q$2,0,SUMIFS(d_sched!$M:$M,d_sched!$D:$D,$A15,d_sched!$I:$I,Q$2)+SUMIFS(d_sched!$M:$M,d_sched!$D:$D,$A15,d_sched!$K:$K,Q$2))</f>
        <v>1.2022880125217401</v>
      </c>
      <c r="R15">
        <f>IF($A15=R$2,0,SUMIFS(d_sched!$M:$M,d_sched!$D:$D,$A15,d_sched!$I:$I,R$2)+SUMIFS(d_sched!$M:$M,d_sched!$D:$D,$A15,d_sched!$K:$K,R$2))</f>
        <v>1.5421381422417331</v>
      </c>
      <c r="S15">
        <f>IF($A15=S$2,0,SUMIFS(d_sched!$M:$M,d_sched!$D:$D,$A15,d_sched!$I:$I,S$2)+SUMIFS(d_sched!$M:$M,d_sched!$D:$D,$A15,d_sched!$K:$K,S$2))</f>
        <v>2.3530538009188775</v>
      </c>
      <c r="T15">
        <f>IF($A15=T$2,0,SUMIFS(d_sched!$M:$M,d_sched!$D:$D,$A15,d_sched!$I:$I,T$2)+SUMIFS(d_sched!$M:$M,d_sched!$D:$D,$A15,d_sched!$K:$K,T$2))</f>
        <v>1.9095201026054072</v>
      </c>
      <c r="U15">
        <f>IF($A15=U$2,0,SUMIFS(d_sched!$M:$M,d_sched!$D:$D,$A15,d_sched!$I:$I,U$2)+SUMIFS(d_sched!$M:$M,d_sched!$D:$D,$A15,d_sched!$K:$K,U$2))</f>
        <v>1.2982596514762421</v>
      </c>
      <c r="V15">
        <f>IF($A15=V$2,0,SUMIFS(d_sched!$M:$M,d_sched!$D:$D,$A15,d_sched!$I:$I,V$2)+SUMIFS(d_sched!$M:$M,d_sched!$D:$D,$A15,d_sched!$K:$K,V$2))</f>
        <v>1.5669571109994243</v>
      </c>
      <c r="W15">
        <f>IF($A15=W$2,0,SUMIFS(d_sched!$M:$M,d_sched!$D:$D,$A15,d_sched!$I:$I,W$2)+SUMIFS(d_sched!$M:$M,d_sched!$D:$D,$A15,d_sched!$K:$K,W$2))</f>
        <v>1.4877599220114841</v>
      </c>
      <c r="X15">
        <f>IF($A15=X$2,0,SUMIFS(d_sched!$M:$M,d_sched!$D:$D,$A15,d_sched!$I:$I,X$2)+SUMIFS(d_sched!$M:$M,d_sched!$D:$D,$A15,d_sched!$K:$K,X$2))</f>
        <v>1.6199968679693741</v>
      </c>
      <c r="Y15">
        <f>IF($A15=Y$2,0,SUMIFS(d_sched!$M:$M,d_sched!$D:$D,$A15,d_sched!$I:$I,Y$2)+SUMIFS(d_sched!$M:$M,d_sched!$D:$D,$A15,d_sched!$K:$K,Y$2))</f>
        <v>2.4499084694958868</v>
      </c>
      <c r="Z15">
        <f>IF($A15=Z$2,0,SUMIFS(d_sched!$M:$M,d_sched!$D:$D,$A15,d_sched!$I:$I,Z$2)+SUMIFS(d_sched!$M:$M,d_sched!$D:$D,$A15,d_sched!$K:$K,Z$2))</f>
        <v>2.2435547392831992</v>
      </c>
      <c r="AA15">
        <f>IF($A15=AA$2,0,SUMIFS(d_sched!$M:$M,d_sched!$D:$D,$A15,d_sched!$I:$I,AA$2)+SUMIFS(d_sched!$M:$M,d_sched!$D:$D,$A15,d_sched!$K:$K,AA$2))</f>
        <v>2.0412002871920336</v>
      </c>
      <c r="AB15">
        <f>IF($A15=AB$2,0,SUMIFS(d_sched!$M:$M,d_sched!$D:$D,$A15,d_sched!$I:$I,AB$2)+SUMIFS(d_sched!$M:$M,d_sched!$D:$D,$A15,d_sched!$K:$K,AB$2))</f>
        <v>2.8651726143470193</v>
      </c>
      <c r="AC15">
        <f>IF($A15=AC$2,0,SUMIFS(d_sched!$M:$M,d_sched!$D:$D,$A15,d_sched!$I:$I,AC$2)+SUMIFS(d_sched!$M:$M,d_sched!$D:$D,$A15,d_sched!$K:$K,AC$2))</f>
        <v>1.0724439198245617</v>
      </c>
      <c r="AD15">
        <f>IF($A15=AD$2,0,SUMIFS(d_sched!$M:$M,d_sched!$D:$D,$A15,d_sched!$I:$I,AD$2)+SUMIFS(d_sched!$M:$M,d_sched!$D:$D,$A15,d_sched!$K:$K,AD$2))</f>
        <v>2.9755198440229682</v>
      </c>
      <c r="AE15">
        <f>IF($A15=AE$2,0,SUMIFS(d_sched!$M:$M,d_sched!$D:$D,$A15,d_sched!$I:$I,AE$2)+SUMIFS(d_sched!$M:$M,d_sched!$D:$D,$A15,d_sched!$K:$K,AE$2))</f>
        <v>1.1403307856291052</v>
      </c>
      <c r="AG15">
        <f>ROUND(SUM(B15:AE15),2)</f>
        <v>51.52</v>
      </c>
      <c r="AH15">
        <f>VLOOKUP($A15,p_win_totals!$D$2:$J$31,6,0)</f>
        <v>58</v>
      </c>
      <c r="AI15">
        <f>VLOOKUP($A15,d_win_totals!$E$2:$K$31,3,0)</f>
        <v>56</v>
      </c>
      <c r="AJ15">
        <f t="shared" si="0"/>
        <v>3</v>
      </c>
      <c r="AK15">
        <f>VLOOKUP($A15,p_win_totals!$D$2:$J$31,7,0)</f>
        <v>1</v>
      </c>
      <c r="AL15">
        <f>VLOOKUP($A15,d_win_totals!$E$2:$K$31,6,0)</f>
        <v>4</v>
      </c>
      <c r="AM15">
        <f t="shared" si="1"/>
        <v>1</v>
      </c>
      <c r="AN15">
        <f t="shared" si="2"/>
        <v>1</v>
      </c>
      <c r="AO15">
        <f t="shared" si="3"/>
        <v>1</v>
      </c>
    </row>
    <row r="16" spans="1:41" x14ac:dyDescent="0.25">
      <c r="A16" t="s">
        <v>17</v>
      </c>
      <c r="B16">
        <f>IF($A16=B$2,0,SUMIFS(d_sched!$M:$M,d_sched!$D:$D,$A16,d_sched!$I:$I,B$2)+SUMIFS(d_sched!$M:$M,d_sched!$D:$D,$A16,d_sched!$K:$K,B$2))</f>
        <v>0.76998464539603317</v>
      </c>
      <c r="C16">
        <f>IF($A16=C$2,0,SUMIFS(d_sched!$M:$M,d_sched!$D:$D,$A16,d_sched!$I:$I,C$2)+SUMIFS(d_sched!$M:$M,d_sched!$D:$D,$A16,d_sched!$K:$K,C$2))</f>
        <v>0.84577473107436829</v>
      </c>
      <c r="D16">
        <f>IF($A16=D$2,0,SUMIFS(d_sched!$M:$M,d_sched!$D:$D,$A16,d_sched!$I:$I,D$2)+SUMIFS(d_sched!$M:$M,d_sched!$D:$D,$A16,d_sched!$K:$K,D$2))</f>
        <v>1.180528595270314</v>
      </c>
      <c r="E16">
        <f>IF($A16=E$2,0,SUMIFS(d_sched!$M:$M,d_sched!$D:$D,$A16,d_sched!$I:$I,E$2)+SUMIFS(d_sched!$M:$M,d_sched!$D:$D,$A16,d_sched!$K:$K,E$2))</f>
        <v>0.72666387210288008</v>
      </c>
      <c r="F16">
        <f>IF($A16=F$2,0,SUMIFS(d_sched!$M:$M,d_sched!$D:$D,$A16,d_sched!$I:$I,F$2)+SUMIFS(d_sched!$M:$M,d_sched!$D:$D,$A16,d_sched!$K:$K,F$2))</f>
        <v>0.58430947681675227</v>
      </c>
      <c r="G16">
        <f>IF($A16=G$2,0,SUMIFS(d_sched!$M:$M,d_sched!$D:$D,$A16,d_sched!$I:$I,G$2)+SUMIFS(d_sched!$M:$M,d_sched!$D:$D,$A16,d_sched!$K:$K,G$2))</f>
        <v>0.56741369282649035</v>
      </c>
      <c r="H16">
        <f>IF($A16=H$2,0,SUMIFS(d_sched!$M:$M,d_sched!$D:$D,$A16,d_sched!$I:$I,H$2)+SUMIFS(d_sched!$M:$M,d_sched!$D:$D,$A16,d_sched!$K:$K,H$2))</f>
        <v>1.2564124958708667</v>
      </c>
      <c r="I16">
        <f>IF($A16=I$2,0,SUMIFS(d_sched!$M:$M,d_sched!$D:$D,$A16,d_sched!$I:$I,I$2)+SUMIFS(d_sched!$M:$M,d_sched!$D:$D,$A16,d_sched!$K:$K,I$2))</f>
        <v>1.6915494621487366</v>
      </c>
      <c r="J16">
        <f>IF($A16=J$2,0,SUMIFS(d_sched!$M:$M,d_sched!$D:$D,$A16,d_sched!$I:$I,J$2)+SUMIFS(d_sched!$M:$M,d_sched!$D:$D,$A16,d_sched!$K:$K,J$2))</f>
        <v>0.93440505966433229</v>
      </c>
      <c r="K16">
        <f>IF($A16=K$2,0,SUMIFS(d_sched!$M:$M,d_sched!$D:$D,$A16,d_sched!$I:$I,K$2)+SUMIFS(d_sched!$M:$M,d_sched!$D:$D,$A16,d_sched!$K:$K,K$2))</f>
        <v>1.2316347775038301</v>
      </c>
      <c r="L16">
        <f>IF($A16=L$2,0,SUMIFS(d_sched!$M:$M,d_sched!$D:$D,$A16,d_sched!$I:$I,L$2)+SUMIFS(d_sched!$M:$M,d_sched!$D:$D,$A16,d_sched!$K:$K,L$2))</f>
        <v>1.033284682004826</v>
      </c>
      <c r="M16">
        <f>IF($A16=M$2,0,SUMIFS(d_sched!$M:$M,d_sched!$D:$D,$A16,d_sched!$I:$I,M$2)+SUMIFS(d_sched!$M:$M,d_sched!$D:$D,$A16,d_sched!$K:$K,M$2))</f>
        <v>0.96660458789187798</v>
      </c>
      <c r="N16">
        <f>IF($A16=N$2,0,SUMIFS(d_sched!$M:$M,d_sched!$D:$D,$A16,d_sched!$I:$I,N$2)+SUMIFS(d_sched!$M:$M,d_sched!$D:$D,$A16,d_sched!$K:$K,N$2))</f>
        <v>1.1348273856529807</v>
      </c>
      <c r="O16">
        <f>IF($A16=O$2,0,SUMIFS(d_sched!$M:$M,d_sched!$D:$D,$A16,d_sched!$I:$I,O$2)+SUMIFS(d_sched!$M:$M,d_sched!$D:$D,$A16,d_sched!$K:$K,O$2))</f>
        <v>0</v>
      </c>
      <c r="P16">
        <f>IF($A16=P$2,0,SUMIFS(d_sched!$M:$M,d_sched!$D:$D,$A16,d_sched!$I:$I,P$2)+SUMIFS(d_sched!$M:$M,d_sched!$D:$D,$A16,d_sched!$K:$K,P$2))</f>
        <v>1.312378316191724</v>
      </c>
      <c r="Q16">
        <f>IF($A16=Q$2,0,SUMIFS(d_sched!$M:$M,d_sched!$D:$D,$A16,d_sched!$I:$I,Q$2)+SUMIFS(d_sched!$M:$M,d_sched!$D:$D,$A16,d_sched!$K:$K,Q$2))</f>
        <v>0.74761636441013024</v>
      </c>
      <c r="R16">
        <f>IF($A16=R$2,0,SUMIFS(d_sched!$M:$M,d_sched!$D:$D,$A16,d_sched!$I:$I,R$2)+SUMIFS(d_sched!$M:$M,d_sched!$D:$D,$A16,d_sched!$K:$K,R$2))</f>
        <v>1.1431155027260933</v>
      </c>
      <c r="S16">
        <f>IF($A16=S$2,0,SUMIFS(d_sched!$M:$M,d_sched!$D:$D,$A16,d_sched!$I:$I,S$2)+SUMIFS(d_sched!$M:$M,d_sched!$D:$D,$A16,d_sched!$K:$K,S$2))</f>
        <v>2.3610571905406279</v>
      </c>
      <c r="T16">
        <f>IF($A16=T$2,0,SUMIFS(d_sched!$M:$M,d_sched!$D:$D,$A16,d_sched!$I:$I,T$2)+SUMIFS(d_sched!$M:$M,d_sched!$D:$D,$A16,d_sched!$K:$K,T$2))</f>
        <v>1.6381148840980508</v>
      </c>
      <c r="U16">
        <f>IF($A16=U$2,0,SUMIFS(d_sched!$M:$M,d_sched!$D:$D,$A16,d_sched!$I:$I,U$2)+SUMIFS(d_sched!$M:$M,d_sched!$D:$D,$A16,d_sched!$K:$K,U$2))</f>
        <v>0.84577473107436829</v>
      </c>
      <c r="V16">
        <f>IF($A16=V$2,0,SUMIFS(d_sched!$M:$M,d_sched!$D:$D,$A16,d_sched!$I:$I,V$2)+SUMIFS(d_sched!$M:$M,d_sched!$D:$D,$A16,d_sched!$K:$K,V$2))</f>
        <v>0.90661958140740451</v>
      </c>
      <c r="W16">
        <f>IF($A16=W$2,0,SUMIFS(d_sched!$M:$M,d_sched!$D:$D,$A16,d_sched!$I:$I,W$2)+SUMIFS(d_sched!$M:$M,d_sched!$D:$D,$A16,d_sched!$K:$K,W$2))</f>
        <v>1.0699283820074217</v>
      </c>
      <c r="X16">
        <f>IF($A16=X$2,0,SUMIFS(d_sched!$M:$M,d_sched!$D:$D,$A16,d_sched!$I:$I,X$2)+SUMIFS(d_sched!$M:$M,d_sched!$D:$D,$A16,d_sched!$K:$K,X$2))</f>
        <v>1.2560960820305054</v>
      </c>
      <c r="Y16">
        <f>IF($A16=Y$2,0,SUMIFS(d_sched!$M:$M,d_sched!$D:$D,$A16,d_sched!$I:$I,Y$2)+SUMIFS(d_sched!$M:$M,d_sched!$D:$D,$A16,d_sched!$K:$K,Y$2))</f>
        <v>1.5399692907920663</v>
      </c>
      <c r="Z16">
        <f>IF($A16=Z$2,0,SUMIFS(d_sched!$M:$M,d_sched!$D:$D,$A16,d_sched!$I:$I,Z$2)+SUMIFS(d_sched!$M:$M,d_sched!$D:$D,$A16,d_sched!$K:$K,Z$2))</f>
        <v>1.3438147986261244</v>
      </c>
      <c r="AA16">
        <f>IF($A16=AA$2,0,SUMIFS(d_sched!$M:$M,d_sched!$D:$D,$A16,d_sched!$I:$I,AA$2)+SUMIFS(d_sched!$M:$M,d_sched!$D:$D,$A16,d_sched!$K:$K,AA$2))</f>
        <v>0.87646421522512841</v>
      </c>
      <c r="AB16">
        <f>IF($A16=AB$2,0,SUMIFS(d_sched!$M:$M,d_sched!$D:$D,$A16,d_sched!$I:$I,AB$2)+SUMIFS(d_sched!$M:$M,d_sched!$D:$D,$A16,d_sched!$K:$K,AB$2))</f>
        <v>2</v>
      </c>
      <c r="AC16">
        <f>IF($A16=AC$2,0,SUMIFS(d_sched!$M:$M,d_sched!$D:$D,$A16,d_sched!$I:$I,AC$2)+SUMIFS(d_sched!$M:$M,d_sched!$D:$D,$A16,d_sched!$K:$K,AC$2))</f>
        <v>0.62820624793543334</v>
      </c>
      <c r="AD16">
        <f>IF($A16=AD$2,0,SUMIFS(d_sched!$M:$M,d_sched!$D:$D,$A16,d_sched!$I:$I,AD$2)+SUMIFS(d_sched!$M:$M,d_sched!$D:$D,$A16,d_sched!$K:$K,AD$2))</f>
        <v>1.6048925730111325</v>
      </c>
      <c r="AE16">
        <f>IF($A16=AE$2,0,SUMIFS(d_sched!$M:$M,d_sched!$D:$D,$A16,d_sched!$I:$I,AE$2)+SUMIFS(d_sched!$M:$M,d_sched!$D:$D,$A16,d_sched!$K:$K,AE$2))</f>
        <v>0.68885645466988399</v>
      </c>
      <c r="AG16">
        <f>ROUND(SUM(B16:AE16),2)</f>
        <v>32.89</v>
      </c>
      <c r="AH16">
        <f>VLOOKUP($A16,p_win_totals!$D$2:$J$31,6,0)</f>
        <v>29</v>
      </c>
      <c r="AI16">
        <f>VLOOKUP($A16,d_win_totals!$E$2:$K$31,3,0)</f>
        <v>21</v>
      </c>
      <c r="AJ16">
        <f t="shared" si="0"/>
        <v>23</v>
      </c>
      <c r="AK16">
        <f>VLOOKUP($A16,p_win_totals!$D$2:$J$31,7,0)</f>
        <v>23</v>
      </c>
      <c r="AL16">
        <f>VLOOKUP($A16,d_win_totals!$E$2:$K$31,6,0)</f>
        <v>23</v>
      </c>
      <c r="AM16">
        <f t="shared" si="1"/>
        <v>0</v>
      </c>
      <c r="AN16">
        <f t="shared" si="2"/>
        <v>0</v>
      </c>
      <c r="AO16">
        <f t="shared" si="3"/>
        <v>0</v>
      </c>
    </row>
    <row r="17" spans="1:41" x14ac:dyDescent="0.25">
      <c r="A17" t="s">
        <v>28</v>
      </c>
      <c r="B17">
        <f>IF($A17=B$2,0,SUMIFS(d_sched!$M:$M,d_sched!$D:$D,$A17,d_sched!$I:$I,B$2)+SUMIFS(d_sched!$M:$M,d_sched!$D:$D,$A17,d_sched!$K:$K,B$2))</f>
        <v>1.1235674177455874</v>
      </c>
      <c r="C17">
        <f>IF($A17=C$2,0,SUMIFS(d_sched!$M:$M,d_sched!$D:$D,$A17,d_sched!$I:$I,C$2)+SUMIFS(d_sched!$M:$M,d_sched!$D:$D,$A17,d_sched!$K:$K,C$2))</f>
        <v>1.2002011000840687</v>
      </c>
      <c r="D17">
        <f>IF($A17=D$2,0,SUMIFS(d_sched!$M:$M,d_sched!$D:$D,$A17,d_sched!$I:$I,D$2)+SUMIFS(d_sched!$M:$M,d_sched!$D:$D,$A17,d_sched!$K:$K,D$2))</f>
        <v>1.4936968170080402</v>
      </c>
      <c r="E17">
        <f>IF($A17=E$2,0,SUMIFS(d_sched!$M:$M,d_sched!$D:$D,$A17,d_sched!$I:$I,E$2)+SUMIFS(d_sched!$M:$M,d_sched!$D:$D,$A17,d_sched!$K:$K,E$2))</f>
        <v>1.0777845930298027</v>
      </c>
      <c r="F17">
        <f>IF($A17=F$2,0,SUMIFS(d_sched!$M:$M,d_sched!$D:$D,$A17,d_sched!$I:$I,F$2)+SUMIFS(d_sched!$M:$M,d_sched!$D:$D,$A17,d_sched!$K:$K,F$2))</f>
        <v>0.91613432846354947</v>
      </c>
      <c r="G17">
        <f>IF($A17=G$2,0,SUMIFS(d_sched!$M:$M,d_sched!$D:$D,$A17,d_sched!$I:$I,G$2)+SUMIFS(d_sched!$M:$M,d_sched!$D:$D,$A17,d_sched!$K:$K,G$2))</f>
        <v>0.89571435343051331</v>
      </c>
      <c r="H17">
        <f>IF($A17=H$2,0,SUMIFS(d_sched!$M:$M,d_sched!$D:$D,$A17,d_sched!$I:$I,H$2)+SUMIFS(d_sched!$M:$M,d_sched!$D:$D,$A17,d_sched!$K:$K,H$2))</f>
        <v>1.9358317644084257</v>
      </c>
      <c r="I17">
        <f>IF($A17=I$2,0,SUMIFS(d_sched!$M:$M,d_sched!$D:$D,$A17,d_sched!$I:$I,I$2)+SUMIFS(d_sched!$M:$M,d_sched!$D:$D,$A17,d_sched!$K:$K,I$2))</f>
        <v>1.8003016501261029</v>
      </c>
      <c r="J17">
        <f>IF($A17=J$2,0,SUMIFS(d_sched!$M:$M,d_sched!$D:$D,$A17,d_sched!$I:$I,J$2)+SUMIFS(d_sched!$M:$M,d_sched!$D:$D,$A17,d_sched!$K:$K,J$2))</f>
        <v>1.2846350631441728</v>
      </c>
      <c r="K17">
        <f>IF($A17=K$2,0,SUMIFS(d_sched!$M:$M,d_sched!$D:$D,$A17,d_sched!$I:$I,K$2)+SUMIFS(d_sched!$M:$M,d_sched!$D:$D,$A17,d_sched!$K:$K,K$2))</f>
        <v>1.4302261926021065</v>
      </c>
      <c r="L17">
        <f>IF($A17=L$2,0,SUMIFS(d_sched!$M:$M,d_sched!$D:$D,$A17,d_sched!$I:$I,L$2)+SUMIFS(d_sched!$M:$M,d_sched!$D:$D,$A17,d_sched!$K:$K,L$2))</f>
        <v>2.0731609510858076</v>
      </c>
      <c r="M17">
        <f>IF($A17=M$2,0,SUMIFS(d_sched!$M:$M,d_sched!$D:$D,$A17,d_sched!$I:$I,M$2)+SUMIFS(d_sched!$M:$M,d_sched!$D:$D,$A17,d_sched!$K:$K,M$2))</f>
        <v>1.3140209253469977</v>
      </c>
      <c r="N17">
        <f>IF($A17=N$2,0,SUMIFS(d_sched!$M:$M,d_sched!$D:$D,$A17,d_sched!$I:$I,N$2)+SUMIFS(d_sched!$M:$M,d_sched!$D:$D,$A17,d_sched!$K:$K,N$2))</f>
        <v>1.7914287068610266</v>
      </c>
      <c r="O17">
        <f>IF($A17=O$2,0,SUMIFS(d_sched!$M:$M,d_sched!$D:$D,$A17,d_sched!$I:$I,O$2)+SUMIFS(d_sched!$M:$M,d_sched!$D:$D,$A17,d_sched!$K:$K,O$2))</f>
        <v>2.6876216838082763</v>
      </c>
      <c r="P17">
        <f>IF($A17=P$2,0,SUMIFS(d_sched!$M:$M,d_sched!$D:$D,$A17,d_sched!$I:$I,P$2)+SUMIFS(d_sched!$M:$M,d_sched!$D:$D,$A17,d_sched!$K:$K,P$2))</f>
        <v>0</v>
      </c>
      <c r="Q17">
        <f>IF($A17=Q$2,0,SUMIFS(d_sched!$M:$M,d_sched!$D:$D,$A17,d_sched!$I:$I,Q$2)+SUMIFS(d_sched!$M:$M,d_sched!$D:$D,$A17,d_sched!$K:$K,Q$2))</f>
        <v>1.1001143519078413</v>
      </c>
      <c r="R17">
        <f>IF($A17=R$2,0,SUMIFS(d_sched!$M:$M,d_sched!$D:$D,$A17,d_sched!$I:$I,R$2)+SUMIFS(d_sched!$M:$M,d_sched!$D:$D,$A17,d_sched!$K:$K,R$2))</f>
        <v>1.4640909085769265</v>
      </c>
      <c r="S17">
        <f>IF($A17=S$2,0,SUMIFS(d_sched!$M:$M,d_sched!$D:$D,$A17,d_sched!$I:$I,S$2)+SUMIFS(d_sched!$M:$M,d_sched!$D:$D,$A17,d_sched!$K:$K,S$2))</f>
        <v>2.2405452255120606</v>
      </c>
      <c r="T17">
        <f>IF($A17=T$2,0,SUMIFS(d_sched!$M:$M,d_sched!$D:$D,$A17,d_sched!$I:$I,T$2)+SUMIFS(d_sched!$M:$M,d_sched!$D:$D,$A17,d_sched!$K:$K,T$2))</f>
        <v>2.3473448986299843</v>
      </c>
      <c r="U17">
        <f>IF($A17=U$2,0,SUMIFS(d_sched!$M:$M,d_sched!$D:$D,$A17,d_sched!$I:$I,U$2)+SUMIFS(d_sched!$M:$M,d_sched!$D:$D,$A17,d_sched!$K:$K,U$2))</f>
        <v>1.2002011000840687</v>
      </c>
      <c r="V17">
        <f>IF($A17=V$2,0,SUMIFS(d_sched!$M:$M,d_sched!$D:$D,$A17,d_sched!$I:$I,V$2)+SUMIFS(d_sched!$M:$M,d_sched!$D:$D,$A17,d_sched!$K:$K,V$2))</f>
        <v>1.8801469255659504</v>
      </c>
      <c r="W17">
        <f>IF($A17=W$2,0,SUMIFS(d_sched!$M:$M,d_sched!$D:$D,$A17,d_sched!$I:$I,W$2)+SUMIFS(d_sched!$M:$M,d_sched!$D:$D,$A17,d_sched!$K:$K,W$2))</f>
        <v>1.4040255858725841</v>
      </c>
      <c r="X17">
        <f>IF($A17=X$2,0,SUMIFS(d_sched!$M:$M,d_sched!$D:$D,$A17,d_sched!$I:$I,X$2)+SUMIFS(d_sched!$M:$M,d_sched!$D:$D,$A17,d_sched!$K:$K,X$2))</f>
        <v>1.5513604067478513</v>
      </c>
      <c r="Y17">
        <f>IF($A17=Y$2,0,SUMIFS(d_sched!$M:$M,d_sched!$D:$D,$A17,d_sched!$I:$I,Y$2)+SUMIFS(d_sched!$M:$M,d_sched!$D:$D,$A17,d_sched!$K:$K,Y$2))</f>
        <v>1.6853511266183812</v>
      </c>
      <c r="Z17">
        <f>IF($A17=Z$2,0,SUMIFS(d_sched!$M:$M,d_sched!$D:$D,$A17,d_sched!$I:$I,Z$2)+SUMIFS(d_sched!$M:$M,d_sched!$D:$D,$A17,d_sched!$K:$K,Z$2))</f>
        <v>2.035433437754659</v>
      </c>
      <c r="AA17">
        <f>IF($A17=AA$2,0,SUMIFS(d_sched!$M:$M,d_sched!$D:$D,$A17,d_sched!$I:$I,AA$2)+SUMIFS(d_sched!$M:$M,d_sched!$D:$D,$A17,d_sched!$K:$K,AA$2))</f>
        <v>1.8322686569270989</v>
      </c>
      <c r="AB17">
        <f>IF($A17=AB$2,0,SUMIFS(d_sched!$M:$M,d_sched!$D:$D,$A17,d_sched!$I:$I,AB$2)+SUMIFS(d_sched!$M:$M,d_sched!$D:$D,$A17,d_sched!$K:$K,AB$2))</f>
        <v>2.6876216838082763</v>
      </c>
      <c r="AC17">
        <f>IF($A17=AC$2,0,SUMIFS(d_sched!$M:$M,d_sched!$D:$D,$A17,d_sched!$I:$I,AC$2)+SUMIFS(d_sched!$M:$M,d_sched!$D:$D,$A17,d_sched!$K:$K,AC$2))</f>
        <v>0.96791588220421287</v>
      </c>
      <c r="AD17">
        <f>IF($A17=AD$2,0,SUMIFS(d_sched!$M:$M,d_sched!$D:$D,$A17,d_sched!$I:$I,AD$2)+SUMIFS(d_sched!$M:$M,d_sched!$D:$D,$A17,d_sched!$K:$K,AD$2))</f>
        <v>2.8080511717451682</v>
      </c>
      <c r="AE17">
        <f>IF($A17=AE$2,0,SUMIFS(d_sched!$M:$M,d_sched!$D:$D,$A17,d_sched!$I:$I,AE$2)+SUMIFS(d_sched!$M:$M,d_sched!$D:$D,$A17,d_sched!$K:$K,AE$2))</f>
        <v>1.0365804755429038</v>
      </c>
      <c r="AG17">
        <f>ROUND(SUM(B17:AE17),2)</f>
        <v>47.27</v>
      </c>
      <c r="AH17">
        <f>VLOOKUP($A17,p_win_totals!$D$2:$J$31,6,0)</f>
        <v>50</v>
      </c>
      <c r="AI17">
        <f>VLOOKUP($A17,d_win_totals!$E$2:$K$31,3,0)</f>
        <v>55</v>
      </c>
      <c r="AJ17">
        <f t="shared" si="0"/>
        <v>9</v>
      </c>
      <c r="AK17">
        <f>VLOOKUP($A17,p_win_totals!$D$2:$J$31,7,0)</f>
        <v>9</v>
      </c>
      <c r="AL17">
        <f>VLOOKUP($A17,d_win_totals!$E$2:$K$31,6,0)</f>
        <v>11</v>
      </c>
      <c r="AM17">
        <f t="shared" si="1"/>
        <v>2</v>
      </c>
      <c r="AN17">
        <f t="shared" si="2"/>
        <v>2</v>
      </c>
      <c r="AO17">
        <f t="shared" si="3"/>
        <v>4</v>
      </c>
    </row>
    <row r="18" spans="1:41" x14ac:dyDescent="0.25">
      <c r="A18" t="s">
        <v>24</v>
      </c>
      <c r="B18">
        <f>IF($A18=B$2,0,SUMIFS(d_sched!$M:$M,d_sched!$D:$D,$A18,d_sched!$I:$I,B$2)+SUMIFS(d_sched!$M:$M,d_sched!$D:$D,$A18,d_sched!$K:$K,B$2))</f>
        <v>2.0474936697825479</v>
      </c>
      <c r="C18">
        <f>IF($A18=C$2,0,SUMIFS(d_sched!$M:$M,d_sched!$D:$D,$A18,d_sched!$I:$I,C$2)+SUMIFS(d_sched!$M:$M,d_sched!$D:$D,$A18,d_sched!$K:$K,C$2))</f>
        <v>2.2042676332166984</v>
      </c>
      <c r="D18">
        <f>IF($A18=D$2,0,SUMIFS(d_sched!$M:$M,d_sched!$D:$D,$A18,d_sched!$I:$I,D$2)+SUMIFS(d_sched!$M:$M,d_sched!$D:$D,$A18,d_sched!$K:$K,D$2))</f>
        <v>2.8280944393016929</v>
      </c>
      <c r="E18">
        <f>IF($A18=E$2,0,SUMIFS(d_sched!$M:$M,d_sched!$D:$D,$A18,d_sched!$I:$I,E$2)+SUMIFS(d_sched!$M:$M,d_sched!$D:$D,$A18,d_sched!$K:$K,E$2))</f>
        <v>1.9549899732265048</v>
      </c>
      <c r="F18">
        <f>IF($A18=F$2,0,SUMIFS(d_sched!$M:$M,d_sched!$D:$D,$A18,d_sched!$I:$I,F$2)+SUMIFS(d_sched!$M:$M,d_sched!$D:$D,$A18,d_sched!$K:$K,F$2))</f>
        <v>1.2263277600236031</v>
      </c>
      <c r="G18">
        <f>IF($A18=G$2,0,SUMIFS(d_sched!$M:$M,d_sched!$D:$D,$A18,d_sched!$I:$I,G$2)+SUMIFS(d_sched!$M:$M,d_sched!$D:$D,$A18,d_sched!$K:$K,G$2))</f>
        <v>1.5954239749565198</v>
      </c>
      <c r="H18">
        <f>IF($A18=H$2,0,SUMIFS(d_sched!$M:$M,d_sched!$D:$D,$A18,d_sched!$I:$I,H$2)+SUMIFS(d_sched!$M:$M,d_sched!$D:$D,$A18,d_sched!$K:$K,H$2))</f>
        <v>0.86822480285853243</v>
      </c>
      <c r="I18">
        <f>IF($A18=I$2,0,SUMIFS(d_sched!$M:$M,d_sched!$D:$D,$A18,d_sched!$I:$I,I$2)+SUMIFS(d_sched!$M:$M,d_sched!$D:$D,$A18,d_sched!$K:$K,I$2))</f>
        <v>1.1021338166083492</v>
      </c>
      <c r="J18">
        <f>IF($A18=J$2,0,SUMIFS(d_sched!$M:$M,d_sched!$D:$D,$A18,d_sched!$I:$I,J$2)+SUMIFS(d_sched!$M:$M,d_sched!$D:$D,$A18,d_sched!$K:$K,J$2))</f>
        <v>1.7848995809475929</v>
      </c>
      <c r="K18">
        <f>IF($A18=K$2,0,SUMIFS(d_sched!$M:$M,d_sched!$D:$D,$A18,d_sched!$I:$I,K$2)+SUMIFS(d_sched!$M:$M,d_sched!$D:$D,$A18,d_sched!$K:$K,K$2))</f>
        <v>0.85404945451394776</v>
      </c>
      <c r="L18">
        <f>IF($A18=L$2,0,SUMIFS(d_sched!$M:$M,d_sched!$D:$D,$A18,d_sched!$I:$I,L$2)+SUMIFS(d_sched!$M:$M,d_sched!$D:$D,$A18,d_sched!$K:$K,L$2))</f>
        <v>0.93623259268461645</v>
      </c>
      <c r="M18">
        <f>IF($A18=M$2,0,SUMIFS(d_sched!$M:$M,d_sched!$D:$D,$A18,d_sched!$I:$I,M$2)+SUMIFS(d_sched!$M:$M,d_sched!$D:$D,$A18,d_sched!$K:$K,M$2))</f>
        <v>2.4416992897805692</v>
      </c>
      <c r="N18">
        <f>IF($A18=N$2,0,SUMIFS(d_sched!$M:$M,d_sched!$D:$D,$A18,d_sched!$I:$I,N$2)+SUMIFS(d_sched!$M:$M,d_sched!$D:$D,$A18,d_sched!$K:$K,N$2))</f>
        <v>0.79771198747825989</v>
      </c>
      <c r="O18">
        <f>IF($A18=O$2,0,SUMIFS(d_sched!$M:$M,d_sched!$D:$D,$A18,d_sched!$I:$I,O$2)+SUMIFS(d_sched!$M:$M,d_sched!$D:$D,$A18,d_sched!$K:$K,O$2))</f>
        <v>1.2523836355898699</v>
      </c>
      <c r="P18">
        <f>IF($A18=P$2,0,SUMIFS(d_sched!$M:$M,d_sched!$D:$D,$A18,d_sched!$I:$I,P$2)+SUMIFS(d_sched!$M:$M,d_sched!$D:$D,$A18,d_sched!$K:$K,P$2))</f>
        <v>0.89988564809215876</v>
      </c>
      <c r="Q18">
        <f>IF($A18=Q$2,0,SUMIFS(d_sched!$M:$M,d_sched!$D:$D,$A18,d_sched!$I:$I,Q$2)+SUMIFS(d_sched!$M:$M,d_sched!$D:$D,$A18,d_sched!$K:$K,Q$2))</f>
        <v>0</v>
      </c>
      <c r="R18">
        <f>IF($A18=R$2,0,SUMIFS(d_sched!$M:$M,d_sched!$D:$D,$A18,d_sched!$I:$I,R$2)+SUMIFS(d_sched!$M:$M,d_sched!$D:$D,$A18,d_sched!$K:$K,R$2))</f>
        <v>2.7634234145854912</v>
      </c>
      <c r="S18">
        <f>IF($A18=S$2,0,SUMIFS(d_sched!$M:$M,d_sched!$D:$D,$A18,d_sched!$I:$I,S$2)+SUMIFS(d_sched!$M:$M,d_sched!$D:$D,$A18,d_sched!$K:$K,S$2))</f>
        <v>1.4140472196508465</v>
      </c>
      <c r="T18">
        <f>IF($A18=T$2,0,SUMIFS(d_sched!$M:$M,d_sched!$D:$D,$A18,d_sched!$I:$I,T$2)+SUMIFS(d_sched!$M:$M,d_sched!$D:$D,$A18,d_sched!$K:$K,T$2))</f>
        <v>1.0748596906874992</v>
      </c>
      <c r="U18">
        <f>IF($A18=U$2,0,SUMIFS(d_sched!$M:$M,d_sched!$D:$D,$A18,d_sched!$I:$I,U$2)+SUMIFS(d_sched!$M:$M,d_sched!$D:$D,$A18,d_sched!$K:$K,U$2))</f>
        <v>1.6532007249125238</v>
      </c>
      <c r="V18">
        <f>IF($A18=V$2,0,SUMIFS(d_sched!$M:$M,d_sched!$D:$D,$A18,d_sched!$I:$I,V$2)+SUMIFS(d_sched!$M:$M,d_sched!$D:$D,$A18,d_sched!$K:$K,V$2))</f>
        <v>0.84091355104942378</v>
      </c>
      <c r="W18">
        <f>IF($A18=W$2,0,SUMIFS(d_sched!$M:$M,d_sched!$D:$D,$A18,d_sched!$I:$I,W$2)+SUMIFS(d_sched!$M:$M,d_sched!$D:$D,$A18,d_sched!$K:$K,W$2))</f>
        <v>2.6334445128007991</v>
      </c>
      <c r="X18">
        <f>IF($A18=X$2,0,SUMIFS(d_sched!$M:$M,d_sched!$D:$D,$A18,d_sched!$I:$I,X$2)+SUMIFS(d_sched!$M:$M,d_sched!$D:$D,$A18,d_sched!$K:$K,X$2))</f>
        <v>2.955219348252601</v>
      </c>
      <c r="Y18">
        <f>IF($A18=Y$2,0,SUMIFS(d_sched!$M:$M,d_sched!$D:$D,$A18,d_sched!$I:$I,Y$2)+SUMIFS(d_sched!$M:$M,d_sched!$D:$D,$A18,d_sched!$K:$K,Y$2))</f>
        <v>1.0237468348912739</v>
      </c>
      <c r="Z18">
        <f>IF($A18=Z$2,0,SUMIFS(d_sched!$M:$M,d_sched!$D:$D,$A18,d_sched!$I:$I,Z$2)+SUMIFS(d_sched!$M:$M,d_sched!$D:$D,$A18,d_sched!$K:$K,Z$2))</f>
        <v>0.91745595878283914</v>
      </c>
      <c r="AA18">
        <f>IF($A18=AA$2,0,SUMIFS(d_sched!$M:$M,d_sched!$D:$D,$A18,d_sched!$I:$I,AA$2)+SUMIFS(d_sched!$M:$M,d_sched!$D:$D,$A18,d_sched!$K:$K,AA$2))</f>
        <v>0.81755184001573544</v>
      </c>
      <c r="AB18">
        <f>IF($A18=AB$2,0,SUMIFS(d_sched!$M:$M,d_sched!$D:$D,$A18,d_sched!$I:$I,AB$2)+SUMIFS(d_sched!$M:$M,d_sched!$D:$D,$A18,d_sched!$K:$K,AB$2))</f>
        <v>1.2523836355898699</v>
      </c>
      <c r="AC18">
        <f>IF($A18=AC$2,0,SUMIFS(d_sched!$M:$M,d_sched!$D:$D,$A18,d_sched!$I:$I,AC$2)+SUMIFS(d_sched!$M:$M,d_sched!$D:$D,$A18,d_sched!$K:$K,AC$2))</f>
        <v>0.86822480285853243</v>
      </c>
      <c r="AD18">
        <f>IF($A18=AD$2,0,SUMIFS(d_sched!$M:$M,d_sched!$D:$D,$A18,d_sched!$I:$I,AD$2)+SUMIFS(d_sched!$M:$M,d_sched!$D:$D,$A18,d_sched!$K:$K,AD$2))</f>
        <v>1.3167222564003995</v>
      </c>
      <c r="AE18">
        <f>IF($A18=AE$2,0,SUMIFS(d_sched!$M:$M,d_sched!$D:$D,$A18,d_sched!$I:$I,AE$2)+SUMIFS(d_sched!$M:$M,d_sched!$D:$D,$A18,d_sched!$K:$K,AE$2))</f>
        <v>1.8724651853692329</v>
      </c>
      <c r="AG18">
        <f>ROUND(SUM(B18:AE18),2)</f>
        <v>44.2</v>
      </c>
      <c r="AH18">
        <f>VLOOKUP($A18,p_win_totals!$D$2:$J$31,6,0)</f>
        <v>45</v>
      </c>
      <c r="AI18">
        <f>VLOOKUP($A18,d_win_totals!$E$2:$K$31,3,0)</f>
        <v>37</v>
      </c>
      <c r="AJ18">
        <f t="shared" si="0"/>
        <v>14</v>
      </c>
      <c r="AK18">
        <f>VLOOKUP($A18,p_win_totals!$D$2:$J$31,7,0)</f>
        <v>14</v>
      </c>
      <c r="AL18">
        <f>VLOOKUP($A18,d_win_totals!$E$2:$K$31,6,0)</f>
        <v>14</v>
      </c>
      <c r="AM18">
        <f t="shared" si="1"/>
        <v>0</v>
      </c>
      <c r="AN18">
        <f t="shared" si="2"/>
        <v>0</v>
      </c>
      <c r="AO18">
        <f t="shared" si="3"/>
        <v>0</v>
      </c>
    </row>
    <row r="19" spans="1:41" x14ac:dyDescent="0.25">
      <c r="A19" t="s">
        <v>19</v>
      </c>
      <c r="B19">
        <f>IF($A19=B$2,0,SUMIFS(d_sched!$M:$M,d_sched!$D:$D,$A19,d_sched!$I:$I,B$2)+SUMIFS(d_sched!$M:$M,d_sched!$D:$D,$A19,d_sched!$K:$K,B$2))</f>
        <v>1.2775213876316565</v>
      </c>
      <c r="C19">
        <f>IF($A19=C$2,0,SUMIFS(d_sched!$M:$M,d_sched!$D:$D,$A19,d_sched!$I:$I,C$2)+SUMIFS(d_sched!$M:$M,d_sched!$D:$D,$A19,d_sched!$K:$K,C$2))</f>
        <v>1.4181608265810268</v>
      </c>
      <c r="D19">
        <f>IF($A19=D$2,0,SUMIFS(d_sched!$M:$M,d_sched!$D:$D,$A19,d_sched!$I:$I,D$2)+SUMIFS(d_sched!$M:$M,d_sched!$D:$D,$A19,d_sched!$K:$K,D$2))</f>
        <v>1.5576080251398898</v>
      </c>
      <c r="E19">
        <f>IF($A19=E$2,0,SUMIFS(d_sched!$M:$M,d_sched!$D:$D,$A19,d_sched!$I:$I,E$2)+SUMIFS(d_sched!$M:$M,d_sched!$D:$D,$A19,d_sched!$K:$K,E$2))</f>
        <v>0.89883914744945037</v>
      </c>
      <c r="F19">
        <f>IF($A19=F$2,0,SUMIFS(d_sched!$M:$M,d_sched!$D:$D,$A19,d_sched!$I:$I,F$2)+SUMIFS(d_sched!$M:$M,d_sched!$D:$D,$A19,d_sched!$K:$K,F$2))</f>
        <v>0.94514323196494687</v>
      </c>
      <c r="G19">
        <f>IF($A19=G$2,0,SUMIFS(d_sched!$M:$M,d_sched!$D:$D,$A19,d_sched!$I:$I,G$2)+SUMIFS(d_sched!$M:$M,d_sched!$D:$D,$A19,d_sched!$K:$K,G$2))</f>
        <v>0.91572371551653398</v>
      </c>
      <c r="H19">
        <f>IF($A19=H$2,0,SUMIFS(d_sched!$M:$M,d_sched!$D:$D,$A19,d_sched!$I:$I,H$2)+SUMIFS(d_sched!$M:$M,d_sched!$D:$D,$A19,d_sched!$K:$K,H$2))</f>
        <v>0.51110460040102135</v>
      </c>
      <c r="I19">
        <f>IF($A19=I$2,0,SUMIFS(d_sched!$M:$M,d_sched!$D:$D,$A19,d_sched!$I:$I,I$2)+SUMIFS(d_sched!$M:$M,d_sched!$D:$D,$A19,d_sched!$K:$K,I$2))</f>
        <v>0.70908041329051341</v>
      </c>
      <c r="J19">
        <f>IF($A19=J$2,0,SUMIFS(d_sched!$M:$M,d_sched!$D:$D,$A19,d_sched!$I:$I,J$2)+SUMIFS(d_sched!$M:$M,d_sched!$D:$D,$A19,d_sched!$K:$K,J$2))</f>
        <v>1.5864612719010407</v>
      </c>
      <c r="K19">
        <f>IF($A19=K$2,0,SUMIFS(d_sched!$M:$M,d_sched!$D:$D,$A19,d_sched!$I:$I,K$2)+SUMIFS(d_sched!$M:$M,d_sched!$D:$D,$A19,d_sched!$K:$K,K$2))</f>
        <v>0.5001830644601194</v>
      </c>
      <c r="L19">
        <f>IF($A19=L$2,0,SUMIFS(d_sched!$M:$M,d_sched!$D:$D,$A19,d_sched!$I:$I,L$2)+SUMIFS(d_sched!$M:$M,d_sched!$D:$D,$A19,d_sched!$K:$K,L$2))</f>
        <v>0.56510652564942843</v>
      </c>
      <c r="M19">
        <f>IF($A19=M$2,0,SUMIFS(d_sched!$M:$M,d_sched!$D:$D,$A19,d_sched!$I:$I,M$2)+SUMIFS(d_sched!$M:$M,d_sched!$D:$D,$A19,d_sched!$K:$K,M$2))</f>
        <v>1.648657377679698</v>
      </c>
      <c r="N19">
        <f>IF($A19=N$2,0,SUMIFS(d_sched!$M:$M,d_sched!$D:$D,$A19,d_sched!$I:$I,N$2)+SUMIFS(d_sched!$M:$M,d_sched!$D:$D,$A19,d_sched!$K:$K,N$2))</f>
        <v>0.45786185775826699</v>
      </c>
      <c r="O19">
        <f>IF($A19=O$2,0,SUMIFS(d_sched!$M:$M,d_sched!$D:$D,$A19,d_sched!$I:$I,O$2)+SUMIFS(d_sched!$M:$M,d_sched!$D:$D,$A19,d_sched!$K:$K,O$2))</f>
        <v>0.8568844972739067</v>
      </c>
      <c r="P19">
        <f>IF($A19=P$2,0,SUMIFS(d_sched!$M:$M,d_sched!$D:$D,$A19,d_sched!$I:$I,P$2)+SUMIFS(d_sched!$M:$M,d_sched!$D:$D,$A19,d_sched!$K:$K,P$2))</f>
        <v>0.53590909142307364</v>
      </c>
      <c r="Q19">
        <f>IF($A19=Q$2,0,SUMIFS(d_sched!$M:$M,d_sched!$D:$D,$A19,d_sched!$I:$I,Q$2)+SUMIFS(d_sched!$M:$M,d_sched!$D:$D,$A19,d_sched!$K:$K,Q$2))</f>
        <v>1.2365765854145088</v>
      </c>
      <c r="R19">
        <f>IF($A19=R$2,0,SUMIFS(d_sched!$M:$M,d_sched!$D:$D,$A19,d_sched!$I:$I,R$2)+SUMIFS(d_sched!$M:$M,d_sched!$D:$D,$A19,d_sched!$K:$K,R$2))</f>
        <v>0</v>
      </c>
      <c r="S19">
        <f>IF($A19=S$2,0,SUMIFS(d_sched!$M:$M,d_sched!$D:$D,$A19,d_sched!$I:$I,S$2)+SUMIFS(d_sched!$M:$M,d_sched!$D:$D,$A19,d_sched!$K:$K,S$2))</f>
        <v>1.03840535009326</v>
      </c>
      <c r="T19">
        <f>IF($A19=T$2,0,SUMIFS(d_sched!$M:$M,d_sched!$D:$D,$A19,d_sched!$I:$I,T$2)+SUMIFS(d_sched!$M:$M,d_sched!$D:$D,$A19,d_sched!$K:$K,T$2))</f>
        <v>0.68412182118589893</v>
      </c>
      <c r="U19">
        <f>IF($A19=U$2,0,SUMIFS(d_sched!$M:$M,d_sched!$D:$D,$A19,d_sched!$I:$I,U$2)+SUMIFS(d_sched!$M:$M,d_sched!$D:$D,$A19,d_sched!$K:$K,U$2))</f>
        <v>1.4181608265810268</v>
      </c>
      <c r="V19">
        <f>IF($A19=V$2,0,SUMIFS(d_sched!$M:$M,d_sched!$D:$D,$A19,d_sched!$I:$I,V$2)+SUMIFS(d_sched!$M:$M,d_sched!$D:$D,$A19,d_sched!$K:$K,V$2))</f>
        <v>0.49016184717921218</v>
      </c>
      <c r="W19">
        <f>IF($A19=W$2,0,SUMIFS(d_sched!$M:$M,d_sched!$D:$D,$A19,d_sched!$I:$I,W$2)+SUMIFS(d_sched!$M:$M,d_sched!$D:$D,$A19,d_sched!$K:$K,W$2))</f>
        <v>1.8521460606528699</v>
      </c>
      <c r="X19">
        <f>IF($A19=X$2,0,SUMIFS(d_sched!$M:$M,d_sched!$D:$D,$A19,d_sched!$I:$I,X$2)+SUMIFS(d_sched!$M:$M,d_sched!$D:$D,$A19,d_sched!$K:$K,X$2))</f>
        <v>2.2345580195299992</v>
      </c>
      <c r="Y19">
        <f>IF($A19=Y$2,0,SUMIFS(d_sched!$M:$M,d_sched!$D:$D,$A19,d_sched!$I:$I,Y$2)+SUMIFS(d_sched!$M:$M,d_sched!$D:$D,$A19,d_sched!$K:$K,Y$2))</f>
        <v>0.63876069381582823</v>
      </c>
      <c r="Z19">
        <f>IF($A19=Z$2,0,SUMIFS(d_sched!$M:$M,d_sched!$D:$D,$A19,d_sched!$I:$I,Z$2)+SUMIFS(d_sched!$M:$M,d_sched!$D:$D,$A19,d_sched!$K:$K,Z$2))</f>
        <v>0.54992521977244535</v>
      </c>
      <c r="AA19">
        <f>IF($A19=AA$2,0,SUMIFS(d_sched!$M:$M,d_sched!$D:$D,$A19,d_sched!$I:$I,AA$2)+SUMIFS(d_sched!$M:$M,d_sched!$D:$D,$A19,d_sched!$K:$K,AA$2))</f>
        <v>0.47257161598247344</v>
      </c>
      <c r="AB19">
        <f>IF($A19=AB$2,0,SUMIFS(d_sched!$M:$M,d_sched!$D:$D,$A19,d_sched!$I:$I,AB$2)+SUMIFS(d_sched!$M:$M,d_sched!$D:$D,$A19,d_sched!$K:$K,AB$2))</f>
        <v>0.8568844972739067</v>
      </c>
      <c r="AC19">
        <f>IF($A19=AC$2,0,SUMIFS(d_sched!$M:$M,d_sched!$D:$D,$A19,d_sched!$I:$I,AC$2)+SUMIFS(d_sched!$M:$M,d_sched!$D:$D,$A19,d_sched!$K:$K,AC$2))</f>
        <v>0.76665690060153202</v>
      </c>
      <c r="AD19">
        <f>IF($A19=AD$2,0,SUMIFS(d_sched!$M:$M,d_sched!$D:$D,$A19,d_sched!$I:$I,AD$2)+SUMIFS(d_sched!$M:$M,d_sched!$D:$D,$A19,d_sched!$K:$K,AD$2))</f>
        <v>0.92607303032643495</v>
      </c>
      <c r="AE19">
        <f>IF($A19=AE$2,0,SUMIFS(d_sched!$M:$M,d_sched!$D:$D,$A19,d_sched!$I:$I,AE$2)+SUMIFS(d_sched!$M:$M,d_sched!$D:$D,$A19,d_sched!$K:$K,AE$2))</f>
        <v>0.84765978847414258</v>
      </c>
      <c r="AG19">
        <f>ROUND(SUM(B19:AE19),2)</f>
        <v>28.4</v>
      </c>
      <c r="AH19">
        <f>VLOOKUP($A19,p_win_totals!$D$2:$J$31,6,0)</f>
        <v>25</v>
      </c>
      <c r="AI19">
        <f>VLOOKUP($A19,d_win_totals!$E$2:$K$31,3,0)</f>
        <v>41</v>
      </c>
      <c r="AJ19">
        <f t="shared" si="0"/>
        <v>27</v>
      </c>
      <c r="AK19">
        <f>VLOOKUP($A19,p_win_totals!$D$2:$J$31,7,0)</f>
        <v>27</v>
      </c>
      <c r="AL19">
        <f>VLOOKUP($A19,d_win_totals!$E$2:$K$31,6,0)</f>
        <v>29</v>
      </c>
      <c r="AM19">
        <f t="shared" si="1"/>
        <v>2</v>
      </c>
      <c r="AN19">
        <f t="shared" si="2"/>
        <v>2</v>
      </c>
      <c r="AO19">
        <f t="shared" si="3"/>
        <v>4</v>
      </c>
    </row>
    <row r="20" spans="1:41" x14ac:dyDescent="0.25">
      <c r="A20" t="s">
        <v>29</v>
      </c>
      <c r="B20">
        <f>IF($A20=B$2,0,SUMIFS(d_sched!$M:$M,d_sched!$D:$D,$A20,d_sched!$I:$I,B$2)+SUMIFS(d_sched!$M:$M,d_sched!$D:$D,$A20,d_sched!$K:$K,B$2))</f>
        <v>0.60582395378012754</v>
      </c>
      <c r="C20">
        <f>IF($A20=C$2,0,SUMIFS(d_sched!$M:$M,d_sched!$D:$D,$A20,d_sched!$I:$I,C$2)+SUMIFS(d_sched!$M:$M,d_sched!$D:$D,$A20,d_sched!$K:$K,C$2))</f>
        <v>0.67431391106612681</v>
      </c>
      <c r="D20">
        <f>IF($A20=D$2,0,SUMIFS(d_sched!$M:$M,d_sched!$D:$D,$A20,d_sched!$I:$I,D$2)+SUMIFS(d_sched!$M:$M,d_sched!$D:$D,$A20,d_sched!$K:$K,D$2))</f>
        <v>1</v>
      </c>
      <c r="E20">
        <f>IF($A20=E$2,0,SUMIFS(d_sched!$M:$M,d_sched!$D:$D,$A20,d_sched!$I:$I,E$2)+SUMIFS(d_sched!$M:$M,d_sched!$D:$D,$A20,d_sched!$K:$K,E$2))</f>
        <v>0.56747806612585427</v>
      </c>
      <c r="F20">
        <f>IF($A20=F$2,0,SUMIFS(d_sched!$M:$M,d_sched!$D:$D,$A20,d_sched!$I:$I,F$2)+SUMIFS(d_sched!$M:$M,d_sched!$D:$D,$A20,d_sched!$K:$K,F$2))</f>
        <v>0.44540027765061785</v>
      </c>
      <c r="G20">
        <f>IF($A20=G$2,0,SUMIFS(d_sched!$M:$M,d_sched!$D:$D,$A20,d_sched!$I:$I,G$2)+SUMIFS(d_sched!$M:$M,d_sched!$D:$D,$A20,d_sched!$K:$K,G$2))</f>
        <v>0.4312974660540817</v>
      </c>
      <c r="H20">
        <f>IF($A20=H$2,0,SUMIFS(d_sched!$M:$M,d_sched!$D:$D,$A20,d_sched!$I:$I,H$2)+SUMIFS(d_sched!$M:$M,d_sched!$D:$D,$A20,d_sched!$K:$K,H$2))</f>
        <v>0.72362622396380416</v>
      </c>
      <c r="I20">
        <f>IF($A20=I$2,0,SUMIFS(d_sched!$M:$M,d_sched!$D:$D,$A20,d_sched!$I:$I,I$2)+SUMIFS(d_sched!$M:$M,d_sched!$D:$D,$A20,d_sched!$K:$K,I$2))</f>
        <v>1.3486278221322536</v>
      </c>
      <c r="J20">
        <f>IF($A20=J$2,0,SUMIFS(d_sched!$M:$M,d_sched!$D:$D,$A20,d_sched!$I:$I,J$2)+SUMIFS(d_sched!$M:$M,d_sched!$D:$D,$A20,d_sched!$K:$K,J$2))</f>
        <v>0.75675689149899339</v>
      </c>
      <c r="K20">
        <f>IF($A20=K$2,0,SUMIFS(d_sched!$M:$M,d_sched!$D:$D,$A20,d_sched!$I:$I,K$2)+SUMIFS(d_sched!$M:$M,d_sched!$D:$D,$A20,d_sched!$K:$K,K$2))</f>
        <v>0.94382930579684099</v>
      </c>
      <c r="L20">
        <f>IF($A20=L$2,0,SUMIFS(d_sched!$M:$M,d_sched!$D:$D,$A20,d_sched!$I:$I,L$2)+SUMIFS(d_sched!$M:$M,d_sched!$D:$D,$A20,d_sched!$K:$K,L$2))</f>
        <v>1.068952919307524</v>
      </c>
      <c r="M20">
        <f>IF($A20=M$2,0,SUMIFS(d_sched!$M:$M,d_sched!$D:$D,$A20,d_sched!$I:$I,M$2)+SUMIFS(d_sched!$M:$M,d_sched!$D:$D,$A20,d_sched!$K:$K,M$2))</f>
        <v>0.78735797457100665</v>
      </c>
      <c r="N20">
        <f>IF($A20=N$2,0,SUMIFS(d_sched!$M:$M,d_sched!$D:$D,$A20,d_sched!$I:$I,N$2)+SUMIFS(d_sched!$M:$M,d_sched!$D:$D,$A20,d_sched!$K:$K,N$2))</f>
        <v>0.6469461990811225</v>
      </c>
      <c r="O20">
        <f>IF($A20=O$2,0,SUMIFS(d_sched!$M:$M,d_sched!$D:$D,$A20,d_sched!$I:$I,O$2)+SUMIFS(d_sched!$M:$M,d_sched!$D:$D,$A20,d_sched!$K:$K,O$2))</f>
        <v>1.6389428094593719</v>
      </c>
      <c r="P20">
        <f>IF($A20=P$2,0,SUMIFS(d_sched!$M:$M,d_sched!$D:$D,$A20,d_sched!$I:$I,P$2)+SUMIFS(d_sched!$M:$M,d_sched!$D:$D,$A20,d_sched!$K:$K,P$2))</f>
        <v>0.75945477448793963</v>
      </c>
      <c r="Q20">
        <f>IF($A20=Q$2,0,SUMIFS(d_sched!$M:$M,d_sched!$D:$D,$A20,d_sched!$I:$I,Q$2)+SUMIFS(d_sched!$M:$M,d_sched!$D:$D,$A20,d_sched!$K:$K,Q$2))</f>
        <v>0.58595278034915343</v>
      </c>
      <c r="R20">
        <f>IF($A20=R$2,0,SUMIFS(d_sched!$M:$M,d_sched!$D:$D,$A20,d_sched!$I:$I,R$2)+SUMIFS(d_sched!$M:$M,d_sched!$D:$D,$A20,d_sched!$K:$K,R$2))</f>
        <v>0.96159464990673993</v>
      </c>
      <c r="S20">
        <f>IF($A20=S$2,0,SUMIFS(d_sched!$M:$M,d_sched!$D:$D,$A20,d_sched!$I:$I,S$2)+SUMIFS(d_sched!$M:$M,d_sched!$D:$D,$A20,d_sched!$K:$K,S$2))</f>
        <v>0</v>
      </c>
      <c r="T20">
        <f>IF($A20=T$2,0,SUMIFS(d_sched!$M:$M,d_sched!$D:$D,$A20,d_sched!$I:$I,T$2)+SUMIFS(d_sched!$M:$M,d_sched!$D:$D,$A20,d_sched!$K:$K,T$2))</f>
        <v>1.2999258303982022</v>
      </c>
      <c r="U20">
        <f>IF($A20=U$2,0,SUMIFS(d_sched!$M:$M,d_sched!$D:$D,$A20,d_sched!$I:$I,U$2)+SUMIFS(d_sched!$M:$M,d_sched!$D:$D,$A20,d_sched!$K:$K,U$2))</f>
        <v>0.67431391106612681</v>
      </c>
      <c r="V20">
        <f>IF($A20=V$2,0,SUMIFS(d_sched!$M:$M,d_sched!$D:$D,$A20,d_sched!$I:$I,V$2)+SUMIFS(d_sched!$M:$M,d_sched!$D:$D,$A20,d_sched!$K:$K,V$2))</f>
        <v>0.92457045606856259</v>
      </c>
      <c r="W20">
        <f>IF($A20=W$2,0,SUMIFS(d_sched!$M:$M,d_sched!$D:$D,$A20,d_sched!$I:$I,W$2)+SUMIFS(d_sched!$M:$M,d_sched!$D:$D,$A20,d_sched!$K:$K,W$2))</f>
        <v>0.88798571021359451</v>
      </c>
      <c r="X20">
        <f>IF($A20=X$2,0,SUMIFS(d_sched!$M:$M,d_sched!$D:$D,$A20,d_sched!$I:$I,X$2)+SUMIFS(d_sched!$M:$M,d_sched!$D:$D,$A20,d_sched!$K:$K,X$2))</f>
        <v>1.0792305251625349</v>
      </c>
      <c r="Y20">
        <f>IF($A20=Y$2,0,SUMIFS(d_sched!$M:$M,d_sched!$D:$D,$A20,d_sched!$I:$I,Y$2)+SUMIFS(d_sched!$M:$M,d_sched!$D:$D,$A20,d_sched!$K:$K,Y$2))</f>
        <v>1.2116479075602551</v>
      </c>
      <c r="Z20">
        <f>IF($A20=Z$2,0,SUMIFS(d_sched!$M:$M,d_sched!$D:$D,$A20,d_sched!$I:$I,Z$2)+SUMIFS(d_sched!$M:$M,d_sched!$D:$D,$A20,d_sched!$K:$K,Z$2))</f>
        <v>1.0396398332637491</v>
      </c>
      <c r="AA20">
        <f>IF($A20=AA$2,0,SUMIFS(d_sched!$M:$M,d_sched!$D:$D,$A20,d_sched!$I:$I,AA$2)+SUMIFS(d_sched!$M:$M,d_sched!$D:$D,$A20,d_sched!$K:$K,AA$2))</f>
        <v>0.8908005553012357</v>
      </c>
      <c r="AB20">
        <f>IF($A20=AB$2,0,SUMIFS(d_sched!$M:$M,d_sched!$D:$D,$A20,d_sched!$I:$I,AB$2)+SUMIFS(d_sched!$M:$M,d_sched!$D:$D,$A20,d_sched!$K:$K,AB$2))</f>
        <v>1.229207107094529</v>
      </c>
      <c r="AC20">
        <f>IF($A20=AC$2,0,SUMIFS(d_sched!$M:$M,d_sched!$D:$D,$A20,d_sched!$I:$I,AC$2)+SUMIFS(d_sched!$M:$M,d_sched!$D:$D,$A20,d_sched!$K:$K,AC$2))</f>
        <v>0.48241748264253609</v>
      </c>
      <c r="AD20">
        <f>IF($A20=AD$2,0,SUMIFS(d_sched!$M:$M,d_sched!$D:$D,$A20,d_sched!$I:$I,AD$2)+SUMIFS(d_sched!$M:$M,d_sched!$D:$D,$A20,d_sched!$K:$K,AD$2))</f>
        <v>1.775971420427189</v>
      </c>
      <c r="AE20">
        <f>IF($A20=AE$2,0,SUMIFS(d_sched!$M:$M,d_sched!$D:$D,$A20,d_sched!$I:$I,AE$2)+SUMIFS(d_sched!$M:$M,d_sched!$D:$D,$A20,d_sched!$K:$K,AE$2))</f>
        <v>0.534476459653762</v>
      </c>
      <c r="AG20">
        <f>ROUND(SUM(B20:AE20),2)</f>
        <v>25.98</v>
      </c>
      <c r="AH20">
        <f>VLOOKUP($A20,p_win_totals!$D$2:$J$31,6,0)</f>
        <v>24</v>
      </c>
      <c r="AI20">
        <f>VLOOKUP($A20,d_win_totals!$E$2:$K$31,3,0)</f>
        <v>16</v>
      </c>
      <c r="AJ20">
        <f t="shared" si="0"/>
        <v>29</v>
      </c>
      <c r="AK20">
        <f>VLOOKUP($A20,p_win_totals!$D$2:$J$31,7,0)</f>
        <v>28</v>
      </c>
      <c r="AL20">
        <f>VLOOKUP($A20,d_win_totals!$E$2:$K$31,6,0)</f>
        <v>27</v>
      </c>
      <c r="AM20">
        <f t="shared" si="1"/>
        <v>-2</v>
      </c>
      <c r="AN20">
        <f t="shared" si="2"/>
        <v>2</v>
      </c>
      <c r="AO20">
        <f t="shared" si="3"/>
        <v>4</v>
      </c>
    </row>
    <row r="21" spans="1:41" x14ac:dyDescent="0.25">
      <c r="A21" t="s">
        <v>12</v>
      </c>
      <c r="B21">
        <f>IF($A21=B$2,0,SUMIFS(d_sched!$M:$M,d_sched!$D:$D,$A21,d_sched!$I:$I,B$2)+SUMIFS(d_sched!$M:$M,d_sched!$D:$D,$A21,d_sched!$K:$K,B$2))</f>
        <v>0.94879612005387326</v>
      </c>
      <c r="C21">
        <f>IF($A21=C$2,0,SUMIFS(d_sched!$M:$M,d_sched!$D:$D,$A21,d_sched!$I:$I,C$2)+SUMIFS(d_sched!$M:$M,d_sched!$D:$D,$A21,d_sched!$K:$K,C$2))</f>
        <v>1.027484262509426</v>
      </c>
      <c r="D21">
        <f>IF($A21=D$2,0,SUMIFS(d_sched!$M:$M,d_sched!$D:$D,$A21,d_sched!$I:$I,D$2)+SUMIFS(d_sched!$M:$M,d_sched!$D:$D,$A21,d_sched!$K:$K,D$2))</f>
        <v>1.3500370848008989</v>
      </c>
      <c r="E21">
        <f>IF($A21=E$2,0,SUMIFS(d_sched!$M:$M,d_sched!$D:$D,$A21,d_sched!$I:$I,E$2)+SUMIFS(d_sched!$M:$M,d_sched!$D:$D,$A21,d_sched!$K:$K,E$2))</f>
        <v>0.90279905214537137</v>
      </c>
      <c r="F21">
        <f>IF($A21=F$2,0,SUMIFS(d_sched!$M:$M,d_sched!$D:$D,$A21,d_sched!$I:$I,F$2)+SUMIFS(d_sched!$M:$M,d_sched!$D:$D,$A21,d_sched!$K:$K,F$2))</f>
        <v>0.74615911143918268</v>
      </c>
      <c r="G21">
        <f>IF($A21=G$2,0,SUMIFS(d_sched!$M:$M,d_sched!$D:$D,$A21,d_sched!$I:$I,G$2)+SUMIFS(d_sched!$M:$M,d_sched!$D:$D,$A21,d_sched!$K:$K,G$2))</f>
        <v>0.72698659826306178</v>
      </c>
      <c r="H21">
        <f>IF($A21=H$2,0,SUMIFS(d_sched!$M:$M,d_sched!$D:$D,$A21,d_sched!$I:$I,H$2)+SUMIFS(d_sched!$M:$M,d_sched!$D:$D,$A21,d_sched!$K:$K,H$2))</f>
        <v>1.5907671632490403</v>
      </c>
      <c r="I21">
        <f>IF($A21=I$2,0,SUMIFS(d_sched!$M:$M,d_sched!$D:$D,$A21,d_sched!$I:$I,I$2)+SUMIFS(d_sched!$M:$M,d_sched!$D:$D,$A21,d_sched!$K:$K,I$2))</f>
        <v>2.0549685250188521</v>
      </c>
      <c r="J21">
        <f>IF($A21=J$2,0,SUMIFS(d_sched!$M:$M,d_sched!$D:$D,$A21,d_sched!$I:$I,J$2)+SUMIFS(d_sched!$M:$M,d_sched!$D:$D,$A21,d_sched!$K:$K,J$2))</f>
        <v>1.1167331131640699</v>
      </c>
      <c r="K21">
        <f>IF($A21=K$2,0,SUMIFS(d_sched!$M:$M,d_sched!$D:$D,$A21,d_sched!$I:$I,K$2)+SUMIFS(d_sched!$M:$M,d_sched!$D:$D,$A21,d_sched!$K:$K,K$2))</f>
        <v>1.5631524422433611</v>
      </c>
      <c r="L21">
        <f>IF($A21=L$2,0,SUMIFS(d_sched!$M:$M,d_sched!$D:$D,$A21,d_sched!$I:$I,L$2)+SUMIFS(d_sched!$M:$M,d_sched!$D:$D,$A21,d_sched!$K:$K,L$2))</f>
        <v>1.724063019080792</v>
      </c>
      <c r="M21">
        <f>IF($A21=M$2,0,SUMIFS(d_sched!$M:$M,d_sched!$D:$D,$A21,d_sched!$I:$I,M$2)+SUMIFS(d_sched!$M:$M,d_sched!$D:$D,$A21,d_sched!$K:$K,M$2))</f>
        <v>1.1484441420292784</v>
      </c>
      <c r="N21">
        <f>IF($A21=N$2,0,SUMIFS(d_sched!$M:$M,d_sched!$D:$D,$A21,d_sched!$I:$I,N$2)+SUMIFS(d_sched!$M:$M,d_sched!$D:$D,$A21,d_sched!$K:$K,N$2))</f>
        <v>1.0904798973945926</v>
      </c>
      <c r="O21">
        <f>IF($A21=O$2,0,SUMIFS(d_sched!$M:$M,d_sched!$D:$D,$A21,d_sched!$I:$I,O$2)+SUMIFS(d_sched!$M:$M,d_sched!$D:$D,$A21,d_sched!$K:$K,O$2))</f>
        <v>2.3618851159019494</v>
      </c>
      <c r="P21">
        <f>IF($A21=P$2,0,SUMIFS(d_sched!$M:$M,d_sched!$D:$D,$A21,d_sched!$I:$I,P$2)+SUMIFS(d_sched!$M:$M,d_sched!$D:$D,$A21,d_sched!$K:$K,P$2))</f>
        <v>1.6526551013700159</v>
      </c>
      <c r="Q21">
        <f>IF($A21=Q$2,0,SUMIFS(d_sched!$M:$M,d_sched!$D:$D,$A21,d_sched!$I:$I,Q$2)+SUMIFS(d_sched!$M:$M,d_sched!$D:$D,$A21,d_sched!$K:$K,Q$2))</f>
        <v>0.9251403093125008</v>
      </c>
      <c r="R21">
        <f>IF($A21=R$2,0,SUMIFS(d_sched!$M:$M,d_sched!$D:$D,$A21,d_sched!$I:$I,R$2)+SUMIFS(d_sched!$M:$M,d_sched!$D:$D,$A21,d_sched!$K:$K,R$2))</f>
        <v>1.3158781788141012</v>
      </c>
      <c r="S21">
        <f>IF($A21=S$2,0,SUMIFS(d_sched!$M:$M,d_sched!$D:$D,$A21,d_sched!$I:$I,S$2)+SUMIFS(d_sched!$M:$M,d_sched!$D:$D,$A21,d_sched!$K:$K,S$2))</f>
        <v>2.7000741696017978</v>
      </c>
      <c r="T21">
        <f>IF($A21=T$2,0,SUMIFS(d_sched!$M:$M,d_sched!$D:$D,$A21,d_sched!$I:$I,T$2)+SUMIFS(d_sched!$M:$M,d_sched!$D:$D,$A21,d_sched!$K:$K,T$2))</f>
        <v>0</v>
      </c>
      <c r="U21">
        <f>IF($A21=U$2,0,SUMIFS(d_sched!$M:$M,d_sched!$D:$D,$A21,d_sched!$I:$I,U$2)+SUMIFS(d_sched!$M:$M,d_sched!$D:$D,$A21,d_sched!$K:$K,U$2))</f>
        <v>1.027484262509426</v>
      </c>
      <c r="V21">
        <f>IF($A21=V$2,0,SUMIFS(d_sched!$M:$M,d_sched!$D:$D,$A21,d_sched!$I:$I,V$2)+SUMIFS(d_sched!$M:$M,d_sched!$D:$D,$A21,d_sched!$K:$K,V$2))</f>
        <v>1.5376143465442567</v>
      </c>
      <c r="W21">
        <f>IF($A21=W$2,0,SUMIFS(d_sched!$M:$M,d_sched!$D:$D,$A21,d_sched!$I:$I,W$2)+SUMIFS(d_sched!$M:$M,d_sched!$D:$D,$A21,d_sched!$K:$K,W$2))</f>
        <v>1.2477363271781461</v>
      </c>
      <c r="X21">
        <f>IF($A21=X$2,0,SUMIFS(d_sched!$M:$M,d_sched!$D:$D,$A21,d_sched!$I:$I,X$2)+SUMIFS(d_sched!$M:$M,d_sched!$D:$D,$A21,d_sched!$K:$K,X$2))</f>
        <v>1.4176837273310532</v>
      </c>
      <c r="Y21">
        <f>IF($A21=Y$2,0,SUMIFS(d_sched!$M:$M,d_sched!$D:$D,$A21,d_sched!$I:$I,Y$2)+SUMIFS(d_sched!$M:$M,d_sched!$D:$D,$A21,d_sched!$K:$K,Y$2))</f>
        <v>1.4231941800808099</v>
      </c>
      <c r="Z21">
        <f>IF($A21=Z$2,0,SUMIFS(d_sched!$M:$M,d_sched!$D:$D,$A21,d_sched!$I:$I,Z$2)+SUMIFS(d_sched!$M:$M,d_sched!$D:$D,$A21,d_sched!$K:$K,Z$2))</f>
        <v>1.265344391101646</v>
      </c>
      <c r="AA21">
        <f>IF($A21=AA$2,0,SUMIFS(d_sched!$M:$M,d_sched!$D:$D,$A21,d_sched!$I:$I,AA$2)+SUMIFS(d_sched!$M:$M,d_sched!$D:$D,$A21,d_sched!$K:$K,AA$2))</f>
        <v>1.4923182228783654</v>
      </c>
      <c r="AB21">
        <f>IF($A21=AB$2,0,SUMIFS(d_sched!$M:$M,d_sched!$D:$D,$A21,d_sched!$I:$I,AB$2)+SUMIFS(d_sched!$M:$M,d_sched!$D:$D,$A21,d_sched!$K:$K,AB$2))</f>
        <v>2.3618851159019494</v>
      </c>
      <c r="AC21">
        <f>IF($A21=AC$2,0,SUMIFS(d_sched!$M:$M,d_sched!$D:$D,$A21,d_sched!$I:$I,AC$2)+SUMIFS(d_sched!$M:$M,d_sched!$D:$D,$A21,d_sched!$K:$K,AC$2))</f>
        <v>0.79538358162452016</v>
      </c>
      <c r="AD21">
        <f>IF($A21=AD$2,0,SUMIFS(d_sched!$M:$M,d_sched!$D:$D,$A21,d_sched!$I:$I,AD$2)+SUMIFS(d_sched!$M:$M,d_sched!$D:$D,$A21,d_sched!$K:$K,AD$2))</f>
        <v>1.8716044907672191</v>
      </c>
      <c r="AE21">
        <f>IF($A21=AE$2,0,SUMIFS(d_sched!$M:$M,d_sched!$D:$D,$A21,d_sched!$I:$I,AE$2)+SUMIFS(d_sched!$M:$M,d_sched!$D:$D,$A21,d_sched!$K:$K,AE$2))</f>
        <v>0.86203150954039598</v>
      </c>
      <c r="AG21">
        <f>ROUND(SUM(B21:AE21),2)</f>
        <v>40.25</v>
      </c>
      <c r="AH21">
        <f>VLOOKUP($A21,p_win_totals!$D$2:$J$31,6,0)</f>
        <v>41</v>
      </c>
      <c r="AI21">
        <f>VLOOKUP($A21,d_win_totals!$E$2:$K$31,3,0)</f>
        <v>45</v>
      </c>
      <c r="AJ21">
        <f t="shared" si="0"/>
        <v>18</v>
      </c>
      <c r="AK21">
        <f>VLOOKUP($A21,p_win_totals!$D$2:$J$31,7,0)</f>
        <v>17</v>
      </c>
      <c r="AL21">
        <f>VLOOKUP($A21,d_win_totals!$E$2:$K$31,6,0)</f>
        <v>16</v>
      </c>
      <c r="AM21">
        <f t="shared" si="1"/>
        <v>-2</v>
      </c>
      <c r="AN21">
        <f t="shared" si="2"/>
        <v>2</v>
      </c>
      <c r="AO21">
        <f t="shared" si="3"/>
        <v>4</v>
      </c>
    </row>
    <row r="22" spans="1:41" x14ac:dyDescent="0.25">
      <c r="A22" t="s">
        <v>31</v>
      </c>
      <c r="B22">
        <f>IF($A22=B$2,0,SUMIFS(d_sched!$M:$M,d_sched!$D:$D,$A22,d_sched!$I:$I,B$2)+SUMIFS(d_sched!$M:$M,d_sched!$D:$D,$A22,d_sched!$K:$K,B$2))</f>
        <v>1.3821336597208251</v>
      </c>
      <c r="C22">
        <f>IF($A22=C$2,0,SUMIFS(d_sched!$M:$M,d_sched!$D:$D,$A22,d_sched!$I:$I,C$2)+SUMIFS(d_sched!$M:$M,d_sched!$D:$D,$A22,d_sched!$K:$K,C$2))</f>
        <v>2</v>
      </c>
      <c r="D22">
        <f>IF($A22=D$2,0,SUMIFS(d_sched!$M:$M,d_sched!$D:$D,$A22,d_sched!$I:$I,D$2)+SUMIFS(d_sched!$M:$M,d_sched!$D:$D,$A22,d_sched!$K:$K,D$2))</f>
        <v>2.6513721778677466</v>
      </c>
      <c r="E22">
        <f>IF($A22=E$2,0,SUMIFS(d_sched!$M:$M,d_sched!$D:$D,$A22,d_sched!$I:$I,E$2)+SUMIFS(d_sched!$M:$M,d_sched!$D:$D,$A22,d_sched!$K:$K,E$2))</f>
        <v>1.7512939964568077</v>
      </c>
      <c r="F22">
        <f>IF($A22=F$2,0,SUMIFS(d_sched!$M:$M,d_sched!$D:$D,$A22,d_sched!$I:$I,F$2)+SUMIFS(d_sched!$M:$M,d_sched!$D:$D,$A22,d_sched!$K:$K,F$2))</f>
        <v>1.0809359282092403</v>
      </c>
      <c r="G22">
        <f>IF($A22=G$2,0,SUMIFS(d_sched!$M:$M,d_sched!$D:$D,$A22,d_sched!$I:$I,G$2)+SUMIFS(d_sched!$M:$M,d_sched!$D:$D,$A22,d_sched!$K:$K,G$2))</f>
        <v>1.052610522785637</v>
      </c>
      <c r="H22">
        <f>IF($A22=H$2,0,SUMIFS(d_sched!$M:$M,d_sched!$D:$D,$A22,d_sched!$I:$I,H$2)+SUMIFS(d_sched!$M:$M,d_sched!$D:$D,$A22,d_sched!$K:$K,H$2))</f>
        <v>0.76919729154377459</v>
      </c>
      <c r="I22">
        <f>IF($A22=I$2,0,SUMIFS(d_sched!$M:$M,d_sched!$D:$D,$A22,d_sched!$I:$I,I$2)+SUMIFS(d_sched!$M:$M,d_sched!$D:$D,$A22,d_sched!$K:$K,I$2))</f>
        <v>1</v>
      </c>
      <c r="J22">
        <f>IF($A22=J$2,0,SUMIFS(d_sched!$M:$M,d_sched!$D:$D,$A22,d_sched!$I:$I,J$2)+SUMIFS(d_sched!$M:$M,d_sched!$D:$D,$A22,d_sched!$K:$K,J$2))</f>
        <v>2.1790722229349369</v>
      </c>
      <c r="K22">
        <f>IF($A22=K$2,0,SUMIFS(d_sched!$M:$M,d_sched!$D:$D,$A22,d_sched!$I:$I,K$2)+SUMIFS(d_sched!$M:$M,d_sched!$D:$D,$A22,d_sched!$K:$K,K$2))</f>
        <v>0.75555938851874471</v>
      </c>
      <c r="L22">
        <f>IF($A22=L$2,0,SUMIFS(d_sched!$M:$M,d_sched!$D:$D,$A22,d_sched!$I:$I,L$2)+SUMIFS(d_sched!$M:$M,d_sched!$D:$D,$A22,d_sched!$K:$K,L$2))</f>
        <v>0.83517226756349949</v>
      </c>
      <c r="M22">
        <f>IF($A22=M$2,0,SUMIFS(d_sched!$M:$M,d_sched!$D:$D,$A22,d_sched!$I:$I,M$2)+SUMIFS(d_sched!$M:$M,d_sched!$D:$D,$A22,d_sched!$K:$K,M$2))</f>
        <v>2.2429108054342857</v>
      </c>
      <c r="N22">
        <f>IF($A22=N$2,0,SUMIFS(d_sched!$M:$M,d_sched!$D:$D,$A22,d_sched!$I:$I,N$2)+SUMIFS(d_sched!$M:$M,d_sched!$D:$D,$A22,d_sched!$K:$K,N$2))</f>
        <v>0.70174034852375811</v>
      </c>
      <c r="O22">
        <f>IF($A22=O$2,0,SUMIFS(d_sched!$M:$M,d_sched!$D:$D,$A22,d_sched!$I:$I,O$2)+SUMIFS(d_sched!$M:$M,d_sched!$D:$D,$A22,d_sched!$K:$K,O$2))</f>
        <v>1.1542252689256318</v>
      </c>
      <c r="P22">
        <f>IF($A22=P$2,0,SUMIFS(d_sched!$M:$M,d_sched!$D:$D,$A22,d_sched!$I:$I,P$2)+SUMIFS(d_sched!$M:$M,d_sched!$D:$D,$A22,d_sched!$K:$K,P$2))</f>
        <v>0.79979889991593134</v>
      </c>
      <c r="Q22">
        <f>IF($A22=Q$2,0,SUMIFS(d_sched!$M:$M,d_sched!$D:$D,$A22,d_sched!$I:$I,Q$2)+SUMIFS(d_sched!$M:$M,d_sched!$D:$D,$A22,d_sched!$K:$K,Q$2))</f>
        <v>1.3467992750874762</v>
      </c>
      <c r="R22">
        <f>IF($A22=R$2,0,SUMIFS(d_sched!$M:$M,d_sched!$D:$D,$A22,d_sched!$I:$I,R$2)+SUMIFS(d_sched!$M:$M,d_sched!$D:$D,$A22,d_sched!$K:$K,R$2))</f>
        <v>2.5818391734189734</v>
      </c>
      <c r="S22">
        <f>IF($A22=S$2,0,SUMIFS(d_sched!$M:$M,d_sched!$D:$D,$A22,d_sched!$I:$I,S$2)+SUMIFS(d_sched!$M:$M,d_sched!$D:$D,$A22,d_sched!$K:$K,S$2))</f>
        <v>1.3256860889338733</v>
      </c>
      <c r="T22">
        <f>IF($A22=T$2,0,SUMIFS(d_sched!$M:$M,d_sched!$D:$D,$A22,d_sched!$I:$I,T$2)+SUMIFS(d_sched!$M:$M,d_sched!$D:$D,$A22,d_sched!$K:$K,T$2))</f>
        <v>0.97251573749057385</v>
      </c>
      <c r="U22">
        <f>IF($A22=U$2,0,SUMIFS(d_sched!$M:$M,d_sched!$D:$D,$A22,d_sched!$I:$I,U$2)+SUMIFS(d_sched!$M:$M,d_sched!$D:$D,$A22,d_sched!$K:$K,U$2))</f>
        <v>0</v>
      </c>
      <c r="V22">
        <f>IF($A22=V$2,0,SUMIFS(d_sched!$M:$M,d_sched!$D:$D,$A22,d_sched!$I:$I,V$2)+SUMIFS(d_sched!$M:$M,d_sched!$D:$D,$A22,d_sched!$K:$K,V$2))</f>
        <v>0.74295620925171524</v>
      </c>
      <c r="W22">
        <f>IF($A22=W$2,0,SUMIFS(d_sched!$M:$M,d_sched!$D:$D,$A22,d_sched!$I:$I,W$2)+SUMIFS(d_sched!$M:$M,d_sched!$D:$D,$A22,d_sched!$K:$K,W$2))</f>
        <v>2.4435240179576749</v>
      </c>
      <c r="X22">
        <f>IF($A22=X$2,0,SUMIFS(d_sched!$M:$M,d_sched!$D:$D,$A22,d_sched!$I:$I,X$2)+SUMIFS(d_sched!$M:$M,d_sched!$D:$D,$A22,d_sched!$K:$K,X$2))</f>
        <v>2.7894617365993999</v>
      </c>
      <c r="Y22">
        <f>IF($A22=Y$2,0,SUMIFS(d_sched!$M:$M,d_sched!$D:$D,$A22,d_sched!$I:$I,Y$2)+SUMIFS(d_sched!$M:$M,d_sched!$D:$D,$A22,d_sched!$K:$K,Y$2))</f>
        <v>0.9214224398138835</v>
      </c>
      <c r="Z22">
        <f>IF($A22=Z$2,0,SUMIFS(d_sched!$M:$M,d_sched!$D:$D,$A22,d_sched!$I:$I,Z$2)+SUMIFS(d_sched!$M:$M,d_sched!$D:$D,$A22,d_sched!$K:$K,Z$2))</f>
        <v>0.81686605981044802</v>
      </c>
      <c r="AA22">
        <f>IF($A22=AA$2,0,SUMIFS(d_sched!$M:$M,d_sched!$D:$D,$A22,d_sched!$I:$I,AA$2)+SUMIFS(d_sched!$M:$M,d_sched!$D:$D,$A22,d_sched!$K:$K,AA$2))</f>
        <v>0.72062395213949348</v>
      </c>
      <c r="AB22">
        <f>IF($A22=AB$2,0,SUMIFS(d_sched!$M:$M,d_sched!$D:$D,$A22,d_sched!$I:$I,AB$2)+SUMIFS(d_sched!$M:$M,d_sched!$D:$D,$A22,d_sched!$K:$K,AB$2))</f>
        <v>1.1542252689256318</v>
      </c>
      <c r="AC22">
        <f>IF($A22=AC$2,0,SUMIFS(d_sched!$M:$M,d_sched!$D:$D,$A22,d_sched!$I:$I,AC$2)+SUMIFS(d_sched!$M:$M,d_sched!$D:$D,$A22,d_sched!$K:$K,AC$2))</f>
        <v>1.5383945830875492</v>
      </c>
      <c r="AD22">
        <f>IF($A22=AD$2,0,SUMIFS(d_sched!$M:$M,d_sched!$D:$D,$A22,d_sched!$I:$I,AD$2)+SUMIFS(d_sched!$M:$M,d_sched!$D:$D,$A22,d_sched!$K:$K,AD$2))</f>
        <v>1.2217620089788375</v>
      </c>
      <c r="AE22">
        <f>IF($A22=AE$2,0,SUMIFS(d_sched!$M:$M,d_sched!$D:$D,$A22,d_sched!$I:$I,AE$2)+SUMIFS(d_sched!$M:$M,d_sched!$D:$D,$A22,d_sched!$K:$K,AE$2))</f>
        <v>1.670344535126999</v>
      </c>
      <c r="AG22">
        <f>ROUND(SUM(B22:AE22),2)</f>
        <v>40.6</v>
      </c>
      <c r="AH22">
        <f>VLOOKUP($A22,p_win_totals!$D$2:$J$31,6,0)</f>
        <v>40</v>
      </c>
      <c r="AI22">
        <f>VLOOKUP($A22,d_win_totals!$E$2:$K$31,3,0)</f>
        <v>17</v>
      </c>
      <c r="AJ22">
        <f t="shared" si="0"/>
        <v>17</v>
      </c>
      <c r="AK22">
        <f>VLOOKUP($A22,p_win_totals!$D$2:$J$31,7,0)</f>
        <v>18</v>
      </c>
      <c r="AL22">
        <f>VLOOKUP($A22,d_win_totals!$E$2:$K$31,6,0)</f>
        <v>18</v>
      </c>
      <c r="AM22">
        <f t="shared" si="1"/>
        <v>1</v>
      </c>
      <c r="AN22">
        <f t="shared" si="2"/>
        <v>1</v>
      </c>
      <c r="AO22">
        <f t="shared" si="3"/>
        <v>1</v>
      </c>
    </row>
    <row r="23" spans="1:41" x14ac:dyDescent="0.25">
      <c r="A23" t="s">
        <v>38</v>
      </c>
      <c r="B23">
        <f>IF($A23=B$2,0,SUMIFS(d_sched!$M:$M,d_sched!$D:$D,$A23,d_sched!$I:$I,B$2)+SUMIFS(d_sched!$M:$M,d_sched!$D:$D,$A23,d_sched!$K:$K,B$2))</f>
        <v>1.1821451758626553</v>
      </c>
      <c r="C23">
        <f>IF($A23=C$2,0,SUMIFS(d_sched!$M:$M,d_sched!$D:$D,$A23,d_sched!$I:$I,C$2)+SUMIFS(d_sched!$M:$M,d_sched!$D:$D,$A23,d_sched!$K:$K,C$2))</f>
        <v>1.2570437907482848</v>
      </c>
      <c r="D23">
        <f>IF($A23=D$2,0,SUMIFS(d_sched!$M:$M,d_sched!$D:$D,$A23,d_sched!$I:$I,D$2)+SUMIFS(d_sched!$M:$M,d_sched!$D:$D,$A23,d_sched!$K:$K,D$2))</f>
        <v>1.5377147719657187</v>
      </c>
      <c r="E23">
        <f>IF($A23=E$2,0,SUMIFS(d_sched!$M:$M,d_sched!$D:$D,$A23,d_sched!$I:$I,E$2)+SUMIFS(d_sched!$M:$M,d_sched!$D:$D,$A23,d_sched!$K:$K,E$2))</f>
        <v>1.1370721872565943</v>
      </c>
      <c r="F23">
        <f>IF($A23=F$2,0,SUMIFS(d_sched!$M:$M,d_sched!$D:$D,$A23,d_sched!$I:$I,F$2)+SUMIFS(d_sched!$M:$M,d_sched!$D:$D,$A23,d_sched!$K:$K,F$2))</f>
        <v>0.97593994515530214</v>
      </c>
      <c r="G23">
        <f>IF($A23=G$2,0,SUMIFS(d_sched!$M:$M,d_sched!$D:$D,$A23,d_sched!$I:$I,G$2)+SUMIFS(d_sched!$M:$M,d_sched!$D:$D,$A23,d_sched!$K:$K,G$2))</f>
        <v>0.95536192600038361</v>
      </c>
      <c r="H23">
        <f>IF($A23=H$2,0,SUMIFS(d_sched!$M:$M,d_sched!$D:$D,$A23,d_sched!$I:$I,H$2)+SUMIFS(d_sched!$M:$M,d_sched!$D:$D,$A23,d_sched!$K:$K,H$2))</f>
        <v>2.0557921097784417</v>
      </c>
      <c r="I23">
        <f>IF($A23=I$2,0,SUMIFS(d_sched!$M:$M,d_sched!$D:$D,$A23,d_sched!$I:$I,I$2)+SUMIFS(d_sched!$M:$M,d_sched!$D:$D,$A23,d_sched!$K:$K,I$2))</f>
        <v>2.5140875814965695</v>
      </c>
      <c r="J23">
        <f>IF($A23=J$2,0,SUMIFS(d_sched!$M:$M,d_sched!$D:$D,$A23,d_sched!$I:$I,J$2)+SUMIFS(d_sched!$M:$M,d_sched!$D:$D,$A23,d_sched!$K:$K,J$2))</f>
        <v>1.3387829145636161</v>
      </c>
      <c r="K23">
        <f>IF($A23=K$2,0,SUMIFS(d_sched!$M:$M,d_sched!$D:$D,$A23,d_sched!$I:$I,K$2)+SUMIFS(d_sched!$M:$M,d_sched!$D:$D,$A23,d_sched!$K:$K,K$2))</f>
        <v>2.0268963056331546</v>
      </c>
      <c r="L23">
        <f>IF($A23=L$2,0,SUMIFS(d_sched!$M:$M,d_sched!$D:$D,$A23,d_sched!$I:$I,L$2)+SUMIFS(d_sched!$M:$M,d_sched!$D:$D,$A23,d_sched!$K:$K,L$2))</f>
        <v>1.6444438777601726</v>
      </c>
      <c r="M23">
        <f>IF($A23=M$2,0,SUMIFS(d_sched!$M:$M,d_sched!$D:$D,$A23,d_sched!$I:$I,M$2)+SUMIFS(d_sched!$M:$M,d_sched!$D:$D,$A23,d_sched!$K:$K,M$2))</f>
        <v>1.3670404272879793</v>
      </c>
      <c r="N23">
        <f>IF($A23=N$2,0,SUMIFS(d_sched!$M:$M,d_sched!$D:$D,$A23,d_sched!$I:$I,N$2)+SUMIFS(d_sched!$M:$M,d_sched!$D:$D,$A23,d_sched!$K:$K,N$2))</f>
        <v>1.4330428890005753</v>
      </c>
      <c r="O23">
        <f>IF($A23=O$2,0,SUMIFS(d_sched!$M:$M,d_sched!$D:$D,$A23,d_sched!$I:$I,O$2)+SUMIFS(d_sched!$M:$M,d_sched!$D:$D,$A23,d_sched!$K:$K,O$2))</f>
        <v>2.093380418592595</v>
      </c>
      <c r="P23">
        <f>IF($A23=P$2,0,SUMIFS(d_sched!$M:$M,d_sched!$D:$D,$A23,d_sched!$I:$I,P$2)+SUMIFS(d_sched!$M:$M,d_sched!$D:$D,$A23,d_sched!$K:$K,P$2))</f>
        <v>2.1198530744340496</v>
      </c>
      <c r="Q23">
        <f>IF($A23=Q$2,0,SUMIFS(d_sched!$M:$M,d_sched!$D:$D,$A23,d_sched!$I:$I,Q$2)+SUMIFS(d_sched!$M:$M,d_sched!$D:$D,$A23,d_sched!$K:$K,Q$2))</f>
        <v>1.1590864489505761</v>
      </c>
      <c r="R23">
        <f>IF($A23=R$2,0,SUMIFS(d_sched!$M:$M,d_sched!$D:$D,$A23,d_sched!$I:$I,R$2)+SUMIFS(d_sched!$M:$M,d_sched!$D:$D,$A23,d_sched!$K:$K,R$2))</f>
        <v>1.5098381528207878</v>
      </c>
      <c r="S23">
        <f>IF($A23=S$2,0,SUMIFS(d_sched!$M:$M,d_sched!$D:$D,$A23,d_sched!$I:$I,S$2)+SUMIFS(d_sched!$M:$M,d_sched!$D:$D,$A23,d_sched!$K:$K,S$2))</f>
        <v>3.0754295439314374</v>
      </c>
      <c r="T23">
        <f>IF($A23=T$2,0,SUMIFS(d_sched!$M:$M,d_sched!$D:$D,$A23,d_sched!$I:$I,T$2)+SUMIFS(d_sched!$M:$M,d_sched!$D:$D,$A23,d_sched!$K:$K,T$2))</f>
        <v>2.4623856534557431</v>
      </c>
      <c r="U23">
        <f>IF($A23=U$2,0,SUMIFS(d_sched!$M:$M,d_sched!$D:$D,$A23,d_sched!$I:$I,U$2)+SUMIFS(d_sched!$M:$M,d_sched!$D:$D,$A23,d_sched!$K:$K,U$2))</f>
        <v>1.2570437907482848</v>
      </c>
      <c r="V23">
        <f>IF($A23=V$2,0,SUMIFS(d_sched!$M:$M,d_sched!$D:$D,$A23,d_sched!$I:$I,V$2)+SUMIFS(d_sched!$M:$M,d_sched!$D:$D,$A23,d_sched!$K:$K,V$2))</f>
        <v>0</v>
      </c>
      <c r="W23">
        <f>IF($A23=W$2,0,SUMIFS(d_sched!$M:$M,d_sched!$D:$D,$A23,d_sched!$I:$I,W$2)+SUMIFS(d_sched!$M:$M,d_sched!$D:$D,$A23,d_sched!$K:$K,W$2))</f>
        <v>1.4529845277009437</v>
      </c>
      <c r="X23">
        <f>IF($A23=X$2,0,SUMIFS(d_sched!$M:$M,d_sched!$D:$D,$A23,d_sched!$I:$I,X$2)+SUMIFS(d_sched!$M:$M,d_sched!$D:$D,$A23,d_sched!$K:$K,X$2))</f>
        <v>1.5917353454462269</v>
      </c>
      <c r="Y23">
        <f>IF($A23=Y$2,0,SUMIFS(d_sched!$M:$M,d_sched!$D:$D,$A23,d_sched!$I:$I,Y$2)+SUMIFS(d_sched!$M:$M,d_sched!$D:$D,$A23,d_sched!$K:$K,Y$2))</f>
        <v>2.3642903517253107</v>
      </c>
      <c r="Z23">
        <f>IF($A23=Z$2,0,SUMIFS(d_sched!$M:$M,d_sched!$D:$D,$A23,d_sched!$I:$I,Z$2)+SUMIFS(d_sched!$M:$M,d_sched!$D:$D,$A23,d_sched!$K:$K,Z$2))</f>
        <v>2.1551218191031296</v>
      </c>
      <c r="AA23">
        <f>IF($A23=AA$2,0,SUMIFS(d_sched!$M:$M,d_sched!$D:$D,$A23,d_sched!$I:$I,AA$2)+SUMIFS(d_sched!$M:$M,d_sched!$D:$D,$A23,d_sched!$K:$K,AA$2))</f>
        <v>1.4639099177329533</v>
      </c>
      <c r="AB23">
        <f>IF($A23=AB$2,0,SUMIFS(d_sched!$M:$M,d_sched!$D:$D,$A23,d_sched!$I:$I,AB$2)+SUMIFS(d_sched!$M:$M,d_sched!$D:$D,$A23,d_sched!$K:$K,AB$2))</f>
        <v>2.7911738914567934</v>
      </c>
      <c r="AC23">
        <f>IF($A23=AC$2,0,SUMIFS(d_sched!$M:$M,d_sched!$D:$D,$A23,d_sched!$I:$I,AC$2)+SUMIFS(d_sched!$M:$M,d_sched!$D:$D,$A23,d_sched!$K:$K,AC$2))</f>
        <v>1.0278960548892209</v>
      </c>
      <c r="AD23">
        <f>IF($A23=AD$2,0,SUMIFS(d_sched!$M:$M,d_sched!$D:$D,$A23,d_sched!$I:$I,AD$2)+SUMIFS(d_sched!$M:$M,d_sched!$D:$D,$A23,d_sched!$K:$K,AD$2))</f>
        <v>2.9059690554018873</v>
      </c>
      <c r="AE23">
        <f>IF($A23=AE$2,0,SUMIFS(d_sched!$M:$M,d_sched!$D:$D,$A23,d_sched!$I:$I,AE$2)+SUMIFS(d_sched!$M:$M,d_sched!$D:$D,$A23,d_sched!$K:$K,AE$2))</f>
        <v>1.0962959185067818</v>
      </c>
      <c r="AG23">
        <f>ROUND(SUM(B23:AE23),2)</f>
        <v>49.95</v>
      </c>
      <c r="AH23">
        <f>VLOOKUP($A23,p_win_totals!$D$2:$J$31,6,0)</f>
        <v>55</v>
      </c>
      <c r="AI23">
        <f>VLOOKUP($A23,d_win_totals!$E$2:$K$31,3,0)</f>
        <v>45</v>
      </c>
      <c r="AJ23">
        <f t="shared" si="0"/>
        <v>5</v>
      </c>
      <c r="AK23">
        <f>VLOOKUP($A23,p_win_totals!$D$2:$J$31,7,0)</f>
        <v>5</v>
      </c>
      <c r="AL23">
        <f>VLOOKUP($A23,d_win_totals!$E$2:$K$31,6,0)</f>
        <v>2</v>
      </c>
      <c r="AM23">
        <f t="shared" si="1"/>
        <v>-3</v>
      </c>
      <c r="AN23">
        <f t="shared" si="2"/>
        <v>3</v>
      </c>
      <c r="AO23">
        <f t="shared" si="3"/>
        <v>9</v>
      </c>
    </row>
    <row r="24" spans="1:41" x14ac:dyDescent="0.25">
      <c r="A24" t="s">
        <v>13</v>
      </c>
      <c r="B24">
        <f>IF($A24=B$2,0,SUMIFS(d_sched!$M:$M,d_sched!$D:$D,$A24,d_sched!$I:$I,B$2)+SUMIFS(d_sched!$M:$M,d_sched!$D:$D,$A24,d_sched!$K:$K,B$2))</f>
        <v>1.4096087350527613</v>
      </c>
      <c r="C24">
        <f>IF($A24=C$2,0,SUMIFS(d_sched!$M:$M,d_sched!$D:$D,$A24,d_sched!$I:$I,C$2)+SUMIFS(d_sched!$M:$M,d_sched!$D:$D,$A24,d_sched!$K:$K,C$2))</f>
        <v>1.1673569865317437</v>
      </c>
      <c r="D24">
        <f>IF($A24=D$2,0,SUMIFS(d_sched!$M:$M,d_sched!$D:$D,$A24,d_sched!$I:$I,D$2)+SUMIFS(d_sched!$M:$M,d_sched!$D:$D,$A24,d_sched!$K:$K,D$2))</f>
        <v>2.2240285795728112</v>
      </c>
      <c r="E24">
        <f>IF($A24=E$2,0,SUMIFS(d_sched!$M:$M,d_sched!$D:$D,$A24,d_sched!$I:$I,E$2)+SUMIFS(d_sched!$M:$M,d_sched!$D:$D,$A24,d_sched!$K:$K,E$2))</f>
        <v>1.3263471492319989</v>
      </c>
      <c r="F24">
        <f>IF($A24=F$2,0,SUMIFS(d_sched!$M:$M,d_sched!$D:$D,$A24,d_sched!$I:$I,F$2)+SUMIFS(d_sched!$M:$M,d_sched!$D:$D,$A24,d_sched!$K:$K,F$2))</f>
        <v>1.0561971837913762</v>
      </c>
      <c r="G24">
        <f>IF($A24=G$2,0,SUMIFS(d_sched!$M:$M,d_sched!$D:$D,$A24,d_sched!$I:$I,G$2)+SUMIFS(d_sched!$M:$M,d_sched!$D:$D,$A24,d_sched!$K:$K,G$2))</f>
        <v>0.76836011698277384</v>
      </c>
      <c r="H24">
        <f>IF($A24=H$2,0,SUMIFS(d_sched!$M:$M,d_sched!$D:$D,$A24,d_sched!$I:$I,H$2)+SUMIFS(d_sched!$M:$M,d_sched!$D:$D,$A24,d_sched!$K:$K,H$2))</f>
        <v>0.56947115754354627</v>
      </c>
      <c r="I24">
        <f>IF($A24=I$2,0,SUMIFS(d_sched!$M:$M,d_sched!$D:$D,$A24,d_sched!$I:$I,I$2)+SUMIFS(d_sched!$M:$M,d_sched!$D:$D,$A24,d_sched!$K:$K,I$2))</f>
        <v>0.77823799102116253</v>
      </c>
      <c r="J24">
        <f>IF($A24=J$2,0,SUMIFS(d_sched!$M:$M,d_sched!$D:$D,$A24,d_sched!$I:$I,J$2)+SUMIFS(d_sched!$M:$M,d_sched!$D:$D,$A24,d_sched!$K:$K,J$2))</f>
        <v>1.7301909553836949</v>
      </c>
      <c r="K24">
        <f>IF($A24=K$2,0,SUMIFS(d_sched!$M:$M,d_sched!$D:$D,$A24,d_sched!$I:$I,K$2)+SUMIFS(d_sched!$M:$M,d_sched!$D:$D,$A24,d_sched!$K:$K,K$2))</f>
        <v>0.55776964395427386</v>
      </c>
      <c r="L24">
        <f>IF($A24=L$2,0,SUMIFS(d_sched!$M:$M,d_sched!$D:$D,$A24,d_sched!$I:$I,L$2)+SUMIFS(d_sched!$M:$M,d_sched!$D:$D,$A24,d_sched!$K:$K,L$2))</f>
        <v>0.62704278792483836</v>
      </c>
      <c r="M24">
        <f>IF($A24=M$2,0,SUMIFS(d_sched!$M:$M,d_sched!$D:$D,$A24,d_sched!$I:$I,M$2)+SUMIFS(d_sched!$M:$M,d_sched!$D:$D,$A24,d_sched!$K:$K,M$2))</f>
        <v>1.3453754016619675</v>
      </c>
      <c r="N24">
        <f>IF($A24=N$2,0,SUMIFS(d_sched!$M:$M,d_sched!$D:$D,$A24,d_sched!$I:$I,N$2)+SUMIFS(d_sched!$M:$M,d_sched!$D:$D,$A24,d_sched!$K:$K,N$2))</f>
        <v>0.5122400779885159</v>
      </c>
      <c r="O24">
        <f>IF($A24=O$2,0,SUMIFS(d_sched!$M:$M,d_sched!$D:$D,$A24,d_sched!$I:$I,O$2)+SUMIFS(d_sched!$M:$M,d_sched!$D:$D,$A24,d_sched!$K:$K,O$2))</f>
        <v>0.93007161799257831</v>
      </c>
      <c r="P24">
        <f>IF($A24=P$2,0,SUMIFS(d_sched!$M:$M,d_sched!$D:$D,$A24,d_sched!$I:$I,P$2)+SUMIFS(d_sched!$M:$M,d_sched!$D:$D,$A24,d_sched!$K:$K,P$2))</f>
        <v>0.59597441412741603</v>
      </c>
      <c r="Q24">
        <f>IF($A24=Q$2,0,SUMIFS(d_sched!$M:$M,d_sched!$D:$D,$A24,d_sched!$I:$I,Q$2)+SUMIFS(d_sched!$M:$M,d_sched!$D:$D,$A24,d_sched!$K:$K,Q$2))</f>
        <v>1.3665554871992009</v>
      </c>
      <c r="R24">
        <f>IF($A24=R$2,0,SUMIFS(d_sched!$M:$M,d_sched!$D:$D,$A24,d_sched!$I:$I,R$2)+SUMIFS(d_sched!$M:$M,d_sched!$D:$D,$A24,d_sched!$K:$K,R$2))</f>
        <v>2.1478539393471299</v>
      </c>
      <c r="S24">
        <f>IF($A24=S$2,0,SUMIFS(d_sched!$M:$M,d_sched!$D:$D,$A24,d_sched!$I:$I,S$2)+SUMIFS(d_sched!$M:$M,d_sched!$D:$D,$A24,d_sched!$K:$K,S$2))</f>
        <v>1.1120142897864056</v>
      </c>
      <c r="T24">
        <f>IF($A24=T$2,0,SUMIFS(d_sched!$M:$M,d_sched!$D:$D,$A24,d_sched!$I:$I,T$2)+SUMIFS(d_sched!$M:$M,d_sched!$D:$D,$A24,d_sched!$K:$K,T$2))</f>
        <v>0.75226367282185391</v>
      </c>
      <c r="U24">
        <f>IF($A24=U$2,0,SUMIFS(d_sched!$M:$M,d_sched!$D:$D,$A24,d_sched!$I:$I,U$2)+SUMIFS(d_sched!$M:$M,d_sched!$D:$D,$A24,d_sched!$K:$K,U$2))</f>
        <v>1.5564759820423251</v>
      </c>
      <c r="V24">
        <f>IF($A24=V$2,0,SUMIFS(d_sched!$M:$M,d_sched!$D:$D,$A24,d_sched!$I:$I,V$2)+SUMIFS(d_sched!$M:$M,d_sched!$D:$D,$A24,d_sched!$K:$K,V$2))</f>
        <v>0.54701547229905667</v>
      </c>
      <c r="W24">
        <f>IF($A24=W$2,0,SUMIFS(d_sched!$M:$M,d_sched!$D:$D,$A24,d_sched!$I:$I,W$2)+SUMIFS(d_sched!$M:$M,d_sched!$D:$D,$A24,d_sched!$K:$K,W$2))</f>
        <v>0</v>
      </c>
      <c r="X24">
        <f>IF($A24=X$2,0,SUMIFS(d_sched!$M:$M,d_sched!$D:$D,$A24,d_sched!$I:$I,X$2)+SUMIFS(d_sched!$M:$M,d_sched!$D:$D,$A24,d_sched!$K:$K,X$2))</f>
        <v>1.7843436861401973</v>
      </c>
      <c r="Y24">
        <f>IF($A24=Y$2,0,SUMIFS(d_sched!$M:$M,d_sched!$D:$D,$A24,d_sched!$I:$I,Y$2)+SUMIFS(d_sched!$M:$M,d_sched!$D:$D,$A24,d_sched!$K:$K,Y$2))</f>
        <v>0.70480436752638065</v>
      </c>
      <c r="Z24">
        <f>IF($A24=Z$2,0,SUMIFS(d_sched!$M:$M,d_sched!$D:$D,$A24,d_sched!$I:$I,Z$2)+SUMIFS(d_sched!$M:$M,d_sched!$D:$D,$A24,d_sched!$K:$K,Z$2))</f>
        <v>0.61090599511233801</v>
      </c>
      <c r="AA24">
        <f>IF($A24=AA$2,0,SUMIFS(d_sched!$M:$M,d_sched!$D:$D,$A24,d_sched!$I:$I,AA$2)+SUMIFS(d_sched!$M:$M,d_sched!$D:$D,$A24,d_sched!$K:$K,AA$2))</f>
        <v>0.52809859189568809</v>
      </c>
      <c r="AB24">
        <f>IF($A24=AB$2,0,SUMIFS(d_sched!$M:$M,d_sched!$D:$D,$A24,d_sched!$I:$I,AB$2)+SUMIFS(d_sched!$M:$M,d_sched!$D:$D,$A24,d_sched!$K:$K,AB$2))</f>
        <v>0.93007161799257831</v>
      </c>
      <c r="AC24">
        <f>IF($A24=AC$2,0,SUMIFS(d_sched!$M:$M,d_sched!$D:$D,$A24,d_sched!$I:$I,AC$2)+SUMIFS(d_sched!$M:$M,d_sched!$D:$D,$A24,d_sched!$K:$K,AC$2))</f>
        <v>1.1389423150870925</v>
      </c>
      <c r="AD24">
        <f>IF($A24=AD$2,0,SUMIFS(d_sched!$M:$M,d_sched!$D:$D,$A24,d_sched!$I:$I,AD$2)+SUMIFS(d_sched!$M:$M,d_sched!$D:$D,$A24,d_sched!$K:$K,AD$2))</f>
        <v>1</v>
      </c>
      <c r="AE24">
        <f>IF($A24=AE$2,0,SUMIFS(d_sched!$M:$M,d_sched!$D:$D,$A24,d_sched!$I:$I,AE$2)+SUMIFS(d_sched!$M:$M,d_sched!$D:$D,$A24,d_sched!$K:$K,AE$2))</f>
        <v>1.2540855758496767</v>
      </c>
      <c r="AG24">
        <f>ROUND(SUM(B24:AE24),2)</f>
        <v>31.03</v>
      </c>
      <c r="AH24">
        <f>VLOOKUP($A24,p_win_totals!$D$2:$J$31,6,0)</f>
        <v>27</v>
      </c>
      <c r="AI24">
        <f>VLOOKUP($A24,d_win_totals!$E$2:$K$31,3,0)</f>
        <v>25</v>
      </c>
      <c r="AJ24">
        <f t="shared" si="0"/>
        <v>25</v>
      </c>
      <c r="AK24">
        <f>VLOOKUP($A24,p_win_totals!$D$2:$J$31,7,0)</f>
        <v>25</v>
      </c>
      <c r="AL24">
        <f>VLOOKUP($A24,d_win_totals!$E$2:$K$31,6,0)</f>
        <v>25</v>
      </c>
      <c r="AM24">
        <f t="shared" si="1"/>
        <v>0</v>
      </c>
      <c r="AN24">
        <f t="shared" si="2"/>
        <v>0</v>
      </c>
      <c r="AO24">
        <f t="shared" si="3"/>
        <v>0</v>
      </c>
    </row>
    <row r="25" spans="1:41" x14ac:dyDescent="0.25">
      <c r="A25" t="s">
        <v>21</v>
      </c>
      <c r="B25">
        <f>IF($A25=B$2,0,SUMIFS(d_sched!$M:$M,d_sched!$D:$D,$A25,d_sched!$I:$I,B$2)+SUMIFS(d_sched!$M:$M,d_sched!$D:$D,$A25,d_sched!$K:$K,B$2))</f>
        <v>1.08186104838805</v>
      </c>
      <c r="C25">
        <f>IF($A25=C$2,0,SUMIFS(d_sched!$M:$M,d_sched!$D:$D,$A25,d_sched!$I:$I,C$2)+SUMIFS(d_sched!$M:$M,d_sched!$D:$D,$A25,d_sched!$K:$K,C$2))</f>
        <v>1.2105382634006003</v>
      </c>
      <c r="D25">
        <f>IF($A25=D$2,0,SUMIFS(d_sched!$M:$M,d_sched!$D:$D,$A25,d_sched!$I:$I,D$2)+SUMIFS(d_sched!$M:$M,d_sched!$D:$D,$A25,d_sched!$K:$K,D$2))</f>
        <v>1.8415389496749299</v>
      </c>
      <c r="E25">
        <f>IF($A25=E$2,0,SUMIFS(d_sched!$M:$M,d_sched!$D:$D,$A25,d_sched!$I:$I,E$2)+SUMIFS(d_sched!$M:$M,d_sched!$D:$D,$A25,d_sched!$K:$K,E$2))</f>
        <v>0.75780552920705868</v>
      </c>
      <c r="F25">
        <f>IF($A25=F$2,0,SUMIFS(d_sched!$M:$M,d_sched!$D:$D,$A25,d_sched!$I:$I,F$2)+SUMIFS(d_sched!$M:$M,d_sched!$D:$D,$A25,d_sched!$K:$K,F$2))</f>
        <v>0.58927308698571212</v>
      </c>
      <c r="G25">
        <f>IF($A25=G$2,0,SUMIFS(d_sched!$M:$M,d_sched!$D:$D,$A25,d_sched!$I:$I,G$2)+SUMIFS(d_sched!$M:$M,d_sched!$D:$D,$A25,d_sched!$K:$K,G$2))</f>
        <v>0.57000469804593878</v>
      </c>
      <c r="H25">
        <f>IF($A25=H$2,0,SUMIFS(d_sched!$M:$M,d_sched!$D:$D,$A25,d_sched!$I:$I,H$2)+SUMIFS(d_sched!$M:$M,d_sched!$D:$D,$A25,d_sched!$K:$K,H$2))</f>
        <v>0.42669715251419876</v>
      </c>
      <c r="I25">
        <f>IF($A25=I$2,0,SUMIFS(d_sched!$M:$M,d_sched!$D:$D,$A25,d_sched!$I:$I,I$2)+SUMIFS(d_sched!$M:$M,d_sched!$D:$D,$A25,d_sched!$K:$K,I$2))</f>
        <v>0.60526913170030017</v>
      </c>
      <c r="J25">
        <f>IF($A25=J$2,0,SUMIFS(d_sched!$M:$M,d_sched!$D:$D,$A25,d_sched!$I:$I,J$2)+SUMIFS(d_sched!$M:$M,d_sched!$D:$D,$A25,d_sched!$K:$K,J$2))</f>
        <v>1.3672473190234076</v>
      </c>
      <c r="K25">
        <f>IF($A25=K$2,0,SUMIFS(d_sched!$M:$M,d_sched!$D:$D,$A25,d_sched!$I:$I,K$2)+SUMIFS(d_sched!$M:$M,d_sched!$D:$D,$A25,d_sched!$K:$K,K$2))</f>
        <v>0.41707402977406333</v>
      </c>
      <c r="L25">
        <f>IF($A25=L$2,0,SUMIFS(d_sched!$M:$M,d_sched!$D:$D,$A25,d_sched!$I:$I,L$2)+SUMIFS(d_sched!$M:$M,d_sched!$D:$D,$A25,d_sched!$K:$K,L$2))</f>
        <v>0.47462374144242769</v>
      </c>
      <c r="M25">
        <f>IF($A25=M$2,0,SUMIFS(d_sched!$M:$M,d_sched!$D:$D,$A25,d_sched!$I:$I,M$2)+SUMIFS(d_sched!$M:$M,d_sched!$D:$D,$A25,d_sched!$K:$K,M$2))</f>
        <v>1.4259267355422438</v>
      </c>
      <c r="N25">
        <f>IF($A25=N$2,0,SUMIFS(d_sched!$M:$M,d_sched!$D:$D,$A25,d_sched!$I:$I,N$2)+SUMIFS(d_sched!$M:$M,d_sched!$D:$D,$A25,d_sched!$K:$K,N$2))</f>
        <v>0.38000313203062586</v>
      </c>
      <c r="O25">
        <f>IF($A25=O$2,0,SUMIFS(d_sched!$M:$M,d_sched!$D:$D,$A25,d_sched!$I:$I,O$2)+SUMIFS(d_sched!$M:$M,d_sched!$D:$D,$A25,d_sched!$K:$K,O$2))</f>
        <v>0.74390391796949451</v>
      </c>
      <c r="P25">
        <f>IF($A25=P$2,0,SUMIFS(d_sched!$M:$M,d_sched!$D:$D,$A25,d_sched!$I:$I,P$2)+SUMIFS(d_sched!$M:$M,d_sched!$D:$D,$A25,d_sched!$K:$K,P$2))</f>
        <v>0.44863959325214875</v>
      </c>
      <c r="Q25">
        <f>IF($A25=Q$2,0,SUMIFS(d_sched!$M:$M,d_sched!$D:$D,$A25,d_sched!$I:$I,Q$2)+SUMIFS(d_sched!$M:$M,d_sched!$D:$D,$A25,d_sched!$K:$K,Q$2))</f>
        <v>1.044780651747399</v>
      </c>
      <c r="R25">
        <f>IF($A25=R$2,0,SUMIFS(d_sched!$M:$M,d_sched!$D:$D,$A25,d_sched!$I:$I,R$2)+SUMIFS(d_sched!$M:$M,d_sched!$D:$D,$A25,d_sched!$K:$K,R$2))</f>
        <v>1.765441980470001</v>
      </c>
      <c r="S25">
        <f>IF($A25=S$2,0,SUMIFS(d_sched!$M:$M,d_sched!$D:$D,$A25,d_sched!$I:$I,S$2)+SUMIFS(d_sched!$M:$M,d_sched!$D:$D,$A25,d_sched!$K:$K,S$2))</f>
        <v>0.92076947483746496</v>
      </c>
      <c r="T25">
        <f>IF($A25=T$2,0,SUMIFS(d_sched!$M:$M,d_sched!$D:$D,$A25,d_sched!$I:$I,T$2)+SUMIFS(d_sched!$M:$M,d_sched!$D:$D,$A25,d_sched!$K:$K,T$2))</f>
        <v>0.58231627266894681</v>
      </c>
      <c r="U25">
        <f>IF($A25=U$2,0,SUMIFS(d_sched!$M:$M,d_sched!$D:$D,$A25,d_sched!$I:$I,U$2)+SUMIFS(d_sched!$M:$M,d_sched!$D:$D,$A25,d_sched!$K:$K,U$2))</f>
        <v>1.2105382634006003</v>
      </c>
      <c r="V25">
        <f>IF($A25=V$2,0,SUMIFS(d_sched!$M:$M,d_sched!$D:$D,$A25,d_sched!$I:$I,V$2)+SUMIFS(d_sched!$M:$M,d_sched!$D:$D,$A25,d_sched!$K:$K,V$2))</f>
        <v>0.40826465455377309</v>
      </c>
      <c r="W25">
        <f>IF($A25=W$2,0,SUMIFS(d_sched!$M:$M,d_sched!$D:$D,$A25,d_sched!$I:$I,W$2)+SUMIFS(d_sched!$M:$M,d_sched!$D:$D,$A25,d_sched!$K:$K,W$2))</f>
        <v>1.2156563138598024</v>
      </c>
      <c r="X25">
        <f>IF($A25=X$2,0,SUMIFS(d_sched!$M:$M,d_sched!$D:$D,$A25,d_sched!$I:$I,X$2)+SUMIFS(d_sched!$M:$M,d_sched!$D:$D,$A25,d_sched!$K:$K,X$2))</f>
        <v>0</v>
      </c>
      <c r="Y25">
        <f>IF($A25=Y$2,0,SUMIFS(d_sched!$M:$M,d_sched!$D:$D,$A25,d_sched!$I:$I,Y$2)+SUMIFS(d_sched!$M:$M,d_sched!$D:$D,$A25,d_sched!$K:$K,Y$2))</f>
        <v>0.54093052419402499</v>
      </c>
      <c r="Z25">
        <f>IF($A25=Z$2,0,SUMIFS(d_sched!$M:$M,d_sched!$D:$D,$A25,d_sched!$I:$I,Z$2)+SUMIFS(d_sched!$M:$M,d_sched!$D:$D,$A25,d_sched!$K:$K,Z$2))</f>
        <v>0.4610920995260806</v>
      </c>
      <c r="AA25">
        <f>IF($A25=AA$2,0,SUMIFS(d_sched!$M:$M,d_sched!$D:$D,$A25,d_sched!$I:$I,AA$2)+SUMIFS(d_sched!$M:$M,d_sched!$D:$D,$A25,d_sched!$K:$K,AA$2))</f>
        <v>0.39284872465714143</v>
      </c>
      <c r="AB25">
        <f>IF($A25=AB$2,0,SUMIFS(d_sched!$M:$M,d_sched!$D:$D,$A25,d_sched!$I:$I,AB$2)+SUMIFS(d_sched!$M:$M,d_sched!$D:$D,$A25,d_sched!$K:$K,AB$2))</f>
        <v>0.74390391796949451</v>
      </c>
      <c r="AC25">
        <f>IF($A25=AC$2,0,SUMIFS(d_sched!$M:$M,d_sched!$D:$D,$A25,d_sched!$I:$I,AC$2)+SUMIFS(d_sched!$M:$M,d_sched!$D:$D,$A25,d_sched!$K:$K,AC$2))</f>
        <v>0.85339430502839753</v>
      </c>
      <c r="AD25">
        <f>IF($A25=AD$2,0,SUMIFS(d_sched!$M:$M,d_sched!$D:$D,$A25,d_sched!$I:$I,AD$2)+SUMIFS(d_sched!$M:$M,d_sched!$D:$D,$A25,d_sched!$K:$K,AD$2))</f>
        <v>0.81043754257320166</v>
      </c>
      <c r="AE25">
        <f>IF($A25=AE$2,0,SUMIFS(d_sched!$M:$M,d_sched!$D:$D,$A25,d_sched!$I:$I,AE$2)+SUMIFS(d_sched!$M:$M,d_sched!$D:$D,$A25,d_sched!$K:$K,AE$2))</f>
        <v>0.94924748288485539</v>
      </c>
      <c r="AG25">
        <f>ROUND(SUM(B25:AE25),2)</f>
        <v>24.24</v>
      </c>
      <c r="AH25">
        <f>VLOOKUP($A25,p_win_totals!$D$2:$J$31,6,0)</f>
        <v>15</v>
      </c>
      <c r="AI25">
        <f>VLOOKUP($A25,d_win_totals!$E$2:$K$31,3,0)</f>
        <v>18</v>
      </c>
      <c r="AJ25">
        <f t="shared" si="0"/>
        <v>30</v>
      </c>
      <c r="AK25">
        <f>VLOOKUP($A25,p_win_totals!$D$2:$J$31,7,0)</f>
        <v>30</v>
      </c>
      <c r="AL25">
        <f>VLOOKUP($A25,d_win_totals!$E$2:$K$31,6,0)</f>
        <v>30</v>
      </c>
      <c r="AM25">
        <f t="shared" si="1"/>
        <v>0</v>
      </c>
      <c r="AN25">
        <f t="shared" si="2"/>
        <v>0</v>
      </c>
      <c r="AO25">
        <f t="shared" si="3"/>
        <v>0</v>
      </c>
    </row>
    <row r="26" spans="1:41" x14ac:dyDescent="0.25">
      <c r="A26" t="s">
        <v>35</v>
      </c>
      <c r="B26">
        <f>IF($A26=B$2,0,SUMIFS(d_sched!$M:$M,d_sched!$D:$D,$A26,d_sched!$I:$I,B$2)+SUMIFS(d_sched!$M:$M,d_sched!$D:$D,$A26,d_sched!$K:$K,B$2))</f>
        <v>1</v>
      </c>
      <c r="C26">
        <f>IF($A26=C$2,0,SUMIFS(d_sched!$M:$M,d_sched!$D:$D,$A26,d_sched!$I:$I,C$2)+SUMIFS(d_sched!$M:$M,d_sched!$D:$D,$A26,d_sched!$K:$K,C$2))</f>
        <v>1.0785775601861165</v>
      </c>
      <c r="D26">
        <f>IF($A26=D$2,0,SUMIFS(d_sched!$M:$M,d_sched!$D:$D,$A26,d_sched!$I:$I,D$2)+SUMIFS(d_sched!$M:$M,d_sched!$D:$D,$A26,d_sched!$K:$K,D$2))</f>
        <v>1.3941760462198725</v>
      </c>
      <c r="E26">
        <f>IF($A26=E$2,0,SUMIFS(d_sched!$M:$M,d_sched!$D:$D,$A26,d_sched!$I:$I,E$2)+SUMIFS(d_sched!$M:$M,d_sched!$D:$D,$A26,d_sched!$K:$K,E$2))</f>
        <v>0.95377285656312616</v>
      </c>
      <c r="F26">
        <f>IF($A26=F$2,0,SUMIFS(d_sched!$M:$M,d_sched!$D:$D,$A26,d_sched!$I:$I,F$2)+SUMIFS(d_sched!$M:$M,d_sched!$D:$D,$A26,d_sched!$K:$K,F$2))</f>
        <v>0.79469450480060633</v>
      </c>
      <c r="G26">
        <f>IF($A26=G$2,0,SUMIFS(d_sched!$M:$M,d_sched!$D:$D,$A26,d_sched!$I:$I,G$2)+SUMIFS(d_sched!$M:$M,d_sched!$D:$D,$A26,d_sched!$K:$K,G$2))</f>
        <v>0.7750457652520566</v>
      </c>
      <c r="H26">
        <f>IF($A26=H$2,0,SUMIFS(d_sched!$M:$M,d_sched!$D:$D,$A26,d_sched!$I:$I,H$2)+SUMIFS(d_sched!$M:$M,d_sched!$D:$D,$A26,d_sched!$K:$K,H$2))</f>
        <v>1.6899262323647137</v>
      </c>
      <c r="I26">
        <f>IF($A26=I$2,0,SUMIFS(d_sched!$M:$M,d_sched!$D:$D,$A26,d_sched!$I:$I,I$2)+SUMIFS(d_sched!$M:$M,d_sched!$D:$D,$A26,d_sched!$K:$K,I$2))</f>
        <v>1.6178663402791749</v>
      </c>
      <c r="J26">
        <f>IF($A26=J$2,0,SUMIFS(d_sched!$M:$M,d_sched!$D:$D,$A26,d_sched!$I:$I,J$2)+SUMIFS(d_sched!$M:$M,d_sched!$D:$D,$A26,d_sched!$K:$K,J$2))</f>
        <v>1.1669391662766808</v>
      </c>
      <c r="K26">
        <f>IF($A26=K$2,0,SUMIFS(d_sched!$M:$M,d_sched!$D:$D,$A26,d_sched!$I:$I,K$2)+SUMIFS(d_sched!$M:$M,d_sched!$D:$D,$A26,d_sched!$K:$K,K$2))</f>
        <v>1.6617774723607821</v>
      </c>
      <c r="L26">
        <f>IF($A26=L$2,0,SUMIFS(d_sched!$M:$M,d_sched!$D:$D,$A26,d_sched!$I:$I,L$2)+SUMIFS(d_sched!$M:$M,d_sched!$D:$D,$A26,d_sched!$K:$K,L$2))</f>
        <v>1.8252361559481192</v>
      </c>
      <c r="M26">
        <f>IF($A26=M$2,0,SUMIFS(d_sched!$M:$M,d_sched!$D:$D,$A26,d_sched!$I:$I,M$2)+SUMIFS(d_sched!$M:$M,d_sched!$D:$D,$A26,d_sched!$K:$K,M$2))</f>
        <v>0.59907098078204846</v>
      </c>
      <c r="N26">
        <f>IF($A26=N$2,0,SUMIFS(d_sched!$M:$M,d_sched!$D:$D,$A26,d_sched!$I:$I,N$2)+SUMIFS(d_sched!$M:$M,d_sched!$D:$D,$A26,d_sched!$K:$K,N$2))</f>
        <v>1.5500915305041132</v>
      </c>
      <c r="O26">
        <f>IF($A26=O$2,0,SUMIFS(d_sched!$M:$M,d_sched!$D:$D,$A26,d_sched!$I:$I,O$2)+SUMIFS(d_sched!$M:$M,d_sched!$D:$D,$A26,d_sched!$K:$K,O$2))</f>
        <v>2.4600307092079334</v>
      </c>
      <c r="P26">
        <f>IF($A26=P$2,0,SUMIFS(d_sched!$M:$M,d_sched!$D:$D,$A26,d_sched!$I:$I,P$2)+SUMIFS(d_sched!$M:$M,d_sched!$D:$D,$A26,d_sched!$K:$K,P$2))</f>
        <v>1.3146488733816186</v>
      </c>
      <c r="Q26">
        <f>IF($A26=Q$2,0,SUMIFS(d_sched!$M:$M,d_sched!$D:$D,$A26,d_sched!$I:$I,Q$2)+SUMIFS(d_sched!$M:$M,d_sched!$D:$D,$A26,d_sched!$K:$K,Q$2))</f>
        <v>0.97625316510872595</v>
      </c>
      <c r="R26">
        <f>IF($A26=R$2,0,SUMIFS(d_sched!$M:$M,d_sched!$D:$D,$A26,d_sched!$I:$I,R$2)+SUMIFS(d_sched!$M:$M,d_sched!$D:$D,$A26,d_sched!$K:$K,R$2))</f>
        <v>1.3612393061841717</v>
      </c>
      <c r="S26">
        <f>IF($A26=S$2,0,SUMIFS(d_sched!$M:$M,d_sched!$D:$D,$A26,d_sched!$I:$I,S$2)+SUMIFS(d_sched!$M:$M,d_sched!$D:$D,$A26,d_sched!$K:$K,S$2))</f>
        <v>2.7883520924397449</v>
      </c>
      <c r="T26">
        <f>IF($A26=T$2,0,SUMIFS(d_sched!$M:$M,d_sched!$D:$D,$A26,d_sched!$I:$I,T$2)+SUMIFS(d_sched!$M:$M,d_sched!$D:$D,$A26,d_sched!$K:$K,T$2))</f>
        <v>1.5768058199191901</v>
      </c>
      <c r="U26">
        <f>IF($A26=U$2,0,SUMIFS(d_sched!$M:$M,d_sched!$D:$D,$A26,d_sched!$I:$I,U$2)+SUMIFS(d_sched!$M:$M,d_sched!$D:$D,$A26,d_sched!$K:$K,U$2))</f>
        <v>1.0785775601861165</v>
      </c>
      <c r="V26">
        <f>IF($A26=V$2,0,SUMIFS(d_sched!$M:$M,d_sched!$D:$D,$A26,d_sched!$I:$I,V$2)+SUMIFS(d_sched!$M:$M,d_sched!$D:$D,$A26,d_sched!$K:$K,V$2))</f>
        <v>1.6357096482746896</v>
      </c>
      <c r="W26">
        <f>IF($A26=W$2,0,SUMIFS(d_sched!$M:$M,d_sched!$D:$D,$A26,d_sched!$I:$I,W$2)+SUMIFS(d_sched!$M:$M,d_sched!$D:$D,$A26,d_sched!$K:$K,W$2))</f>
        <v>1.2951956324736194</v>
      </c>
      <c r="X26">
        <f>IF($A26=X$2,0,SUMIFS(d_sched!$M:$M,d_sched!$D:$D,$A26,d_sched!$I:$I,X$2)+SUMIFS(d_sched!$M:$M,d_sched!$D:$D,$A26,d_sched!$K:$K,X$2))</f>
        <v>1.459069475805975</v>
      </c>
      <c r="Y26">
        <f>IF($A26=Y$2,0,SUMIFS(d_sched!$M:$M,d_sched!$D:$D,$A26,d_sched!$I:$I,Y$2)+SUMIFS(d_sched!$M:$M,d_sched!$D:$D,$A26,d_sched!$K:$K,Y$2))</f>
        <v>0</v>
      </c>
      <c r="Z26">
        <f>IF($A26=Z$2,0,SUMIFS(d_sched!$M:$M,d_sched!$D:$D,$A26,d_sched!$I:$I,Z$2)+SUMIFS(d_sched!$M:$M,d_sched!$D:$D,$A26,d_sched!$K:$K,Z$2))</f>
        <v>1.7878341267813569</v>
      </c>
      <c r="AA26">
        <f>IF($A26=AA$2,0,SUMIFS(d_sched!$M:$M,d_sched!$D:$D,$A26,d_sched!$I:$I,AA$2)+SUMIFS(d_sched!$M:$M,d_sched!$D:$D,$A26,d_sched!$K:$K,AA$2))</f>
        <v>1.5893890096012127</v>
      </c>
      <c r="AB26">
        <f>IF($A26=AB$2,0,SUMIFS(d_sched!$M:$M,d_sched!$D:$D,$A26,d_sched!$I:$I,AB$2)+SUMIFS(d_sched!$M:$M,d_sched!$D:$D,$A26,d_sched!$K:$K,AB$2))</f>
        <v>2.4600307092079334</v>
      </c>
      <c r="AC26">
        <f>IF($A26=AC$2,0,SUMIFS(d_sched!$M:$M,d_sched!$D:$D,$A26,d_sched!$I:$I,AC$2)+SUMIFS(d_sched!$M:$M,d_sched!$D:$D,$A26,d_sched!$K:$K,AC$2))</f>
        <v>0.84496311618235687</v>
      </c>
      <c r="AD26">
        <f>IF($A26=AD$2,0,SUMIFS(d_sched!$M:$M,d_sched!$D:$D,$A26,d_sched!$I:$I,AD$2)+SUMIFS(d_sched!$M:$M,d_sched!$D:$D,$A26,d_sched!$K:$K,AD$2))</f>
        <v>1.942793448710429</v>
      </c>
      <c r="AE26">
        <f>IF($A26=AE$2,0,SUMIFS(d_sched!$M:$M,d_sched!$D:$D,$A26,d_sched!$I:$I,AE$2)+SUMIFS(d_sched!$M:$M,d_sched!$D:$D,$A26,d_sched!$K:$K,AE$2))</f>
        <v>0.91261807797405958</v>
      </c>
      <c r="AG26">
        <f>ROUND(SUM(B26:AE26),2)</f>
        <v>41.59</v>
      </c>
      <c r="AH26">
        <f>VLOOKUP($A26,p_win_totals!$D$2:$J$31,6,0)</f>
        <v>43</v>
      </c>
      <c r="AI26">
        <f>VLOOKUP($A26,d_win_totals!$E$2:$K$31,3,0)</f>
        <v>39</v>
      </c>
      <c r="AJ26">
        <f t="shared" si="0"/>
        <v>16</v>
      </c>
      <c r="AK26">
        <f>VLOOKUP($A26,p_win_totals!$D$2:$J$31,7,0)</f>
        <v>15</v>
      </c>
      <c r="AL26">
        <f>VLOOKUP($A26,d_win_totals!$E$2:$K$31,6,0)</f>
        <v>15</v>
      </c>
      <c r="AM26">
        <f t="shared" si="1"/>
        <v>-1</v>
      </c>
      <c r="AN26">
        <f t="shared" si="2"/>
        <v>1</v>
      </c>
      <c r="AO26">
        <f t="shared" si="3"/>
        <v>1</v>
      </c>
    </row>
    <row r="27" spans="1:41" x14ac:dyDescent="0.25">
      <c r="A27" t="s">
        <v>39</v>
      </c>
      <c r="B27">
        <f>IF($A27=B$2,0,SUMIFS(d_sched!$M:$M,d_sched!$D:$D,$A27,d_sched!$I:$I,B$2)+SUMIFS(d_sched!$M:$M,d_sched!$D:$D,$A27,d_sched!$K:$K,B$2))</f>
        <v>1.1060829366093217</v>
      </c>
      <c r="C27">
        <f>IF($A27=C$2,0,SUMIFS(d_sched!$M:$M,d_sched!$D:$D,$A27,d_sched!$I:$I,C$2)+SUMIFS(d_sched!$M:$M,d_sched!$D:$D,$A27,d_sched!$K:$K,C$2))</f>
        <v>1.1831339401895518</v>
      </c>
      <c r="D27">
        <f>IF($A27=D$2,0,SUMIFS(d_sched!$M:$M,d_sched!$D:$D,$A27,d_sched!$I:$I,D$2)+SUMIFS(d_sched!$M:$M,d_sched!$D:$D,$A27,d_sched!$K:$K,D$2))</f>
        <v>1.4801800833681256</v>
      </c>
      <c r="E27">
        <f>IF($A27=E$2,0,SUMIFS(d_sched!$M:$M,d_sched!$D:$D,$A27,d_sched!$I:$I,E$2)+SUMIFS(d_sched!$M:$M,d_sched!$D:$D,$A27,d_sched!$K:$K,E$2))</f>
        <v>1.0601507671889538</v>
      </c>
      <c r="F27">
        <f>IF($A27=F$2,0,SUMIFS(d_sched!$M:$M,d_sched!$D:$D,$A27,d_sched!$I:$I,F$2)+SUMIFS(d_sched!$M:$M,d_sched!$D:$D,$A27,d_sched!$K:$K,F$2))</f>
        <v>0.89856831926517622</v>
      </c>
      <c r="G27">
        <f>IF($A27=G$2,0,SUMIFS(d_sched!$M:$M,d_sched!$D:$D,$A27,d_sched!$I:$I,G$2)+SUMIFS(d_sched!$M:$M,d_sched!$D:$D,$A27,d_sched!$K:$K,G$2))</f>
        <v>0.87822263035840042</v>
      </c>
      <c r="H27">
        <f>IF($A27=H$2,0,SUMIFS(d_sched!$M:$M,d_sched!$D:$D,$A27,d_sched!$I:$I,H$2)+SUMIFS(d_sched!$M:$M,d_sched!$D:$D,$A27,d_sched!$K:$K,H$2))</f>
        <v>1.9004549106006154</v>
      </c>
      <c r="I27">
        <f>IF($A27=I$2,0,SUMIFS(d_sched!$M:$M,d_sched!$D:$D,$A27,d_sched!$I:$I,I$2)+SUMIFS(d_sched!$M:$M,d_sched!$D:$D,$A27,d_sched!$K:$K,I$2))</f>
        <v>2.3662678803791035</v>
      </c>
      <c r="J27">
        <f>IF($A27=J$2,0,SUMIFS(d_sched!$M:$M,d_sched!$D:$D,$A27,d_sched!$I:$I,J$2)+SUMIFS(d_sched!$M:$M,d_sched!$D:$D,$A27,d_sched!$K:$K,J$2))</f>
        <v>1.2682711820216015</v>
      </c>
      <c r="K27">
        <f>IF($A27=K$2,0,SUMIFS(d_sched!$M:$M,d_sched!$D:$D,$A27,d_sched!$I:$I,K$2)+SUMIFS(d_sched!$M:$M,d_sched!$D:$D,$A27,d_sched!$K:$K,K$2))</f>
        <v>1.4037304508514521</v>
      </c>
      <c r="L27">
        <f>IF($A27=L$2,0,SUMIFS(d_sched!$M:$M,d_sched!$D:$D,$A27,d_sched!$I:$I,L$2)+SUMIFS(d_sched!$M:$M,d_sched!$D:$D,$A27,d_sched!$K:$K,L$2))</f>
        <v>1.5283139848956213</v>
      </c>
      <c r="M27">
        <f>IF($A27=M$2,0,SUMIFS(d_sched!$M:$M,d_sched!$D:$D,$A27,d_sched!$I:$I,M$2)+SUMIFS(d_sched!$M:$M,d_sched!$D:$D,$A27,d_sched!$K:$K,M$2))</f>
        <v>1.2979618937645379</v>
      </c>
      <c r="N27">
        <f>IF($A27=N$2,0,SUMIFS(d_sched!$M:$M,d_sched!$D:$D,$A27,d_sched!$I:$I,N$2)+SUMIFS(d_sched!$M:$M,d_sched!$D:$D,$A27,d_sched!$K:$K,N$2))</f>
        <v>1.7564452607168008</v>
      </c>
      <c r="O27">
        <f>IF($A27=O$2,0,SUMIFS(d_sched!$M:$M,d_sched!$D:$D,$A27,d_sched!$I:$I,O$2)+SUMIFS(d_sched!$M:$M,d_sched!$D:$D,$A27,d_sched!$K:$K,O$2))</f>
        <v>2.6561852013738756</v>
      </c>
      <c r="P27">
        <f>IF($A27=P$2,0,SUMIFS(d_sched!$M:$M,d_sched!$D:$D,$A27,d_sched!$I:$I,P$2)+SUMIFS(d_sched!$M:$M,d_sched!$D:$D,$A27,d_sched!$K:$K,P$2))</f>
        <v>1.9645665622453408</v>
      </c>
      <c r="Q27">
        <f>IF($A27=Q$2,0,SUMIFS(d_sched!$M:$M,d_sched!$D:$D,$A27,d_sched!$I:$I,Q$2)+SUMIFS(d_sched!$M:$M,d_sched!$D:$D,$A27,d_sched!$K:$K,Q$2))</f>
        <v>1.0825440412171607</v>
      </c>
      <c r="R27">
        <f>IF($A27=R$2,0,SUMIFS(d_sched!$M:$M,d_sched!$D:$D,$A27,d_sched!$I:$I,R$2)+SUMIFS(d_sched!$M:$M,d_sched!$D:$D,$A27,d_sched!$K:$K,R$2))</f>
        <v>1.4500747802275546</v>
      </c>
      <c r="S27">
        <f>IF($A27=S$2,0,SUMIFS(d_sched!$M:$M,d_sched!$D:$D,$A27,d_sched!$I:$I,S$2)+SUMIFS(d_sched!$M:$M,d_sched!$D:$D,$A27,d_sched!$K:$K,S$2))</f>
        <v>2.9603601667362511</v>
      </c>
      <c r="T27">
        <f>IF($A27=T$2,0,SUMIFS(d_sched!$M:$M,d_sched!$D:$D,$A27,d_sched!$I:$I,T$2)+SUMIFS(d_sched!$M:$M,d_sched!$D:$D,$A27,d_sched!$K:$K,T$2))</f>
        <v>1.7346556088983542</v>
      </c>
      <c r="U27">
        <f>IF($A27=U$2,0,SUMIFS(d_sched!$M:$M,d_sched!$D:$D,$A27,d_sched!$I:$I,U$2)+SUMIFS(d_sched!$M:$M,d_sched!$D:$D,$A27,d_sched!$K:$K,U$2))</f>
        <v>1.1831339401895518</v>
      </c>
      <c r="V27">
        <f>IF($A27=V$2,0,SUMIFS(d_sched!$M:$M,d_sched!$D:$D,$A27,d_sched!$I:$I,V$2)+SUMIFS(d_sched!$M:$M,d_sched!$D:$D,$A27,d_sched!$K:$K,V$2))</f>
        <v>1.8448781808968706</v>
      </c>
      <c r="W27">
        <f>IF($A27=W$2,0,SUMIFS(d_sched!$M:$M,d_sched!$D:$D,$A27,d_sched!$I:$I,W$2)+SUMIFS(d_sched!$M:$M,d_sched!$D:$D,$A27,d_sched!$K:$K,W$2))</f>
        <v>1.3890940048876619</v>
      </c>
      <c r="X27">
        <f>IF($A27=X$2,0,SUMIFS(d_sched!$M:$M,d_sched!$D:$D,$A27,d_sched!$I:$I,X$2)+SUMIFS(d_sched!$M:$M,d_sched!$D:$D,$A27,d_sched!$K:$K,X$2))</f>
        <v>1.5389079004739195</v>
      </c>
      <c r="Y27">
        <f>IF($A27=Y$2,0,SUMIFS(d_sched!$M:$M,d_sched!$D:$D,$A27,d_sched!$I:$I,Y$2)+SUMIFS(d_sched!$M:$M,d_sched!$D:$D,$A27,d_sched!$K:$K,Y$2))</f>
        <v>2.2121658732186433</v>
      </c>
      <c r="Z27">
        <f>IF($A27=Z$2,0,SUMIFS(d_sched!$M:$M,d_sched!$D:$D,$A27,d_sched!$I:$I,Z$2)+SUMIFS(d_sched!$M:$M,d_sched!$D:$D,$A27,d_sched!$K:$K,Z$2))</f>
        <v>0</v>
      </c>
      <c r="AA27">
        <f>IF($A27=AA$2,0,SUMIFS(d_sched!$M:$M,d_sched!$D:$D,$A27,d_sched!$I:$I,AA$2)+SUMIFS(d_sched!$M:$M,d_sched!$D:$D,$A27,d_sched!$K:$K,AA$2))</f>
        <v>1.7971366385303524</v>
      </c>
      <c r="AB27">
        <f>IF($A27=AB$2,0,SUMIFS(d_sched!$M:$M,d_sched!$D:$D,$A27,d_sched!$I:$I,AB$2)+SUMIFS(d_sched!$M:$M,d_sched!$D:$D,$A27,d_sched!$K:$K,AB$2))</f>
        <v>1.9921389010304067</v>
      </c>
      <c r="AC27">
        <f>IF($A27=AC$2,0,SUMIFS(d_sched!$M:$M,d_sched!$D:$D,$A27,d_sched!$I:$I,AC$2)+SUMIFS(d_sched!$M:$M,d_sched!$D:$D,$A27,d_sched!$K:$K,AC$2))</f>
        <v>0.95022745530030772</v>
      </c>
      <c r="AD27">
        <f>IF($A27=AD$2,0,SUMIFS(d_sched!$M:$M,d_sched!$D:$D,$A27,d_sched!$I:$I,AD$2)+SUMIFS(d_sched!$M:$M,d_sched!$D:$D,$A27,d_sched!$K:$K,AD$2))</f>
        <v>2.7781880097753238</v>
      </c>
      <c r="AE27">
        <f>IF($A27=AE$2,0,SUMIFS(d_sched!$M:$M,d_sched!$D:$D,$A27,d_sched!$I:$I,AE$2)+SUMIFS(d_sched!$M:$M,d_sched!$D:$D,$A27,d_sched!$K:$K,AE$2))</f>
        <v>1.0188759899304143</v>
      </c>
      <c r="AG27">
        <f>ROUND(SUM(B27:AE27),2)</f>
        <v>46.68</v>
      </c>
      <c r="AH27">
        <f>VLOOKUP($A27,p_win_totals!$D$2:$J$31,6,0)</f>
        <v>49</v>
      </c>
      <c r="AI27">
        <f>VLOOKUP($A27,d_win_totals!$E$2:$K$31,3,0)</f>
        <v>51</v>
      </c>
      <c r="AJ27">
        <f t="shared" si="0"/>
        <v>11</v>
      </c>
      <c r="AK27">
        <f>VLOOKUP($A27,p_win_totals!$D$2:$J$31,7,0)</f>
        <v>10</v>
      </c>
      <c r="AL27">
        <f>VLOOKUP($A27,d_win_totals!$E$2:$K$31,6,0)</f>
        <v>11</v>
      </c>
      <c r="AM27">
        <f t="shared" si="1"/>
        <v>0</v>
      </c>
      <c r="AN27">
        <f t="shared" si="2"/>
        <v>0</v>
      </c>
      <c r="AO27">
        <f t="shared" si="3"/>
        <v>0</v>
      </c>
    </row>
    <row r="28" spans="1:41" x14ac:dyDescent="0.25">
      <c r="A28" t="s">
        <v>15</v>
      </c>
      <c r="B28">
        <f>IF($A28=B$2,0,SUMIFS(d_sched!$M:$M,d_sched!$D:$D,$A28,d_sched!$I:$I,B$2)+SUMIFS(d_sched!$M:$M,d_sched!$D:$D,$A28,d_sched!$K:$K,B$2))</f>
        <v>1.2053054951993938</v>
      </c>
      <c r="C28">
        <f>IF($A28=C$2,0,SUMIFS(d_sched!$M:$M,d_sched!$D:$D,$A28,d_sched!$I:$I,C$2)+SUMIFS(d_sched!$M:$M,d_sched!$D:$D,$A28,d_sched!$K:$K,C$2))</f>
        <v>1.2793760478605065</v>
      </c>
      <c r="D28">
        <f>IF($A28=D$2,0,SUMIFS(d_sched!$M:$M,d_sched!$D:$D,$A28,d_sched!$I:$I,D$2)+SUMIFS(d_sched!$M:$M,d_sched!$D:$D,$A28,d_sched!$K:$K,D$2))</f>
        <v>1.5545997223493824</v>
      </c>
      <c r="E28">
        <f>IF($A28=E$2,0,SUMIFS(d_sched!$M:$M,d_sched!$D:$D,$A28,d_sched!$I:$I,E$2)+SUMIFS(d_sched!$M:$M,d_sched!$D:$D,$A28,d_sched!$K:$K,E$2))</f>
        <v>1.1606025805173399</v>
      </c>
      <c r="F28">
        <f>IF($A28=F$2,0,SUMIFS(d_sched!$M:$M,d_sched!$D:$D,$A28,d_sched!$I:$I,F$2)+SUMIFS(d_sched!$M:$M,d_sched!$D:$D,$A28,d_sched!$K:$K,F$2))</f>
        <v>1</v>
      </c>
      <c r="G28">
        <f>IF($A28=G$2,0,SUMIFS(d_sched!$M:$M,d_sched!$D:$D,$A28,d_sched!$I:$I,G$2)+SUMIFS(d_sched!$M:$M,d_sched!$D:$D,$A28,d_sched!$K:$K,G$2))</f>
        <v>0.97939985640398308</v>
      </c>
      <c r="H28">
        <f>IF($A28=H$2,0,SUMIFS(d_sched!$M:$M,d_sched!$D:$D,$A28,d_sched!$I:$I,H$2)+SUMIFS(d_sched!$M:$M,d_sched!$D:$D,$A28,d_sched!$K:$K,H$2))</f>
        <v>2.1038425223802615</v>
      </c>
      <c r="I28">
        <f>IF($A28=I$2,0,SUMIFS(d_sched!$M:$M,d_sched!$D:$D,$A28,d_sched!$I:$I,I$2)+SUMIFS(d_sched!$M:$M,d_sched!$D:$D,$A28,d_sched!$K:$K,I$2))</f>
        <v>2.558752095721013</v>
      </c>
      <c r="J28">
        <f>IF($A28=J$2,0,SUMIFS(d_sched!$M:$M,d_sched!$D:$D,$A28,d_sched!$I:$I,J$2)+SUMIFS(d_sched!$M:$M,d_sched!$D:$D,$A28,d_sched!$K:$K,J$2))</f>
        <v>1.3599092999350884</v>
      </c>
      <c r="K28">
        <f>IF($A28=K$2,0,SUMIFS(d_sched!$M:$M,d_sched!$D:$D,$A28,d_sched!$I:$I,K$2)+SUMIFS(d_sched!$M:$M,d_sched!$D:$D,$A28,d_sched!$K:$K,K$2))</f>
        <v>1.5562441129614366</v>
      </c>
      <c r="L28">
        <f>IF($A28=L$2,0,SUMIFS(d_sched!$M:$M,d_sched!$D:$D,$A28,d_sched!$I:$I,L$2)+SUMIFS(d_sched!$M:$M,d_sched!$D:$D,$A28,d_sched!$K:$K,L$2))</f>
        <v>2.2401555339293764</v>
      </c>
      <c r="M28">
        <f>IF($A28=M$2,0,SUMIFS(d_sched!$M:$M,d_sched!$D:$D,$A28,d_sched!$I:$I,M$2)+SUMIFS(d_sched!$M:$M,d_sched!$D:$D,$A28,d_sched!$K:$K,M$2))</f>
        <v>1.3876769024407829</v>
      </c>
      <c r="N28">
        <f>IF($A28=N$2,0,SUMIFS(d_sched!$M:$M,d_sched!$D:$D,$A28,d_sched!$I:$I,N$2)+SUMIFS(d_sched!$M:$M,d_sched!$D:$D,$A28,d_sched!$K:$K,N$2))</f>
        <v>1.9587997128079662</v>
      </c>
      <c r="O28">
        <f>IF($A28=O$2,0,SUMIFS(d_sched!$M:$M,d_sched!$D:$D,$A28,d_sched!$I:$I,O$2)+SUMIFS(d_sched!$M:$M,d_sched!$D:$D,$A28,d_sched!$K:$K,O$2))</f>
        <v>2.1235357847748713</v>
      </c>
      <c r="P28">
        <f>IF($A28=P$2,0,SUMIFS(d_sched!$M:$M,d_sched!$D:$D,$A28,d_sched!$I:$I,P$2)+SUMIFS(d_sched!$M:$M,d_sched!$D:$D,$A28,d_sched!$K:$K,P$2))</f>
        <v>2.1677313430729011</v>
      </c>
      <c r="Q28">
        <f>IF($A28=Q$2,0,SUMIFS(d_sched!$M:$M,d_sched!$D:$D,$A28,d_sched!$I:$I,Q$2)+SUMIFS(d_sched!$M:$M,d_sched!$D:$D,$A28,d_sched!$K:$K,Q$2))</f>
        <v>1.1824481599842644</v>
      </c>
      <c r="R28">
        <f>IF($A28=R$2,0,SUMIFS(d_sched!$M:$M,d_sched!$D:$D,$A28,d_sched!$I:$I,R$2)+SUMIFS(d_sched!$M:$M,d_sched!$D:$D,$A28,d_sched!$K:$K,R$2))</f>
        <v>1.5274283840175262</v>
      </c>
      <c r="S28">
        <f>IF($A28=S$2,0,SUMIFS(d_sched!$M:$M,d_sched!$D:$D,$A28,d_sched!$I:$I,S$2)+SUMIFS(d_sched!$M:$M,d_sched!$D:$D,$A28,d_sched!$K:$K,S$2))</f>
        <v>3.1091994446987647</v>
      </c>
      <c r="T28">
        <f>IF($A28=T$2,0,SUMIFS(d_sched!$M:$M,d_sched!$D:$D,$A28,d_sched!$I:$I,T$2)+SUMIFS(d_sched!$M:$M,d_sched!$D:$D,$A28,d_sched!$K:$K,T$2))</f>
        <v>2.5076817771216344</v>
      </c>
      <c r="U28">
        <f>IF($A28=U$2,0,SUMIFS(d_sched!$M:$M,d_sched!$D:$D,$A28,d_sched!$I:$I,U$2)+SUMIFS(d_sched!$M:$M,d_sched!$D:$D,$A28,d_sched!$K:$K,U$2))</f>
        <v>1.2793760478605065</v>
      </c>
      <c r="V28">
        <f>IF($A28=V$2,0,SUMIFS(d_sched!$M:$M,d_sched!$D:$D,$A28,d_sched!$I:$I,V$2)+SUMIFS(d_sched!$M:$M,d_sched!$D:$D,$A28,d_sched!$K:$K,V$2))</f>
        <v>1.5360900822670467</v>
      </c>
      <c r="W28">
        <f>IF($A28=W$2,0,SUMIFS(d_sched!$M:$M,d_sched!$D:$D,$A28,d_sched!$I:$I,W$2)+SUMIFS(d_sched!$M:$M,d_sched!$D:$D,$A28,d_sched!$K:$K,W$2))</f>
        <v>1.471901408104312</v>
      </c>
      <c r="X28">
        <f>IF($A28=X$2,0,SUMIFS(d_sched!$M:$M,d_sched!$D:$D,$A28,d_sched!$I:$I,X$2)+SUMIFS(d_sched!$M:$M,d_sched!$D:$D,$A28,d_sched!$K:$K,X$2))</f>
        <v>1.6071512753428585</v>
      </c>
      <c r="Y28">
        <f>IF($A28=Y$2,0,SUMIFS(d_sched!$M:$M,d_sched!$D:$D,$A28,d_sched!$I:$I,Y$2)+SUMIFS(d_sched!$M:$M,d_sched!$D:$D,$A28,d_sched!$K:$K,Y$2))</f>
        <v>2.4106109903987876</v>
      </c>
      <c r="Z28">
        <f>IF($A28=Z$2,0,SUMIFS(d_sched!$M:$M,d_sched!$D:$D,$A28,d_sched!$I:$I,Z$2)+SUMIFS(d_sched!$M:$M,d_sched!$D:$D,$A28,d_sched!$K:$K,Z$2))</f>
        <v>2.2028633614696478</v>
      </c>
      <c r="AA28">
        <f>IF($A28=AA$2,0,SUMIFS(d_sched!$M:$M,d_sched!$D:$D,$A28,d_sched!$I:$I,AA$2)+SUMIFS(d_sched!$M:$M,d_sched!$D:$D,$A28,d_sched!$K:$K,AA$2))</f>
        <v>0</v>
      </c>
      <c r="AB28">
        <f>IF($A28=AB$2,0,SUMIFS(d_sched!$M:$M,d_sched!$D:$D,$A28,d_sched!$I:$I,AB$2)+SUMIFS(d_sched!$M:$M,d_sched!$D:$D,$A28,d_sched!$K:$K,AB$2))</f>
        <v>2.831381046366495</v>
      </c>
      <c r="AC28">
        <f>IF($A28=AC$2,0,SUMIFS(d_sched!$M:$M,d_sched!$D:$D,$A28,d_sched!$I:$I,AC$2)+SUMIFS(d_sched!$M:$M,d_sched!$D:$D,$A28,d_sched!$K:$K,AC$2))</f>
        <v>1.0519212611901307</v>
      </c>
      <c r="AD28">
        <f>IF($A28=AD$2,0,SUMIFS(d_sched!$M:$M,d_sched!$D:$D,$A28,d_sched!$I:$I,AD$2)+SUMIFS(d_sched!$M:$M,d_sched!$D:$D,$A28,d_sched!$K:$K,AD$2))</f>
        <v>2.207852112156468</v>
      </c>
      <c r="AE28">
        <f>IF($A28=AE$2,0,SUMIFS(d_sched!$M:$M,d_sched!$D:$D,$A28,d_sched!$I:$I,AE$2)+SUMIFS(d_sched!$M:$M,d_sched!$D:$D,$A28,d_sched!$K:$K,AE$2))</f>
        <v>1.1200777669646882</v>
      </c>
      <c r="AG28">
        <f>ROUND(SUM(B28:AE28),2)</f>
        <v>50.68</v>
      </c>
      <c r="AH28">
        <f>VLOOKUP($A28,p_win_totals!$D$2:$J$31,6,0)</f>
        <v>56</v>
      </c>
      <c r="AI28">
        <f>VLOOKUP($A28,d_win_totals!$E$2:$K$31,3,0)</f>
        <v>55</v>
      </c>
      <c r="AJ28">
        <f t="shared" si="0"/>
        <v>4</v>
      </c>
      <c r="AK28">
        <f>VLOOKUP($A28,p_win_totals!$D$2:$J$31,7,0)</f>
        <v>3</v>
      </c>
      <c r="AL28">
        <f>VLOOKUP($A28,d_win_totals!$E$2:$K$31,6,0)</f>
        <v>3</v>
      </c>
      <c r="AM28">
        <f t="shared" si="1"/>
        <v>-1</v>
      </c>
      <c r="AN28">
        <f t="shared" si="2"/>
        <v>1</v>
      </c>
      <c r="AO28">
        <f t="shared" si="3"/>
        <v>1</v>
      </c>
    </row>
    <row r="29" spans="1:41" x14ac:dyDescent="0.25">
      <c r="A29" t="s">
        <v>37</v>
      </c>
      <c r="B29">
        <f>IF($A29=B$2,0,SUMIFS(d_sched!$M:$M,d_sched!$D:$D,$A29,d_sched!$I:$I,B$2)+SUMIFS(d_sched!$M:$M,d_sched!$D:$D,$A29,d_sched!$K:$K,B$2))</f>
        <v>0.76998464539603317</v>
      </c>
      <c r="C29">
        <f>IF($A29=C$2,0,SUMIFS(d_sched!$M:$M,d_sched!$D:$D,$A29,d_sched!$I:$I,C$2)+SUMIFS(d_sched!$M:$M,d_sched!$D:$D,$A29,d_sched!$K:$K,C$2))</f>
        <v>0.84577473107436829</v>
      </c>
      <c r="D29">
        <f>IF($A29=D$2,0,SUMIFS(d_sched!$M:$M,d_sched!$D:$D,$A29,d_sched!$I:$I,D$2)+SUMIFS(d_sched!$M:$M,d_sched!$D:$D,$A29,d_sched!$K:$K,D$2))</f>
        <v>1.180528595270314</v>
      </c>
      <c r="E29">
        <f>IF($A29=E$2,0,SUMIFS(d_sched!$M:$M,d_sched!$D:$D,$A29,d_sched!$I:$I,E$2)+SUMIFS(d_sched!$M:$M,d_sched!$D:$D,$A29,d_sched!$K:$K,E$2))</f>
        <v>0.72666387210288008</v>
      </c>
      <c r="F29">
        <f>IF($A29=F$2,0,SUMIFS(d_sched!$M:$M,d_sched!$D:$D,$A29,d_sched!$I:$I,F$2)+SUMIFS(d_sched!$M:$M,d_sched!$D:$D,$A29,d_sched!$K:$K,F$2))</f>
        <v>0.58430947681675227</v>
      </c>
      <c r="G29">
        <f>IF($A29=G$2,0,SUMIFS(d_sched!$M:$M,d_sched!$D:$D,$A29,d_sched!$I:$I,G$2)+SUMIFS(d_sched!$M:$M,d_sched!$D:$D,$A29,d_sched!$K:$K,G$2))</f>
        <v>0.56741369282649035</v>
      </c>
      <c r="H29">
        <f>IF($A29=H$2,0,SUMIFS(d_sched!$M:$M,d_sched!$D:$D,$A29,d_sched!$I:$I,H$2)+SUMIFS(d_sched!$M:$M,d_sched!$D:$D,$A29,d_sched!$K:$K,H$2))</f>
        <v>0.94230937190315001</v>
      </c>
      <c r="I29">
        <f>IF($A29=I$2,0,SUMIFS(d_sched!$M:$M,d_sched!$D:$D,$A29,d_sched!$I:$I,I$2)+SUMIFS(d_sched!$M:$M,d_sched!$D:$D,$A29,d_sched!$K:$K,I$2))</f>
        <v>1.6915494621487366</v>
      </c>
      <c r="J29">
        <f>IF($A29=J$2,0,SUMIFS(d_sched!$M:$M,d_sched!$D:$D,$A29,d_sched!$I:$I,J$2)+SUMIFS(d_sched!$M:$M,d_sched!$D:$D,$A29,d_sched!$K:$K,J$2))</f>
        <v>0.93440505966433229</v>
      </c>
      <c r="K29">
        <f>IF($A29=K$2,0,SUMIFS(d_sched!$M:$M,d_sched!$D:$D,$A29,d_sched!$I:$I,K$2)+SUMIFS(d_sched!$M:$M,d_sched!$D:$D,$A29,d_sched!$K:$K,K$2))</f>
        <v>1.2316347775038301</v>
      </c>
      <c r="L29">
        <f>IF($A29=L$2,0,SUMIFS(d_sched!$M:$M,d_sched!$D:$D,$A29,d_sched!$I:$I,L$2)+SUMIFS(d_sched!$M:$M,d_sched!$D:$D,$A29,d_sched!$K:$K,L$2))</f>
        <v>1.033284682004826</v>
      </c>
      <c r="M29">
        <f>IF($A29=M$2,0,SUMIFS(d_sched!$M:$M,d_sched!$D:$D,$A29,d_sched!$I:$I,M$2)+SUMIFS(d_sched!$M:$M,d_sched!$D:$D,$A29,d_sched!$K:$K,M$2))</f>
        <v>0.96660458789187798</v>
      </c>
      <c r="N29">
        <f>IF($A29=N$2,0,SUMIFS(d_sched!$M:$M,d_sched!$D:$D,$A29,d_sched!$I:$I,N$2)+SUMIFS(d_sched!$M:$M,d_sched!$D:$D,$A29,d_sched!$K:$K,N$2))</f>
        <v>1.1348273856529807</v>
      </c>
      <c r="O29">
        <f>IF($A29=O$2,0,SUMIFS(d_sched!$M:$M,d_sched!$D:$D,$A29,d_sched!$I:$I,O$2)+SUMIFS(d_sched!$M:$M,d_sched!$D:$D,$A29,d_sched!$K:$K,O$2))</f>
        <v>2</v>
      </c>
      <c r="P29">
        <f>IF($A29=P$2,0,SUMIFS(d_sched!$M:$M,d_sched!$D:$D,$A29,d_sched!$I:$I,P$2)+SUMIFS(d_sched!$M:$M,d_sched!$D:$D,$A29,d_sched!$K:$K,P$2))</f>
        <v>1.312378316191724</v>
      </c>
      <c r="Q29">
        <f>IF($A29=Q$2,0,SUMIFS(d_sched!$M:$M,d_sched!$D:$D,$A29,d_sched!$I:$I,Q$2)+SUMIFS(d_sched!$M:$M,d_sched!$D:$D,$A29,d_sched!$K:$K,Q$2))</f>
        <v>0.74761636441013024</v>
      </c>
      <c r="R29">
        <f>IF($A29=R$2,0,SUMIFS(d_sched!$M:$M,d_sched!$D:$D,$A29,d_sched!$I:$I,R$2)+SUMIFS(d_sched!$M:$M,d_sched!$D:$D,$A29,d_sched!$K:$K,R$2))</f>
        <v>1.1431155027260933</v>
      </c>
      <c r="S29">
        <f>IF($A29=S$2,0,SUMIFS(d_sched!$M:$M,d_sched!$D:$D,$A29,d_sched!$I:$I,S$2)+SUMIFS(d_sched!$M:$M,d_sched!$D:$D,$A29,d_sched!$K:$K,S$2))</f>
        <v>1.770792892905471</v>
      </c>
      <c r="T29">
        <f>IF($A29=T$2,0,SUMIFS(d_sched!$M:$M,d_sched!$D:$D,$A29,d_sched!$I:$I,T$2)+SUMIFS(d_sched!$M:$M,d_sched!$D:$D,$A29,d_sched!$K:$K,T$2))</f>
        <v>1.6381148840980508</v>
      </c>
      <c r="U29">
        <f>IF($A29=U$2,0,SUMIFS(d_sched!$M:$M,d_sched!$D:$D,$A29,d_sched!$I:$I,U$2)+SUMIFS(d_sched!$M:$M,d_sched!$D:$D,$A29,d_sched!$K:$K,U$2))</f>
        <v>0.84577473107436829</v>
      </c>
      <c r="V29">
        <f>IF($A29=V$2,0,SUMIFS(d_sched!$M:$M,d_sched!$D:$D,$A29,d_sched!$I:$I,V$2)+SUMIFS(d_sched!$M:$M,d_sched!$D:$D,$A29,d_sched!$K:$K,V$2))</f>
        <v>1.2088261085432059</v>
      </c>
      <c r="W29">
        <f>IF($A29=W$2,0,SUMIFS(d_sched!$M:$M,d_sched!$D:$D,$A29,d_sched!$I:$I,W$2)+SUMIFS(d_sched!$M:$M,d_sched!$D:$D,$A29,d_sched!$K:$K,W$2))</f>
        <v>1.0699283820074217</v>
      </c>
      <c r="X29">
        <f>IF($A29=X$2,0,SUMIFS(d_sched!$M:$M,d_sched!$D:$D,$A29,d_sched!$I:$I,X$2)+SUMIFS(d_sched!$M:$M,d_sched!$D:$D,$A29,d_sched!$K:$K,X$2))</f>
        <v>1.2560960820305054</v>
      </c>
      <c r="Y29">
        <f>IF($A29=Y$2,0,SUMIFS(d_sched!$M:$M,d_sched!$D:$D,$A29,d_sched!$I:$I,Y$2)+SUMIFS(d_sched!$M:$M,d_sched!$D:$D,$A29,d_sched!$K:$K,Y$2))</f>
        <v>1.5399692907920663</v>
      </c>
      <c r="Z29">
        <f>IF($A29=Z$2,0,SUMIFS(d_sched!$M:$M,d_sched!$D:$D,$A29,d_sched!$I:$I,Z$2)+SUMIFS(d_sched!$M:$M,d_sched!$D:$D,$A29,d_sched!$K:$K,Z$2))</f>
        <v>1.0078610989695933</v>
      </c>
      <c r="AA29">
        <f>IF($A29=AA$2,0,SUMIFS(d_sched!$M:$M,d_sched!$D:$D,$A29,d_sched!$I:$I,AA$2)+SUMIFS(d_sched!$M:$M,d_sched!$D:$D,$A29,d_sched!$K:$K,AA$2))</f>
        <v>1.1686189536335045</v>
      </c>
      <c r="AB29">
        <f>IF($A29=AB$2,0,SUMIFS(d_sched!$M:$M,d_sched!$D:$D,$A29,d_sched!$I:$I,AB$2)+SUMIFS(d_sched!$M:$M,d_sched!$D:$D,$A29,d_sched!$K:$K,AB$2))</f>
        <v>0</v>
      </c>
      <c r="AC29">
        <f>IF($A29=AC$2,0,SUMIFS(d_sched!$M:$M,d_sched!$D:$D,$A29,d_sched!$I:$I,AC$2)+SUMIFS(d_sched!$M:$M,d_sched!$D:$D,$A29,d_sched!$K:$K,AC$2))</f>
        <v>0.62820624793543334</v>
      </c>
      <c r="AD29">
        <f>IF($A29=AD$2,0,SUMIFS(d_sched!$M:$M,d_sched!$D:$D,$A29,d_sched!$I:$I,AD$2)+SUMIFS(d_sched!$M:$M,d_sched!$D:$D,$A29,d_sched!$K:$K,AD$2))</f>
        <v>2.1398567640148434</v>
      </c>
      <c r="AE29">
        <f>IF($A29=AE$2,0,SUMIFS(d_sched!$M:$M,d_sched!$D:$D,$A29,d_sched!$I:$I,AE$2)+SUMIFS(d_sched!$M:$M,d_sched!$D:$D,$A29,d_sched!$K:$K,AE$2))</f>
        <v>0.68885645466988399</v>
      </c>
      <c r="AG29">
        <f>ROUND(SUM(B29:AE29),2)</f>
        <v>32.78</v>
      </c>
      <c r="AH29">
        <f>VLOOKUP($A29,p_win_totals!$D$2:$J$31,6,0)</f>
        <v>29</v>
      </c>
      <c r="AI29">
        <f>VLOOKUP($A29,d_win_totals!$E$2:$K$31,3,0)</f>
        <v>29</v>
      </c>
      <c r="AJ29">
        <f t="shared" si="0"/>
        <v>24</v>
      </c>
      <c r="AK29">
        <f>VLOOKUP($A29,p_win_totals!$D$2:$J$31,7,0)</f>
        <v>23</v>
      </c>
      <c r="AL29">
        <f>VLOOKUP($A29,d_win_totals!$E$2:$K$31,6,0)</f>
        <v>24</v>
      </c>
      <c r="AM29">
        <f t="shared" si="1"/>
        <v>0</v>
      </c>
      <c r="AN29">
        <f t="shared" si="2"/>
        <v>0</v>
      </c>
      <c r="AO29">
        <f t="shared" si="3"/>
        <v>0</v>
      </c>
    </row>
    <row r="30" spans="1:41" x14ac:dyDescent="0.25">
      <c r="A30" t="s">
        <v>27</v>
      </c>
      <c r="B30">
        <f>IF($A30=B$2,0,SUMIFS(d_sched!$M:$M,d_sched!$D:$D,$A30,d_sched!$I:$I,B$2)+SUMIFS(d_sched!$M:$M,d_sched!$D:$D,$A30,d_sched!$K:$K,B$2))</f>
        <v>2.310073767635286</v>
      </c>
      <c r="C30">
        <f>IF($A30=C$2,0,SUMIFS(d_sched!$M:$M,d_sched!$D:$D,$A30,d_sched!$I:$I,C$2)+SUMIFS(d_sched!$M:$M,d_sched!$D:$D,$A30,d_sched!$K:$K,C$2))</f>
        <v>2.4616054169124513</v>
      </c>
      <c r="D30">
        <f>IF($A30=D$2,0,SUMIFS(d_sched!$M:$M,d_sched!$D:$D,$A30,d_sched!$I:$I,D$2)+SUMIFS(d_sched!$M:$M,d_sched!$D:$D,$A30,d_sched!$K:$K,D$2))</f>
        <v>3.0351650347149279</v>
      </c>
      <c r="E30">
        <f>IF($A30=E$2,0,SUMIFS(d_sched!$M:$M,d_sched!$D:$D,$A30,d_sched!$I:$I,E$2)+SUMIFS(d_sched!$M:$M,d_sched!$D:$D,$A30,d_sched!$K:$K,E$2))</f>
        <v>2.2191903991216462</v>
      </c>
      <c r="F30">
        <f>IF($A30=F$2,0,SUMIFS(d_sched!$M:$M,d_sched!$D:$D,$A30,d_sched!$I:$I,F$2)+SUMIFS(d_sched!$M:$M,d_sched!$D:$D,$A30,d_sched!$K:$K,F$2))</f>
        <v>1.8961574776197383</v>
      </c>
      <c r="G30">
        <f>IF($A30=G$2,0,SUMIFS(d_sched!$M:$M,d_sched!$D:$D,$A30,d_sched!$I:$I,G$2)+SUMIFS(d_sched!$M:$M,d_sched!$D:$D,$A30,d_sched!$K:$K,G$2))</f>
        <v>1.8551121603508764</v>
      </c>
      <c r="H30">
        <f>IF($A30=H$2,0,SUMIFS(d_sched!$M:$M,d_sched!$D:$D,$A30,d_sched!$I:$I,H$2)+SUMIFS(d_sched!$M:$M,d_sched!$D:$D,$A30,d_sched!$K:$K,H$2))</f>
        <v>1</v>
      </c>
      <c r="I30">
        <f>IF($A30=I$2,0,SUMIFS(d_sched!$M:$M,d_sched!$D:$D,$A30,d_sched!$I:$I,I$2)+SUMIFS(d_sched!$M:$M,d_sched!$D:$D,$A30,d_sched!$K:$K,I$2))</f>
        <v>1.2308027084562256</v>
      </c>
      <c r="J30">
        <f>IF($A30=J$2,0,SUMIFS(d_sched!$M:$M,d_sched!$D:$D,$A30,d_sched!$I:$I,J$2)+SUMIFS(d_sched!$M:$M,d_sched!$D:$D,$A30,d_sched!$K:$K,J$2))</f>
        <v>2.6277059845529758</v>
      </c>
      <c r="K30">
        <f>IF($A30=K$2,0,SUMIFS(d_sched!$M:$M,d_sched!$D:$D,$A30,d_sched!$I:$I,K$2)+SUMIFS(d_sched!$M:$M,d_sched!$D:$D,$A30,d_sched!$K:$K,K$2))</f>
        <v>0.98554667575685329</v>
      </c>
      <c r="L30">
        <f>IF($A30=L$2,0,SUMIFS(d_sched!$M:$M,d_sched!$D:$D,$A30,d_sched!$I:$I,L$2)+SUMIFS(d_sched!$M:$M,d_sched!$D:$D,$A30,d_sched!$K:$K,L$2))</f>
        <v>1.0685840994535605</v>
      </c>
      <c r="M30">
        <f>IF($A30=M$2,0,SUMIFS(d_sched!$M:$M,d_sched!$D:$D,$A30,d_sched!$I:$I,M$2)+SUMIFS(d_sched!$M:$M,d_sched!$D:$D,$A30,d_sched!$K:$K,M$2))</f>
        <v>2.0139791811056775</v>
      </c>
      <c r="N30">
        <f>IF($A30=N$2,0,SUMIFS(d_sched!$M:$M,d_sched!$D:$D,$A30,d_sched!$I:$I,N$2)+SUMIFS(d_sched!$M:$M,d_sched!$D:$D,$A30,d_sched!$K:$K,N$2))</f>
        <v>0.92755608017543822</v>
      </c>
      <c r="O30">
        <f>IF($A30=O$2,0,SUMIFS(d_sched!$M:$M,d_sched!$D:$D,$A30,d_sched!$I:$I,O$2)+SUMIFS(d_sched!$M:$M,d_sched!$D:$D,$A30,d_sched!$K:$K,O$2))</f>
        <v>1.3717937520645667</v>
      </c>
      <c r="P30">
        <f>IF($A30=P$2,0,SUMIFS(d_sched!$M:$M,d_sched!$D:$D,$A30,d_sched!$I:$I,P$2)+SUMIFS(d_sched!$M:$M,d_sched!$D:$D,$A30,d_sched!$K:$K,P$2))</f>
        <v>1.0320841177957873</v>
      </c>
      <c r="Q30">
        <f>IF($A30=Q$2,0,SUMIFS(d_sched!$M:$M,d_sched!$D:$D,$A30,d_sched!$I:$I,Q$2)+SUMIFS(d_sched!$M:$M,d_sched!$D:$D,$A30,d_sched!$K:$K,Q$2))</f>
        <v>1.1317751971414676</v>
      </c>
      <c r="R30">
        <f>IF($A30=R$2,0,SUMIFS(d_sched!$M:$M,d_sched!$D:$D,$A30,d_sched!$I:$I,R$2)+SUMIFS(d_sched!$M:$M,d_sched!$D:$D,$A30,d_sched!$K:$K,R$2))</f>
        <v>2.2333430993984678</v>
      </c>
      <c r="S30">
        <f>IF($A30=S$2,0,SUMIFS(d_sched!$M:$M,d_sched!$D:$D,$A30,d_sched!$I:$I,S$2)+SUMIFS(d_sched!$M:$M,d_sched!$D:$D,$A30,d_sched!$K:$K,S$2))</f>
        <v>1.517582517357464</v>
      </c>
      <c r="T30">
        <f>IF($A30=T$2,0,SUMIFS(d_sched!$M:$M,d_sched!$D:$D,$A30,d_sched!$I:$I,T$2)+SUMIFS(d_sched!$M:$M,d_sched!$D:$D,$A30,d_sched!$K:$K,T$2))</f>
        <v>1.2046164183754799</v>
      </c>
      <c r="U30">
        <f>IF($A30=U$2,0,SUMIFS(d_sched!$M:$M,d_sched!$D:$D,$A30,d_sched!$I:$I,U$2)+SUMIFS(d_sched!$M:$M,d_sched!$D:$D,$A30,d_sched!$K:$K,U$2))</f>
        <v>2.4616054169124513</v>
      </c>
      <c r="V30">
        <f>IF($A30=V$2,0,SUMIFS(d_sched!$M:$M,d_sched!$D:$D,$A30,d_sched!$I:$I,V$2)+SUMIFS(d_sched!$M:$M,d_sched!$D:$D,$A30,d_sched!$K:$K,V$2))</f>
        <v>0.97210394511077902</v>
      </c>
      <c r="W30">
        <f>IF($A30=W$2,0,SUMIFS(d_sched!$M:$M,d_sched!$D:$D,$A30,d_sched!$I:$I,W$2)+SUMIFS(d_sched!$M:$M,d_sched!$D:$D,$A30,d_sched!$K:$K,W$2))</f>
        <v>2.8610576849129075</v>
      </c>
      <c r="X30">
        <f>IF($A30=X$2,0,SUMIFS(d_sched!$M:$M,d_sched!$D:$D,$A30,d_sched!$I:$I,X$2)+SUMIFS(d_sched!$M:$M,d_sched!$D:$D,$A30,d_sched!$K:$K,X$2))</f>
        <v>3.1466056949716026</v>
      </c>
      <c r="Y30">
        <f>IF($A30=Y$2,0,SUMIFS(d_sched!$M:$M,d_sched!$D:$D,$A30,d_sched!$I:$I,Y$2)+SUMIFS(d_sched!$M:$M,d_sched!$D:$D,$A30,d_sched!$K:$K,Y$2))</f>
        <v>1.155036883817643</v>
      </c>
      <c r="Z30">
        <f>IF($A30=Z$2,0,SUMIFS(d_sched!$M:$M,d_sched!$D:$D,$A30,d_sched!$I:$I,Z$2)+SUMIFS(d_sched!$M:$M,d_sched!$D:$D,$A30,d_sched!$K:$K,Z$2))</f>
        <v>1.0497725446996924</v>
      </c>
      <c r="AA30">
        <f>IF($A30=AA$2,0,SUMIFS(d_sched!$M:$M,d_sched!$D:$D,$A30,d_sched!$I:$I,AA$2)+SUMIFS(d_sched!$M:$M,d_sched!$D:$D,$A30,d_sched!$K:$K,AA$2))</f>
        <v>0.94807873880986915</v>
      </c>
      <c r="AB30">
        <f>IF($A30=AB$2,0,SUMIFS(d_sched!$M:$M,d_sched!$D:$D,$A30,d_sched!$I:$I,AB$2)+SUMIFS(d_sched!$M:$M,d_sched!$D:$D,$A30,d_sched!$K:$K,AB$2))</f>
        <v>1.3717937520645667</v>
      </c>
      <c r="AC30">
        <f>IF($A30=AC$2,0,SUMIFS(d_sched!$M:$M,d_sched!$D:$D,$A30,d_sched!$I:$I,AC$2)+SUMIFS(d_sched!$M:$M,d_sched!$D:$D,$A30,d_sched!$K:$K,AC$2))</f>
        <v>0</v>
      </c>
      <c r="AD30">
        <f>IF($A30=AD$2,0,SUMIFS(d_sched!$M:$M,d_sched!$D:$D,$A30,d_sched!$I:$I,AD$2)+SUMIFS(d_sched!$M:$M,d_sched!$D:$D,$A30,d_sched!$K:$K,AD$2))</f>
        <v>1.4305288424564537</v>
      </c>
      <c r="AE30">
        <f>IF($A30=AE$2,0,SUMIFS(d_sched!$M:$M,d_sched!$D:$D,$A30,d_sched!$I:$I,AE$2)+SUMIFS(d_sched!$M:$M,d_sched!$D:$D,$A30,d_sched!$K:$K,AE$2))</f>
        <v>1.6028761491803407</v>
      </c>
      <c r="AG30">
        <f>ROUND(SUM(B30:AE30),2)</f>
        <v>49.12</v>
      </c>
      <c r="AH30">
        <f>VLOOKUP($A30,p_win_totals!$D$2:$J$31,6,0)</f>
        <v>52</v>
      </c>
      <c r="AI30">
        <f>VLOOKUP($A30,d_win_totals!$E$2:$K$31,3,0)</f>
        <v>49</v>
      </c>
      <c r="AJ30">
        <f t="shared" si="0"/>
        <v>7</v>
      </c>
      <c r="AK30">
        <f>VLOOKUP($A30,p_win_totals!$D$2:$J$31,7,0)</f>
        <v>7</v>
      </c>
      <c r="AL30">
        <f>VLOOKUP($A30,d_win_totals!$E$2:$K$31,6,0)</f>
        <v>7</v>
      </c>
      <c r="AM30">
        <f t="shared" si="1"/>
        <v>0</v>
      </c>
      <c r="AN30">
        <f t="shared" si="2"/>
        <v>0</v>
      </c>
      <c r="AO30">
        <f t="shared" si="3"/>
        <v>0</v>
      </c>
    </row>
    <row r="31" spans="1:41" x14ac:dyDescent="0.25">
      <c r="A31" t="s">
        <v>34</v>
      </c>
      <c r="B31">
        <f>IF($A31=B$2,0,SUMIFS(d_sched!$M:$M,d_sched!$D:$D,$A31,d_sched!$I:$I,B$2)+SUMIFS(d_sched!$M:$M,d_sched!$D:$D,$A31,d_sched!$K:$K,B$2))</f>
        <v>0.70480436752638065</v>
      </c>
      <c r="C31">
        <f>IF($A31=C$2,0,SUMIFS(d_sched!$M:$M,d_sched!$D:$D,$A31,d_sched!$I:$I,C$2)+SUMIFS(d_sched!$M:$M,d_sched!$D:$D,$A31,d_sched!$K:$K,C$2))</f>
        <v>0.77823799102116253</v>
      </c>
      <c r="D31">
        <f>IF($A31=D$2,0,SUMIFS(d_sched!$M:$M,d_sched!$D:$D,$A31,d_sched!$I:$I,D$2)+SUMIFS(d_sched!$M:$M,d_sched!$D:$D,$A31,d_sched!$K:$K,D$2))</f>
        <v>1.1120142897864056</v>
      </c>
      <c r="E31">
        <f>IF($A31=E$2,0,SUMIFS(d_sched!$M:$M,d_sched!$D:$D,$A31,d_sched!$I:$I,E$2)+SUMIFS(d_sched!$M:$M,d_sched!$D:$D,$A31,d_sched!$K:$K,E$2))</f>
        <v>0.66317357461599946</v>
      </c>
      <c r="F31">
        <f>IF($A31=F$2,0,SUMIFS(d_sched!$M:$M,d_sched!$D:$D,$A31,d_sched!$I:$I,F$2)+SUMIFS(d_sched!$M:$M,d_sched!$D:$D,$A31,d_sched!$K:$K,F$2))</f>
        <v>0.52809859189568809</v>
      </c>
      <c r="G31">
        <f>IF($A31=G$2,0,SUMIFS(d_sched!$M:$M,d_sched!$D:$D,$A31,d_sched!$I:$I,G$2)+SUMIFS(d_sched!$M:$M,d_sched!$D:$D,$A31,d_sched!$K:$K,G$2))</f>
        <v>0.5122400779885159</v>
      </c>
      <c r="H31">
        <f>IF($A31=H$2,0,SUMIFS(d_sched!$M:$M,d_sched!$D:$D,$A31,d_sched!$I:$I,H$2)+SUMIFS(d_sched!$M:$M,d_sched!$D:$D,$A31,d_sched!$K:$K,H$2))</f>
        <v>1.1389423150870925</v>
      </c>
      <c r="I31">
        <f>IF($A31=I$2,0,SUMIFS(d_sched!$M:$M,d_sched!$D:$D,$A31,d_sched!$I:$I,I$2)+SUMIFS(d_sched!$M:$M,d_sched!$D:$D,$A31,d_sched!$K:$K,I$2))</f>
        <v>1.5564759820423251</v>
      </c>
      <c r="J31">
        <f>IF($A31=J$2,0,SUMIFS(d_sched!$M:$M,d_sched!$D:$D,$A31,d_sched!$I:$I,J$2)+SUMIFS(d_sched!$M:$M,d_sched!$D:$D,$A31,d_sched!$K:$K,J$2))</f>
        <v>0.86509547769184747</v>
      </c>
      <c r="K31">
        <f>IF($A31=K$2,0,SUMIFS(d_sched!$M:$M,d_sched!$D:$D,$A31,d_sched!$I:$I,K$2)+SUMIFS(d_sched!$M:$M,d_sched!$D:$D,$A31,d_sched!$K:$K,K$2))</f>
        <v>1.1155392879085477</v>
      </c>
      <c r="L31">
        <f>IF($A31=L$2,0,SUMIFS(d_sched!$M:$M,d_sched!$D:$D,$A31,d_sched!$I:$I,L$2)+SUMIFS(d_sched!$M:$M,d_sched!$D:$D,$A31,d_sched!$K:$K,L$2))</f>
        <v>1.2540855758496767</v>
      </c>
      <c r="M31">
        <f>IF($A31=M$2,0,SUMIFS(d_sched!$M:$M,d_sched!$D:$D,$A31,d_sched!$I:$I,M$2)+SUMIFS(d_sched!$M:$M,d_sched!$D:$D,$A31,d_sched!$K:$K,M$2))</f>
        <v>0.89691693444131171</v>
      </c>
      <c r="N31">
        <f>IF($A31=N$2,0,SUMIFS(d_sched!$M:$M,d_sched!$D:$D,$A31,d_sched!$I:$I,N$2)+SUMIFS(d_sched!$M:$M,d_sched!$D:$D,$A31,d_sched!$K:$K,N$2))</f>
        <v>1.0244801559770318</v>
      </c>
      <c r="O31">
        <f>IF($A31=O$2,0,SUMIFS(d_sched!$M:$M,d_sched!$D:$D,$A31,d_sched!$I:$I,O$2)+SUMIFS(d_sched!$M:$M,d_sched!$D:$D,$A31,d_sched!$K:$K,O$2))</f>
        <v>1.3951074269888675</v>
      </c>
      <c r="P31">
        <f>IF($A31=P$2,0,SUMIFS(d_sched!$M:$M,d_sched!$D:$D,$A31,d_sched!$I:$I,P$2)+SUMIFS(d_sched!$M:$M,d_sched!$D:$D,$A31,d_sched!$K:$K,P$2))</f>
        <v>1.1919488282548321</v>
      </c>
      <c r="Q31">
        <f>IF($A31=Q$2,0,SUMIFS(d_sched!$M:$M,d_sched!$D:$D,$A31,d_sched!$I:$I,Q$2)+SUMIFS(d_sched!$M:$M,d_sched!$D:$D,$A31,d_sched!$K:$K,Q$2))</f>
        <v>0.68327774359960047</v>
      </c>
      <c r="R31">
        <f>IF($A31=R$2,0,SUMIFS(d_sched!$M:$M,d_sched!$D:$D,$A31,d_sched!$I:$I,R$2)+SUMIFS(d_sched!$M:$M,d_sched!$D:$D,$A31,d_sched!$K:$K,R$2))</f>
        <v>1.0739269696735649</v>
      </c>
      <c r="S31">
        <f>IF($A31=S$2,0,SUMIFS(d_sched!$M:$M,d_sched!$D:$D,$A31,d_sched!$I:$I,S$2)+SUMIFS(d_sched!$M:$M,d_sched!$D:$D,$A31,d_sched!$K:$K,S$2))</f>
        <v>2.2240285795728112</v>
      </c>
      <c r="T31">
        <f>IF($A31=T$2,0,SUMIFS(d_sched!$M:$M,d_sched!$D:$D,$A31,d_sched!$I:$I,T$2)+SUMIFS(d_sched!$M:$M,d_sched!$D:$D,$A31,d_sched!$K:$K,T$2))</f>
        <v>1.1283955092327809</v>
      </c>
      <c r="U31">
        <f>IF($A31=U$2,0,SUMIFS(d_sched!$M:$M,d_sched!$D:$D,$A31,d_sched!$I:$I,U$2)+SUMIFS(d_sched!$M:$M,d_sched!$D:$D,$A31,d_sched!$K:$K,U$2))</f>
        <v>0.77823799102116253</v>
      </c>
      <c r="V31">
        <f>IF($A31=V$2,0,SUMIFS(d_sched!$M:$M,d_sched!$D:$D,$A31,d_sched!$I:$I,V$2)+SUMIFS(d_sched!$M:$M,d_sched!$D:$D,$A31,d_sched!$K:$K,V$2))</f>
        <v>1.0940309445981133</v>
      </c>
      <c r="W31">
        <f>IF($A31=W$2,0,SUMIFS(d_sched!$M:$M,d_sched!$D:$D,$A31,d_sched!$I:$I,W$2)+SUMIFS(d_sched!$M:$M,d_sched!$D:$D,$A31,d_sched!$K:$K,W$2))</f>
        <v>1</v>
      </c>
      <c r="X31">
        <f>IF($A31=X$2,0,SUMIFS(d_sched!$M:$M,d_sched!$D:$D,$A31,d_sched!$I:$I,X$2)+SUMIFS(d_sched!$M:$M,d_sched!$D:$D,$A31,d_sched!$K:$K,X$2))</f>
        <v>1.1895624574267982</v>
      </c>
      <c r="Y31">
        <f>IF($A31=Y$2,0,SUMIFS(d_sched!$M:$M,d_sched!$D:$D,$A31,d_sched!$I:$I,Y$2)+SUMIFS(d_sched!$M:$M,d_sched!$D:$D,$A31,d_sched!$K:$K,Y$2))</f>
        <v>1.057206551289571</v>
      </c>
      <c r="Z31">
        <f>IF($A31=Z$2,0,SUMIFS(d_sched!$M:$M,d_sched!$D:$D,$A31,d_sched!$I:$I,Z$2)+SUMIFS(d_sched!$M:$M,d_sched!$D:$D,$A31,d_sched!$K:$K,Z$2))</f>
        <v>1.221811990224676</v>
      </c>
      <c r="AA31">
        <f>IF($A31=AA$2,0,SUMIFS(d_sched!$M:$M,d_sched!$D:$D,$A31,d_sched!$I:$I,AA$2)+SUMIFS(d_sched!$M:$M,d_sched!$D:$D,$A31,d_sched!$K:$K,AA$2))</f>
        <v>0.79214788784353218</v>
      </c>
      <c r="AB31">
        <f>IF($A31=AB$2,0,SUMIFS(d_sched!$M:$M,d_sched!$D:$D,$A31,d_sched!$I:$I,AB$2)+SUMIFS(d_sched!$M:$M,d_sched!$D:$D,$A31,d_sched!$K:$K,AB$2))</f>
        <v>1.8601432359851566</v>
      </c>
      <c r="AC31">
        <f>IF($A31=AC$2,0,SUMIFS(d_sched!$M:$M,d_sched!$D:$D,$A31,d_sched!$I:$I,AC$2)+SUMIFS(d_sched!$M:$M,d_sched!$D:$D,$A31,d_sched!$K:$K,AC$2))</f>
        <v>0.56947115754354627</v>
      </c>
      <c r="AD31">
        <f>IF($A31=AD$2,0,SUMIFS(d_sched!$M:$M,d_sched!$D:$D,$A31,d_sched!$I:$I,AD$2)+SUMIFS(d_sched!$M:$M,d_sched!$D:$D,$A31,d_sched!$K:$K,AD$2))</f>
        <v>0</v>
      </c>
      <c r="AE31">
        <f>IF($A31=AE$2,0,SUMIFS(d_sched!$M:$M,d_sched!$D:$D,$A31,d_sched!$I:$I,AE$2)+SUMIFS(d_sched!$M:$M,d_sched!$D:$D,$A31,d_sched!$K:$K,AE$2))</f>
        <v>0.62704278792483836</v>
      </c>
      <c r="AG31">
        <f>ROUND(SUM(B31:AE31),2)</f>
        <v>30.04</v>
      </c>
      <c r="AH31">
        <f>VLOOKUP($A31,p_win_totals!$D$2:$J$31,6,0)</f>
        <v>27</v>
      </c>
      <c r="AI31">
        <f>VLOOKUP($A31,d_win_totals!$E$2:$K$31,3,0)</f>
        <v>38</v>
      </c>
      <c r="AJ31">
        <f t="shared" si="0"/>
        <v>26</v>
      </c>
      <c r="AK31">
        <f>VLOOKUP($A31,p_win_totals!$D$2:$J$31,7,0)</f>
        <v>25</v>
      </c>
      <c r="AL31">
        <f>VLOOKUP($A31,d_win_totals!$E$2:$K$31,6,0)</f>
        <v>27</v>
      </c>
      <c r="AM31">
        <f t="shared" si="1"/>
        <v>1</v>
      </c>
      <c r="AN31">
        <f t="shared" si="2"/>
        <v>1</v>
      </c>
      <c r="AO31">
        <f t="shared" si="3"/>
        <v>1</v>
      </c>
    </row>
    <row r="32" spans="1:41" x14ac:dyDescent="0.25">
      <c r="A32" t="s">
        <v>25</v>
      </c>
      <c r="B32">
        <f>IF($A32=B$2,0,SUMIFS(d_sched!$M:$M,d_sched!$D:$D,$A32,d_sched!$I:$I,B$2)+SUMIFS(d_sched!$M:$M,d_sched!$D:$D,$A32,d_sched!$K:$K,B$2))</f>
        <v>2.1747638440518808</v>
      </c>
      <c r="C32">
        <f>IF($A32=C$2,0,SUMIFS(d_sched!$M:$M,d_sched!$D:$D,$A32,d_sched!$I:$I,C$2)+SUMIFS(d_sched!$M:$M,d_sched!$D:$D,$A32,d_sched!$K:$K,C$2))</f>
        <v>2.3296554648730008</v>
      </c>
      <c r="D32">
        <f>IF($A32=D$2,0,SUMIFS(d_sched!$M:$M,d_sched!$D:$D,$A32,d_sched!$I:$I,D$2)+SUMIFS(d_sched!$M:$M,d_sched!$D:$D,$A32,d_sched!$K:$K,D$2))</f>
        <v>2.1982853105193572</v>
      </c>
      <c r="E32">
        <f>IF($A32=E$2,0,SUMIFS(d_sched!$M:$M,d_sched!$D:$D,$A32,d_sched!$I:$I,E$2)+SUMIFS(d_sched!$M:$M,d_sched!$D:$D,$A32,d_sched!$K:$K,E$2))</f>
        <v>2.0826433882561122</v>
      </c>
      <c r="F32">
        <f>IF($A32=F$2,0,SUMIFS(d_sched!$M:$M,d_sched!$D:$D,$A32,d_sched!$I:$I,F$2)+SUMIFS(d_sched!$M:$M,d_sched!$D:$D,$A32,d_sched!$K:$K,F$2))</f>
        <v>1.7598444660706241</v>
      </c>
      <c r="G32">
        <f>IF($A32=G$2,0,SUMIFS(d_sched!$M:$M,d_sched!$D:$D,$A32,d_sched!$I:$I,G$2)+SUMIFS(d_sched!$M:$M,d_sched!$D:$D,$A32,d_sched!$K:$K,G$2))</f>
        <v>1.7193384287417899</v>
      </c>
      <c r="H32">
        <f>IF($A32=H$2,0,SUMIFS(d_sched!$M:$M,d_sched!$D:$D,$A32,d_sched!$I:$I,H$2)+SUMIFS(d_sched!$M:$M,d_sched!$D:$D,$A32,d_sched!$K:$K,H$2))</f>
        <v>0.93141590054643952</v>
      </c>
      <c r="I32">
        <f>IF($A32=I$2,0,SUMIFS(d_sched!$M:$M,d_sched!$D:$D,$A32,d_sched!$I:$I,I$2)+SUMIFS(d_sched!$M:$M,d_sched!$D:$D,$A32,d_sched!$K:$K,I$2))</f>
        <v>1.1648277324365004</v>
      </c>
      <c r="J32">
        <f>IF($A32=J$2,0,SUMIFS(d_sched!$M:$M,d_sched!$D:$D,$A32,d_sched!$I:$I,J$2)+SUMIFS(d_sched!$M:$M,d_sched!$D:$D,$A32,d_sched!$K:$K,J$2))</f>
        <v>1.8759967923265468</v>
      </c>
      <c r="K32">
        <f>IF($A32=K$2,0,SUMIFS(d_sched!$M:$M,d_sched!$D:$D,$A32,d_sched!$I:$I,K$2)+SUMIFS(d_sched!$M:$M,d_sched!$D:$D,$A32,d_sched!$K:$K,K$2))</f>
        <v>0.91704480715025649</v>
      </c>
      <c r="L32">
        <f>IF($A32=L$2,0,SUMIFS(d_sched!$M:$M,d_sched!$D:$D,$A32,d_sched!$I:$I,L$2)+SUMIFS(d_sched!$M:$M,d_sched!$D:$D,$A32,d_sched!$K:$K,L$2))</f>
        <v>1</v>
      </c>
      <c r="M32">
        <f>IF($A32=M$2,0,SUMIFS(d_sched!$M:$M,d_sched!$D:$D,$A32,d_sched!$I:$I,M$2)+SUMIFS(d_sched!$M:$M,d_sched!$D:$D,$A32,d_sched!$K:$K,M$2))</f>
        <v>2.5613289042541587</v>
      </c>
      <c r="N32">
        <f>IF($A32=N$2,0,SUMIFS(d_sched!$M:$M,d_sched!$D:$D,$A32,d_sched!$I:$I,N$2)+SUMIFS(d_sched!$M:$M,d_sched!$D:$D,$A32,d_sched!$K:$K,N$2))</f>
        <v>0.85966921437089494</v>
      </c>
      <c r="O32">
        <f>IF($A32=O$2,0,SUMIFS(d_sched!$M:$M,d_sched!$D:$D,$A32,d_sched!$I:$I,O$2)+SUMIFS(d_sched!$M:$M,d_sched!$D:$D,$A32,d_sched!$K:$K,O$2))</f>
        <v>1.3111435453301159</v>
      </c>
      <c r="P32">
        <f>IF($A32=P$2,0,SUMIFS(d_sched!$M:$M,d_sched!$D:$D,$A32,d_sched!$I:$I,P$2)+SUMIFS(d_sched!$M:$M,d_sched!$D:$D,$A32,d_sched!$K:$K,P$2))</f>
        <v>0.96341952445709611</v>
      </c>
      <c r="Q32">
        <f>IF($A32=Q$2,0,SUMIFS(d_sched!$M:$M,d_sched!$D:$D,$A32,d_sched!$I:$I,Q$2)+SUMIFS(d_sched!$M:$M,d_sched!$D:$D,$A32,d_sched!$K:$K,Q$2))</f>
        <v>2.1275348146307671</v>
      </c>
      <c r="R32">
        <f>IF($A32=R$2,0,SUMIFS(d_sched!$M:$M,d_sched!$D:$D,$A32,d_sched!$I:$I,R$2)+SUMIFS(d_sched!$M:$M,d_sched!$D:$D,$A32,d_sched!$K:$K,R$2))</f>
        <v>2.1523402115258574</v>
      </c>
      <c r="S32">
        <f>IF($A32=S$2,0,SUMIFS(d_sched!$M:$M,d_sched!$D:$D,$A32,d_sched!$I:$I,S$2)+SUMIFS(d_sched!$M:$M,d_sched!$D:$D,$A32,d_sched!$K:$K,S$2))</f>
        <v>1.4655235403462381</v>
      </c>
      <c r="T32">
        <f>IF($A32=T$2,0,SUMIFS(d_sched!$M:$M,d_sched!$D:$D,$A32,d_sched!$I:$I,T$2)+SUMIFS(d_sched!$M:$M,d_sched!$D:$D,$A32,d_sched!$K:$K,T$2))</f>
        <v>1.1379684904596039</v>
      </c>
      <c r="U32">
        <f>IF($A32=U$2,0,SUMIFS(d_sched!$M:$M,d_sched!$D:$D,$A32,d_sched!$I:$I,U$2)+SUMIFS(d_sched!$M:$M,d_sched!$D:$D,$A32,d_sched!$K:$K,U$2))</f>
        <v>2.3296554648730008</v>
      </c>
      <c r="V32">
        <f>IF($A32=V$2,0,SUMIFS(d_sched!$M:$M,d_sched!$D:$D,$A32,d_sched!$I:$I,V$2)+SUMIFS(d_sched!$M:$M,d_sched!$D:$D,$A32,d_sched!$K:$K,V$2))</f>
        <v>0.90370408149321835</v>
      </c>
      <c r="W32">
        <f>IF($A32=W$2,0,SUMIFS(d_sched!$M:$M,d_sched!$D:$D,$A32,d_sched!$I:$I,W$2)+SUMIFS(d_sched!$M:$M,d_sched!$D:$D,$A32,d_sched!$K:$K,W$2))</f>
        <v>2.7459144241503233</v>
      </c>
      <c r="X32">
        <f>IF($A32=X$2,0,SUMIFS(d_sched!$M:$M,d_sched!$D:$D,$A32,d_sched!$I:$I,X$2)+SUMIFS(d_sched!$M:$M,d_sched!$D:$D,$A32,d_sched!$K:$K,X$2))</f>
        <v>3.0507525171151446</v>
      </c>
      <c r="Y32">
        <f>IF($A32=Y$2,0,SUMIFS(d_sched!$M:$M,d_sched!$D:$D,$A32,d_sched!$I:$I,Y$2)+SUMIFS(d_sched!$M:$M,d_sched!$D:$D,$A32,d_sched!$K:$K,Y$2))</f>
        <v>1.0873819220259404</v>
      </c>
      <c r="Z32">
        <f>IF($A32=Z$2,0,SUMIFS(d_sched!$M:$M,d_sched!$D:$D,$A32,d_sched!$I:$I,Z$2)+SUMIFS(d_sched!$M:$M,d_sched!$D:$D,$A32,d_sched!$K:$K,Z$2))</f>
        <v>0.98112401006958561</v>
      </c>
      <c r="AA32">
        <f>IF($A32=AA$2,0,SUMIFS(d_sched!$M:$M,d_sched!$D:$D,$A32,d_sched!$I:$I,AA$2)+SUMIFS(d_sched!$M:$M,d_sched!$D:$D,$A32,d_sched!$K:$K,AA$2))</f>
        <v>0.87992223303531203</v>
      </c>
      <c r="AB32">
        <f>IF($A32=AB$2,0,SUMIFS(d_sched!$M:$M,d_sched!$D:$D,$A32,d_sched!$I:$I,AB$2)+SUMIFS(d_sched!$M:$M,d_sched!$D:$D,$A32,d_sched!$K:$K,AB$2))</f>
        <v>1.3111435453301159</v>
      </c>
      <c r="AC32">
        <f>IF($A32=AC$2,0,SUMIFS(d_sched!$M:$M,d_sched!$D:$D,$A32,d_sched!$I:$I,AC$2)+SUMIFS(d_sched!$M:$M,d_sched!$D:$D,$A32,d_sched!$K:$K,AC$2))</f>
        <v>1.3971238508196593</v>
      </c>
      <c r="AD32">
        <f>IF($A32=AD$2,0,SUMIFS(d_sched!$M:$M,d_sched!$D:$D,$A32,d_sched!$I:$I,AD$2)+SUMIFS(d_sched!$M:$M,d_sched!$D:$D,$A32,d_sched!$K:$K,AD$2))</f>
        <v>1.3729572120751616</v>
      </c>
      <c r="AE32">
        <f>IF($A32=AE$2,0,SUMIFS(d_sched!$M:$M,d_sched!$D:$D,$A32,d_sched!$I:$I,AE$2)+SUMIFS(d_sched!$M:$M,d_sched!$D:$D,$A32,d_sched!$K:$K,AE$2))</f>
        <v>0</v>
      </c>
      <c r="AG32">
        <f>ROUND(SUM(B32:AE32),2)</f>
        <v>46.79</v>
      </c>
      <c r="AH32">
        <f>VLOOKUP($A32,p_win_totals!$D$2:$J$31,6,0)</f>
        <v>48</v>
      </c>
      <c r="AI32">
        <f>VLOOKUP($A32,d_win_totals!$E$2:$K$31,3,0)</f>
        <v>46</v>
      </c>
      <c r="AJ32">
        <f t="shared" si="0"/>
        <v>10</v>
      </c>
      <c r="AK32">
        <f>VLOOKUP($A32,p_win_totals!$D$2:$J$31,7,0)</f>
        <v>11</v>
      </c>
      <c r="AL32">
        <f>VLOOKUP($A32,d_win_totals!$E$2:$K$31,6,0)</f>
        <v>7</v>
      </c>
      <c r="AM32">
        <f t="shared" si="1"/>
        <v>-3</v>
      </c>
      <c r="AN32">
        <f t="shared" si="2"/>
        <v>3</v>
      </c>
      <c r="AO32">
        <f t="shared" si="3"/>
        <v>9</v>
      </c>
    </row>
    <row r="33" spans="1:41" x14ac:dyDescent="0.25">
      <c r="AG33">
        <f>SUM(AG3:AG32)</f>
        <v>1228.0099999999998</v>
      </c>
      <c r="AH33">
        <f>SUM(AH3:AH32)</f>
        <v>1241</v>
      </c>
      <c r="AI33">
        <f t="shared" ref="AI33:AJ33" si="4">SUM(AI3:AI32)</f>
        <v>1230</v>
      </c>
      <c r="AJ33">
        <f t="shared" si="4"/>
        <v>465</v>
      </c>
      <c r="AK33">
        <f t="shared" ref="AJ33:AM33" si="5">SUM(AK3:AK32)</f>
        <v>454</v>
      </c>
      <c r="AL33">
        <f t="shared" si="5"/>
        <v>452</v>
      </c>
      <c r="AM33">
        <f t="shared" si="5"/>
        <v>-13</v>
      </c>
      <c r="AN33">
        <f t="shared" ref="AN33:AO33" si="6">SUM(AN3:AN32)</f>
        <v>37</v>
      </c>
      <c r="AO33">
        <f t="shared" si="6"/>
        <v>95</v>
      </c>
    </row>
    <row r="35" spans="1:41" x14ac:dyDescent="0.25">
      <c r="A35" t="s">
        <v>125</v>
      </c>
      <c r="AG35" t="s">
        <v>130</v>
      </c>
      <c r="AH35" t="s">
        <v>51</v>
      </c>
      <c r="AI35" t="s">
        <v>132</v>
      </c>
      <c r="AJ35" t="s">
        <v>129</v>
      </c>
      <c r="AK35" t="s">
        <v>126</v>
      </c>
      <c r="AL35" t="s">
        <v>111</v>
      </c>
      <c r="AM35" t="s">
        <v>112</v>
      </c>
      <c r="AN35" t="s">
        <v>114</v>
      </c>
      <c r="AO35" t="s">
        <v>113</v>
      </c>
    </row>
    <row r="36" spans="1:41" x14ac:dyDescent="0.25">
      <c r="B36" t="s">
        <v>26</v>
      </c>
      <c r="C36" t="s">
        <v>23</v>
      </c>
      <c r="D36" t="s">
        <v>22</v>
      </c>
      <c r="E36" t="s">
        <v>18</v>
      </c>
      <c r="F36" t="s">
        <v>30</v>
      </c>
      <c r="G36" t="s">
        <v>40</v>
      </c>
      <c r="H36" t="s">
        <v>14</v>
      </c>
      <c r="I36" t="s">
        <v>32</v>
      </c>
      <c r="J36" t="s">
        <v>33</v>
      </c>
      <c r="K36" t="s">
        <v>36</v>
      </c>
      <c r="L36" t="s">
        <v>16</v>
      </c>
      <c r="M36" t="s">
        <v>20</v>
      </c>
      <c r="N36" t="s">
        <v>41</v>
      </c>
      <c r="O36" t="s">
        <v>17</v>
      </c>
      <c r="P36" t="s">
        <v>28</v>
      </c>
      <c r="Q36" t="s">
        <v>24</v>
      </c>
      <c r="R36" t="s">
        <v>19</v>
      </c>
      <c r="S36" t="s">
        <v>29</v>
      </c>
      <c r="T36" t="s">
        <v>12</v>
      </c>
      <c r="U36" t="s">
        <v>31</v>
      </c>
      <c r="V36" t="s">
        <v>38</v>
      </c>
      <c r="W36" t="s">
        <v>13</v>
      </c>
      <c r="X36" t="s">
        <v>21</v>
      </c>
      <c r="Y36" t="s">
        <v>35</v>
      </c>
      <c r="Z36" t="s">
        <v>39</v>
      </c>
      <c r="AA36" t="s">
        <v>15</v>
      </c>
      <c r="AB36" t="s">
        <v>37</v>
      </c>
      <c r="AC36" t="s">
        <v>27</v>
      </c>
      <c r="AD36" t="s">
        <v>34</v>
      </c>
      <c r="AE36" t="s">
        <v>25</v>
      </c>
    </row>
    <row r="37" spans="1:41" x14ac:dyDescent="0.25">
      <c r="A37" t="s">
        <v>26</v>
      </c>
      <c r="B37">
        <f>IF($A37=B$2,0,SUMIFS(d_sched!$N:$N,d_sched!$D:$D,$A37,d_sched!$I:$I,B$2)+SUMIFS(d_sched!$N:$N,d_sched!$D:$D,$A37,d_sched!$K:$K,B$2))</f>
        <v>0</v>
      </c>
      <c r="C37">
        <f ca="1">IF($A37=C$2,0,SUMIFS(d_sched!$N:$N,d_sched!$D:$D,$A37,d_sched!$I:$I,C$2)+SUMIFS(d_sched!$N:$N,d_sched!$D:$D,$A37,d_sched!$K:$K,C$2))</f>
        <v>1</v>
      </c>
      <c r="D37">
        <f ca="1">IF($A37=D$2,0,SUMIFS(d_sched!$N:$N,d_sched!$D:$D,$A37,d_sched!$I:$I,D$2)+SUMIFS(d_sched!$N:$N,d_sched!$D:$D,$A37,d_sched!$K:$K,D$2))</f>
        <v>2</v>
      </c>
      <c r="E37">
        <f ca="1">IF($A37=E$2,0,SUMIFS(d_sched!$N:$N,d_sched!$D:$D,$A37,d_sched!$I:$I,E$2)+SUMIFS(d_sched!$N:$N,d_sched!$D:$D,$A37,d_sched!$K:$K,E$2))</f>
        <v>0</v>
      </c>
      <c r="F37">
        <f ca="1">IF($A37=F$2,0,SUMIFS(d_sched!$N:$N,d_sched!$D:$D,$A37,d_sched!$I:$I,F$2)+SUMIFS(d_sched!$N:$N,d_sched!$D:$D,$A37,d_sched!$K:$K,F$2))</f>
        <v>0</v>
      </c>
      <c r="G37">
        <f ca="1">IF($A37=G$2,0,SUMIFS(d_sched!$N:$N,d_sched!$D:$D,$A37,d_sched!$I:$I,G$2)+SUMIFS(d_sched!$N:$N,d_sched!$D:$D,$A37,d_sched!$K:$K,G$2))</f>
        <v>2</v>
      </c>
      <c r="H37">
        <f ca="1">IF($A37=H$2,0,SUMIFS(d_sched!$N:$N,d_sched!$D:$D,$A37,d_sched!$I:$I,H$2)+SUMIFS(d_sched!$N:$N,d_sched!$D:$D,$A37,d_sched!$K:$K,H$2))</f>
        <v>2</v>
      </c>
      <c r="I37">
        <f ca="1">IF($A37=I$2,0,SUMIFS(d_sched!$N:$N,d_sched!$D:$D,$A37,d_sched!$I:$I,I$2)+SUMIFS(d_sched!$N:$N,d_sched!$D:$D,$A37,d_sched!$K:$K,I$2))</f>
        <v>2</v>
      </c>
      <c r="J37">
        <f ca="1">IF($A37=J$2,0,SUMIFS(d_sched!$N:$N,d_sched!$D:$D,$A37,d_sched!$I:$I,J$2)+SUMIFS(d_sched!$N:$N,d_sched!$D:$D,$A37,d_sched!$K:$K,J$2))</f>
        <v>2</v>
      </c>
      <c r="K37">
        <f ca="1">IF($A37=K$2,0,SUMIFS(d_sched!$N:$N,d_sched!$D:$D,$A37,d_sched!$I:$I,K$2)+SUMIFS(d_sched!$N:$N,d_sched!$D:$D,$A37,d_sched!$K:$K,K$2))</f>
        <v>1</v>
      </c>
      <c r="L37">
        <f ca="1">IF($A37=L$2,0,SUMIFS(d_sched!$N:$N,d_sched!$D:$D,$A37,d_sched!$I:$I,L$2)+SUMIFS(d_sched!$N:$N,d_sched!$D:$D,$A37,d_sched!$K:$K,L$2))</f>
        <v>0</v>
      </c>
      <c r="M37">
        <f ca="1">IF($A37=M$2,0,SUMIFS(d_sched!$N:$N,d_sched!$D:$D,$A37,d_sched!$I:$I,M$2)+SUMIFS(d_sched!$N:$N,d_sched!$D:$D,$A37,d_sched!$K:$K,M$2))</f>
        <v>3</v>
      </c>
      <c r="N37">
        <f ca="1">IF($A37=N$2,0,SUMIFS(d_sched!$N:$N,d_sched!$D:$D,$A37,d_sched!$I:$I,N$2)+SUMIFS(d_sched!$N:$N,d_sched!$D:$D,$A37,d_sched!$K:$K,N$2))</f>
        <v>0</v>
      </c>
      <c r="O37">
        <f ca="1">IF($A37=O$2,0,SUMIFS(d_sched!$N:$N,d_sched!$D:$D,$A37,d_sched!$I:$I,O$2)+SUMIFS(d_sched!$N:$N,d_sched!$D:$D,$A37,d_sched!$K:$K,O$2))</f>
        <v>0</v>
      </c>
      <c r="P37">
        <f ca="1">IF($A37=P$2,0,SUMIFS(d_sched!$N:$N,d_sched!$D:$D,$A37,d_sched!$I:$I,P$2)+SUMIFS(d_sched!$N:$N,d_sched!$D:$D,$A37,d_sched!$K:$K,P$2))</f>
        <v>1</v>
      </c>
      <c r="Q37">
        <f ca="1">IF($A37=Q$2,0,SUMIFS(d_sched!$N:$N,d_sched!$D:$D,$A37,d_sched!$I:$I,Q$2)+SUMIFS(d_sched!$N:$N,d_sched!$D:$D,$A37,d_sched!$K:$K,Q$2))</f>
        <v>2</v>
      </c>
      <c r="R37">
        <f ca="1">IF($A37=R$2,0,SUMIFS(d_sched!$N:$N,d_sched!$D:$D,$A37,d_sched!$I:$I,R$2)+SUMIFS(d_sched!$N:$N,d_sched!$D:$D,$A37,d_sched!$K:$K,R$2))</f>
        <v>3</v>
      </c>
      <c r="S37">
        <f ca="1">IF($A37=S$2,0,SUMIFS(d_sched!$N:$N,d_sched!$D:$D,$A37,d_sched!$I:$I,S$2)+SUMIFS(d_sched!$N:$N,d_sched!$D:$D,$A37,d_sched!$K:$K,S$2))</f>
        <v>2</v>
      </c>
      <c r="T37">
        <f ca="1">IF($A37=T$2,0,SUMIFS(d_sched!$N:$N,d_sched!$D:$D,$A37,d_sched!$I:$I,T$2)+SUMIFS(d_sched!$N:$N,d_sched!$D:$D,$A37,d_sched!$K:$K,T$2))</f>
        <v>1</v>
      </c>
      <c r="U37">
        <f ca="1">IF($A37=U$2,0,SUMIFS(d_sched!$N:$N,d_sched!$D:$D,$A37,d_sched!$I:$I,U$2)+SUMIFS(d_sched!$N:$N,d_sched!$D:$D,$A37,d_sched!$K:$K,U$2))</f>
        <v>1</v>
      </c>
      <c r="V37">
        <f ca="1">IF($A37=V$2,0,SUMIFS(d_sched!$N:$N,d_sched!$D:$D,$A37,d_sched!$I:$I,V$2)+SUMIFS(d_sched!$N:$N,d_sched!$D:$D,$A37,d_sched!$K:$K,V$2))</f>
        <v>1</v>
      </c>
      <c r="W37">
        <f ca="1">IF($A37=W$2,0,SUMIFS(d_sched!$N:$N,d_sched!$D:$D,$A37,d_sched!$I:$I,W$2)+SUMIFS(d_sched!$N:$N,d_sched!$D:$D,$A37,d_sched!$K:$K,W$2))</f>
        <v>4</v>
      </c>
      <c r="X37">
        <f ca="1">IF($A37=X$2,0,SUMIFS(d_sched!$N:$N,d_sched!$D:$D,$A37,d_sched!$I:$I,X$2)+SUMIFS(d_sched!$N:$N,d_sched!$D:$D,$A37,d_sched!$K:$K,X$2))</f>
        <v>2</v>
      </c>
      <c r="Y37">
        <f ca="1">IF($A37=Y$2,0,SUMIFS(d_sched!$N:$N,d_sched!$D:$D,$A37,d_sched!$I:$I,Y$2)+SUMIFS(d_sched!$N:$N,d_sched!$D:$D,$A37,d_sched!$K:$K,Y$2))</f>
        <v>0</v>
      </c>
      <c r="Z37">
        <f ca="1">IF($A37=Z$2,0,SUMIFS(d_sched!$N:$N,d_sched!$D:$D,$A37,d_sched!$I:$I,Z$2)+SUMIFS(d_sched!$N:$N,d_sched!$D:$D,$A37,d_sched!$K:$K,Z$2))</f>
        <v>0</v>
      </c>
      <c r="AA37">
        <f ca="1">IF($A37=AA$2,0,SUMIFS(d_sched!$N:$N,d_sched!$D:$D,$A37,d_sched!$I:$I,AA$2)+SUMIFS(d_sched!$N:$N,d_sched!$D:$D,$A37,d_sched!$K:$K,AA$2))</f>
        <v>0</v>
      </c>
      <c r="AB37">
        <f ca="1">IF($A37=AB$2,0,SUMIFS(d_sched!$N:$N,d_sched!$D:$D,$A37,d_sched!$I:$I,AB$2)+SUMIFS(d_sched!$N:$N,d_sched!$D:$D,$A37,d_sched!$K:$K,AB$2))</f>
        <v>2</v>
      </c>
      <c r="AC37">
        <f ca="1">IF($A37=AC$2,0,SUMIFS(d_sched!$N:$N,d_sched!$D:$D,$A37,d_sched!$I:$I,AC$2)+SUMIFS(d_sched!$N:$N,d_sched!$D:$D,$A37,d_sched!$K:$K,AC$2))</f>
        <v>2</v>
      </c>
      <c r="AD37">
        <f ca="1">IF($A37=AD$2,0,SUMIFS(d_sched!$N:$N,d_sched!$D:$D,$A37,d_sched!$I:$I,AD$2)+SUMIFS(d_sched!$N:$N,d_sched!$D:$D,$A37,d_sched!$K:$K,AD$2))</f>
        <v>2</v>
      </c>
      <c r="AE37">
        <f ca="1">IF($A37=AE$2,0,SUMIFS(d_sched!$N:$N,d_sched!$D:$D,$A37,d_sched!$I:$I,AE$2)+SUMIFS(d_sched!$N:$N,d_sched!$D:$D,$A37,d_sched!$K:$K,AE$2))</f>
        <v>2</v>
      </c>
      <c r="AG37">
        <f ca="1">ROUND(SUM(B37:AE37),2)</f>
        <v>40</v>
      </c>
      <c r="AH37">
        <f>VLOOKUP($A37,p_win_totals!$D$2:$J$31,6,0)</f>
        <v>43</v>
      </c>
      <c r="AI37">
        <f>VLOOKUP($A37,d_win_totals!$E$2:$K$31,3,0)</f>
        <v>60</v>
      </c>
      <c r="AJ37">
        <f ca="1">RANK(AG37,AG$37:AG$66)</f>
        <v>15</v>
      </c>
      <c r="AK37">
        <f>VLOOKUP($A37,p_win_totals!$D$2:$J$31,7,0)</f>
        <v>15</v>
      </c>
      <c r="AL37">
        <f>VLOOKUP($A37,d_win_totals!$E$2:$K$31,6,0)</f>
        <v>18</v>
      </c>
      <c r="AM37">
        <f ca="1">$AL37-$AJ37</f>
        <v>3</v>
      </c>
      <c r="AN37">
        <f ca="1">ABS($AL37-$AJ37)</f>
        <v>3</v>
      </c>
      <c r="AO37">
        <f ca="1">($AL37-$AJ37)^2</f>
        <v>9</v>
      </c>
    </row>
    <row r="38" spans="1:41" x14ac:dyDescent="0.25">
      <c r="A38" t="s">
        <v>23</v>
      </c>
      <c r="B38">
        <f ca="1">IF($A38=B$2,0,SUMIFS(d_sched!$N:$N,d_sched!$D:$D,$A38,d_sched!$I:$I,B$2)+SUMIFS(d_sched!$N:$N,d_sched!$D:$D,$A38,d_sched!$K:$K,B$2))</f>
        <v>1</v>
      </c>
      <c r="C38">
        <f>IF($A38=C$2,0,SUMIFS(d_sched!$N:$N,d_sched!$D:$D,$A38,d_sched!$I:$I,C$2)+SUMIFS(d_sched!$N:$N,d_sched!$D:$D,$A38,d_sched!$K:$K,C$2))</f>
        <v>0</v>
      </c>
      <c r="D38">
        <f ca="1">IF($A38=D$2,0,SUMIFS(d_sched!$N:$N,d_sched!$D:$D,$A38,d_sched!$I:$I,D$2)+SUMIFS(d_sched!$N:$N,d_sched!$D:$D,$A38,d_sched!$K:$K,D$2))</f>
        <v>1</v>
      </c>
      <c r="E38">
        <f ca="1">IF($A38=E$2,0,SUMIFS(d_sched!$N:$N,d_sched!$D:$D,$A38,d_sched!$I:$I,E$2)+SUMIFS(d_sched!$N:$N,d_sched!$D:$D,$A38,d_sched!$K:$K,E$2))</f>
        <v>2</v>
      </c>
      <c r="F38">
        <f ca="1">IF($A38=F$2,0,SUMIFS(d_sched!$N:$N,d_sched!$D:$D,$A38,d_sched!$I:$I,F$2)+SUMIFS(d_sched!$N:$N,d_sched!$D:$D,$A38,d_sched!$K:$K,F$2))</f>
        <v>2</v>
      </c>
      <c r="G38">
        <f ca="1">IF($A38=G$2,0,SUMIFS(d_sched!$N:$N,d_sched!$D:$D,$A38,d_sched!$I:$I,G$2)+SUMIFS(d_sched!$N:$N,d_sched!$D:$D,$A38,d_sched!$K:$K,G$2))</f>
        <v>2</v>
      </c>
      <c r="H38">
        <f ca="1">IF($A38=H$2,0,SUMIFS(d_sched!$N:$N,d_sched!$D:$D,$A38,d_sched!$I:$I,H$2)+SUMIFS(d_sched!$N:$N,d_sched!$D:$D,$A38,d_sched!$K:$K,H$2))</f>
        <v>0</v>
      </c>
      <c r="I38">
        <f ca="1">IF($A38=I$2,0,SUMIFS(d_sched!$N:$N,d_sched!$D:$D,$A38,d_sched!$I:$I,I$2)+SUMIFS(d_sched!$N:$N,d_sched!$D:$D,$A38,d_sched!$K:$K,I$2))</f>
        <v>0</v>
      </c>
      <c r="J38">
        <f ca="1">IF($A38=J$2,0,SUMIFS(d_sched!$N:$N,d_sched!$D:$D,$A38,d_sched!$I:$I,J$2)+SUMIFS(d_sched!$N:$N,d_sched!$D:$D,$A38,d_sched!$K:$K,J$2))</f>
        <v>3</v>
      </c>
      <c r="K38">
        <f ca="1">IF($A38=K$2,0,SUMIFS(d_sched!$N:$N,d_sched!$D:$D,$A38,d_sched!$I:$I,K$2)+SUMIFS(d_sched!$N:$N,d_sched!$D:$D,$A38,d_sched!$K:$K,K$2))</f>
        <v>1</v>
      </c>
      <c r="L38">
        <f ca="1">IF($A38=L$2,0,SUMIFS(d_sched!$N:$N,d_sched!$D:$D,$A38,d_sched!$I:$I,L$2)+SUMIFS(d_sched!$N:$N,d_sched!$D:$D,$A38,d_sched!$K:$K,L$2))</f>
        <v>1</v>
      </c>
      <c r="M38">
        <f ca="1">IF($A38=M$2,0,SUMIFS(d_sched!$N:$N,d_sched!$D:$D,$A38,d_sched!$I:$I,M$2)+SUMIFS(d_sched!$N:$N,d_sched!$D:$D,$A38,d_sched!$K:$K,M$2))</f>
        <v>2</v>
      </c>
      <c r="N38">
        <f ca="1">IF($A38=N$2,0,SUMIFS(d_sched!$N:$N,d_sched!$D:$D,$A38,d_sched!$I:$I,N$2)+SUMIFS(d_sched!$N:$N,d_sched!$D:$D,$A38,d_sched!$K:$K,N$2))</f>
        <v>0</v>
      </c>
      <c r="O38">
        <f ca="1">IF($A38=O$2,0,SUMIFS(d_sched!$N:$N,d_sched!$D:$D,$A38,d_sched!$I:$I,O$2)+SUMIFS(d_sched!$N:$N,d_sched!$D:$D,$A38,d_sched!$K:$K,O$2))</f>
        <v>2</v>
      </c>
      <c r="P38">
        <f ca="1">IF($A38=P$2,0,SUMIFS(d_sched!$N:$N,d_sched!$D:$D,$A38,d_sched!$I:$I,P$2)+SUMIFS(d_sched!$N:$N,d_sched!$D:$D,$A38,d_sched!$K:$K,P$2))</f>
        <v>1</v>
      </c>
      <c r="Q38">
        <f ca="1">IF($A38=Q$2,0,SUMIFS(d_sched!$N:$N,d_sched!$D:$D,$A38,d_sched!$I:$I,Q$2)+SUMIFS(d_sched!$N:$N,d_sched!$D:$D,$A38,d_sched!$K:$K,Q$2))</f>
        <v>2</v>
      </c>
      <c r="R38">
        <f ca="1">IF($A38=R$2,0,SUMIFS(d_sched!$N:$N,d_sched!$D:$D,$A38,d_sched!$I:$I,R$2)+SUMIFS(d_sched!$N:$N,d_sched!$D:$D,$A38,d_sched!$K:$K,R$2))</f>
        <v>2</v>
      </c>
      <c r="S38">
        <f ca="1">IF($A38=S$2,0,SUMIFS(d_sched!$N:$N,d_sched!$D:$D,$A38,d_sched!$I:$I,S$2)+SUMIFS(d_sched!$N:$N,d_sched!$D:$D,$A38,d_sched!$K:$K,S$2))</f>
        <v>2</v>
      </c>
      <c r="T38">
        <f ca="1">IF($A38=T$2,0,SUMIFS(d_sched!$N:$N,d_sched!$D:$D,$A38,d_sched!$I:$I,T$2)+SUMIFS(d_sched!$N:$N,d_sched!$D:$D,$A38,d_sched!$K:$K,T$2))</f>
        <v>1</v>
      </c>
      <c r="U38">
        <f ca="1">IF($A38=U$2,0,SUMIFS(d_sched!$N:$N,d_sched!$D:$D,$A38,d_sched!$I:$I,U$2)+SUMIFS(d_sched!$N:$N,d_sched!$D:$D,$A38,d_sched!$K:$K,U$2))</f>
        <v>2</v>
      </c>
      <c r="V38">
        <f ca="1">IF($A38=V$2,0,SUMIFS(d_sched!$N:$N,d_sched!$D:$D,$A38,d_sched!$I:$I,V$2)+SUMIFS(d_sched!$N:$N,d_sched!$D:$D,$A38,d_sched!$K:$K,V$2))</f>
        <v>1</v>
      </c>
      <c r="W38">
        <f ca="1">IF($A38=W$2,0,SUMIFS(d_sched!$N:$N,d_sched!$D:$D,$A38,d_sched!$I:$I,W$2)+SUMIFS(d_sched!$N:$N,d_sched!$D:$D,$A38,d_sched!$K:$K,W$2))</f>
        <v>1</v>
      </c>
      <c r="X38">
        <f ca="1">IF($A38=X$2,0,SUMIFS(d_sched!$N:$N,d_sched!$D:$D,$A38,d_sched!$I:$I,X$2)+SUMIFS(d_sched!$N:$N,d_sched!$D:$D,$A38,d_sched!$K:$K,X$2))</f>
        <v>1</v>
      </c>
      <c r="Y38">
        <f ca="1">IF($A38=Y$2,0,SUMIFS(d_sched!$N:$N,d_sched!$D:$D,$A38,d_sched!$I:$I,Y$2)+SUMIFS(d_sched!$N:$N,d_sched!$D:$D,$A38,d_sched!$K:$K,Y$2))</f>
        <v>1</v>
      </c>
      <c r="Z38">
        <f ca="1">IF($A38=Z$2,0,SUMIFS(d_sched!$N:$N,d_sched!$D:$D,$A38,d_sched!$I:$I,Z$2)+SUMIFS(d_sched!$N:$N,d_sched!$D:$D,$A38,d_sched!$K:$K,Z$2))</f>
        <v>0</v>
      </c>
      <c r="AA38">
        <f ca="1">IF($A38=AA$2,0,SUMIFS(d_sched!$N:$N,d_sched!$D:$D,$A38,d_sched!$I:$I,AA$2)+SUMIFS(d_sched!$N:$N,d_sched!$D:$D,$A38,d_sched!$K:$K,AA$2))</f>
        <v>0</v>
      </c>
      <c r="AB38">
        <f ca="1">IF($A38=AB$2,0,SUMIFS(d_sched!$N:$N,d_sched!$D:$D,$A38,d_sched!$I:$I,AB$2)+SUMIFS(d_sched!$N:$N,d_sched!$D:$D,$A38,d_sched!$K:$K,AB$2))</f>
        <v>1</v>
      </c>
      <c r="AC38">
        <f ca="1">IF($A38=AC$2,0,SUMIFS(d_sched!$N:$N,d_sched!$D:$D,$A38,d_sched!$I:$I,AC$2)+SUMIFS(d_sched!$N:$N,d_sched!$D:$D,$A38,d_sched!$K:$K,AC$2))</f>
        <v>2</v>
      </c>
      <c r="AD38">
        <f ca="1">IF($A38=AD$2,0,SUMIFS(d_sched!$N:$N,d_sched!$D:$D,$A38,d_sched!$I:$I,AD$2)+SUMIFS(d_sched!$N:$N,d_sched!$D:$D,$A38,d_sched!$K:$K,AD$2))</f>
        <v>1</v>
      </c>
      <c r="AE38">
        <f ca="1">IF($A38=AE$2,0,SUMIFS(d_sched!$N:$N,d_sched!$D:$D,$A38,d_sched!$I:$I,AE$2)+SUMIFS(d_sched!$N:$N,d_sched!$D:$D,$A38,d_sched!$K:$K,AE$2))</f>
        <v>2</v>
      </c>
      <c r="AG38">
        <f ca="1">ROUND(SUM(B38:AE38),2)</f>
        <v>37</v>
      </c>
      <c r="AH38">
        <f>VLOOKUP($A38,p_win_totals!$D$2:$J$31,6,0)</f>
        <v>40</v>
      </c>
      <c r="AI38">
        <f>VLOOKUP($A38,d_win_totals!$E$2:$K$31,3,0)</f>
        <v>38</v>
      </c>
      <c r="AJ38">
        <f t="shared" ref="AJ38:AJ66" ca="1" si="7">RANK(AG38,AG$37:AG$66)</f>
        <v>20</v>
      </c>
      <c r="AK38">
        <f>VLOOKUP($A38,p_win_totals!$D$2:$J$31,7,0)</f>
        <v>18</v>
      </c>
      <c r="AL38">
        <f>VLOOKUP($A38,d_win_totals!$E$2:$K$31,6,0)</f>
        <v>16</v>
      </c>
      <c r="AM38">
        <f t="shared" ref="AM38:AM66" ca="1" si="8">$AL38-$AJ38</f>
        <v>-4</v>
      </c>
      <c r="AN38">
        <f t="shared" ref="AN38:AN66" ca="1" si="9">ABS($AL38-$AJ38)</f>
        <v>4</v>
      </c>
      <c r="AO38">
        <f t="shared" ref="AO38:AO66" ca="1" si="10">($AL38-$AJ38)^2</f>
        <v>16</v>
      </c>
    </row>
    <row r="39" spans="1:41" x14ac:dyDescent="0.25">
      <c r="A39" t="s">
        <v>22</v>
      </c>
      <c r="B39">
        <f ca="1">IF($A39=B$2,0,SUMIFS(d_sched!$N:$N,d_sched!$D:$D,$A39,d_sched!$I:$I,B$2)+SUMIFS(d_sched!$N:$N,d_sched!$D:$D,$A39,d_sched!$K:$K,B$2))</f>
        <v>2</v>
      </c>
      <c r="C39">
        <f ca="1">IF($A39=C$2,0,SUMIFS(d_sched!$N:$N,d_sched!$D:$D,$A39,d_sched!$I:$I,C$2)+SUMIFS(d_sched!$N:$N,d_sched!$D:$D,$A39,d_sched!$K:$K,C$2))</f>
        <v>2</v>
      </c>
      <c r="D39">
        <f>IF($A39=D$2,0,SUMIFS(d_sched!$N:$N,d_sched!$D:$D,$A39,d_sched!$I:$I,D$2)+SUMIFS(d_sched!$N:$N,d_sched!$D:$D,$A39,d_sched!$K:$K,D$2))</f>
        <v>0</v>
      </c>
      <c r="E39">
        <f ca="1">IF($A39=E$2,0,SUMIFS(d_sched!$N:$N,d_sched!$D:$D,$A39,d_sched!$I:$I,E$2)+SUMIFS(d_sched!$N:$N,d_sched!$D:$D,$A39,d_sched!$K:$K,E$2))</f>
        <v>2</v>
      </c>
      <c r="F39">
        <f ca="1">IF($A39=F$2,0,SUMIFS(d_sched!$N:$N,d_sched!$D:$D,$A39,d_sched!$I:$I,F$2)+SUMIFS(d_sched!$N:$N,d_sched!$D:$D,$A39,d_sched!$K:$K,F$2))</f>
        <v>1</v>
      </c>
      <c r="G39">
        <f ca="1">IF($A39=G$2,0,SUMIFS(d_sched!$N:$N,d_sched!$D:$D,$A39,d_sched!$I:$I,G$2)+SUMIFS(d_sched!$N:$N,d_sched!$D:$D,$A39,d_sched!$K:$K,G$2))</f>
        <v>2</v>
      </c>
      <c r="H39">
        <f ca="1">IF($A39=H$2,0,SUMIFS(d_sched!$N:$N,d_sched!$D:$D,$A39,d_sched!$I:$I,H$2)+SUMIFS(d_sched!$N:$N,d_sched!$D:$D,$A39,d_sched!$K:$K,H$2))</f>
        <v>0</v>
      </c>
      <c r="I39">
        <f ca="1">IF($A39=I$2,0,SUMIFS(d_sched!$N:$N,d_sched!$D:$D,$A39,d_sched!$I:$I,I$2)+SUMIFS(d_sched!$N:$N,d_sched!$D:$D,$A39,d_sched!$K:$K,I$2))</f>
        <v>0</v>
      </c>
      <c r="J39">
        <f ca="1">IF($A39=J$2,0,SUMIFS(d_sched!$N:$N,d_sched!$D:$D,$A39,d_sched!$I:$I,J$2)+SUMIFS(d_sched!$N:$N,d_sched!$D:$D,$A39,d_sched!$K:$K,J$2))</f>
        <v>2</v>
      </c>
      <c r="K39">
        <f ca="1">IF($A39=K$2,0,SUMIFS(d_sched!$N:$N,d_sched!$D:$D,$A39,d_sched!$I:$I,K$2)+SUMIFS(d_sched!$N:$N,d_sched!$D:$D,$A39,d_sched!$K:$K,K$2))</f>
        <v>2</v>
      </c>
      <c r="L39">
        <f ca="1">IF($A39=L$2,0,SUMIFS(d_sched!$N:$N,d_sched!$D:$D,$A39,d_sched!$I:$I,L$2)+SUMIFS(d_sched!$N:$N,d_sched!$D:$D,$A39,d_sched!$K:$K,L$2))</f>
        <v>1</v>
      </c>
      <c r="M39">
        <f ca="1">IF($A39=M$2,0,SUMIFS(d_sched!$N:$N,d_sched!$D:$D,$A39,d_sched!$I:$I,M$2)+SUMIFS(d_sched!$N:$N,d_sched!$D:$D,$A39,d_sched!$K:$K,M$2))</f>
        <v>1</v>
      </c>
      <c r="N39">
        <f ca="1">IF($A39=N$2,0,SUMIFS(d_sched!$N:$N,d_sched!$D:$D,$A39,d_sched!$I:$I,N$2)+SUMIFS(d_sched!$N:$N,d_sched!$D:$D,$A39,d_sched!$K:$K,N$2))</f>
        <v>1</v>
      </c>
      <c r="O39">
        <f ca="1">IF($A39=O$2,0,SUMIFS(d_sched!$N:$N,d_sched!$D:$D,$A39,d_sched!$I:$I,O$2)+SUMIFS(d_sched!$N:$N,d_sched!$D:$D,$A39,d_sched!$K:$K,O$2))</f>
        <v>0</v>
      </c>
      <c r="P39">
        <f ca="1">IF($A39=P$2,0,SUMIFS(d_sched!$N:$N,d_sched!$D:$D,$A39,d_sched!$I:$I,P$2)+SUMIFS(d_sched!$N:$N,d_sched!$D:$D,$A39,d_sched!$K:$K,P$2))</f>
        <v>1</v>
      </c>
      <c r="Q39">
        <f ca="1">IF($A39=Q$2,0,SUMIFS(d_sched!$N:$N,d_sched!$D:$D,$A39,d_sched!$I:$I,Q$2)+SUMIFS(d_sched!$N:$N,d_sched!$D:$D,$A39,d_sched!$K:$K,Q$2))</f>
        <v>2</v>
      </c>
      <c r="R39">
        <f ca="1">IF($A39=R$2,0,SUMIFS(d_sched!$N:$N,d_sched!$D:$D,$A39,d_sched!$I:$I,R$2)+SUMIFS(d_sched!$N:$N,d_sched!$D:$D,$A39,d_sched!$K:$K,R$2))</f>
        <v>0</v>
      </c>
      <c r="S39">
        <f ca="1">IF($A39=S$2,0,SUMIFS(d_sched!$N:$N,d_sched!$D:$D,$A39,d_sched!$I:$I,S$2)+SUMIFS(d_sched!$N:$N,d_sched!$D:$D,$A39,d_sched!$K:$K,S$2))</f>
        <v>0</v>
      </c>
      <c r="T39">
        <f ca="1">IF($A39=T$2,0,SUMIFS(d_sched!$N:$N,d_sched!$D:$D,$A39,d_sched!$I:$I,T$2)+SUMIFS(d_sched!$N:$N,d_sched!$D:$D,$A39,d_sched!$K:$K,T$2))</f>
        <v>2</v>
      </c>
      <c r="U39">
        <f ca="1">IF($A39=U$2,0,SUMIFS(d_sched!$N:$N,d_sched!$D:$D,$A39,d_sched!$I:$I,U$2)+SUMIFS(d_sched!$N:$N,d_sched!$D:$D,$A39,d_sched!$K:$K,U$2))</f>
        <v>1</v>
      </c>
      <c r="V39">
        <f ca="1">IF($A39=V$2,0,SUMIFS(d_sched!$N:$N,d_sched!$D:$D,$A39,d_sched!$I:$I,V$2)+SUMIFS(d_sched!$N:$N,d_sched!$D:$D,$A39,d_sched!$K:$K,V$2))</f>
        <v>0</v>
      </c>
      <c r="W39">
        <f ca="1">IF($A39=W$2,0,SUMIFS(d_sched!$N:$N,d_sched!$D:$D,$A39,d_sched!$I:$I,W$2)+SUMIFS(d_sched!$N:$N,d_sched!$D:$D,$A39,d_sched!$K:$K,W$2))</f>
        <v>1</v>
      </c>
      <c r="X39">
        <f ca="1">IF($A39=X$2,0,SUMIFS(d_sched!$N:$N,d_sched!$D:$D,$A39,d_sched!$I:$I,X$2)+SUMIFS(d_sched!$N:$N,d_sched!$D:$D,$A39,d_sched!$K:$K,X$2))</f>
        <v>3</v>
      </c>
      <c r="Y39">
        <f ca="1">IF($A39=Y$2,0,SUMIFS(d_sched!$N:$N,d_sched!$D:$D,$A39,d_sched!$I:$I,Y$2)+SUMIFS(d_sched!$N:$N,d_sched!$D:$D,$A39,d_sched!$K:$K,Y$2))</f>
        <v>1</v>
      </c>
      <c r="Z39">
        <f ca="1">IF($A39=Z$2,0,SUMIFS(d_sched!$N:$N,d_sched!$D:$D,$A39,d_sched!$I:$I,Z$2)+SUMIFS(d_sched!$N:$N,d_sched!$D:$D,$A39,d_sched!$K:$K,Z$2))</f>
        <v>0</v>
      </c>
      <c r="AA39">
        <f ca="1">IF($A39=AA$2,0,SUMIFS(d_sched!$N:$N,d_sched!$D:$D,$A39,d_sched!$I:$I,AA$2)+SUMIFS(d_sched!$N:$N,d_sched!$D:$D,$A39,d_sched!$K:$K,AA$2))</f>
        <v>0</v>
      </c>
      <c r="AB39">
        <f ca="1">IF($A39=AB$2,0,SUMIFS(d_sched!$N:$N,d_sched!$D:$D,$A39,d_sched!$I:$I,AB$2)+SUMIFS(d_sched!$N:$N,d_sched!$D:$D,$A39,d_sched!$K:$K,AB$2))</f>
        <v>2</v>
      </c>
      <c r="AC39">
        <f ca="1">IF($A39=AC$2,0,SUMIFS(d_sched!$N:$N,d_sched!$D:$D,$A39,d_sched!$I:$I,AC$2)+SUMIFS(d_sched!$N:$N,d_sched!$D:$D,$A39,d_sched!$K:$K,AC$2))</f>
        <v>0</v>
      </c>
      <c r="AD39">
        <f ca="1">IF($A39=AD$2,0,SUMIFS(d_sched!$N:$N,d_sched!$D:$D,$A39,d_sched!$I:$I,AD$2)+SUMIFS(d_sched!$N:$N,d_sched!$D:$D,$A39,d_sched!$K:$K,AD$2))</f>
        <v>0</v>
      </c>
      <c r="AE39">
        <f ca="1">IF($A39=AE$2,0,SUMIFS(d_sched!$N:$N,d_sched!$D:$D,$A39,d_sched!$I:$I,AE$2)+SUMIFS(d_sched!$N:$N,d_sched!$D:$D,$A39,d_sched!$K:$K,AE$2))</f>
        <v>0</v>
      </c>
      <c r="AG39">
        <f ca="1">ROUND(SUM(B39:AE39),2)</f>
        <v>29</v>
      </c>
      <c r="AH39">
        <f>VLOOKUP($A39,p_win_totals!$D$2:$J$31,6,0)</f>
        <v>24</v>
      </c>
      <c r="AI39">
        <f>VLOOKUP($A39,d_win_totals!$E$2:$K$31,3,0)</f>
        <v>40</v>
      </c>
      <c r="AJ39">
        <f t="shared" ca="1" si="7"/>
        <v>28</v>
      </c>
      <c r="AK39">
        <f>VLOOKUP($A39,p_win_totals!$D$2:$J$31,7,0)</f>
        <v>28</v>
      </c>
      <c r="AL39">
        <f>VLOOKUP($A39,d_win_totals!$E$2:$K$31,6,0)</f>
        <v>26</v>
      </c>
      <c r="AM39">
        <f t="shared" ca="1" si="8"/>
        <v>-2</v>
      </c>
      <c r="AN39">
        <f t="shared" ca="1" si="9"/>
        <v>2</v>
      </c>
      <c r="AO39">
        <f t="shared" ca="1" si="10"/>
        <v>4</v>
      </c>
    </row>
    <row r="40" spans="1:41" x14ac:dyDescent="0.25">
      <c r="A40" t="s">
        <v>18</v>
      </c>
      <c r="B40">
        <f ca="1">IF($A40=B$2,0,SUMIFS(d_sched!$N:$N,d_sched!$D:$D,$A40,d_sched!$I:$I,B$2)+SUMIFS(d_sched!$N:$N,d_sched!$D:$D,$A40,d_sched!$K:$K,B$2))</f>
        <v>3</v>
      </c>
      <c r="C40">
        <f ca="1">IF($A40=C$2,0,SUMIFS(d_sched!$N:$N,d_sched!$D:$D,$A40,d_sched!$I:$I,C$2)+SUMIFS(d_sched!$N:$N,d_sched!$D:$D,$A40,d_sched!$K:$K,C$2))</f>
        <v>3</v>
      </c>
      <c r="D40">
        <f ca="1">IF($A40=D$2,0,SUMIFS(d_sched!$N:$N,d_sched!$D:$D,$A40,d_sched!$I:$I,D$2)+SUMIFS(d_sched!$N:$N,d_sched!$D:$D,$A40,d_sched!$K:$K,D$2))</f>
        <v>2</v>
      </c>
      <c r="E40">
        <f>IF($A40=E$2,0,SUMIFS(d_sched!$N:$N,d_sched!$D:$D,$A40,d_sched!$I:$I,E$2)+SUMIFS(d_sched!$N:$N,d_sched!$D:$D,$A40,d_sched!$K:$K,E$2))</f>
        <v>0</v>
      </c>
      <c r="F40">
        <f ca="1">IF($A40=F$2,0,SUMIFS(d_sched!$N:$N,d_sched!$D:$D,$A40,d_sched!$I:$I,F$2)+SUMIFS(d_sched!$N:$N,d_sched!$D:$D,$A40,d_sched!$K:$K,F$2))</f>
        <v>2</v>
      </c>
      <c r="G40">
        <f ca="1">IF($A40=G$2,0,SUMIFS(d_sched!$N:$N,d_sched!$D:$D,$A40,d_sched!$I:$I,G$2)+SUMIFS(d_sched!$N:$N,d_sched!$D:$D,$A40,d_sched!$K:$K,G$2))</f>
        <v>2</v>
      </c>
      <c r="H40">
        <f ca="1">IF($A40=H$2,0,SUMIFS(d_sched!$N:$N,d_sched!$D:$D,$A40,d_sched!$I:$I,H$2)+SUMIFS(d_sched!$N:$N,d_sched!$D:$D,$A40,d_sched!$K:$K,H$2))</f>
        <v>0</v>
      </c>
      <c r="I40">
        <f ca="1">IF($A40=I$2,0,SUMIFS(d_sched!$N:$N,d_sched!$D:$D,$A40,d_sched!$I:$I,I$2)+SUMIFS(d_sched!$N:$N,d_sched!$D:$D,$A40,d_sched!$K:$K,I$2))</f>
        <v>2</v>
      </c>
      <c r="J40">
        <f ca="1">IF($A40=J$2,0,SUMIFS(d_sched!$N:$N,d_sched!$D:$D,$A40,d_sched!$I:$I,J$2)+SUMIFS(d_sched!$N:$N,d_sched!$D:$D,$A40,d_sched!$K:$K,J$2))</f>
        <v>2</v>
      </c>
      <c r="K40">
        <f ca="1">IF($A40=K$2,0,SUMIFS(d_sched!$N:$N,d_sched!$D:$D,$A40,d_sched!$I:$I,K$2)+SUMIFS(d_sched!$N:$N,d_sched!$D:$D,$A40,d_sched!$K:$K,K$2))</f>
        <v>0</v>
      </c>
      <c r="L40">
        <f ca="1">IF($A40=L$2,0,SUMIFS(d_sched!$N:$N,d_sched!$D:$D,$A40,d_sched!$I:$I,L$2)+SUMIFS(d_sched!$N:$N,d_sched!$D:$D,$A40,d_sched!$K:$K,L$2))</f>
        <v>0</v>
      </c>
      <c r="M40">
        <f ca="1">IF($A40=M$2,0,SUMIFS(d_sched!$N:$N,d_sched!$D:$D,$A40,d_sched!$I:$I,M$2)+SUMIFS(d_sched!$N:$N,d_sched!$D:$D,$A40,d_sched!$K:$K,M$2))</f>
        <v>1</v>
      </c>
      <c r="N40">
        <f ca="1">IF($A40=N$2,0,SUMIFS(d_sched!$N:$N,d_sched!$D:$D,$A40,d_sched!$I:$I,N$2)+SUMIFS(d_sched!$N:$N,d_sched!$D:$D,$A40,d_sched!$K:$K,N$2))</f>
        <v>0</v>
      </c>
      <c r="O40">
        <f ca="1">IF($A40=O$2,0,SUMIFS(d_sched!$N:$N,d_sched!$D:$D,$A40,d_sched!$I:$I,O$2)+SUMIFS(d_sched!$N:$N,d_sched!$D:$D,$A40,d_sched!$K:$K,O$2))</f>
        <v>1</v>
      </c>
      <c r="P40">
        <f ca="1">IF($A40=P$2,0,SUMIFS(d_sched!$N:$N,d_sched!$D:$D,$A40,d_sched!$I:$I,P$2)+SUMIFS(d_sched!$N:$N,d_sched!$D:$D,$A40,d_sched!$K:$K,P$2))</f>
        <v>0</v>
      </c>
      <c r="Q40">
        <f ca="1">IF($A40=Q$2,0,SUMIFS(d_sched!$N:$N,d_sched!$D:$D,$A40,d_sched!$I:$I,Q$2)+SUMIFS(d_sched!$N:$N,d_sched!$D:$D,$A40,d_sched!$K:$K,Q$2))</f>
        <v>3</v>
      </c>
      <c r="R40">
        <f ca="1">IF($A40=R$2,0,SUMIFS(d_sched!$N:$N,d_sched!$D:$D,$A40,d_sched!$I:$I,R$2)+SUMIFS(d_sched!$N:$N,d_sched!$D:$D,$A40,d_sched!$K:$K,R$2))</f>
        <v>2</v>
      </c>
      <c r="S40">
        <f ca="1">IF($A40=S$2,0,SUMIFS(d_sched!$N:$N,d_sched!$D:$D,$A40,d_sched!$I:$I,S$2)+SUMIFS(d_sched!$N:$N,d_sched!$D:$D,$A40,d_sched!$K:$K,S$2))</f>
        <v>1</v>
      </c>
      <c r="T40">
        <f ca="1">IF($A40=T$2,0,SUMIFS(d_sched!$N:$N,d_sched!$D:$D,$A40,d_sched!$I:$I,T$2)+SUMIFS(d_sched!$N:$N,d_sched!$D:$D,$A40,d_sched!$K:$K,T$2))</f>
        <v>1</v>
      </c>
      <c r="U40">
        <f ca="1">IF($A40=U$2,0,SUMIFS(d_sched!$N:$N,d_sched!$D:$D,$A40,d_sched!$I:$I,U$2)+SUMIFS(d_sched!$N:$N,d_sched!$D:$D,$A40,d_sched!$K:$K,U$2))</f>
        <v>4</v>
      </c>
      <c r="V40">
        <f ca="1">IF($A40=V$2,0,SUMIFS(d_sched!$N:$N,d_sched!$D:$D,$A40,d_sched!$I:$I,V$2)+SUMIFS(d_sched!$N:$N,d_sched!$D:$D,$A40,d_sched!$K:$K,V$2))</f>
        <v>0</v>
      </c>
      <c r="W40">
        <f ca="1">IF($A40=W$2,0,SUMIFS(d_sched!$N:$N,d_sched!$D:$D,$A40,d_sched!$I:$I,W$2)+SUMIFS(d_sched!$N:$N,d_sched!$D:$D,$A40,d_sched!$K:$K,W$2))</f>
        <v>3</v>
      </c>
      <c r="X40">
        <f ca="1">IF($A40=X$2,0,SUMIFS(d_sched!$N:$N,d_sched!$D:$D,$A40,d_sched!$I:$I,X$2)+SUMIFS(d_sched!$N:$N,d_sched!$D:$D,$A40,d_sched!$K:$K,X$2))</f>
        <v>3</v>
      </c>
      <c r="Y40">
        <f ca="1">IF($A40=Y$2,0,SUMIFS(d_sched!$N:$N,d_sched!$D:$D,$A40,d_sched!$I:$I,Y$2)+SUMIFS(d_sched!$N:$N,d_sched!$D:$D,$A40,d_sched!$K:$K,Y$2))</f>
        <v>1</v>
      </c>
      <c r="Z40">
        <f ca="1">IF($A40=Z$2,0,SUMIFS(d_sched!$N:$N,d_sched!$D:$D,$A40,d_sched!$I:$I,Z$2)+SUMIFS(d_sched!$N:$N,d_sched!$D:$D,$A40,d_sched!$K:$K,Z$2))</f>
        <v>0</v>
      </c>
      <c r="AA40">
        <f ca="1">IF($A40=AA$2,0,SUMIFS(d_sched!$N:$N,d_sched!$D:$D,$A40,d_sched!$I:$I,AA$2)+SUMIFS(d_sched!$N:$N,d_sched!$D:$D,$A40,d_sched!$K:$K,AA$2))</f>
        <v>1</v>
      </c>
      <c r="AB40">
        <f ca="1">IF($A40=AB$2,0,SUMIFS(d_sched!$N:$N,d_sched!$D:$D,$A40,d_sched!$I:$I,AB$2)+SUMIFS(d_sched!$N:$N,d_sched!$D:$D,$A40,d_sched!$K:$K,AB$2))</f>
        <v>1</v>
      </c>
      <c r="AC40">
        <f ca="1">IF($A40=AC$2,0,SUMIFS(d_sched!$N:$N,d_sched!$D:$D,$A40,d_sched!$I:$I,AC$2)+SUMIFS(d_sched!$N:$N,d_sched!$D:$D,$A40,d_sched!$K:$K,AC$2))</f>
        <v>0</v>
      </c>
      <c r="AD40">
        <f ca="1">IF($A40=AD$2,0,SUMIFS(d_sched!$N:$N,d_sched!$D:$D,$A40,d_sched!$I:$I,AD$2)+SUMIFS(d_sched!$N:$N,d_sched!$D:$D,$A40,d_sched!$K:$K,AD$2))</f>
        <v>2</v>
      </c>
      <c r="AE40">
        <f ca="1">IF($A40=AE$2,0,SUMIFS(d_sched!$N:$N,d_sched!$D:$D,$A40,d_sched!$I:$I,AE$2)+SUMIFS(d_sched!$N:$N,d_sched!$D:$D,$A40,d_sched!$K:$K,AE$2))</f>
        <v>1</v>
      </c>
      <c r="AG40">
        <f ca="1">ROUND(SUM(B40:AE40),2)</f>
        <v>41</v>
      </c>
      <c r="AH40">
        <f>VLOOKUP($A40,p_win_totals!$D$2:$J$31,6,0)</f>
        <v>47</v>
      </c>
      <c r="AI40">
        <f>VLOOKUP($A40,d_win_totals!$E$2:$K$31,3,0)</f>
        <v>33</v>
      </c>
      <c r="AJ40">
        <f t="shared" ca="1" si="7"/>
        <v>14</v>
      </c>
      <c r="AK40">
        <f>VLOOKUP($A40,p_win_totals!$D$2:$J$31,7,0)</f>
        <v>13</v>
      </c>
      <c r="AL40">
        <f>VLOOKUP($A40,d_win_totals!$E$2:$K$31,6,0)</f>
        <v>13</v>
      </c>
      <c r="AM40">
        <f t="shared" ca="1" si="8"/>
        <v>-1</v>
      </c>
      <c r="AN40">
        <f t="shared" ca="1" si="9"/>
        <v>1</v>
      </c>
      <c r="AO40">
        <f t="shared" ca="1" si="10"/>
        <v>1</v>
      </c>
    </row>
    <row r="41" spans="1:41" x14ac:dyDescent="0.25">
      <c r="A41" t="s">
        <v>30</v>
      </c>
      <c r="B41">
        <f ca="1">IF($A41=B$2,0,SUMIFS(d_sched!$N:$N,d_sched!$D:$D,$A41,d_sched!$I:$I,B$2)+SUMIFS(d_sched!$N:$N,d_sched!$D:$D,$A41,d_sched!$K:$K,B$2))</f>
        <v>3</v>
      </c>
      <c r="C41">
        <f ca="1">IF($A41=C$2,0,SUMIFS(d_sched!$N:$N,d_sched!$D:$D,$A41,d_sched!$I:$I,C$2)+SUMIFS(d_sched!$N:$N,d_sched!$D:$D,$A41,d_sched!$K:$K,C$2))</f>
        <v>3</v>
      </c>
      <c r="D41">
        <f ca="1">IF($A41=D$2,0,SUMIFS(d_sched!$N:$N,d_sched!$D:$D,$A41,d_sched!$I:$I,D$2)+SUMIFS(d_sched!$N:$N,d_sched!$D:$D,$A41,d_sched!$K:$K,D$2))</f>
        <v>2</v>
      </c>
      <c r="E41">
        <f ca="1">IF($A41=E$2,0,SUMIFS(d_sched!$N:$N,d_sched!$D:$D,$A41,d_sched!$I:$I,E$2)+SUMIFS(d_sched!$N:$N,d_sched!$D:$D,$A41,d_sched!$K:$K,E$2))</f>
        <v>3</v>
      </c>
      <c r="F41">
        <f>IF($A41=F$2,0,SUMIFS(d_sched!$N:$N,d_sched!$D:$D,$A41,d_sched!$I:$I,F$2)+SUMIFS(d_sched!$N:$N,d_sched!$D:$D,$A41,d_sched!$K:$K,F$2))</f>
        <v>0</v>
      </c>
      <c r="G41">
        <f ca="1">IF($A41=G$2,0,SUMIFS(d_sched!$N:$N,d_sched!$D:$D,$A41,d_sched!$I:$I,G$2)+SUMIFS(d_sched!$N:$N,d_sched!$D:$D,$A41,d_sched!$K:$K,G$2))</f>
        <v>1</v>
      </c>
      <c r="H41">
        <f ca="1">IF($A41=H$2,0,SUMIFS(d_sched!$N:$N,d_sched!$D:$D,$A41,d_sched!$I:$I,H$2)+SUMIFS(d_sched!$N:$N,d_sched!$D:$D,$A41,d_sched!$K:$K,H$2))</f>
        <v>2</v>
      </c>
      <c r="I41">
        <f ca="1">IF($A41=I$2,0,SUMIFS(d_sched!$N:$N,d_sched!$D:$D,$A41,d_sched!$I:$I,I$2)+SUMIFS(d_sched!$N:$N,d_sched!$D:$D,$A41,d_sched!$K:$K,I$2))</f>
        <v>1</v>
      </c>
      <c r="J41">
        <f ca="1">IF($A41=J$2,0,SUMIFS(d_sched!$N:$N,d_sched!$D:$D,$A41,d_sched!$I:$I,J$2)+SUMIFS(d_sched!$N:$N,d_sched!$D:$D,$A41,d_sched!$K:$K,J$2))</f>
        <v>3</v>
      </c>
      <c r="K41">
        <f ca="1">IF($A41=K$2,0,SUMIFS(d_sched!$N:$N,d_sched!$D:$D,$A41,d_sched!$I:$I,K$2)+SUMIFS(d_sched!$N:$N,d_sched!$D:$D,$A41,d_sched!$K:$K,K$2))</f>
        <v>2</v>
      </c>
      <c r="L41">
        <f ca="1">IF($A41=L$2,0,SUMIFS(d_sched!$N:$N,d_sched!$D:$D,$A41,d_sched!$I:$I,L$2)+SUMIFS(d_sched!$N:$N,d_sched!$D:$D,$A41,d_sched!$K:$K,L$2))</f>
        <v>1</v>
      </c>
      <c r="M41">
        <f ca="1">IF($A41=M$2,0,SUMIFS(d_sched!$N:$N,d_sched!$D:$D,$A41,d_sched!$I:$I,M$2)+SUMIFS(d_sched!$N:$N,d_sched!$D:$D,$A41,d_sched!$K:$K,M$2))</f>
        <v>2</v>
      </c>
      <c r="N41">
        <f ca="1">IF($A41=N$2,0,SUMIFS(d_sched!$N:$N,d_sched!$D:$D,$A41,d_sched!$I:$I,N$2)+SUMIFS(d_sched!$N:$N,d_sched!$D:$D,$A41,d_sched!$K:$K,N$2))</f>
        <v>1</v>
      </c>
      <c r="O41">
        <f ca="1">IF($A41=O$2,0,SUMIFS(d_sched!$N:$N,d_sched!$D:$D,$A41,d_sched!$I:$I,O$2)+SUMIFS(d_sched!$N:$N,d_sched!$D:$D,$A41,d_sched!$K:$K,O$2))</f>
        <v>1</v>
      </c>
      <c r="P41">
        <f ca="1">IF($A41=P$2,0,SUMIFS(d_sched!$N:$N,d_sched!$D:$D,$A41,d_sched!$I:$I,P$2)+SUMIFS(d_sched!$N:$N,d_sched!$D:$D,$A41,d_sched!$K:$K,P$2))</f>
        <v>2</v>
      </c>
      <c r="Q41">
        <f ca="1">IF($A41=Q$2,0,SUMIFS(d_sched!$N:$N,d_sched!$D:$D,$A41,d_sched!$I:$I,Q$2)+SUMIFS(d_sched!$N:$N,d_sched!$D:$D,$A41,d_sched!$K:$K,Q$2))</f>
        <v>3</v>
      </c>
      <c r="R41">
        <f ca="1">IF($A41=R$2,0,SUMIFS(d_sched!$N:$N,d_sched!$D:$D,$A41,d_sched!$I:$I,R$2)+SUMIFS(d_sched!$N:$N,d_sched!$D:$D,$A41,d_sched!$K:$K,R$2))</f>
        <v>2</v>
      </c>
      <c r="S41">
        <f ca="1">IF($A41=S$2,0,SUMIFS(d_sched!$N:$N,d_sched!$D:$D,$A41,d_sched!$I:$I,S$2)+SUMIFS(d_sched!$N:$N,d_sched!$D:$D,$A41,d_sched!$K:$K,S$2))</f>
        <v>1</v>
      </c>
      <c r="T41">
        <f ca="1">IF($A41=T$2,0,SUMIFS(d_sched!$N:$N,d_sched!$D:$D,$A41,d_sched!$I:$I,T$2)+SUMIFS(d_sched!$N:$N,d_sched!$D:$D,$A41,d_sched!$K:$K,T$2))</f>
        <v>1</v>
      </c>
      <c r="U41">
        <f ca="1">IF($A41=U$2,0,SUMIFS(d_sched!$N:$N,d_sched!$D:$D,$A41,d_sched!$I:$I,U$2)+SUMIFS(d_sched!$N:$N,d_sched!$D:$D,$A41,d_sched!$K:$K,U$2))</f>
        <v>1</v>
      </c>
      <c r="V41">
        <f ca="1">IF($A41=V$2,0,SUMIFS(d_sched!$N:$N,d_sched!$D:$D,$A41,d_sched!$I:$I,V$2)+SUMIFS(d_sched!$N:$N,d_sched!$D:$D,$A41,d_sched!$K:$K,V$2))</f>
        <v>2</v>
      </c>
      <c r="W41">
        <f ca="1">IF($A41=W$2,0,SUMIFS(d_sched!$N:$N,d_sched!$D:$D,$A41,d_sched!$I:$I,W$2)+SUMIFS(d_sched!$N:$N,d_sched!$D:$D,$A41,d_sched!$K:$K,W$2))</f>
        <v>4</v>
      </c>
      <c r="X41">
        <f ca="1">IF($A41=X$2,0,SUMIFS(d_sched!$N:$N,d_sched!$D:$D,$A41,d_sched!$I:$I,X$2)+SUMIFS(d_sched!$N:$N,d_sched!$D:$D,$A41,d_sched!$K:$K,X$2))</f>
        <v>2</v>
      </c>
      <c r="Y41">
        <f ca="1">IF($A41=Y$2,0,SUMIFS(d_sched!$N:$N,d_sched!$D:$D,$A41,d_sched!$I:$I,Y$2)+SUMIFS(d_sched!$N:$N,d_sched!$D:$D,$A41,d_sched!$K:$K,Y$2))</f>
        <v>1</v>
      </c>
      <c r="Z41">
        <f ca="1">IF($A41=Z$2,0,SUMIFS(d_sched!$N:$N,d_sched!$D:$D,$A41,d_sched!$I:$I,Z$2)+SUMIFS(d_sched!$N:$N,d_sched!$D:$D,$A41,d_sched!$K:$K,Z$2))</f>
        <v>1</v>
      </c>
      <c r="AA41">
        <f ca="1">IF($A41=AA$2,0,SUMIFS(d_sched!$N:$N,d_sched!$D:$D,$A41,d_sched!$I:$I,AA$2)+SUMIFS(d_sched!$N:$N,d_sched!$D:$D,$A41,d_sched!$K:$K,AA$2))</f>
        <v>2</v>
      </c>
      <c r="AB41">
        <f ca="1">IF($A41=AB$2,0,SUMIFS(d_sched!$N:$N,d_sched!$D:$D,$A41,d_sched!$I:$I,AB$2)+SUMIFS(d_sched!$N:$N,d_sched!$D:$D,$A41,d_sched!$K:$K,AB$2))</f>
        <v>1</v>
      </c>
      <c r="AC41">
        <f ca="1">IF($A41=AC$2,0,SUMIFS(d_sched!$N:$N,d_sched!$D:$D,$A41,d_sched!$I:$I,AC$2)+SUMIFS(d_sched!$N:$N,d_sched!$D:$D,$A41,d_sched!$K:$K,AC$2))</f>
        <v>3</v>
      </c>
      <c r="AD41">
        <f ca="1">IF($A41=AD$2,0,SUMIFS(d_sched!$N:$N,d_sched!$D:$D,$A41,d_sched!$I:$I,AD$2)+SUMIFS(d_sched!$N:$N,d_sched!$D:$D,$A41,d_sched!$K:$K,AD$2))</f>
        <v>1</v>
      </c>
      <c r="AE41">
        <f ca="1">IF($A41=AE$2,0,SUMIFS(d_sched!$N:$N,d_sched!$D:$D,$A41,d_sched!$I:$I,AE$2)+SUMIFS(d_sched!$N:$N,d_sched!$D:$D,$A41,d_sched!$K:$K,AE$2))</f>
        <v>3</v>
      </c>
      <c r="AG41">
        <f ca="1">ROUND(SUM(B41:AE41),2)</f>
        <v>55</v>
      </c>
      <c r="AH41">
        <f>VLOOKUP($A41,p_win_totals!$D$2:$J$31,6,0)</f>
        <v>56</v>
      </c>
      <c r="AI41">
        <f>VLOOKUP($A41,d_win_totals!$E$2:$K$31,3,0)</f>
        <v>50</v>
      </c>
      <c r="AJ41">
        <f t="shared" ca="1" si="7"/>
        <v>2</v>
      </c>
      <c r="AK41">
        <f>VLOOKUP($A41,p_win_totals!$D$2:$J$31,7,0)</f>
        <v>3</v>
      </c>
      <c r="AL41">
        <f>VLOOKUP($A41,d_win_totals!$E$2:$K$31,6,0)</f>
        <v>4</v>
      </c>
      <c r="AM41">
        <f t="shared" ca="1" si="8"/>
        <v>2</v>
      </c>
      <c r="AN41">
        <f t="shared" ca="1" si="9"/>
        <v>2</v>
      </c>
      <c r="AO41">
        <f t="shared" ca="1" si="10"/>
        <v>4</v>
      </c>
    </row>
    <row r="42" spans="1:41" x14ac:dyDescent="0.25">
      <c r="A42" t="s">
        <v>40</v>
      </c>
      <c r="B42">
        <f ca="1">IF($A42=B$2,0,SUMIFS(d_sched!$N:$N,d_sched!$D:$D,$A42,d_sched!$I:$I,B$2)+SUMIFS(d_sched!$N:$N,d_sched!$D:$D,$A42,d_sched!$K:$K,B$2))</f>
        <v>2</v>
      </c>
      <c r="C42">
        <f ca="1">IF($A42=C$2,0,SUMIFS(d_sched!$N:$N,d_sched!$D:$D,$A42,d_sched!$I:$I,C$2)+SUMIFS(d_sched!$N:$N,d_sched!$D:$D,$A42,d_sched!$K:$K,C$2))</f>
        <v>2</v>
      </c>
      <c r="D42">
        <f ca="1">IF($A42=D$2,0,SUMIFS(d_sched!$N:$N,d_sched!$D:$D,$A42,d_sched!$I:$I,D$2)+SUMIFS(d_sched!$N:$N,d_sched!$D:$D,$A42,d_sched!$K:$K,D$2))</f>
        <v>3</v>
      </c>
      <c r="E42">
        <f ca="1">IF($A42=E$2,0,SUMIFS(d_sched!$N:$N,d_sched!$D:$D,$A42,d_sched!$I:$I,E$2)+SUMIFS(d_sched!$N:$N,d_sched!$D:$D,$A42,d_sched!$K:$K,E$2))</f>
        <v>3</v>
      </c>
      <c r="F42">
        <f ca="1">IF($A42=F$2,0,SUMIFS(d_sched!$N:$N,d_sched!$D:$D,$A42,d_sched!$I:$I,F$2)+SUMIFS(d_sched!$N:$N,d_sched!$D:$D,$A42,d_sched!$K:$K,F$2))</f>
        <v>3</v>
      </c>
      <c r="G42">
        <f>IF($A42=G$2,0,SUMIFS(d_sched!$N:$N,d_sched!$D:$D,$A42,d_sched!$I:$I,G$2)+SUMIFS(d_sched!$N:$N,d_sched!$D:$D,$A42,d_sched!$K:$K,G$2))</f>
        <v>0</v>
      </c>
      <c r="H42">
        <f ca="1">IF($A42=H$2,0,SUMIFS(d_sched!$N:$N,d_sched!$D:$D,$A42,d_sched!$I:$I,H$2)+SUMIFS(d_sched!$N:$N,d_sched!$D:$D,$A42,d_sched!$K:$K,H$2))</f>
        <v>0</v>
      </c>
      <c r="I42">
        <f ca="1">IF($A42=I$2,0,SUMIFS(d_sched!$N:$N,d_sched!$D:$D,$A42,d_sched!$I:$I,I$2)+SUMIFS(d_sched!$N:$N,d_sched!$D:$D,$A42,d_sched!$K:$K,I$2))</f>
        <v>2</v>
      </c>
      <c r="J42">
        <f ca="1">IF($A42=J$2,0,SUMIFS(d_sched!$N:$N,d_sched!$D:$D,$A42,d_sched!$I:$I,J$2)+SUMIFS(d_sched!$N:$N,d_sched!$D:$D,$A42,d_sched!$K:$K,J$2))</f>
        <v>2</v>
      </c>
      <c r="K42">
        <f ca="1">IF($A42=K$2,0,SUMIFS(d_sched!$N:$N,d_sched!$D:$D,$A42,d_sched!$I:$I,K$2)+SUMIFS(d_sched!$N:$N,d_sched!$D:$D,$A42,d_sched!$K:$K,K$2))</f>
        <v>1</v>
      </c>
      <c r="L42">
        <f ca="1">IF($A42=L$2,0,SUMIFS(d_sched!$N:$N,d_sched!$D:$D,$A42,d_sched!$I:$I,L$2)+SUMIFS(d_sched!$N:$N,d_sched!$D:$D,$A42,d_sched!$K:$K,L$2))</f>
        <v>2</v>
      </c>
      <c r="M42">
        <f ca="1">IF($A42=M$2,0,SUMIFS(d_sched!$N:$N,d_sched!$D:$D,$A42,d_sched!$I:$I,M$2)+SUMIFS(d_sched!$N:$N,d_sched!$D:$D,$A42,d_sched!$K:$K,M$2))</f>
        <v>4</v>
      </c>
      <c r="N42">
        <f ca="1">IF($A42=N$2,0,SUMIFS(d_sched!$N:$N,d_sched!$D:$D,$A42,d_sched!$I:$I,N$2)+SUMIFS(d_sched!$N:$N,d_sched!$D:$D,$A42,d_sched!$K:$K,N$2))</f>
        <v>1</v>
      </c>
      <c r="O42">
        <f ca="1">IF($A42=O$2,0,SUMIFS(d_sched!$N:$N,d_sched!$D:$D,$A42,d_sched!$I:$I,O$2)+SUMIFS(d_sched!$N:$N,d_sched!$D:$D,$A42,d_sched!$K:$K,O$2))</f>
        <v>2</v>
      </c>
      <c r="P42">
        <f ca="1">IF($A42=P$2,0,SUMIFS(d_sched!$N:$N,d_sched!$D:$D,$A42,d_sched!$I:$I,P$2)+SUMIFS(d_sched!$N:$N,d_sched!$D:$D,$A42,d_sched!$K:$K,P$2))</f>
        <v>1</v>
      </c>
      <c r="Q42">
        <f ca="1">IF($A42=Q$2,0,SUMIFS(d_sched!$N:$N,d_sched!$D:$D,$A42,d_sched!$I:$I,Q$2)+SUMIFS(d_sched!$N:$N,d_sched!$D:$D,$A42,d_sched!$K:$K,Q$2))</f>
        <v>4</v>
      </c>
      <c r="R42">
        <f ca="1">IF($A42=R$2,0,SUMIFS(d_sched!$N:$N,d_sched!$D:$D,$A42,d_sched!$I:$I,R$2)+SUMIFS(d_sched!$N:$N,d_sched!$D:$D,$A42,d_sched!$K:$K,R$2))</f>
        <v>1</v>
      </c>
      <c r="S42">
        <f ca="1">IF($A42=S$2,0,SUMIFS(d_sched!$N:$N,d_sched!$D:$D,$A42,d_sched!$I:$I,S$2)+SUMIFS(d_sched!$N:$N,d_sched!$D:$D,$A42,d_sched!$K:$K,S$2))</f>
        <v>0</v>
      </c>
      <c r="T42">
        <f ca="1">IF($A42=T$2,0,SUMIFS(d_sched!$N:$N,d_sched!$D:$D,$A42,d_sched!$I:$I,T$2)+SUMIFS(d_sched!$N:$N,d_sched!$D:$D,$A42,d_sched!$K:$K,T$2))</f>
        <v>1</v>
      </c>
      <c r="U42">
        <f ca="1">IF($A42=U$2,0,SUMIFS(d_sched!$N:$N,d_sched!$D:$D,$A42,d_sched!$I:$I,U$2)+SUMIFS(d_sched!$N:$N,d_sched!$D:$D,$A42,d_sched!$K:$K,U$2))</f>
        <v>3</v>
      </c>
      <c r="V42">
        <f ca="1">IF($A42=V$2,0,SUMIFS(d_sched!$N:$N,d_sched!$D:$D,$A42,d_sched!$I:$I,V$2)+SUMIFS(d_sched!$N:$N,d_sched!$D:$D,$A42,d_sched!$K:$K,V$2))</f>
        <v>1</v>
      </c>
      <c r="W42">
        <f ca="1">IF($A42=W$2,0,SUMIFS(d_sched!$N:$N,d_sched!$D:$D,$A42,d_sched!$I:$I,W$2)+SUMIFS(d_sched!$N:$N,d_sched!$D:$D,$A42,d_sched!$K:$K,W$2))</f>
        <v>2</v>
      </c>
      <c r="X42">
        <f ca="1">IF($A42=X$2,0,SUMIFS(d_sched!$N:$N,d_sched!$D:$D,$A42,d_sched!$I:$I,X$2)+SUMIFS(d_sched!$N:$N,d_sched!$D:$D,$A42,d_sched!$K:$K,X$2))</f>
        <v>1</v>
      </c>
      <c r="Y42">
        <f ca="1">IF($A42=Y$2,0,SUMIFS(d_sched!$N:$N,d_sched!$D:$D,$A42,d_sched!$I:$I,Y$2)+SUMIFS(d_sched!$N:$N,d_sched!$D:$D,$A42,d_sched!$K:$K,Y$2))</f>
        <v>2</v>
      </c>
      <c r="Z42">
        <f ca="1">IF($A42=Z$2,0,SUMIFS(d_sched!$N:$N,d_sched!$D:$D,$A42,d_sched!$I:$I,Z$2)+SUMIFS(d_sched!$N:$N,d_sched!$D:$D,$A42,d_sched!$K:$K,Z$2))</f>
        <v>2</v>
      </c>
      <c r="AA42">
        <f ca="1">IF($A42=AA$2,0,SUMIFS(d_sched!$N:$N,d_sched!$D:$D,$A42,d_sched!$I:$I,AA$2)+SUMIFS(d_sched!$N:$N,d_sched!$D:$D,$A42,d_sched!$K:$K,AA$2))</f>
        <v>1</v>
      </c>
      <c r="AB42">
        <f ca="1">IF($A42=AB$2,0,SUMIFS(d_sched!$N:$N,d_sched!$D:$D,$A42,d_sched!$I:$I,AB$2)+SUMIFS(d_sched!$N:$N,d_sched!$D:$D,$A42,d_sched!$K:$K,AB$2))</f>
        <v>1</v>
      </c>
      <c r="AC42">
        <f ca="1">IF($A42=AC$2,0,SUMIFS(d_sched!$N:$N,d_sched!$D:$D,$A42,d_sched!$I:$I,AC$2)+SUMIFS(d_sched!$N:$N,d_sched!$D:$D,$A42,d_sched!$K:$K,AC$2))</f>
        <v>2</v>
      </c>
      <c r="AD42">
        <f ca="1">IF($A42=AD$2,0,SUMIFS(d_sched!$N:$N,d_sched!$D:$D,$A42,d_sched!$I:$I,AD$2)+SUMIFS(d_sched!$N:$N,d_sched!$D:$D,$A42,d_sched!$K:$K,AD$2))</f>
        <v>2</v>
      </c>
      <c r="AE42">
        <f ca="1">IF($A42=AE$2,0,SUMIFS(d_sched!$N:$N,d_sched!$D:$D,$A42,d_sched!$I:$I,AE$2)+SUMIFS(d_sched!$N:$N,d_sched!$D:$D,$A42,d_sched!$K:$K,AE$2))</f>
        <v>3</v>
      </c>
      <c r="AG42">
        <f ca="1">ROUND(SUM(B42:AE42),2)</f>
        <v>54</v>
      </c>
      <c r="AH42">
        <f>VLOOKUP($A42,p_win_totals!$D$2:$J$31,6,0)</f>
        <v>58</v>
      </c>
      <c r="AI42">
        <f>VLOOKUP($A42,d_win_totals!$E$2:$K$31,3,0)</f>
        <v>53</v>
      </c>
      <c r="AJ42">
        <f t="shared" ca="1" si="7"/>
        <v>3</v>
      </c>
      <c r="AK42">
        <f>VLOOKUP($A42,p_win_totals!$D$2:$J$31,7,0)</f>
        <v>1</v>
      </c>
      <c r="AL42">
        <f>VLOOKUP($A42,d_win_totals!$E$2:$K$31,6,0)</f>
        <v>1</v>
      </c>
      <c r="AM42">
        <f t="shared" ca="1" si="8"/>
        <v>-2</v>
      </c>
      <c r="AN42">
        <f t="shared" ca="1" si="9"/>
        <v>2</v>
      </c>
      <c r="AO42">
        <f t="shared" ca="1" si="10"/>
        <v>4</v>
      </c>
    </row>
    <row r="43" spans="1:41" x14ac:dyDescent="0.25">
      <c r="A43" t="s">
        <v>14</v>
      </c>
      <c r="B43">
        <f ca="1">IF($A43=B$2,0,SUMIFS(d_sched!$N:$N,d_sched!$D:$D,$A43,d_sched!$I:$I,B$2)+SUMIFS(d_sched!$N:$N,d_sched!$D:$D,$A43,d_sched!$K:$K,B$2))</f>
        <v>1</v>
      </c>
      <c r="C43">
        <f ca="1">IF($A43=C$2,0,SUMIFS(d_sched!$N:$N,d_sched!$D:$D,$A43,d_sched!$I:$I,C$2)+SUMIFS(d_sched!$N:$N,d_sched!$D:$D,$A43,d_sched!$K:$K,C$2))</f>
        <v>1</v>
      </c>
      <c r="D43">
        <f ca="1">IF($A43=D$2,0,SUMIFS(d_sched!$N:$N,d_sched!$D:$D,$A43,d_sched!$I:$I,D$2)+SUMIFS(d_sched!$N:$N,d_sched!$D:$D,$A43,d_sched!$K:$K,D$2))</f>
        <v>1</v>
      </c>
      <c r="E43">
        <f ca="1">IF($A43=E$2,0,SUMIFS(d_sched!$N:$N,d_sched!$D:$D,$A43,d_sched!$I:$I,E$2)+SUMIFS(d_sched!$N:$N,d_sched!$D:$D,$A43,d_sched!$K:$K,E$2))</f>
        <v>1</v>
      </c>
      <c r="F43">
        <f ca="1">IF($A43=F$2,0,SUMIFS(d_sched!$N:$N,d_sched!$D:$D,$A43,d_sched!$I:$I,F$2)+SUMIFS(d_sched!$N:$N,d_sched!$D:$D,$A43,d_sched!$K:$K,F$2))</f>
        <v>0</v>
      </c>
      <c r="G43">
        <f ca="1">IF($A43=G$2,0,SUMIFS(d_sched!$N:$N,d_sched!$D:$D,$A43,d_sched!$I:$I,G$2)+SUMIFS(d_sched!$N:$N,d_sched!$D:$D,$A43,d_sched!$K:$K,G$2))</f>
        <v>2</v>
      </c>
      <c r="H43">
        <f>IF($A43=H$2,0,SUMIFS(d_sched!$N:$N,d_sched!$D:$D,$A43,d_sched!$I:$I,H$2)+SUMIFS(d_sched!$N:$N,d_sched!$D:$D,$A43,d_sched!$K:$K,H$2))</f>
        <v>0</v>
      </c>
      <c r="I43">
        <f ca="1">IF($A43=I$2,0,SUMIFS(d_sched!$N:$N,d_sched!$D:$D,$A43,d_sched!$I:$I,I$2)+SUMIFS(d_sched!$N:$N,d_sched!$D:$D,$A43,d_sched!$K:$K,I$2))</f>
        <v>1</v>
      </c>
      <c r="J43">
        <f ca="1">IF($A43=J$2,0,SUMIFS(d_sched!$N:$N,d_sched!$D:$D,$A43,d_sched!$I:$I,J$2)+SUMIFS(d_sched!$N:$N,d_sched!$D:$D,$A43,d_sched!$K:$K,J$2))</f>
        <v>2</v>
      </c>
      <c r="K43">
        <f ca="1">IF($A43=K$2,0,SUMIFS(d_sched!$N:$N,d_sched!$D:$D,$A43,d_sched!$I:$I,K$2)+SUMIFS(d_sched!$N:$N,d_sched!$D:$D,$A43,d_sched!$K:$K,K$2))</f>
        <v>1</v>
      </c>
      <c r="L43">
        <f ca="1">IF($A43=L$2,0,SUMIFS(d_sched!$N:$N,d_sched!$D:$D,$A43,d_sched!$I:$I,L$2)+SUMIFS(d_sched!$N:$N,d_sched!$D:$D,$A43,d_sched!$K:$K,L$2))</f>
        <v>4</v>
      </c>
      <c r="M43">
        <f ca="1">IF($A43=M$2,0,SUMIFS(d_sched!$N:$N,d_sched!$D:$D,$A43,d_sched!$I:$I,M$2)+SUMIFS(d_sched!$N:$N,d_sched!$D:$D,$A43,d_sched!$K:$K,M$2))</f>
        <v>1</v>
      </c>
      <c r="N43">
        <f ca="1">IF($A43=N$2,0,SUMIFS(d_sched!$N:$N,d_sched!$D:$D,$A43,d_sched!$I:$I,N$2)+SUMIFS(d_sched!$N:$N,d_sched!$D:$D,$A43,d_sched!$K:$K,N$2))</f>
        <v>2</v>
      </c>
      <c r="O43">
        <f ca="1">IF($A43=O$2,0,SUMIFS(d_sched!$N:$N,d_sched!$D:$D,$A43,d_sched!$I:$I,O$2)+SUMIFS(d_sched!$N:$N,d_sched!$D:$D,$A43,d_sched!$K:$K,O$2))</f>
        <v>4</v>
      </c>
      <c r="P43">
        <f ca="1">IF($A43=P$2,0,SUMIFS(d_sched!$N:$N,d_sched!$D:$D,$A43,d_sched!$I:$I,P$2)+SUMIFS(d_sched!$N:$N,d_sched!$D:$D,$A43,d_sched!$K:$K,P$2))</f>
        <v>4</v>
      </c>
      <c r="Q43">
        <f ca="1">IF($A43=Q$2,0,SUMIFS(d_sched!$N:$N,d_sched!$D:$D,$A43,d_sched!$I:$I,Q$2)+SUMIFS(d_sched!$N:$N,d_sched!$D:$D,$A43,d_sched!$K:$K,Q$2))</f>
        <v>1</v>
      </c>
      <c r="R43">
        <f ca="1">IF($A43=R$2,0,SUMIFS(d_sched!$N:$N,d_sched!$D:$D,$A43,d_sched!$I:$I,R$2)+SUMIFS(d_sched!$N:$N,d_sched!$D:$D,$A43,d_sched!$K:$K,R$2))</f>
        <v>0</v>
      </c>
      <c r="S43">
        <f ca="1">IF($A43=S$2,0,SUMIFS(d_sched!$N:$N,d_sched!$D:$D,$A43,d_sched!$I:$I,S$2)+SUMIFS(d_sched!$N:$N,d_sched!$D:$D,$A43,d_sched!$K:$K,S$2))</f>
        <v>3</v>
      </c>
      <c r="T43">
        <f ca="1">IF($A43=T$2,0,SUMIFS(d_sched!$N:$N,d_sched!$D:$D,$A43,d_sched!$I:$I,T$2)+SUMIFS(d_sched!$N:$N,d_sched!$D:$D,$A43,d_sched!$K:$K,T$2))</f>
        <v>2</v>
      </c>
      <c r="U43">
        <f ca="1">IF($A43=U$2,0,SUMIFS(d_sched!$N:$N,d_sched!$D:$D,$A43,d_sched!$I:$I,U$2)+SUMIFS(d_sched!$N:$N,d_sched!$D:$D,$A43,d_sched!$K:$K,U$2))</f>
        <v>2</v>
      </c>
      <c r="V43">
        <f ca="1">IF($A43=V$2,0,SUMIFS(d_sched!$N:$N,d_sched!$D:$D,$A43,d_sched!$I:$I,V$2)+SUMIFS(d_sched!$N:$N,d_sched!$D:$D,$A43,d_sched!$K:$K,V$2))</f>
        <v>2</v>
      </c>
      <c r="W43">
        <f ca="1">IF($A43=W$2,0,SUMIFS(d_sched!$N:$N,d_sched!$D:$D,$A43,d_sched!$I:$I,W$2)+SUMIFS(d_sched!$N:$N,d_sched!$D:$D,$A43,d_sched!$K:$K,W$2))</f>
        <v>1</v>
      </c>
      <c r="X43">
        <f ca="1">IF($A43=X$2,0,SUMIFS(d_sched!$N:$N,d_sched!$D:$D,$A43,d_sched!$I:$I,X$2)+SUMIFS(d_sched!$N:$N,d_sched!$D:$D,$A43,d_sched!$K:$K,X$2))</f>
        <v>2</v>
      </c>
      <c r="Y43">
        <f ca="1">IF($A43=Y$2,0,SUMIFS(d_sched!$N:$N,d_sched!$D:$D,$A43,d_sched!$I:$I,Y$2)+SUMIFS(d_sched!$N:$N,d_sched!$D:$D,$A43,d_sched!$K:$K,Y$2))</f>
        <v>2</v>
      </c>
      <c r="Z43">
        <f ca="1">IF($A43=Z$2,0,SUMIFS(d_sched!$N:$N,d_sched!$D:$D,$A43,d_sched!$I:$I,Z$2)+SUMIFS(d_sched!$N:$N,d_sched!$D:$D,$A43,d_sched!$K:$K,Z$2))</f>
        <v>2</v>
      </c>
      <c r="AA43">
        <f ca="1">IF($A43=AA$2,0,SUMIFS(d_sched!$N:$N,d_sched!$D:$D,$A43,d_sched!$I:$I,AA$2)+SUMIFS(d_sched!$N:$N,d_sched!$D:$D,$A43,d_sched!$K:$K,AA$2))</f>
        <v>1</v>
      </c>
      <c r="AB43">
        <f ca="1">IF($A43=AB$2,0,SUMIFS(d_sched!$N:$N,d_sched!$D:$D,$A43,d_sched!$I:$I,AB$2)+SUMIFS(d_sched!$N:$N,d_sched!$D:$D,$A43,d_sched!$K:$K,AB$2))</f>
        <v>2</v>
      </c>
      <c r="AC43">
        <f ca="1">IF($A43=AC$2,0,SUMIFS(d_sched!$N:$N,d_sched!$D:$D,$A43,d_sched!$I:$I,AC$2)+SUMIFS(d_sched!$N:$N,d_sched!$D:$D,$A43,d_sched!$K:$K,AC$2))</f>
        <v>1</v>
      </c>
      <c r="AD43">
        <f ca="1">IF($A43=AD$2,0,SUMIFS(d_sched!$N:$N,d_sched!$D:$D,$A43,d_sched!$I:$I,AD$2)+SUMIFS(d_sched!$N:$N,d_sched!$D:$D,$A43,d_sched!$K:$K,AD$2))</f>
        <v>2</v>
      </c>
      <c r="AE43">
        <f ca="1">IF($A43=AE$2,0,SUMIFS(d_sched!$N:$N,d_sched!$D:$D,$A43,d_sched!$I:$I,AE$2)+SUMIFS(d_sched!$N:$N,d_sched!$D:$D,$A43,d_sched!$K:$K,AE$2))</f>
        <v>0</v>
      </c>
      <c r="AG43">
        <f ca="1">ROUND(SUM(B43:AE43),2)</f>
        <v>48</v>
      </c>
      <c r="AH43">
        <f>VLOOKUP($A43,p_win_totals!$D$2:$J$31,6,0)</f>
        <v>52</v>
      </c>
      <c r="AI43">
        <f>VLOOKUP($A43,d_win_totals!$E$2:$K$31,3,0)</f>
        <v>50</v>
      </c>
      <c r="AJ43">
        <f t="shared" ca="1" si="7"/>
        <v>8</v>
      </c>
      <c r="AK43">
        <f>VLOOKUP($A43,p_win_totals!$D$2:$J$31,7,0)</f>
        <v>7</v>
      </c>
      <c r="AL43">
        <f>VLOOKUP($A43,d_win_totals!$E$2:$K$31,6,0)</f>
        <v>7</v>
      </c>
      <c r="AM43">
        <f t="shared" ca="1" si="8"/>
        <v>-1</v>
      </c>
      <c r="AN43">
        <f t="shared" ca="1" si="9"/>
        <v>1</v>
      </c>
      <c r="AO43">
        <f t="shared" ca="1" si="10"/>
        <v>1</v>
      </c>
    </row>
    <row r="44" spans="1:41" x14ac:dyDescent="0.25">
      <c r="A44" t="s">
        <v>32</v>
      </c>
      <c r="B44">
        <f ca="1">IF($A44=B$2,0,SUMIFS(d_sched!$N:$N,d_sched!$D:$D,$A44,d_sched!$I:$I,B$2)+SUMIFS(d_sched!$N:$N,d_sched!$D:$D,$A44,d_sched!$K:$K,B$2))</f>
        <v>1</v>
      </c>
      <c r="C44">
        <f ca="1">IF($A44=C$2,0,SUMIFS(d_sched!$N:$N,d_sched!$D:$D,$A44,d_sched!$I:$I,C$2)+SUMIFS(d_sched!$N:$N,d_sched!$D:$D,$A44,d_sched!$K:$K,C$2))</f>
        <v>1</v>
      </c>
      <c r="D44">
        <f ca="1">IF($A44=D$2,0,SUMIFS(d_sched!$N:$N,d_sched!$D:$D,$A44,d_sched!$I:$I,D$2)+SUMIFS(d_sched!$N:$N,d_sched!$D:$D,$A44,d_sched!$K:$K,D$2))</f>
        <v>1</v>
      </c>
      <c r="E44">
        <f ca="1">IF($A44=E$2,0,SUMIFS(d_sched!$N:$N,d_sched!$D:$D,$A44,d_sched!$I:$I,E$2)+SUMIFS(d_sched!$N:$N,d_sched!$D:$D,$A44,d_sched!$K:$K,E$2))</f>
        <v>0</v>
      </c>
      <c r="F44">
        <f ca="1">IF($A44=F$2,0,SUMIFS(d_sched!$N:$N,d_sched!$D:$D,$A44,d_sched!$I:$I,F$2)+SUMIFS(d_sched!$N:$N,d_sched!$D:$D,$A44,d_sched!$K:$K,F$2))</f>
        <v>1</v>
      </c>
      <c r="G44">
        <f ca="1">IF($A44=G$2,0,SUMIFS(d_sched!$N:$N,d_sched!$D:$D,$A44,d_sched!$I:$I,G$2)+SUMIFS(d_sched!$N:$N,d_sched!$D:$D,$A44,d_sched!$K:$K,G$2))</f>
        <v>1</v>
      </c>
      <c r="H44">
        <f ca="1">IF($A44=H$2,0,SUMIFS(d_sched!$N:$N,d_sched!$D:$D,$A44,d_sched!$I:$I,H$2)+SUMIFS(d_sched!$N:$N,d_sched!$D:$D,$A44,d_sched!$K:$K,H$2))</f>
        <v>2</v>
      </c>
      <c r="I44">
        <f>IF($A44=I$2,0,SUMIFS(d_sched!$N:$N,d_sched!$D:$D,$A44,d_sched!$I:$I,I$2)+SUMIFS(d_sched!$N:$N,d_sched!$D:$D,$A44,d_sched!$K:$K,I$2))</f>
        <v>0</v>
      </c>
      <c r="J44">
        <f ca="1">IF($A44=J$2,0,SUMIFS(d_sched!$N:$N,d_sched!$D:$D,$A44,d_sched!$I:$I,J$2)+SUMIFS(d_sched!$N:$N,d_sched!$D:$D,$A44,d_sched!$K:$K,J$2))</f>
        <v>1</v>
      </c>
      <c r="K44">
        <f ca="1">IF($A44=K$2,0,SUMIFS(d_sched!$N:$N,d_sched!$D:$D,$A44,d_sched!$I:$I,K$2)+SUMIFS(d_sched!$N:$N,d_sched!$D:$D,$A44,d_sched!$K:$K,K$2))</f>
        <v>1</v>
      </c>
      <c r="L44">
        <f ca="1">IF($A44=L$2,0,SUMIFS(d_sched!$N:$N,d_sched!$D:$D,$A44,d_sched!$I:$I,L$2)+SUMIFS(d_sched!$N:$N,d_sched!$D:$D,$A44,d_sched!$K:$K,L$2))</f>
        <v>2</v>
      </c>
      <c r="M44">
        <f ca="1">IF($A44=M$2,0,SUMIFS(d_sched!$N:$N,d_sched!$D:$D,$A44,d_sched!$I:$I,M$2)+SUMIFS(d_sched!$N:$N,d_sched!$D:$D,$A44,d_sched!$K:$K,M$2))</f>
        <v>1</v>
      </c>
      <c r="N44">
        <f ca="1">IF($A44=N$2,0,SUMIFS(d_sched!$N:$N,d_sched!$D:$D,$A44,d_sched!$I:$I,N$2)+SUMIFS(d_sched!$N:$N,d_sched!$D:$D,$A44,d_sched!$K:$K,N$2))</f>
        <v>3</v>
      </c>
      <c r="O44">
        <f ca="1">IF($A44=O$2,0,SUMIFS(d_sched!$N:$N,d_sched!$D:$D,$A44,d_sched!$I:$I,O$2)+SUMIFS(d_sched!$N:$N,d_sched!$D:$D,$A44,d_sched!$K:$K,O$2))</f>
        <v>2</v>
      </c>
      <c r="P44">
        <f ca="1">IF($A44=P$2,0,SUMIFS(d_sched!$N:$N,d_sched!$D:$D,$A44,d_sched!$I:$I,P$2)+SUMIFS(d_sched!$N:$N,d_sched!$D:$D,$A44,d_sched!$K:$K,P$2))</f>
        <v>1</v>
      </c>
      <c r="Q44">
        <f ca="1">IF($A44=Q$2,0,SUMIFS(d_sched!$N:$N,d_sched!$D:$D,$A44,d_sched!$I:$I,Q$2)+SUMIFS(d_sched!$N:$N,d_sched!$D:$D,$A44,d_sched!$K:$K,Q$2))</f>
        <v>1</v>
      </c>
      <c r="R44">
        <f ca="1">IF($A44=R$2,0,SUMIFS(d_sched!$N:$N,d_sched!$D:$D,$A44,d_sched!$I:$I,R$2)+SUMIFS(d_sched!$N:$N,d_sched!$D:$D,$A44,d_sched!$K:$K,R$2))</f>
        <v>1</v>
      </c>
      <c r="S44">
        <f ca="1">IF($A44=S$2,0,SUMIFS(d_sched!$N:$N,d_sched!$D:$D,$A44,d_sched!$I:$I,S$2)+SUMIFS(d_sched!$N:$N,d_sched!$D:$D,$A44,d_sched!$K:$K,S$2))</f>
        <v>3</v>
      </c>
      <c r="T44">
        <f ca="1">IF($A44=T$2,0,SUMIFS(d_sched!$N:$N,d_sched!$D:$D,$A44,d_sched!$I:$I,T$2)+SUMIFS(d_sched!$N:$N,d_sched!$D:$D,$A44,d_sched!$K:$K,T$2))</f>
        <v>1</v>
      </c>
      <c r="U44">
        <f ca="1">IF($A44=U$2,0,SUMIFS(d_sched!$N:$N,d_sched!$D:$D,$A44,d_sched!$I:$I,U$2)+SUMIFS(d_sched!$N:$N,d_sched!$D:$D,$A44,d_sched!$K:$K,U$2))</f>
        <v>1</v>
      </c>
      <c r="V44">
        <f ca="1">IF($A44=V$2,0,SUMIFS(d_sched!$N:$N,d_sched!$D:$D,$A44,d_sched!$I:$I,V$2)+SUMIFS(d_sched!$N:$N,d_sched!$D:$D,$A44,d_sched!$K:$K,V$2))</f>
        <v>1</v>
      </c>
      <c r="W44">
        <f ca="1">IF($A44=W$2,0,SUMIFS(d_sched!$N:$N,d_sched!$D:$D,$A44,d_sched!$I:$I,W$2)+SUMIFS(d_sched!$N:$N,d_sched!$D:$D,$A44,d_sched!$K:$K,W$2))</f>
        <v>1</v>
      </c>
      <c r="X44">
        <f ca="1">IF($A44=X$2,0,SUMIFS(d_sched!$N:$N,d_sched!$D:$D,$A44,d_sched!$I:$I,X$2)+SUMIFS(d_sched!$N:$N,d_sched!$D:$D,$A44,d_sched!$K:$K,X$2))</f>
        <v>1</v>
      </c>
      <c r="Y44">
        <f ca="1">IF($A44=Y$2,0,SUMIFS(d_sched!$N:$N,d_sched!$D:$D,$A44,d_sched!$I:$I,Y$2)+SUMIFS(d_sched!$N:$N,d_sched!$D:$D,$A44,d_sched!$K:$K,Y$2))</f>
        <v>0</v>
      </c>
      <c r="Z44">
        <f ca="1">IF($A44=Z$2,0,SUMIFS(d_sched!$N:$N,d_sched!$D:$D,$A44,d_sched!$I:$I,Z$2)+SUMIFS(d_sched!$N:$N,d_sched!$D:$D,$A44,d_sched!$K:$K,Z$2))</f>
        <v>2</v>
      </c>
      <c r="AA44">
        <f ca="1">IF($A44=AA$2,0,SUMIFS(d_sched!$N:$N,d_sched!$D:$D,$A44,d_sched!$I:$I,AA$2)+SUMIFS(d_sched!$N:$N,d_sched!$D:$D,$A44,d_sched!$K:$K,AA$2))</f>
        <v>3</v>
      </c>
      <c r="AB44">
        <f ca="1">IF($A44=AB$2,0,SUMIFS(d_sched!$N:$N,d_sched!$D:$D,$A44,d_sched!$I:$I,AB$2)+SUMIFS(d_sched!$N:$N,d_sched!$D:$D,$A44,d_sched!$K:$K,AB$2))</f>
        <v>3</v>
      </c>
      <c r="AC44">
        <f ca="1">IF($A44=AC$2,0,SUMIFS(d_sched!$N:$N,d_sched!$D:$D,$A44,d_sched!$I:$I,AC$2)+SUMIFS(d_sched!$N:$N,d_sched!$D:$D,$A44,d_sched!$K:$K,AC$2))</f>
        <v>0</v>
      </c>
      <c r="AD44">
        <f ca="1">IF($A44=AD$2,0,SUMIFS(d_sched!$N:$N,d_sched!$D:$D,$A44,d_sched!$I:$I,AD$2)+SUMIFS(d_sched!$N:$N,d_sched!$D:$D,$A44,d_sched!$K:$K,AD$2))</f>
        <v>2</v>
      </c>
      <c r="AE44">
        <f ca="1">IF($A44=AE$2,0,SUMIFS(d_sched!$N:$N,d_sched!$D:$D,$A44,d_sched!$I:$I,AE$2)+SUMIFS(d_sched!$N:$N,d_sched!$D:$D,$A44,d_sched!$K:$K,AE$2))</f>
        <v>0</v>
      </c>
      <c r="AG44">
        <f ca="1">ROUND(SUM(B44:AE44),2)</f>
        <v>38</v>
      </c>
      <c r="AH44">
        <f>VLOOKUP($A44,p_win_totals!$D$2:$J$31,6,0)</f>
        <v>40</v>
      </c>
      <c r="AI44">
        <f>VLOOKUP($A44,d_win_totals!$E$2:$K$31,3,0)</f>
        <v>30</v>
      </c>
      <c r="AJ44">
        <f t="shared" ca="1" si="7"/>
        <v>17</v>
      </c>
      <c r="AK44">
        <f>VLOOKUP($A44,p_win_totals!$D$2:$J$31,7,0)</f>
        <v>18</v>
      </c>
      <c r="AL44">
        <f>VLOOKUP($A44,d_win_totals!$E$2:$K$31,6,0)</f>
        <v>18</v>
      </c>
      <c r="AM44">
        <f t="shared" ca="1" si="8"/>
        <v>1</v>
      </c>
      <c r="AN44">
        <f t="shared" ca="1" si="9"/>
        <v>1</v>
      </c>
      <c r="AO44">
        <f t="shared" ca="1" si="10"/>
        <v>1</v>
      </c>
    </row>
    <row r="45" spans="1:41" x14ac:dyDescent="0.25">
      <c r="A45" t="s">
        <v>33</v>
      </c>
      <c r="B45">
        <f ca="1">IF($A45=B$2,0,SUMIFS(d_sched!$N:$N,d_sched!$D:$D,$A45,d_sched!$I:$I,B$2)+SUMIFS(d_sched!$N:$N,d_sched!$D:$D,$A45,d_sched!$K:$K,B$2))</f>
        <v>2</v>
      </c>
      <c r="C45">
        <f ca="1">IF($A45=C$2,0,SUMIFS(d_sched!$N:$N,d_sched!$D:$D,$A45,d_sched!$I:$I,C$2)+SUMIFS(d_sched!$N:$N,d_sched!$D:$D,$A45,d_sched!$K:$K,C$2))</f>
        <v>1</v>
      </c>
      <c r="D45">
        <f ca="1">IF($A45=D$2,0,SUMIFS(d_sched!$N:$N,d_sched!$D:$D,$A45,d_sched!$I:$I,D$2)+SUMIFS(d_sched!$N:$N,d_sched!$D:$D,$A45,d_sched!$K:$K,D$2))</f>
        <v>1</v>
      </c>
      <c r="E45">
        <f ca="1">IF($A45=E$2,0,SUMIFS(d_sched!$N:$N,d_sched!$D:$D,$A45,d_sched!$I:$I,E$2)+SUMIFS(d_sched!$N:$N,d_sched!$D:$D,$A45,d_sched!$K:$K,E$2))</f>
        <v>1</v>
      </c>
      <c r="F45">
        <f ca="1">IF($A45=F$2,0,SUMIFS(d_sched!$N:$N,d_sched!$D:$D,$A45,d_sched!$I:$I,F$2)+SUMIFS(d_sched!$N:$N,d_sched!$D:$D,$A45,d_sched!$K:$K,F$2))</f>
        <v>0</v>
      </c>
      <c r="G45">
        <f ca="1">IF($A45=G$2,0,SUMIFS(d_sched!$N:$N,d_sched!$D:$D,$A45,d_sched!$I:$I,G$2)+SUMIFS(d_sched!$N:$N,d_sched!$D:$D,$A45,d_sched!$K:$K,G$2))</f>
        <v>2</v>
      </c>
      <c r="H45">
        <f ca="1">IF($A45=H$2,0,SUMIFS(d_sched!$N:$N,d_sched!$D:$D,$A45,d_sched!$I:$I,H$2)+SUMIFS(d_sched!$N:$N,d_sched!$D:$D,$A45,d_sched!$K:$K,H$2))</f>
        <v>1</v>
      </c>
      <c r="I45">
        <f ca="1">IF($A45=I$2,0,SUMIFS(d_sched!$N:$N,d_sched!$D:$D,$A45,d_sched!$I:$I,I$2)+SUMIFS(d_sched!$N:$N,d_sched!$D:$D,$A45,d_sched!$K:$K,I$2))</f>
        <v>0</v>
      </c>
      <c r="J45">
        <f>IF($A45=J$2,0,SUMIFS(d_sched!$N:$N,d_sched!$D:$D,$A45,d_sched!$I:$I,J$2)+SUMIFS(d_sched!$N:$N,d_sched!$D:$D,$A45,d_sched!$K:$K,J$2))</f>
        <v>0</v>
      </c>
      <c r="K45">
        <f ca="1">IF($A45=K$2,0,SUMIFS(d_sched!$N:$N,d_sched!$D:$D,$A45,d_sched!$I:$I,K$2)+SUMIFS(d_sched!$N:$N,d_sched!$D:$D,$A45,d_sched!$K:$K,K$2))</f>
        <v>0</v>
      </c>
      <c r="L45">
        <f ca="1">IF($A45=L$2,0,SUMIFS(d_sched!$N:$N,d_sched!$D:$D,$A45,d_sched!$I:$I,L$2)+SUMIFS(d_sched!$N:$N,d_sched!$D:$D,$A45,d_sched!$K:$K,L$2))</f>
        <v>0</v>
      </c>
      <c r="M45">
        <f ca="1">IF($A45=M$2,0,SUMIFS(d_sched!$N:$N,d_sched!$D:$D,$A45,d_sched!$I:$I,M$2)+SUMIFS(d_sched!$N:$N,d_sched!$D:$D,$A45,d_sched!$K:$K,M$2))</f>
        <v>3</v>
      </c>
      <c r="N45">
        <f ca="1">IF($A45=N$2,0,SUMIFS(d_sched!$N:$N,d_sched!$D:$D,$A45,d_sched!$I:$I,N$2)+SUMIFS(d_sched!$N:$N,d_sched!$D:$D,$A45,d_sched!$K:$K,N$2))</f>
        <v>1</v>
      </c>
      <c r="O45">
        <f ca="1">IF($A45=O$2,0,SUMIFS(d_sched!$N:$N,d_sched!$D:$D,$A45,d_sched!$I:$I,O$2)+SUMIFS(d_sched!$N:$N,d_sched!$D:$D,$A45,d_sched!$K:$K,O$2))</f>
        <v>1</v>
      </c>
      <c r="P45">
        <f ca="1">IF($A45=P$2,0,SUMIFS(d_sched!$N:$N,d_sched!$D:$D,$A45,d_sched!$I:$I,P$2)+SUMIFS(d_sched!$N:$N,d_sched!$D:$D,$A45,d_sched!$K:$K,P$2))</f>
        <v>0</v>
      </c>
      <c r="Q45">
        <f ca="1">IF($A45=Q$2,0,SUMIFS(d_sched!$N:$N,d_sched!$D:$D,$A45,d_sched!$I:$I,Q$2)+SUMIFS(d_sched!$N:$N,d_sched!$D:$D,$A45,d_sched!$K:$K,Q$2))</f>
        <v>2</v>
      </c>
      <c r="R45">
        <f ca="1">IF($A45=R$2,0,SUMIFS(d_sched!$N:$N,d_sched!$D:$D,$A45,d_sched!$I:$I,R$2)+SUMIFS(d_sched!$N:$N,d_sched!$D:$D,$A45,d_sched!$K:$K,R$2))</f>
        <v>3</v>
      </c>
      <c r="S45">
        <f ca="1">IF($A45=S$2,0,SUMIFS(d_sched!$N:$N,d_sched!$D:$D,$A45,d_sched!$I:$I,S$2)+SUMIFS(d_sched!$N:$N,d_sched!$D:$D,$A45,d_sched!$K:$K,S$2))</f>
        <v>1</v>
      </c>
      <c r="T45">
        <f ca="1">IF($A45=T$2,0,SUMIFS(d_sched!$N:$N,d_sched!$D:$D,$A45,d_sched!$I:$I,T$2)+SUMIFS(d_sched!$N:$N,d_sched!$D:$D,$A45,d_sched!$K:$K,T$2))</f>
        <v>1</v>
      </c>
      <c r="U45">
        <f ca="1">IF($A45=U$2,0,SUMIFS(d_sched!$N:$N,d_sched!$D:$D,$A45,d_sched!$I:$I,U$2)+SUMIFS(d_sched!$N:$N,d_sched!$D:$D,$A45,d_sched!$K:$K,U$2))</f>
        <v>3</v>
      </c>
      <c r="V45">
        <f ca="1">IF($A45=V$2,0,SUMIFS(d_sched!$N:$N,d_sched!$D:$D,$A45,d_sched!$I:$I,V$2)+SUMIFS(d_sched!$N:$N,d_sched!$D:$D,$A45,d_sched!$K:$K,V$2))</f>
        <v>1</v>
      </c>
      <c r="W45">
        <f ca="1">IF($A45=W$2,0,SUMIFS(d_sched!$N:$N,d_sched!$D:$D,$A45,d_sched!$I:$I,W$2)+SUMIFS(d_sched!$N:$N,d_sched!$D:$D,$A45,d_sched!$K:$K,W$2))</f>
        <v>3</v>
      </c>
      <c r="X45">
        <f ca="1">IF($A45=X$2,0,SUMIFS(d_sched!$N:$N,d_sched!$D:$D,$A45,d_sched!$I:$I,X$2)+SUMIFS(d_sched!$N:$N,d_sched!$D:$D,$A45,d_sched!$K:$K,X$2))</f>
        <v>4</v>
      </c>
      <c r="Y45">
        <f ca="1">IF($A45=Y$2,0,SUMIFS(d_sched!$N:$N,d_sched!$D:$D,$A45,d_sched!$I:$I,Y$2)+SUMIFS(d_sched!$N:$N,d_sched!$D:$D,$A45,d_sched!$K:$K,Y$2))</f>
        <v>0</v>
      </c>
      <c r="Z45">
        <f ca="1">IF($A45=Z$2,0,SUMIFS(d_sched!$N:$N,d_sched!$D:$D,$A45,d_sched!$I:$I,Z$2)+SUMIFS(d_sched!$N:$N,d_sched!$D:$D,$A45,d_sched!$K:$K,Z$2))</f>
        <v>1</v>
      </c>
      <c r="AA45">
        <f ca="1">IF($A45=AA$2,0,SUMIFS(d_sched!$N:$N,d_sched!$D:$D,$A45,d_sched!$I:$I,AA$2)+SUMIFS(d_sched!$N:$N,d_sched!$D:$D,$A45,d_sched!$K:$K,AA$2))</f>
        <v>0</v>
      </c>
      <c r="AB45">
        <f ca="1">IF($A45=AB$2,0,SUMIFS(d_sched!$N:$N,d_sched!$D:$D,$A45,d_sched!$I:$I,AB$2)+SUMIFS(d_sched!$N:$N,d_sched!$D:$D,$A45,d_sched!$K:$K,AB$2))</f>
        <v>2</v>
      </c>
      <c r="AC45">
        <f ca="1">IF($A45=AC$2,0,SUMIFS(d_sched!$N:$N,d_sched!$D:$D,$A45,d_sched!$I:$I,AC$2)+SUMIFS(d_sched!$N:$N,d_sched!$D:$D,$A45,d_sched!$K:$K,AC$2))</f>
        <v>1</v>
      </c>
      <c r="AD45">
        <f ca="1">IF($A45=AD$2,0,SUMIFS(d_sched!$N:$N,d_sched!$D:$D,$A45,d_sched!$I:$I,AD$2)+SUMIFS(d_sched!$N:$N,d_sched!$D:$D,$A45,d_sched!$K:$K,AD$2))</f>
        <v>0</v>
      </c>
      <c r="AE45">
        <f ca="1">IF($A45=AE$2,0,SUMIFS(d_sched!$N:$N,d_sched!$D:$D,$A45,d_sched!$I:$I,AE$2)+SUMIFS(d_sched!$N:$N,d_sched!$D:$D,$A45,d_sched!$K:$K,AE$2))</f>
        <v>0</v>
      </c>
      <c r="AG45">
        <f ca="1">ROUND(SUM(B45:AE45),2)</f>
        <v>35</v>
      </c>
      <c r="AH45">
        <f>VLOOKUP($A45,p_win_totals!$D$2:$J$31,6,0)</f>
        <v>34</v>
      </c>
      <c r="AI45">
        <f>VLOOKUP($A45,d_win_totals!$E$2:$K$31,3,0)</f>
        <v>32</v>
      </c>
      <c r="AJ45">
        <f t="shared" ca="1" si="7"/>
        <v>22</v>
      </c>
      <c r="AK45">
        <f>VLOOKUP($A45,p_win_totals!$D$2:$J$31,7,0)</f>
        <v>21</v>
      </c>
      <c r="AL45">
        <f>VLOOKUP($A45,d_win_totals!$E$2:$K$31,6,0)</f>
        <v>21</v>
      </c>
      <c r="AM45">
        <f t="shared" ca="1" si="8"/>
        <v>-1</v>
      </c>
      <c r="AN45">
        <f t="shared" ca="1" si="9"/>
        <v>1</v>
      </c>
      <c r="AO45">
        <f t="shared" ca="1" si="10"/>
        <v>1</v>
      </c>
    </row>
    <row r="46" spans="1:41" x14ac:dyDescent="0.25">
      <c r="A46" t="s">
        <v>36</v>
      </c>
      <c r="B46">
        <f ca="1">IF($A46=B$2,0,SUMIFS(d_sched!$N:$N,d_sched!$D:$D,$A46,d_sched!$I:$I,B$2)+SUMIFS(d_sched!$N:$N,d_sched!$D:$D,$A46,d_sched!$K:$K,B$2))</f>
        <v>0</v>
      </c>
      <c r="C46">
        <f ca="1">IF($A46=C$2,0,SUMIFS(d_sched!$N:$N,d_sched!$D:$D,$A46,d_sched!$I:$I,C$2)+SUMIFS(d_sched!$N:$N,d_sched!$D:$D,$A46,d_sched!$K:$K,C$2))</f>
        <v>2</v>
      </c>
      <c r="D46">
        <f ca="1">IF($A46=D$2,0,SUMIFS(d_sched!$N:$N,d_sched!$D:$D,$A46,d_sched!$I:$I,D$2)+SUMIFS(d_sched!$N:$N,d_sched!$D:$D,$A46,d_sched!$K:$K,D$2))</f>
        <v>2</v>
      </c>
      <c r="E46">
        <f ca="1">IF($A46=E$2,0,SUMIFS(d_sched!$N:$N,d_sched!$D:$D,$A46,d_sched!$I:$I,E$2)+SUMIFS(d_sched!$N:$N,d_sched!$D:$D,$A46,d_sched!$K:$K,E$2))</f>
        <v>2</v>
      </c>
      <c r="F46">
        <f ca="1">IF($A46=F$2,0,SUMIFS(d_sched!$N:$N,d_sched!$D:$D,$A46,d_sched!$I:$I,F$2)+SUMIFS(d_sched!$N:$N,d_sched!$D:$D,$A46,d_sched!$K:$K,F$2))</f>
        <v>1</v>
      </c>
      <c r="G46">
        <f ca="1">IF($A46=G$2,0,SUMIFS(d_sched!$N:$N,d_sched!$D:$D,$A46,d_sched!$I:$I,G$2)+SUMIFS(d_sched!$N:$N,d_sched!$D:$D,$A46,d_sched!$K:$K,G$2))</f>
        <v>0</v>
      </c>
      <c r="H46">
        <f ca="1">IF($A46=H$2,0,SUMIFS(d_sched!$N:$N,d_sched!$D:$D,$A46,d_sched!$I:$I,H$2)+SUMIFS(d_sched!$N:$N,d_sched!$D:$D,$A46,d_sched!$K:$K,H$2))</f>
        <v>2</v>
      </c>
      <c r="I46">
        <f ca="1">IF($A46=I$2,0,SUMIFS(d_sched!$N:$N,d_sched!$D:$D,$A46,d_sched!$I:$I,I$2)+SUMIFS(d_sched!$N:$N,d_sched!$D:$D,$A46,d_sched!$K:$K,I$2))</f>
        <v>1</v>
      </c>
      <c r="J46">
        <f ca="1">IF($A46=J$2,0,SUMIFS(d_sched!$N:$N,d_sched!$D:$D,$A46,d_sched!$I:$I,J$2)+SUMIFS(d_sched!$N:$N,d_sched!$D:$D,$A46,d_sched!$K:$K,J$2))</f>
        <v>1</v>
      </c>
      <c r="K46">
        <f>IF($A46=K$2,0,SUMIFS(d_sched!$N:$N,d_sched!$D:$D,$A46,d_sched!$I:$I,K$2)+SUMIFS(d_sched!$N:$N,d_sched!$D:$D,$A46,d_sched!$K:$K,K$2))</f>
        <v>0</v>
      </c>
      <c r="L46">
        <f ca="1">IF($A46=L$2,0,SUMIFS(d_sched!$N:$N,d_sched!$D:$D,$A46,d_sched!$I:$I,L$2)+SUMIFS(d_sched!$N:$N,d_sched!$D:$D,$A46,d_sched!$K:$K,L$2))</f>
        <v>4</v>
      </c>
      <c r="M46">
        <f ca="1">IF($A46=M$2,0,SUMIFS(d_sched!$N:$N,d_sched!$D:$D,$A46,d_sched!$I:$I,M$2)+SUMIFS(d_sched!$N:$N,d_sched!$D:$D,$A46,d_sched!$K:$K,M$2))</f>
        <v>1</v>
      </c>
      <c r="N46">
        <f ca="1">IF($A46=N$2,0,SUMIFS(d_sched!$N:$N,d_sched!$D:$D,$A46,d_sched!$I:$I,N$2)+SUMIFS(d_sched!$N:$N,d_sched!$D:$D,$A46,d_sched!$K:$K,N$2))</f>
        <v>0</v>
      </c>
      <c r="O46">
        <f ca="1">IF($A46=O$2,0,SUMIFS(d_sched!$N:$N,d_sched!$D:$D,$A46,d_sched!$I:$I,O$2)+SUMIFS(d_sched!$N:$N,d_sched!$D:$D,$A46,d_sched!$K:$K,O$2))</f>
        <v>1</v>
      </c>
      <c r="P46">
        <f ca="1">IF($A46=P$2,0,SUMIFS(d_sched!$N:$N,d_sched!$D:$D,$A46,d_sched!$I:$I,P$2)+SUMIFS(d_sched!$N:$N,d_sched!$D:$D,$A46,d_sched!$K:$K,P$2))</f>
        <v>2</v>
      </c>
      <c r="Q46">
        <f ca="1">IF($A46=Q$2,0,SUMIFS(d_sched!$N:$N,d_sched!$D:$D,$A46,d_sched!$I:$I,Q$2)+SUMIFS(d_sched!$N:$N,d_sched!$D:$D,$A46,d_sched!$K:$K,Q$2))</f>
        <v>1</v>
      </c>
      <c r="R46">
        <f ca="1">IF($A46=R$2,0,SUMIFS(d_sched!$N:$N,d_sched!$D:$D,$A46,d_sched!$I:$I,R$2)+SUMIFS(d_sched!$N:$N,d_sched!$D:$D,$A46,d_sched!$K:$K,R$2))</f>
        <v>1</v>
      </c>
      <c r="S46">
        <f ca="1">IF($A46=S$2,0,SUMIFS(d_sched!$N:$N,d_sched!$D:$D,$A46,d_sched!$I:$I,S$2)+SUMIFS(d_sched!$N:$N,d_sched!$D:$D,$A46,d_sched!$K:$K,S$2))</f>
        <v>3</v>
      </c>
      <c r="T46">
        <f ca="1">IF($A46=T$2,0,SUMIFS(d_sched!$N:$N,d_sched!$D:$D,$A46,d_sched!$I:$I,T$2)+SUMIFS(d_sched!$N:$N,d_sched!$D:$D,$A46,d_sched!$K:$K,T$2))</f>
        <v>2</v>
      </c>
      <c r="U46">
        <f ca="1">IF($A46=U$2,0,SUMIFS(d_sched!$N:$N,d_sched!$D:$D,$A46,d_sched!$I:$I,U$2)+SUMIFS(d_sched!$N:$N,d_sched!$D:$D,$A46,d_sched!$K:$K,U$2))</f>
        <v>2</v>
      </c>
      <c r="V46">
        <f ca="1">IF($A46=V$2,0,SUMIFS(d_sched!$N:$N,d_sched!$D:$D,$A46,d_sched!$I:$I,V$2)+SUMIFS(d_sched!$N:$N,d_sched!$D:$D,$A46,d_sched!$K:$K,V$2))</f>
        <v>0</v>
      </c>
      <c r="W46">
        <f ca="1">IF($A46=W$2,0,SUMIFS(d_sched!$N:$N,d_sched!$D:$D,$A46,d_sched!$I:$I,W$2)+SUMIFS(d_sched!$N:$N,d_sched!$D:$D,$A46,d_sched!$K:$K,W$2))</f>
        <v>0</v>
      </c>
      <c r="X46">
        <f ca="1">IF($A46=X$2,0,SUMIFS(d_sched!$N:$N,d_sched!$D:$D,$A46,d_sched!$I:$I,X$2)+SUMIFS(d_sched!$N:$N,d_sched!$D:$D,$A46,d_sched!$K:$K,X$2))</f>
        <v>0</v>
      </c>
      <c r="Y46">
        <f ca="1">IF($A46=Y$2,0,SUMIFS(d_sched!$N:$N,d_sched!$D:$D,$A46,d_sched!$I:$I,Y$2)+SUMIFS(d_sched!$N:$N,d_sched!$D:$D,$A46,d_sched!$K:$K,Y$2))</f>
        <v>3</v>
      </c>
      <c r="Z46">
        <f ca="1">IF($A46=Z$2,0,SUMIFS(d_sched!$N:$N,d_sched!$D:$D,$A46,d_sched!$I:$I,Z$2)+SUMIFS(d_sched!$N:$N,d_sched!$D:$D,$A46,d_sched!$K:$K,Z$2))</f>
        <v>1</v>
      </c>
      <c r="AA46">
        <f ca="1">IF($A46=AA$2,0,SUMIFS(d_sched!$N:$N,d_sched!$D:$D,$A46,d_sched!$I:$I,AA$2)+SUMIFS(d_sched!$N:$N,d_sched!$D:$D,$A46,d_sched!$K:$K,AA$2))</f>
        <v>0</v>
      </c>
      <c r="AB46">
        <f ca="1">IF($A46=AB$2,0,SUMIFS(d_sched!$N:$N,d_sched!$D:$D,$A46,d_sched!$I:$I,AB$2)+SUMIFS(d_sched!$N:$N,d_sched!$D:$D,$A46,d_sched!$K:$K,AB$2))</f>
        <v>2</v>
      </c>
      <c r="AC46">
        <f ca="1">IF($A46=AC$2,0,SUMIFS(d_sched!$N:$N,d_sched!$D:$D,$A46,d_sched!$I:$I,AC$2)+SUMIFS(d_sched!$N:$N,d_sched!$D:$D,$A46,d_sched!$K:$K,AC$2))</f>
        <v>2</v>
      </c>
      <c r="AD46">
        <f ca="1">IF($A46=AD$2,0,SUMIFS(d_sched!$N:$N,d_sched!$D:$D,$A46,d_sched!$I:$I,AD$2)+SUMIFS(d_sched!$N:$N,d_sched!$D:$D,$A46,d_sched!$K:$K,AD$2))</f>
        <v>2</v>
      </c>
      <c r="AE46">
        <f ca="1">IF($A46=AE$2,0,SUMIFS(d_sched!$N:$N,d_sched!$D:$D,$A46,d_sched!$I:$I,AE$2)+SUMIFS(d_sched!$N:$N,d_sched!$D:$D,$A46,d_sched!$K:$K,AE$2))</f>
        <v>0</v>
      </c>
      <c r="AG46">
        <f ca="1">ROUND(SUM(B46:AE46),2)</f>
        <v>38</v>
      </c>
      <c r="AH46">
        <f>VLOOKUP($A46,p_win_totals!$D$2:$J$31,6,0)</f>
        <v>53</v>
      </c>
      <c r="AI46">
        <f>VLOOKUP($A46,d_win_totals!$E$2:$K$31,3,0)</f>
        <v>67</v>
      </c>
      <c r="AJ46">
        <f t="shared" ca="1" si="7"/>
        <v>17</v>
      </c>
      <c r="AK46">
        <f>VLOOKUP($A46,p_win_totals!$D$2:$J$31,7,0)</f>
        <v>6</v>
      </c>
      <c r="AL46">
        <f>VLOOKUP($A46,d_win_totals!$E$2:$K$31,6,0)</f>
        <v>6</v>
      </c>
      <c r="AM46">
        <f t="shared" ca="1" si="8"/>
        <v>-11</v>
      </c>
      <c r="AN46">
        <f t="shared" ca="1" si="9"/>
        <v>11</v>
      </c>
      <c r="AO46">
        <f t="shared" ca="1" si="10"/>
        <v>121</v>
      </c>
    </row>
    <row r="47" spans="1:41" x14ac:dyDescent="0.25">
      <c r="A47" t="s">
        <v>16</v>
      </c>
      <c r="B47">
        <f ca="1">IF($A47=B$2,0,SUMIFS(d_sched!$N:$N,d_sched!$D:$D,$A47,d_sched!$I:$I,B$2)+SUMIFS(d_sched!$N:$N,d_sched!$D:$D,$A47,d_sched!$K:$K,B$2))</f>
        <v>0</v>
      </c>
      <c r="C47">
        <f ca="1">IF($A47=C$2,0,SUMIFS(d_sched!$N:$N,d_sched!$D:$D,$A47,d_sched!$I:$I,C$2)+SUMIFS(d_sched!$N:$N,d_sched!$D:$D,$A47,d_sched!$K:$K,C$2))</f>
        <v>1</v>
      </c>
      <c r="D47">
        <f ca="1">IF($A47=D$2,0,SUMIFS(d_sched!$N:$N,d_sched!$D:$D,$A47,d_sched!$I:$I,D$2)+SUMIFS(d_sched!$N:$N,d_sched!$D:$D,$A47,d_sched!$K:$K,D$2))</f>
        <v>1</v>
      </c>
      <c r="E47">
        <f ca="1">IF($A47=E$2,0,SUMIFS(d_sched!$N:$N,d_sched!$D:$D,$A47,d_sched!$I:$I,E$2)+SUMIFS(d_sched!$N:$N,d_sched!$D:$D,$A47,d_sched!$K:$K,E$2))</f>
        <v>2</v>
      </c>
      <c r="F47">
        <f ca="1">IF($A47=F$2,0,SUMIFS(d_sched!$N:$N,d_sched!$D:$D,$A47,d_sched!$I:$I,F$2)+SUMIFS(d_sched!$N:$N,d_sched!$D:$D,$A47,d_sched!$K:$K,F$2))</f>
        <v>0</v>
      </c>
      <c r="G47">
        <f ca="1">IF($A47=G$2,0,SUMIFS(d_sched!$N:$N,d_sched!$D:$D,$A47,d_sched!$I:$I,G$2)+SUMIFS(d_sched!$N:$N,d_sched!$D:$D,$A47,d_sched!$K:$K,G$2))</f>
        <v>1</v>
      </c>
      <c r="H47">
        <f ca="1">IF($A47=H$2,0,SUMIFS(d_sched!$N:$N,d_sched!$D:$D,$A47,d_sched!$I:$I,H$2)+SUMIFS(d_sched!$N:$N,d_sched!$D:$D,$A47,d_sched!$K:$K,H$2))</f>
        <v>1</v>
      </c>
      <c r="I47">
        <f ca="1">IF($A47=I$2,0,SUMIFS(d_sched!$N:$N,d_sched!$D:$D,$A47,d_sched!$I:$I,I$2)+SUMIFS(d_sched!$N:$N,d_sched!$D:$D,$A47,d_sched!$K:$K,I$2))</f>
        <v>3</v>
      </c>
      <c r="J47">
        <f ca="1">IF($A47=J$2,0,SUMIFS(d_sched!$N:$N,d_sched!$D:$D,$A47,d_sched!$I:$I,J$2)+SUMIFS(d_sched!$N:$N,d_sched!$D:$D,$A47,d_sched!$K:$K,J$2))</f>
        <v>1</v>
      </c>
      <c r="K47">
        <f ca="1">IF($A47=K$2,0,SUMIFS(d_sched!$N:$N,d_sched!$D:$D,$A47,d_sched!$I:$I,K$2)+SUMIFS(d_sched!$N:$N,d_sched!$D:$D,$A47,d_sched!$K:$K,K$2))</f>
        <v>1</v>
      </c>
      <c r="L47">
        <f>IF($A47=L$2,0,SUMIFS(d_sched!$N:$N,d_sched!$D:$D,$A47,d_sched!$I:$I,L$2)+SUMIFS(d_sched!$N:$N,d_sched!$D:$D,$A47,d_sched!$K:$K,L$2))</f>
        <v>0</v>
      </c>
      <c r="M47">
        <f ca="1">IF($A47=M$2,0,SUMIFS(d_sched!$N:$N,d_sched!$D:$D,$A47,d_sched!$I:$I,M$2)+SUMIFS(d_sched!$N:$N,d_sched!$D:$D,$A47,d_sched!$K:$K,M$2))</f>
        <v>2</v>
      </c>
      <c r="N47">
        <f ca="1">IF($A47=N$2,0,SUMIFS(d_sched!$N:$N,d_sched!$D:$D,$A47,d_sched!$I:$I,N$2)+SUMIFS(d_sched!$N:$N,d_sched!$D:$D,$A47,d_sched!$K:$K,N$2))</f>
        <v>1</v>
      </c>
      <c r="O47">
        <f ca="1">IF($A47=O$2,0,SUMIFS(d_sched!$N:$N,d_sched!$D:$D,$A47,d_sched!$I:$I,O$2)+SUMIFS(d_sched!$N:$N,d_sched!$D:$D,$A47,d_sched!$K:$K,O$2))</f>
        <v>3</v>
      </c>
      <c r="P47">
        <f ca="1">IF($A47=P$2,0,SUMIFS(d_sched!$N:$N,d_sched!$D:$D,$A47,d_sched!$I:$I,P$2)+SUMIFS(d_sched!$N:$N,d_sched!$D:$D,$A47,d_sched!$K:$K,P$2))</f>
        <v>2</v>
      </c>
      <c r="Q47">
        <f ca="1">IF($A47=Q$2,0,SUMIFS(d_sched!$N:$N,d_sched!$D:$D,$A47,d_sched!$I:$I,Q$2)+SUMIFS(d_sched!$N:$N,d_sched!$D:$D,$A47,d_sched!$K:$K,Q$2))</f>
        <v>0</v>
      </c>
      <c r="R47">
        <f ca="1">IF($A47=R$2,0,SUMIFS(d_sched!$N:$N,d_sched!$D:$D,$A47,d_sched!$I:$I,R$2)+SUMIFS(d_sched!$N:$N,d_sched!$D:$D,$A47,d_sched!$K:$K,R$2))</f>
        <v>2</v>
      </c>
      <c r="S47">
        <f ca="1">IF($A47=S$2,0,SUMIFS(d_sched!$N:$N,d_sched!$D:$D,$A47,d_sched!$I:$I,S$2)+SUMIFS(d_sched!$N:$N,d_sched!$D:$D,$A47,d_sched!$K:$K,S$2))</f>
        <v>4</v>
      </c>
      <c r="T47">
        <f ca="1">IF($A47=T$2,0,SUMIFS(d_sched!$N:$N,d_sched!$D:$D,$A47,d_sched!$I:$I,T$2)+SUMIFS(d_sched!$N:$N,d_sched!$D:$D,$A47,d_sched!$K:$K,T$2))</f>
        <v>3</v>
      </c>
      <c r="U47">
        <f ca="1">IF($A47=U$2,0,SUMIFS(d_sched!$N:$N,d_sched!$D:$D,$A47,d_sched!$I:$I,U$2)+SUMIFS(d_sched!$N:$N,d_sched!$D:$D,$A47,d_sched!$K:$K,U$2))</f>
        <v>0</v>
      </c>
      <c r="V47">
        <f ca="1">IF($A47=V$2,0,SUMIFS(d_sched!$N:$N,d_sched!$D:$D,$A47,d_sched!$I:$I,V$2)+SUMIFS(d_sched!$N:$N,d_sched!$D:$D,$A47,d_sched!$K:$K,V$2))</f>
        <v>0</v>
      </c>
      <c r="W47">
        <f ca="1">IF($A47=W$2,0,SUMIFS(d_sched!$N:$N,d_sched!$D:$D,$A47,d_sched!$I:$I,W$2)+SUMIFS(d_sched!$N:$N,d_sched!$D:$D,$A47,d_sched!$K:$K,W$2))</f>
        <v>2</v>
      </c>
      <c r="X47">
        <f ca="1">IF($A47=X$2,0,SUMIFS(d_sched!$N:$N,d_sched!$D:$D,$A47,d_sched!$I:$I,X$2)+SUMIFS(d_sched!$N:$N,d_sched!$D:$D,$A47,d_sched!$K:$K,X$2))</f>
        <v>1</v>
      </c>
      <c r="Y47">
        <f ca="1">IF($A47=Y$2,0,SUMIFS(d_sched!$N:$N,d_sched!$D:$D,$A47,d_sched!$I:$I,Y$2)+SUMIFS(d_sched!$N:$N,d_sched!$D:$D,$A47,d_sched!$K:$K,Y$2))</f>
        <v>2</v>
      </c>
      <c r="Z47">
        <f ca="1">IF($A47=Z$2,0,SUMIFS(d_sched!$N:$N,d_sched!$D:$D,$A47,d_sched!$I:$I,Z$2)+SUMIFS(d_sched!$N:$N,d_sched!$D:$D,$A47,d_sched!$K:$K,Z$2))</f>
        <v>1</v>
      </c>
      <c r="AA47">
        <f ca="1">IF($A47=AA$2,0,SUMIFS(d_sched!$N:$N,d_sched!$D:$D,$A47,d_sched!$I:$I,AA$2)+SUMIFS(d_sched!$N:$N,d_sched!$D:$D,$A47,d_sched!$K:$K,AA$2))</f>
        <v>2</v>
      </c>
      <c r="AB47">
        <f ca="1">IF($A47=AB$2,0,SUMIFS(d_sched!$N:$N,d_sched!$D:$D,$A47,d_sched!$I:$I,AB$2)+SUMIFS(d_sched!$N:$N,d_sched!$D:$D,$A47,d_sched!$K:$K,AB$2))</f>
        <v>3</v>
      </c>
      <c r="AC47">
        <f ca="1">IF($A47=AC$2,0,SUMIFS(d_sched!$N:$N,d_sched!$D:$D,$A47,d_sched!$I:$I,AC$2)+SUMIFS(d_sched!$N:$N,d_sched!$D:$D,$A47,d_sched!$K:$K,AC$2))</f>
        <v>0</v>
      </c>
      <c r="AD47">
        <f ca="1">IF($A47=AD$2,0,SUMIFS(d_sched!$N:$N,d_sched!$D:$D,$A47,d_sched!$I:$I,AD$2)+SUMIFS(d_sched!$N:$N,d_sched!$D:$D,$A47,d_sched!$K:$K,AD$2))</f>
        <v>2</v>
      </c>
      <c r="AE47">
        <f ca="1">IF($A47=AE$2,0,SUMIFS(d_sched!$N:$N,d_sched!$D:$D,$A47,d_sched!$I:$I,AE$2)+SUMIFS(d_sched!$N:$N,d_sched!$D:$D,$A47,d_sched!$K:$K,AE$2))</f>
        <v>1</v>
      </c>
      <c r="AG47">
        <f ca="1">ROUND(SUM(B47:AE47),2)</f>
        <v>42</v>
      </c>
      <c r="AH47">
        <f>VLOOKUP($A47,p_win_totals!$D$2:$J$31,6,0)</f>
        <v>48</v>
      </c>
      <c r="AI47">
        <f>VLOOKUP($A47,d_win_totals!$E$2:$K$31,3,0)</f>
        <v>56</v>
      </c>
      <c r="AJ47">
        <f t="shared" ca="1" si="7"/>
        <v>13</v>
      </c>
      <c r="AK47">
        <f>VLOOKUP($A47,p_win_totals!$D$2:$J$31,7,0)</f>
        <v>11</v>
      </c>
      <c r="AL47">
        <f>VLOOKUP($A47,d_win_totals!$E$2:$K$31,6,0)</f>
        <v>7</v>
      </c>
      <c r="AM47">
        <f t="shared" ca="1" si="8"/>
        <v>-6</v>
      </c>
      <c r="AN47">
        <f t="shared" ca="1" si="9"/>
        <v>6</v>
      </c>
      <c r="AO47">
        <f t="shared" ca="1" si="10"/>
        <v>36</v>
      </c>
    </row>
    <row r="48" spans="1:41" x14ac:dyDescent="0.25">
      <c r="A48" t="s">
        <v>20</v>
      </c>
      <c r="B48">
        <f ca="1">IF($A48=B$2,0,SUMIFS(d_sched!$N:$N,d_sched!$D:$D,$A48,d_sched!$I:$I,B$2)+SUMIFS(d_sched!$N:$N,d_sched!$D:$D,$A48,d_sched!$K:$K,B$2))</f>
        <v>1</v>
      </c>
      <c r="C48">
        <f ca="1">IF($A48=C$2,0,SUMIFS(d_sched!$N:$N,d_sched!$D:$D,$A48,d_sched!$I:$I,C$2)+SUMIFS(d_sched!$N:$N,d_sched!$D:$D,$A48,d_sched!$K:$K,C$2))</f>
        <v>3</v>
      </c>
      <c r="D48">
        <f ca="1">IF($A48=D$2,0,SUMIFS(d_sched!$N:$N,d_sched!$D:$D,$A48,d_sched!$I:$I,D$2)+SUMIFS(d_sched!$N:$N,d_sched!$D:$D,$A48,d_sched!$K:$K,D$2))</f>
        <v>4</v>
      </c>
      <c r="E48">
        <f ca="1">IF($A48=E$2,0,SUMIFS(d_sched!$N:$N,d_sched!$D:$D,$A48,d_sched!$I:$I,E$2)+SUMIFS(d_sched!$N:$N,d_sched!$D:$D,$A48,d_sched!$K:$K,E$2))</f>
        <v>3</v>
      </c>
      <c r="F48">
        <f ca="1">IF($A48=F$2,0,SUMIFS(d_sched!$N:$N,d_sched!$D:$D,$A48,d_sched!$I:$I,F$2)+SUMIFS(d_sched!$N:$N,d_sched!$D:$D,$A48,d_sched!$K:$K,F$2))</f>
        <v>0</v>
      </c>
      <c r="G48">
        <f ca="1">IF($A48=G$2,0,SUMIFS(d_sched!$N:$N,d_sched!$D:$D,$A48,d_sched!$I:$I,G$2)+SUMIFS(d_sched!$N:$N,d_sched!$D:$D,$A48,d_sched!$K:$K,G$2))</f>
        <v>0</v>
      </c>
      <c r="H48">
        <f ca="1">IF($A48=H$2,0,SUMIFS(d_sched!$N:$N,d_sched!$D:$D,$A48,d_sched!$I:$I,H$2)+SUMIFS(d_sched!$N:$N,d_sched!$D:$D,$A48,d_sched!$K:$K,H$2))</f>
        <v>0</v>
      </c>
      <c r="I48">
        <f ca="1">IF($A48=I$2,0,SUMIFS(d_sched!$N:$N,d_sched!$D:$D,$A48,d_sched!$I:$I,I$2)+SUMIFS(d_sched!$N:$N,d_sched!$D:$D,$A48,d_sched!$K:$K,I$2))</f>
        <v>2</v>
      </c>
      <c r="J48">
        <f ca="1">IF($A48=J$2,0,SUMIFS(d_sched!$N:$N,d_sched!$D:$D,$A48,d_sched!$I:$I,J$2)+SUMIFS(d_sched!$N:$N,d_sched!$D:$D,$A48,d_sched!$K:$K,J$2))</f>
        <v>2</v>
      </c>
      <c r="K48">
        <f ca="1">IF($A48=K$2,0,SUMIFS(d_sched!$N:$N,d_sched!$D:$D,$A48,d_sched!$I:$I,K$2)+SUMIFS(d_sched!$N:$N,d_sched!$D:$D,$A48,d_sched!$K:$K,K$2))</f>
        <v>0</v>
      </c>
      <c r="L48">
        <f ca="1">IF($A48=L$2,0,SUMIFS(d_sched!$N:$N,d_sched!$D:$D,$A48,d_sched!$I:$I,L$2)+SUMIFS(d_sched!$N:$N,d_sched!$D:$D,$A48,d_sched!$K:$K,L$2))</f>
        <v>1</v>
      </c>
      <c r="M48">
        <f>IF($A48=M$2,0,SUMIFS(d_sched!$N:$N,d_sched!$D:$D,$A48,d_sched!$I:$I,M$2)+SUMIFS(d_sched!$N:$N,d_sched!$D:$D,$A48,d_sched!$K:$K,M$2))</f>
        <v>0</v>
      </c>
      <c r="N48">
        <f ca="1">IF($A48=N$2,0,SUMIFS(d_sched!$N:$N,d_sched!$D:$D,$A48,d_sched!$I:$I,N$2)+SUMIFS(d_sched!$N:$N,d_sched!$D:$D,$A48,d_sched!$K:$K,N$2))</f>
        <v>1</v>
      </c>
      <c r="O48">
        <f ca="1">IF($A48=O$2,0,SUMIFS(d_sched!$N:$N,d_sched!$D:$D,$A48,d_sched!$I:$I,O$2)+SUMIFS(d_sched!$N:$N,d_sched!$D:$D,$A48,d_sched!$K:$K,O$2))</f>
        <v>2</v>
      </c>
      <c r="P48">
        <f ca="1">IF($A48=P$2,0,SUMIFS(d_sched!$N:$N,d_sched!$D:$D,$A48,d_sched!$I:$I,P$2)+SUMIFS(d_sched!$N:$N,d_sched!$D:$D,$A48,d_sched!$K:$K,P$2))</f>
        <v>0</v>
      </c>
      <c r="Q48">
        <f ca="1">IF($A48=Q$2,0,SUMIFS(d_sched!$N:$N,d_sched!$D:$D,$A48,d_sched!$I:$I,Q$2)+SUMIFS(d_sched!$N:$N,d_sched!$D:$D,$A48,d_sched!$K:$K,Q$2))</f>
        <v>2</v>
      </c>
      <c r="R48">
        <f ca="1">IF($A48=R$2,0,SUMIFS(d_sched!$N:$N,d_sched!$D:$D,$A48,d_sched!$I:$I,R$2)+SUMIFS(d_sched!$N:$N,d_sched!$D:$D,$A48,d_sched!$K:$K,R$2))</f>
        <v>3</v>
      </c>
      <c r="S48">
        <f ca="1">IF($A48=S$2,0,SUMIFS(d_sched!$N:$N,d_sched!$D:$D,$A48,d_sched!$I:$I,S$2)+SUMIFS(d_sched!$N:$N,d_sched!$D:$D,$A48,d_sched!$K:$K,S$2))</f>
        <v>1</v>
      </c>
      <c r="T48">
        <f ca="1">IF($A48=T$2,0,SUMIFS(d_sched!$N:$N,d_sched!$D:$D,$A48,d_sched!$I:$I,T$2)+SUMIFS(d_sched!$N:$N,d_sched!$D:$D,$A48,d_sched!$K:$K,T$2))</f>
        <v>1</v>
      </c>
      <c r="U48">
        <f ca="1">IF($A48=U$2,0,SUMIFS(d_sched!$N:$N,d_sched!$D:$D,$A48,d_sched!$I:$I,U$2)+SUMIFS(d_sched!$N:$N,d_sched!$D:$D,$A48,d_sched!$K:$K,U$2))</f>
        <v>1</v>
      </c>
      <c r="V48">
        <f ca="1">IF($A48=V$2,0,SUMIFS(d_sched!$N:$N,d_sched!$D:$D,$A48,d_sched!$I:$I,V$2)+SUMIFS(d_sched!$N:$N,d_sched!$D:$D,$A48,d_sched!$K:$K,V$2))</f>
        <v>1</v>
      </c>
      <c r="W48">
        <f ca="1">IF($A48=W$2,0,SUMIFS(d_sched!$N:$N,d_sched!$D:$D,$A48,d_sched!$I:$I,W$2)+SUMIFS(d_sched!$N:$N,d_sched!$D:$D,$A48,d_sched!$K:$K,W$2))</f>
        <v>1</v>
      </c>
      <c r="X48">
        <f ca="1">IF($A48=X$2,0,SUMIFS(d_sched!$N:$N,d_sched!$D:$D,$A48,d_sched!$I:$I,X$2)+SUMIFS(d_sched!$N:$N,d_sched!$D:$D,$A48,d_sched!$K:$K,X$2))</f>
        <v>1</v>
      </c>
      <c r="Y48">
        <f ca="1">IF($A48=Y$2,0,SUMIFS(d_sched!$N:$N,d_sched!$D:$D,$A48,d_sched!$I:$I,Y$2)+SUMIFS(d_sched!$N:$N,d_sched!$D:$D,$A48,d_sched!$K:$K,Y$2))</f>
        <v>1</v>
      </c>
      <c r="Z48">
        <f ca="1">IF($A48=Z$2,0,SUMIFS(d_sched!$N:$N,d_sched!$D:$D,$A48,d_sched!$I:$I,Z$2)+SUMIFS(d_sched!$N:$N,d_sched!$D:$D,$A48,d_sched!$K:$K,Z$2))</f>
        <v>1</v>
      </c>
      <c r="AA48">
        <f ca="1">IF($A48=AA$2,0,SUMIFS(d_sched!$N:$N,d_sched!$D:$D,$A48,d_sched!$I:$I,AA$2)+SUMIFS(d_sched!$N:$N,d_sched!$D:$D,$A48,d_sched!$K:$K,AA$2))</f>
        <v>1</v>
      </c>
      <c r="AB48">
        <f ca="1">IF($A48=AB$2,0,SUMIFS(d_sched!$N:$N,d_sched!$D:$D,$A48,d_sched!$I:$I,AB$2)+SUMIFS(d_sched!$N:$N,d_sched!$D:$D,$A48,d_sched!$K:$K,AB$2))</f>
        <v>2</v>
      </c>
      <c r="AC48">
        <f ca="1">IF($A48=AC$2,0,SUMIFS(d_sched!$N:$N,d_sched!$D:$D,$A48,d_sched!$I:$I,AC$2)+SUMIFS(d_sched!$N:$N,d_sched!$D:$D,$A48,d_sched!$K:$K,AC$2))</f>
        <v>0</v>
      </c>
      <c r="AD48">
        <f ca="1">IF($A48=AD$2,0,SUMIFS(d_sched!$N:$N,d_sched!$D:$D,$A48,d_sched!$I:$I,AD$2)+SUMIFS(d_sched!$N:$N,d_sched!$D:$D,$A48,d_sched!$K:$K,AD$2))</f>
        <v>1</v>
      </c>
      <c r="AE48">
        <f ca="1">IF($A48=AE$2,0,SUMIFS(d_sched!$N:$N,d_sched!$D:$D,$A48,d_sched!$I:$I,AE$2)+SUMIFS(d_sched!$N:$N,d_sched!$D:$D,$A48,d_sched!$K:$K,AE$2))</f>
        <v>3</v>
      </c>
      <c r="AG48">
        <f ca="1">ROUND(SUM(B48:AE48),2)</f>
        <v>39</v>
      </c>
      <c r="AH48">
        <f>VLOOKUP($A48,p_win_totals!$D$2:$J$31,6,0)</f>
        <v>33</v>
      </c>
      <c r="AI48">
        <f>VLOOKUP($A48,d_win_totals!$E$2:$K$31,3,0)</f>
        <v>38</v>
      </c>
      <c r="AJ48">
        <f t="shared" ca="1" si="7"/>
        <v>16</v>
      </c>
      <c r="AK48">
        <f>VLOOKUP($A48,p_win_totals!$D$2:$J$31,7,0)</f>
        <v>22</v>
      </c>
      <c r="AL48">
        <f>VLOOKUP($A48,d_win_totals!$E$2:$K$31,6,0)</f>
        <v>22</v>
      </c>
      <c r="AM48">
        <f t="shared" ca="1" si="8"/>
        <v>6</v>
      </c>
      <c r="AN48">
        <f t="shared" ca="1" si="9"/>
        <v>6</v>
      </c>
      <c r="AO48">
        <f t="shared" ca="1" si="10"/>
        <v>36</v>
      </c>
    </row>
    <row r="49" spans="1:41" x14ac:dyDescent="0.25">
      <c r="A49" t="s">
        <v>41</v>
      </c>
      <c r="B49">
        <f ca="1">IF($A49=B$2,0,SUMIFS(d_sched!$N:$N,d_sched!$D:$D,$A49,d_sched!$I:$I,B$2)+SUMIFS(d_sched!$N:$N,d_sched!$D:$D,$A49,d_sched!$K:$K,B$2))</f>
        <v>2</v>
      </c>
      <c r="C49">
        <f ca="1">IF($A49=C$2,0,SUMIFS(d_sched!$N:$N,d_sched!$D:$D,$A49,d_sched!$I:$I,C$2)+SUMIFS(d_sched!$N:$N,d_sched!$D:$D,$A49,d_sched!$K:$K,C$2))</f>
        <v>1</v>
      </c>
      <c r="D49">
        <f ca="1">IF($A49=D$2,0,SUMIFS(d_sched!$N:$N,d_sched!$D:$D,$A49,d_sched!$I:$I,D$2)+SUMIFS(d_sched!$N:$N,d_sched!$D:$D,$A49,d_sched!$K:$K,D$2))</f>
        <v>2</v>
      </c>
      <c r="E49">
        <f ca="1">IF($A49=E$2,0,SUMIFS(d_sched!$N:$N,d_sched!$D:$D,$A49,d_sched!$I:$I,E$2)+SUMIFS(d_sched!$N:$N,d_sched!$D:$D,$A49,d_sched!$K:$K,E$2))</f>
        <v>2</v>
      </c>
      <c r="F49">
        <f ca="1">IF($A49=F$2,0,SUMIFS(d_sched!$N:$N,d_sched!$D:$D,$A49,d_sched!$I:$I,F$2)+SUMIFS(d_sched!$N:$N,d_sched!$D:$D,$A49,d_sched!$K:$K,F$2))</f>
        <v>2</v>
      </c>
      <c r="G49">
        <f ca="1">IF($A49=G$2,0,SUMIFS(d_sched!$N:$N,d_sched!$D:$D,$A49,d_sched!$I:$I,G$2)+SUMIFS(d_sched!$N:$N,d_sched!$D:$D,$A49,d_sched!$K:$K,G$2))</f>
        <v>2</v>
      </c>
      <c r="H49">
        <f ca="1">IF($A49=H$2,0,SUMIFS(d_sched!$N:$N,d_sched!$D:$D,$A49,d_sched!$I:$I,H$2)+SUMIFS(d_sched!$N:$N,d_sched!$D:$D,$A49,d_sched!$K:$K,H$2))</f>
        <v>2</v>
      </c>
      <c r="I49">
        <f ca="1">IF($A49=I$2,0,SUMIFS(d_sched!$N:$N,d_sched!$D:$D,$A49,d_sched!$I:$I,I$2)+SUMIFS(d_sched!$N:$N,d_sched!$D:$D,$A49,d_sched!$K:$K,I$2))</f>
        <v>3</v>
      </c>
      <c r="J49">
        <f ca="1">IF($A49=J$2,0,SUMIFS(d_sched!$N:$N,d_sched!$D:$D,$A49,d_sched!$I:$I,J$2)+SUMIFS(d_sched!$N:$N,d_sched!$D:$D,$A49,d_sched!$K:$K,J$2))</f>
        <v>2</v>
      </c>
      <c r="K49">
        <f ca="1">IF($A49=K$2,0,SUMIFS(d_sched!$N:$N,d_sched!$D:$D,$A49,d_sched!$I:$I,K$2)+SUMIFS(d_sched!$N:$N,d_sched!$D:$D,$A49,d_sched!$K:$K,K$2))</f>
        <v>2</v>
      </c>
      <c r="L49">
        <f ca="1">IF($A49=L$2,0,SUMIFS(d_sched!$N:$N,d_sched!$D:$D,$A49,d_sched!$I:$I,L$2)+SUMIFS(d_sched!$N:$N,d_sched!$D:$D,$A49,d_sched!$K:$K,L$2))</f>
        <v>4</v>
      </c>
      <c r="M49">
        <f ca="1">IF($A49=M$2,0,SUMIFS(d_sched!$N:$N,d_sched!$D:$D,$A49,d_sched!$I:$I,M$2)+SUMIFS(d_sched!$N:$N,d_sched!$D:$D,$A49,d_sched!$K:$K,M$2))</f>
        <v>2</v>
      </c>
      <c r="N49">
        <f>IF($A49=N$2,0,SUMIFS(d_sched!$N:$N,d_sched!$D:$D,$A49,d_sched!$I:$I,N$2)+SUMIFS(d_sched!$N:$N,d_sched!$D:$D,$A49,d_sched!$K:$K,N$2))</f>
        <v>0</v>
      </c>
      <c r="O49">
        <f ca="1">IF($A49=O$2,0,SUMIFS(d_sched!$N:$N,d_sched!$D:$D,$A49,d_sched!$I:$I,O$2)+SUMIFS(d_sched!$N:$N,d_sched!$D:$D,$A49,d_sched!$K:$K,O$2))</f>
        <v>2</v>
      </c>
      <c r="P49">
        <f ca="1">IF($A49=P$2,0,SUMIFS(d_sched!$N:$N,d_sched!$D:$D,$A49,d_sched!$I:$I,P$2)+SUMIFS(d_sched!$N:$N,d_sched!$D:$D,$A49,d_sched!$K:$K,P$2))</f>
        <v>2</v>
      </c>
      <c r="Q49">
        <f ca="1">IF($A49=Q$2,0,SUMIFS(d_sched!$N:$N,d_sched!$D:$D,$A49,d_sched!$I:$I,Q$2)+SUMIFS(d_sched!$N:$N,d_sched!$D:$D,$A49,d_sched!$K:$K,Q$2))</f>
        <v>2</v>
      </c>
      <c r="R49">
        <f ca="1">IF($A49=R$2,0,SUMIFS(d_sched!$N:$N,d_sched!$D:$D,$A49,d_sched!$I:$I,R$2)+SUMIFS(d_sched!$N:$N,d_sched!$D:$D,$A49,d_sched!$K:$K,R$2))</f>
        <v>2</v>
      </c>
      <c r="S49">
        <f ca="1">IF($A49=S$2,0,SUMIFS(d_sched!$N:$N,d_sched!$D:$D,$A49,d_sched!$I:$I,S$2)+SUMIFS(d_sched!$N:$N,d_sched!$D:$D,$A49,d_sched!$K:$K,S$2))</f>
        <v>2</v>
      </c>
      <c r="T49">
        <f ca="1">IF($A49=T$2,0,SUMIFS(d_sched!$N:$N,d_sched!$D:$D,$A49,d_sched!$I:$I,T$2)+SUMIFS(d_sched!$N:$N,d_sched!$D:$D,$A49,d_sched!$K:$K,T$2))</f>
        <v>3</v>
      </c>
      <c r="U49">
        <f ca="1">IF($A49=U$2,0,SUMIFS(d_sched!$N:$N,d_sched!$D:$D,$A49,d_sched!$I:$I,U$2)+SUMIFS(d_sched!$N:$N,d_sched!$D:$D,$A49,d_sched!$K:$K,U$2))</f>
        <v>0</v>
      </c>
      <c r="V49">
        <f ca="1">IF($A49=V$2,0,SUMIFS(d_sched!$N:$N,d_sched!$D:$D,$A49,d_sched!$I:$I,V$2)+SUMIFS(d_sched!$N:$N,d_sched!$D:$D,$A49,d_sched!$K:$K,V$2))</f>
        <v>2</v>
      </c>
      <c r="W49">
        <f ca="1">IF($A49=W$2,0,SUMIFS(d_sched!$N:$N,d_sched!$D:$D,$A49,d_sched!$I:$I,W$2)+SUMIFS(d_sched!$N:$N,d_sched!$D:$D,$A49,d_sched!$K:$K,W$2))</f>
        <v>2</v>
      </c>
      <c r="X49">
        <f ca="1">IF($A49=X$2,0,SUMIFS(d_sched!$N:$N,d_sched!$D:$D,$A49,d_sched!$I:$I,X$2)+SUMIFS(d_sched!$N:$N,d_sched!$D:$D,$A49,d_sched!$K:$K,X$2))</f>
        <v>2</v>
      </c>
      <c r="Y49">
        <f ca="1">IF($A49=Y$2,0,SUMIFS(d_sched!$N:$N,d_sched!$D:$D,$A49,d_sched!$I:$I,Y$2)+SUMIFS(d_sched!$N:$N,d_sched!$D:$D,$A49,d_sched!$K:$K,Y$2))</f>
        <v>3</v>
      </c>
      <c r="Z49">
        <f ca="1">IF($A49=Z$2,0,SUMIFS(d_sched!$N:$N,d_sched!$D:$D,$A49,d_sched!$I:$I,Z$2)+SUMIFS(d_sched!$N:$N,d_sched!$D:$D,$A49,d_sched!$K:$K,Z$2))</f>
        <v>2</v>
      </c>
      <c r="AA49">
        <f ca="1">IF($A49=AA$2,0,SUMIFS(d_sched!$N:$N,d_sched!$D:$D,$A49,d_sched!$I:$I,AA$2)+SUMIFS(d_sched!$N:$N,d_sched!$D:$D,$A49,d_sched!$K:$K,AA$2))</f>
        <v>2</v>
      </c>
      <c r="AB49">
        <f ca="1">IF($A49=AB$2,0,SUMIFS(d_sched!$N:$N,d_sched!$D:$D,$A49,d_sched!$I:$I,AB$2)+SUMIFS(d_sched!$N:$N,d_sched!$D:$D,$A49,d_sched!$K:$K,AB$2))</f>
        <v>2</v>
      </c>
      <c r="AC49">
        <f ca="1">IF($A49=AC$2,0,SUMIFS(d_sched!$N:$N,d_sched!$D:$D,$A49,d_sched!$I:$I,AC$2)+SUMIFS(d_sched!$N:$N,d_sched!$D:$D,$A49,d_sched!$K:$K,AC$2))</f>
        <v>1</v>
      </c>
      <c r="AD49">
        <f ca="1">IF($A49=AD$2,0,SUMIFS(d_sched!$N:$N,d_sched!$D:$D,$A49,d_sched!$I:$I,AD$2)+SUMIFS(d_sched!$N:$N,d_sched!$D:$D,$A49,d_sched!$K:$K,AD$2))</f>
        <v>3</v>
      </c>
      <c r="AE49">
        <f ca="1">IF($A49=AE$2,0,SUMIFS(d_sched!$N:$N,d_sched!$D:$D,$A49,d_sched!$I:$I,AE$2)+SUMIFS(d_sched!$N:$N,d_sched!$D:$D,$A49,d_sched!$K:$K,AE$2))</f>
        <v>1</v>
      </c>
      <c r="AG49">
        <f ca="1">ROUND(SUM(B49:AE49),2)</f>
        <v>59</v>
      </c>
      <c r="AH49">
        <f>VLOOKUP($A49,p_win_totals!$D$2:$J$31,6,0)</f>
        <v>58</v>
      </c>
      <c r="AI49">
        <f>VLOOKUP($A49,d_win_totals!$E$2:$K$31,3,0)</f>
        <v>56</v>
      </c>
      <c r="AJ49">
        <f t="shared" ca="1" si="7"/>
        <v>1</v>
      </c>
      <c r="AK49">
        <f>VLOOKUP($A49,p_win_totals!$D$2:$J$31,7,0)</f>
        <v>1</v>
      </c>
      <c r="AL49">
        <f>VLOOKUP($A49,d_win_totals!$E$2:$K$31,6,0)</f>
        <v>4</v>
      </c>
      <c r="AM49">
        <f t="shared" ca="1" si="8"/>
        <v>3</v>
      </c>
      <c r="AN49">
        <f t="shared" ca="1" si="9"/>
        <v>3</v>
      </c>
      <c r="AO49">
        <f t="shared" ca="1" si="10"/>
        <v>9</v>
      </c>
    </row>
    <row r="50" spans="1:41" x14ac:dyDescent="0.25">
      <c r="A50" t="s">
        <v>17</v>
      </c>
      <c r="B50">
        <f ca="1">IF($A50=B$2,0,SUMIFS(d_sched!$N:$N,d_sched!$D:$D,$A50,d_sched!$I:$I,B$2)+SUMIFS(d_sched!$N:$N,d_sched!$D:$D,$A50,d_sched!$K:$K,B$2))</f>
        <v>1</v>
      </c>
      <c r="C50">
        <f ca="1">IF($A50=C$2,0,SUMIFS(d_sched!$N:$N,d_sched!$D:$D,$A50,d_sched!$I:$I,C$2)+SUMIFS(d_sched!$N:$N,d_sched!$D:$D,$A50,d_sched!$K:$K,C$2))</f>
        <v>0</v>
      </c>
      <c r="D50">
        <f ca="1">IF($A50=D$2,0,SUMIFS(d_sched!$N:$N,d_sched!$D:$D,$A50,d_sched!$I:$I,D$2)+SUMIFS(d_sched!$N:$N,d_sched!$D:$D,$A50,d_sched!$K:$K,D$2))</f>
        <v>2</v>
      </c>
      <c r="E50">
        <f ca="1">IF($A50=E$2,0,SUMIFS(d_sched!$N:$N,d_sched!$D:$D,$A50,d_sched!$I:$I,E$2)+SUMIFS(d_sched!$N:$N,d_sched!$D:$D,$A50,d_sched!$K:$K,E$2))</f>
        <v>1</v>
      </c>
      <c r="F50">
        <f ca="1">IF($A50=F$2,0,SUMIFS(d_sched!$N:$N,d_sched!$D:$D,$A50,d_sched!$I:$I,F$2)+SUMIFS(d_sched!$N:$N,d_sched!$D:$D,$A50,d_sched!$K:$K,F$2))</f>
        <v>0</v>
      </c>
      <c r="G50">
        <f ca="1">IF($A50=G$2,0,SUMIFS(d_sched!$N:$N,d_sched!$D:$D,$A50,d_sched!$I:$I,G$2)+SUMIFS(d_sched!$N:$N,d_sched!$D:$D,$A50,d_sched!$K:$K,G$2))</f>
        <v>0</v>
      </c>
      <c r="H50">
        <f ca="1">IF($A50=H$2,0,SUMIFS(d_sched!$N:$N,d_sched!$D:$D,$A50,d_sched!$I:$I,H$2)+SUMIFS(d_sched!$N:$N,d_sched!$D:$D,$A50,d_sched!$K:$K,H$2))</f>
        <v>2</v>
      </c>
      <c r="I50">
        <f ca="1">IF($A50=I$2,0,SUMIFS(d_sched!$N:$N,d_sched!$D:$D,$A50,d_sched!$I:$I,I$2)+SUMIFS(d_sched!$N:$N,d_sched!$D:$D,$A50,d_sched!$K:$K,I$2))</f>
        <v>0</v>
      </c>
      <c r="J50">
        <f ca="1">IF($A50=J$2,0,SUMIFS(d_sched!$N:$N,d_sched!$D:$D,$A50,d_sched!$I:$I,J$2)+SUMIFS(d_sched!$N:$N,d_sched!$D:$D,$A50,d_sched!$K:$K,J$2))</f>
        <v>1</v>
      </c>
      <c r="K50">
        <f ca="1">IF($A50=K$2,0,SUMIFS(d_sched!$N:$N,d_sched!$D:$D,$A50,d_sched!$I:$I,K$2)+SUMIFS(d_sched!$N:$N,d_sched!$D:$D,$A50,d_sched!$K:$K,K$2))</f>
        <v>1</v>
      </c>
      <c r="L50">
        <f ca="1">IF($A50=L$2,0,SUMIFS(d_sched!$N:$N,d_sched!$D:$D,$A50,d_sched!$I:$I,L$2)+SUMIFS(d_sched!$N:$N,d_sched!$D:$D,$A50,d_sched!$K:$K,L$2))</f>
        <v>2</v>
      </c>
      <c r="M50">
        <f ca="1">IF($A50=M$2,0,SUMIFS(d_sched!$N:$N,d_sched!$D:$D,$A50,d_sched!$I:$I,M$2)+SUMIFS(d_sched!$N:$N,d_sched!$D:$D,$A50,d_sched!$K:$K,M$2))</f>
        <v>1</v>
      </c>
      <c r="N50">
        <f ca="1">IF($A50=N$2,0,SUMIFS(d_sched!$N:$N,d_sched!$D:$D,$A50,d_sched!$I:$I,N$2)+SUMIFS(d_sched!$N:$N,d_sched!$D:$D,$A50,d_sched!$K:$K,N$2))</f>
        <v>2</v>
      </c>
      <c r="O50">
        <f>IF($A50=O$2,0,SUMIFS(d_sched!$N:$N,d_sched!$D:$D,$A50,d_sched!$I:$I,O$2)+SUMIFS(d_sched!$N:$N,d_sched!$D:$D,$A50,d_sched!$K:$K,O$2))</f>
        <v>0</v>
      </c>
      <c r="P50">
        <f ca="1">IF($A50=P$2,0,SUMIFS(d_sched!$N:$N,d_sched!$D:$D,$A50,d_sched!$I:$I,P$2)+SUMIFS(d_sched!$N:$N,d_sched!$D:$D,$A50,d_sched!$K:$K,P$2))</f>
        <v>2</v>
      </c>
      <c r="Q50">
        <f ca="1">IF($A50=Q$2,0,SUMIFS(d_sched!$N:$N,d_sched!$D:$D,$A50,d_sched!$I:$I,Q$2)+SUMIFS(d_sched!$N:$N,d_sched!$D:$D,$A50,d_sched!$K:$K,Q$2))</f>
        <v>1</v>
      </c>
      <c r="R50">
        <f ca="1">IF($A50=R$2,0,SUMIFS(d_sched!$N:$N,d_sched!$D:$D,$A50,d_sched!$I:$I,R$2)+SUMIFS(d_sched!$N:$N,d_sched!$D:$D,$A50,d_sched!$K:$K,R$2))</f>
        <v>2</v>
      </c>
      <c r="S50">
        <f ca="1">IF($A50=S$2,0,SUMIFS(d_sched!$N:$N,d_sched!$D:$D,$A50,d_sched!$I:$I,S$2)+SUMIFS(d_sched!$N:$N,d_sched!$D:$D,$A50,d_sched!$K:$K,S$2))</f>
        <v>3</v>
      </c>
      <c r="T50">
        <f ca="1">IF($A50=T$2,0,SUMIFS(d_sched!$N:$N,d_sched!$D:$D,$A50,d_sched!$I:$I,T$2)+SUMIFS(d_sched!$N:$N,d_sched!$D:$D,$A50,d_sched!$K:$K,T$2))</f>
        <v>2</v>
      </c>
      <c r="U50">
        <f ca="1">IF($A50=U$2,0,SUMIFS(d_sched!$N:$N,d_sched!$D:$D,$A50,d_sched!$I:$I,U$2)+SUMIFS(d_sched!$N:$N,d_sched!$D:$D,$A50,d_sched!$K:$K,U$2))</f>
        <v>0</v>
      </c>
      <c r="V50">
        <f ca="1">IF($A50=V$2,0,SUMIFS(d_sched!$N:$N,d_sched!$D:$D,$A50,d_sched!$I:$I,V$2)+SUMIFS(d_sched!$N:$N,d_sched!$D:$D,$A50,d_sched!$K:$K,V$2))</f>
        <v>0</v>
      </c>
      <c r="W50">
        <f ca="1">IF($A50=W$2,0,SUMIFS(d_sched!$N:$N,d_sched!$D:$D,$A50,d_sched!$I:$I,W$2)+SUMIFS(d_sched!$N:$N,d_sched!$D:$D,$A50,d_sched!$K:$K,W$2))</f>
        <v>0</v>
      </c>
      <c r="X50">
        <f ca="1">IF($A50=X$2,0,SUMIFS(d_sched!$N:$N,d_sched!$D:$D,$A50,d_sched!$I:$I,X$2)+SUMIFS(d_sched!$N:$N,d_sched!$D:$D,$A50,d_sched!$K:$K,X$2))</f>
        <v>2</v>
      </c>
      <c r="Y50">
        <f ca="1">IF($A50=Y$2,0,SUMIFS(d_sched!$N:$N,d_sched!$D:$D,$A50,d_sched!$I:$I,Y$2)+SUMIFS(d_sched!$N:$N,d_sched!$D:$D,$A50,d_sched!$K:$K,Y$2))</f>
        <v>1</v>
      </c>
      <c r="Z50">
        <f ca="1">IF($A50=Z$2,0,SUMIFS(d_sched!$N:$N,d_sched!$D:$D,$A50,d_sched!$I:$I,Z$2)+SUMIFS(d_sched!$N:$N,d_sched!$D:$D,$A50,d_sched!$K:$K,Z$2))</f>
        <v>2</v>
      </c>
      <c r="AA50">
        <f ca="1">IF($A50=AA$2,0,SUMIFS(d_sched!$N:$N,d_sched!$D:$D,$A50,d_sched!$I:$I,AA$2)+SUMIFS(d_sched!$N:$N,d_sched!$D:$D,$A50,d_sched!$K:$K,AA$2))</f>
        <v>1</v>
      </c>
      <c r="AB50">
        <f ca="1">IF($A50=AB$2,0,SUMIFS(d_sched!$N:$N,d_sched!$D:$D,$A50,d_sched!$I:$I,AB$2)+SUMIFS(d_sched!$N:$N,d_sched!$D:$D,$A50,d_sched!$K:$K,AB$2))</f>
        <v>1</v>
      </c>
      <c r="AC50">
        <f ca="1">IF($A50=AC$2,0,SUMIFS(d_sched!$N:$N,d_sched!$D:$D,$A50,d_sched!$I:$I,AC$2)+SUMIFS(d_sched!$N:$N,d_sched!$D:$D,$A50,d_sched!$K:$K,AC$2))</f>
        <v>1</v>
      </c>
      <c r="AD50">
        <f ca="1">IF($A50=AD$2,0,SUMIFS(d_sched!$N:$N,d_sched!$D:$D,$A50,d_sched!$I:$I,AD$2)+SUMIFS(d_sched!$N:$N,d_sched!$D:$D,$A50,d_sched!$K:$K,AD$2))</f>
        <v>2</v>
      </c>
      <c r="AE50">
        <f ca="1">IF($A50=AE$2,0,SUMIFS(d_sched!$N:$N,d_sched!$D:$D,$A50,d_sched!$I:$I,AE$2)+SUMIFS(d_sched!$N:$N,d_sched!$D:$D,$A50,d_sched!$K:$K,AE$2))</f>
        <v>1</v>
      </c>
      <c r="AG50">
        <f ca="1">ROUND(SUM(B50:AE50),2)</f>
        <v>34</v>
      </c>
      <c r="AH50">
        <f>VLOOKUP($A50,p_win_totals!$D$2:$J$31,6,0)</f>
        <v>29</v>
      </c>
      <c r="AI50">
        <f>VLOOKUP($A50,d_win_totals!$E$2:$K$31,3,0)</f>
        <v>21</v>
      </c>
      <c r="AJ50">
        <f t="shared" ca="1" si="7"/>
        <v>23</v>
      </c>
      <c r="AK50">
        <f>VLOOKUP($A50,p_win_totals!$D$2:$J$31,7,0)</f>
        <v>23</v>
      </c>
      <c r="AL50">
        <f>VLOOKUP($A50,d_win_totals!$E$2:$K$31,6,0)</f>
        <v>23</v>
      </c>
      <c r="AM50">
        <f t="shared" ca="1" si="8"/>
        <v>0</v>
      </c>
      <c r="AN50">
        <f t="shared" ca="1" si="9"/>
        <v>0</v>
      </c>
      <c r="AO50">
        <f t="shared" ca="1" si="10"/>
        <v>0</v>
      </c>
    </row>
    <row r="51" spans="1:41" x14ac:dyDescent="0.25">
      <c r="A51" t="s">
        <v>28</v>
      </c>
      <c r="B51">
        <f ca="1">IF($A51=B$2,0,SUMIFS(d_sched!$N:$N,d_sched!$D:$D,$A51,d_sched!$I:$I,B$2)+SUMIFS(d_sched!$N:$N,d_sched!$D:$D,$A51,d_sched!$K:$K,B$2))</f>
        <v>2</v>
      </c>
      <c r="C51">
        <f ca="1">IF($A51=C$2,0,SUMIFS(d_sched!$N:$N,d_sched!$D:$D,$A51,d_sched!$I:$I,C$2)+SUMIFS(d_sched!$N:$N,d_sched!$D:$D,$A51,d_sched!$K:$K,C$2))</f>
        <v>2</v>
      </c>
      <c r="D51">
        <f ca="1">IF($A51=D$2,0,SUMIFS(d_sched!$N:$N,d_sched!$D:$D,$A51,d_sched!$I:$I,D$2)+SUMIFS(d_sched!$N:$N,d_sched!$D:$D,$A51,d_sched!$K:$K,D$2))</f>
        <v>1</v>
      </c>
      <c r="E51">
        <f ca="1">IF($A51=E$2,0,SUMIFS(d_sched!$N:$N,d_sched!$D:$D,$A51,d_sched!$I:$I,E$2)+SUMIFS(d_sched!$N:$N,d_sched!$D:$D,$A51,d_sched!$K:$K,E$2))</f>
        <v>0</v>
      </c>
      <c r="F51">
        <f ca="1">IF($A51=F$2,0,SUMIFS(d_sched!$N:$N,d_sched!$D:$D,$A51,d_sched!$I:$I,F$2)+SUMIFS(d_sched!$N:$N,d_sched!$D:$D,$A51,d_sched!$K:$K,F$2))</f>
        <v>1</v>
      </c>
      <c r="G51">
        <f ca="1">IF($A51=G$2,0,SUMIFS(d_sched!$N:$N,d_sched!$D:$D,$A51,d_sched!$I:$I,G$2)+SUMIFS(d_sched!$N:$N,d_sched!$D:$D,$A51,d_sched!$K:$K,G$2))</f>
        <v>0</v>
      </c>
      <c r="H51">
        <f ca="1">IF($A51=H$2,0,SUMIFS(d_sched!$N:$N,d_sched!$D:$D,$A51,d_sched!$I:$I,H$2)+SUMIFS(d_sched!$N:$N,d_sched!$D:$D,$A51,d_sched!$K:$K,H$2))</f>
        <v>0</v>
      </c>
      <c r="I51">
        <f ca="1">IF($A51=I$2,0,SUMIFS(d_sched!$N:$N,d_sched!$D:$D,$A51,d_sched!$I:$I,I$2)+SUMIFS(d_sched!$N:$N,d_sched!$D:$D,$A51,d_sched!$K:$K,I$2))</f>
        <v>1</v>
      </c>
      <c r="J51">
        <f ca="1">IF($A51=J$2,0,SUMIFS(d_sched!$N:$N,d_sched!$D:$D,$A51,d_sched!$I:$I,J$2)+SUMIFS(d_sched!$N:$N,d_sched!$D:$D,$A51,d_sched!$K:$K,J$2))</f>
        <v>1</v>
      </c>
      <c r="K51">
        <f ca="1">IF($A51=K$2,0,SUMIFS(d_sched!$N:$N,d_sched!$D:$D,$A51,d_sched!$I:$I,K$2)+SUMIFS(d_sched!$N:$N,d_sched!$D:$D,$A51,d_sched!$K:$K,K$2))</f>
        <v>1</v>
      </c>
      <c r="L51">
        <f ca="1">IF($A51=L$2,0,SUMIFS(d_sched!$N:$N,d_sched!$D:$D,$A51,d_sched!$I:$I,L$2)+SUMIFS(d_sched!$N:$N,d_sched!$D:$D,$A51,d_sched!$K:$K,L$2))</f>
        <v>3</v>
      </c>
      <c r="M51">
        <f ca="1">IF($A51=M$2,0,SUMIFS(d_sched!$N:$N,d_sched!$D:$D,$A51,d_sched!$I:$I,M$2)+SUMIFS(d_sched!$N:$N,d_sched!$D:$D,$A51,d_sched!$K:$K,M$2))</f>
        <v>1</v>
      </c>
      <c r="N51">
        <f ca="1">IF($A51=N$2,0,SUMIFS(d_sched!$N:$N,d_sched!$D:$D,$A51,d_sched!$I:$I,N$2)+SUMIFS(d_sched!$N:$N,d_sched!$D:$D,$A51,d_sched!$K:$K,N$2))</f>
        <v>1</v>
      </c>
      <c r="O51">
        <f ca="1">IF($A51=O$2,0,SUMIFS(d_sched!$N:$N,d_sched!$D:$D,$A51,d_sched!$I:$I,O$2)+SUMIFS(d_sched!$N:$N,d_sched!$D:$D,$A51,d_sched!$K:$K,O$2))</f>
        <v>3</v>
      </c>
      <c r="P51">
        <f>IF($A51=P$2,0,SUMIFS(d_sched!$N:$N,d_sched!$D:$D,$A51,d_sched!$I:$I,P$2)+SUMIFS(d_sched!$N:$N,d_sched!$D:$D,$A51,d_sched!$K:$K,P$2))</f>
        <v>0</v>
      </c>
      <c r="Q51">
        <f ca="1">IF($A51=Q$2,0,SUMIFS(d_sched!$N:$N,d_sched!$D:$D,$A51,d_sched!$I:$I,Q$2)+SUMIFS(d_sched!$N:$N,d_sched!$D:$D,$A51,d_sched!$K:$K,Q$2))</f>
        <v>2</v>
      </c>
      <c r="R51">
        <f ca="1">IF($A51=R$2,0,SUMIFS(d_sched!$N:$N,d_sched!$D:$D,$A51,d_sched!$I:$I,R$2)+SUMIFS(d_sched!$N:$N,d_sched!$D:$D,$A51,d_sched!$K:$K,R$2))</f>
        <v>1</v>
      </c>
      <c r="S51">
        <f ca="1">IF($A51=S$2,0,SUMIFS(d_sched!$N:$N,d_sched!$D:$D,$A51,d_sched!$I:$I,S$2)+SUMIFS(d_sched!$N:$N,d_sched!$D:$D,$A51,d_sched!$K:$K,S$2))</f>
        <v>3</v>
      </c>
      <c r="T51">
        <f ca="1">IF($A51=T$2,0,SUMIFS(d_sched!$N:$N,d_sched!$D:$D,$A51,d_sched!$I:$I,T$2)+SUMIFS(d_sched!$N:$N,d_sched!$D:$D,$A51,d_sched!$K:$K,T$2))</f>
        <v>4</v>
      </c>
      <c r="U51">
        <f ca="1">IF($A51=U$2,0,SUMIFS(d_sched!$N:$N,d_sched!$D:$D,$A51,d_sched!$I:$I,U$2)+SUMIFS(d_sched!$N:$N,d_sched!$D:$D,$A51,d_sched!$K:$K,U$2))</f>
        <v>2</v>
      </c>
      <c r="V51">
        <f ca="1">IF($A51=V$2,0,SUMIFS(d_sched!$N:$N,d_sched!$D:$D,$A51,d_sched!$I:$I,V$2)+SUMIFS(d_sched!$N:$N,d_sched!$D:$D,$A51,d_sched!$K:$K,V$2))</f>
        <v>2</v>
      </c>
      <c r="W51">
        <f ca="1">IF($A51=W$2,0,SUMIFS(d_sched!$N:$N,d_sched!$D:$D,$A51,d_sched!$I:$I,W$2)+SUMIFS(d_sched!$N:$N,d_sched!$D:$D,$A51,d_sched!$K:$K,W$2))</f>
        <v>1</v>
      </c>
      <c r="X51">
        <f ca="1">IF($A51=X$2,0,SUMIFS(d_sched!$N:$N,d_sched!$D:$D,$A51,d_sched!$I:$I,X$2)+SUMIFS(d_sched!$N:$N,d_sched!$D:$D,$A51,d_sched!$K:$K,X$2))</f>
        <v>1</v>
      </c>
      <c r="Y51">
        <f ca="1">IF($A51=Y$2,0,SUMIFS(d_sched!$N:$N,d_sched!$D:$D,$A51,d_sched!$I:$I,Y$2)+SUMIFS(d_sched!$N:$N,d_sched!$D:$D,$A51,d_sched!$K:$K,Y$2))</f>
        <v>2</v>
      </c>
      <c r="Z51">
        <f ca="1">IF($A51=Z$2,0,SUMIFS(d_sched!$N:$N,d_sched!$D:$D,$A51,d_sched!$I:$I,Z$2)+SUMIFS(d_sched!$N:$N,d_sched!$D:$D,$A51,d_sched!$K:$K,Z$2))</f>
        <v>2</v>
      </c>
      <c r="AA51">
        <f ca="1">IF($A51=AA$2,0,SUMIFS(d_sched!$N:$N,d_sched!$D:$D,$A51,d_sched!$I:$I,AA$2)+SUMIFS(d_sched!$N:$N,d_sched!$D:$D,$A51,d_sched!$K:$K,AA$2))</f>
        <v>0</v>
      </c>
      <c r="AB51">
        <f ca="1">IF($A51=AB$2,0,SUMIFS(d_sched!$N:$N,d_sched!$D:$D,$A51,d_sched!$I:$I,AB$2)+SUMIFS(d_sched!$N:$N,d_sched!$D:$D,$A51,d_sched!$K:$K,AB$2))</f>
        <v>2</v>
      </c>
      <c r="AC51">
        <f ca="1">IF($A51=AC$2,0,SUMIFS(d_sched!$N:$N,d_sched!$D:$D,$A51,d_sched!$I:$I,AC$2)+SUMIFS(d_sched!$N:$N,d_sched!$D:$D,$A51,d_sched!$K:$K,AC$2))</f>
        <v>1</v>
      </c>
      <c r="AD51">
        <f ca="1">IF($A51=AD$2,0,SUMIFS(d_sched!$N:$N,d_sched!$D:$D,$A51,d_sched!$I:$I,AD$2)+SUMIFS(d_sched!$N:$N,d_sched!$D:$D,$A51,d_sched!$K:$K,AD$2))</f>
        <v>2</v>
      </c>
      <c r="AE51">
        <f ca="1">IF($A51=AE$2,0,SUMIFS(d_sched!$N:$N,d_sched!$D:$D,$A51,d_sched!$I:$I,AE$2)+SUMIFS(d_sched!$N:$N,d_sched!$D:$D,$A51,d_sched!$K:$K,AE$2))</f>
        <v>2</v>
      </c>
      <c r="AG51">
        <f ca="1">ROUND(SUM(B51:AE51),2)</f>
        <v>44</v>
      </c>
      <c r="AH51">
        <f>VLOOKUP($A51,p_win_totals!$D$2:$J$31,6,0)</f>
        <v>50</v>
      </c>
      <c r="AI51">
        <f>VLOOKUP($A51,d_win_totals!$E$2:$K$31,3,0)</f>
        <v>55</v>
      </c>
      <c r="AJ51">
        <f t="shared" ca="1" si="7"/>
        <v>11</v>
      </c>
      <c r="AK51">
        <f>VLOOKUP($A51,p_win_totals!$D$2:$J$31,7,0)</f>
        <v>9</v>
      </c>
      <c r="AL51">
        <f>VLOOKUP($A51,d_win_totals!$E$2:$K$31,6,0)</f>
        <v>11</v>
      </c>
      <c r="AM51">
        <f t="shared" ca="1" si="8"/>
        <v>0</v>
      </c>
      <c r="AN51">
        <f t="shared" ca="1" si="9"/>
        <v>0</v>
      </c>
      <c r="AO51">
        <f t="shared" ca="1" si="10"/>
        <v>0</v>
      </c>
    </row>
    <row r="52" spans="1:41" x14ac:dyDescent="0.25">
      <c r="A52" t="s">
        <v>24</v>
      </c>
      <c r="B52">
        <f ca="1">IF($A52=B$2,0,SUMIFS(d_sched!$N:$N,d_sched!$D:$D,$A52,d_sched!$I:$I,B$2)+SUMIFS(d_sched!$N:$N,d_sched!$D:$D,$A52,d_sched!$K:$K,B$2))</f>
        <v>3</v>
      </c>
      <c r="C52">
        <f ca="1">IF($A52=C$2,0,SUMIFS(d_sched!$N:$N,d_sched!$D:$D,$A52,d_sched!$I:$I,C$2)+SUMIFS(d_sched!$N:$N,d_sched!$D:$D,$A52,d_sched!$K:$K,C$2))</f>
        <v>3</v>
      </c>
      <c r="D52">
        <f ca="1">IF($A52=D$2,0,SUMIFS(d_sched!$N:$N,d_sched!$D:$D,$A52,d_sched!$I:$I,D$2)+SUMIFS(d_sched!$N:$N,d_sched!$D:$D,$A52,d_sched!$K:$K,D$2))</f>
        <v>4</v>
      </c>
      <c r="E52">
        <f ca="1">IF($A52=E$2,0,SUMIFS(d_sched!$N:$N,d_sched!$D:$D,$A52,d_sched!$I:$I,E$2)+SUMIFS(d_sched!$N:$N,d_sched!$D:$D,$A52,d_sched!$K:$K,E$2))</f>
        <v>1</v>
      </c>
      <c r="F52">
        <f ca="1">IF($A52=F$2,0,SUMIFS(d_sched!$N:$N,d_sched!$D:$D,$A52,d_sched!$I:$I,F$2)+SUMIFS(d_sched!$N:$N,d_sched!$D:$D,$A52,d_sched!$K:$K,F$2))</f>
        <v>1</v>
      </c>
      <c r="G52">
        <f ca="1">IF($A52=G$2,0,SUMIFS(d_sched!$N:$N,d_sched!$D:$D,$A52,d_sched!$I:$I,G$2)+SUMIFS(d_sched!$N:$N,d_sched!$D:$D,$A52,d_sched!$K:$K,G$2))</f>
        <v>2</v>
      </c>
      <c r="H52">
        <f ca="1">IF($A52=H$2,0,SUMIFS(d_sched!$N:$N,d_sched!$D:$D,$A52,d_sched!$I:$I,H$2)+SUMIFS(d_sched!$N:$N,d_sched!$D:$D,$A52,d_sched!$K:$K,H$2))</f>
        <v>0</v>
      </c>
      <c r="I52">
        <f ca="1">IF($A52=I$2,0,SUMIFS(d_sched!$N:$N,d_sched!$D:$D,$A52,d_sched!$I:$I,I$2)+SUMIFS(d_sched!$N:$N,d_sched!$D:$D,$A52,d_sched!$K:$K,I$2))</f>
        <v>2</v>
      </c>
      <c r="J52">
        <f ca="1">IF($A52=J$2,0,SUMIFS(d_sched!$N:$N,d_sched!$D:$D,$A52,d_sched!$I:$I,J$2)+SUMIFS(d_sched!$N:$N,d_sched!$D:$D,$A52,d_sched!$K:$K,J$2))</f>
        <v>2</v>
      </c>
      <c r="K52">
        <f ca="1">IF($A52=K$2,0,SUMIFS(d_sched!$N:$N,d_sched!$D:$D,$A52,d_sched!$I:$I,K$2)+SUMIFS(d_sched!$N:$N,d_sched!$D:$D,$A52,d_sched!$K:$K,K$2))</f>
        <v>0</v>
      </c>
      <c r="L52">
        <f ca="1">IF($A52=L$2,0,SUMIFS(d_sched!$N:$N,d_sched!$D:$D,$A52,d_sched!$I:$I,L$2)+SUMIFS(d_sched!$N:$N,d_sched!$D:$D,$A52,d_sched!$K:$K,L$2))</f>
        <v>0</v>
      </c>
      <c r="M52">
        <f ca="1">IF($A52=M$2,0,SUMIFS(d_sched!$N:$N,d_sched!$D:$D,$A52,d_sched!$I:$I,M$2)+SUMIFS(d_sched!$N:$N,d_sched!$D:$D,$A52,d_sched!$K:$K,M$2))</f>
        <v>3</v>
      </c>
      <c r="N52">
        <f ca="1">IF($A52=N$2,0,SUMIFS(d_sched!$N:$N,d_sched!$D:$D,$A52,d_sched!$I:$I,N$2)+SUMIFS(d_sched!$N:$N,d_sched!$D:$D,$A52,d_sched!$K:$K,N$2))</f>
        <v>0</v>
      </c>
      <c r="O52">
        <f ca="1">IF($A52=O$2,0,SUMIFS(d_sched!$N:$N,d_sched!$D:$D,$A52,d_sched!$I:$I,O$2)+SUMIFS(d_sched!$N:$N,d_sched!$D:$D,$A52,d_sched!$K:$K,O$2))</f>
        <v>1</v>
      </c>
      <c r="P52">
        <f ca="1">IF($A52=P$2,0,SUMIFS(d_sched!$N:$N,d_sched!$D:$D,$A52,d_sched!$I:$I,P$2)+SUMIFS(d_sched!$N:$N,d_sched!$D:$D,$A52,d_sched!$K:$K,P$2))</f>
        <v>0</v>
      </c>
      <c r="Q52">
        <f>IF($A52=Q$2,0,SUMIFS(d_sched!$N:$N,d_sched!$D:$D,$A52,d_sched!$I:$I,Q$2)+SUMIFS(d_sched!$N:$N,d_sched!$D:$D,$A52,d_sched!$K:$K,Q$2))</f>
        <v>0</v>
      </c>
      <c r="R52">
        <f ca="1">IF($A52=R$2,0,SUMIFS(d_sched!$N:$N,d_sched!$D:$D,$A52,d_sched!$I:$I,R$2)+SUMIFS(d_sched!$N:$N,d_sched!$D:$D,$A52,d_sched!$K:$K,R$2))</f>
        <v>4</v>
      </c>
      <c r="S52">
        <f ca="1">IF($A52=S$2,0,SUMIFS(d_sched!$N:$N,d_sched!$D:$D,$A52,d_sched!$I:$I,S$2)+SUMIFS(d_sched!$N:$N,d_sched!$D:$D,$A52,d_sched!$K:$K,S$2))</f>
        <v>1</v>
      </c>
      <c r="T52">
        <f ca="1">IF($A52=T$2,0,SUMIFS(d_sched!$N:$N,d_sched!$D:$D,$A52,d_sched!$I:$I,T$2)+SUMIFS(d_sched!$N:$N,d_sched!$D:$D,$A52,d_sched!$K:$K,T$2))</f>
        <v>2</v>
      </c>
      <c r="U52">
        <f ca="1">IF($A52=U$2,0,SUMIFS(d_sched!$N:$N,d_sched!$D:$D,$A52,d_sched!$I:$I,U$2)+SUMIFS(d_sched!$N:$N,d_sched!$D:$D,$A52,d_sched!$K:$K,U$2))</f>
        <v>2</v>
      </c>
      <c r="V52">
        <f ca="1">IF($A52=V$2,0,SUMIFS(d_sched!$N:$N,d_sched!$D:$D,$A52,d_sched!$I:$I,V$2)+SUMIFS(d_sched!$N:$N,d_sched!$D:$D,$A52,d_sched!$K:$K,V$2))</f>
        <v>0</v>
      </c>
      <c r="W52">
        <f ca="1">IF($A52=W$2,0,SUMIFS(d_sched!$N:$N,d_sched!$D:$D,$A52,d_sched!$I:$I,W$2)+SUMIFS(d_sched!$N:$N,d_sched!$D:$D,$A52,d_sched!$K:$K,W$2))</f>
        <v>4</v>
      </c>
      <c r="X52">
        <f ca="1">IF($A52=X$2,0,SUMIFS(d_sched!$N:$N,d_sched!$D:$D,$A52,d_sched!$I:$I,X$2)+SUMIFS(d_sched!$N:$N,d_sched!$D:$D,$A52,d_sched!$K:$K,X$2))</f>
        <v>2</v>
      </c>
      <c r="Y52">
        <f ca="1">IF($A52=Y$2,0,SUMIFS(d_sched!$N:$N,d_sched!$D:$D,$A52,d_sched!$I:$I,Y$2)+SUMIFS(d_sched!$N:$N,d_sched!$D:$D,$A52,d_sched!$K:$K,Y$2))</f>
        <v>2</v>
      </c>
      <c r="Z52">
        <f ca="1">IF($A52=Z$2,0,SUMIFS(d_sched!$N:$N,d_sched!$D:$D,$A52,d_sched!$I:$I,Z$2)+SUMIFS(d_sched!$N:$N,d_sched!$D:$D,$A52,d_sched!$K:$K,Z$2))</f>
        <v>2</v>
      </c>
      <c r="AA52">
        <f ca="1">IF($A52=AA$2,0,SUMIFS(d_sched!$N:$N,d_sched!$D:$D,$A52,d_sched!$I:$I,AA$2)+SUMIFS(d_sched!$N:$N,d_sched!$D:$D,$A52,d_sched!$K:$K,AA$2))</f>
        <v>0</v>
      </c>
      <c r="AB52">
        <f ca="1">IF($A52=AB$2,0,SUMIFS(d_sched!$N:$N,d_sched!$D:$D,$A52,d_sched!$I:$I,AB$2)+SUMIFS(d_sched!$N:$N,d_sched!$D:$D,$A52,d_sched!$K:$K,AB$2))</f>
        <v>1</v>
      </c>
      <c r="AC52">
        <f ca="1">IF($A52=AC$2,0,SUMIFS(d_sched!$N:$N,d_sched!$D:$D,$A52,d_sched!$I:$I,AC$2)+SUMIFS(d_sched!$N:$N,d_sched!$D:$D,$A52,d_sched!$K:$K,AC$2))</f>
        <v>1</v>
      </c>
      <c r="AD52">
        <f ca="1">IF($A52=AD$2,0,SUMIFS(d_sched!$N:$N,d_sched!$D:$D,$A52,d_sched!$I:$I,AD$2)+SUMIFS(d_sched!$N:$N,d_sched!$D:$D,$A52,d_sched!$K:$K,AD$2))</f>
        <v>2</v>
      </c>
      <c r="AE52">
        <f ca="1">IF($A52=AE$2,0,SUMIFS(d_sched!$N:$N,d_sched!$D:$D,$A52,d_sched!$I:$I,AE$2)+SUMIFS(d_sched!$N:$N,d_sched!$D:$D,$A52,d_sched!$K:$K,AE$2))</f>
        <v>3</v>
      </c>
      <c r="AG52">
        <f ca="1">ROUND(SUM(B52:AE52),2)</f>
        <v>48</v>
      </c>
      <c r="AH52">
        <f>VLOOKUP($A52,p_win_totals!$D$2:$J$31,6,0)</f>
        <v>45</v>
      </c>
      <c r="AI52">
        <f>VLOOKUP($A52,d_win_totals!$E$2:$K$31,3,0)</f>
        <v>37</v>
      </c>
      <c r="AJ52">
        <f t="shared" ca="1" si="7"/>
        <v>8</v>
      </c>
      <c r="AK52">
        <f>VLOOKUP($A52,p_win_totals!$D$2:$J$31,7,0)</f>
        <v>14</v>
      </c>
      <c r="AL52">
        <f>VLOOKUP($A52,d_win_totals!$E$2:$K$31,6,0)</f>
        <v>14</v>
      </c>
      <c r="AM52">
        <f t="shared" ca="1" si="8"/>
        <v>6</v>
      </c>
      <c r="AN52">
        <f t="shared" ca="1" si="9"/>
        <v>6</v>
      </c>
      <c r="AO52">
        <f t="shared" ca="1" si="10"/>
        <v>36</v>
      </c>
    </row>
    <row r="53" spans="1:41" x14ac:dyDescent="0.25">
      <c r="A53" t="s">
        <v>19</v>
      </c>
      <c r="B53">
        <f ca="1">IF($A53=B$2,0,SUMIFS(d_sched!$N:$N,d_sched!$D:$D,$A53,d_sched!$I:$I,B$2)+SUMIFS(d_sched!$N:$N,d_sched!$D:$D,$A53,d_sched!$K:$K,B$2))</f>
        <v>2</v>
      </c>
      <c r="C53">
        <f ca="1">IF($A53=C$2,0,SUMIFS(d_sched!$N:$N,d_sched!$D:$D,$A53,d_sched!$I:$I,C$2)+SUMIFS(d_sched!$N:$N,d_sched!$D:$D,$A53,d_sched!$K:$K,C$2))</f>
        <v>1</v>
      </c>
      <c r="D53">
        <f ca="1">IF($A53=D$2,0,SUMIFS(d_sched!$N:$N,d_sched!$D:$D,$A53,d_sched!$I:$I,D$2)+SUMIFS(d_sched!$N:$N,d_sched!$D:$D,$A53,d_sched!$K:$K,D$2))</f>
        <v>3</v>
      </c>
      <c r="E53">
        <f ca="1">IF($A53=E$2,0,SUMIFS(d_sched!$N:$N,d_sched!$D:$D,$A53,d_sched!$I:$I,E$2)+SUMIFS(d_sched!$N:$N,d_sched!$D:$D,$A53,d_sched!$K:$K,E$2))</f>
        <v>2</v>
      </c>
      <c r="F53">
        <f ca="1">IF($A53=F$2,0,SUMIFS(d_sched!$N:$N,d_sched!$D:$D,$A53,d_sched!$I:$I,F$2)+SUMIFS(d_sched!$N:$N,d_sched!$D:$D,$A53,d_sched!$K:$K,F$2))</f>
        <v>0</v>
      </c>
      <c r="G53">
        <f ca="1">IF($A53=G$2,0,SUMIFS(d_sched!$N:$N,d_sched!$D:$D,$A53,d_sched!$I:$I,G$2)+SUMIFS(d_sched!$N:$N,d_sched!$D:$D,$A53,d_sched!$K:$K,G$2))</f>
        <v>1</v>
      </c>
      <c r="H53">
        <f ca="1">IF($A53=H$2,0,SUMIFS(d_sched!$N:$N,d_sched!$D:$D,$A53,d_sched!$I:$I,H$2)+SUMIFS(d_sched!$N:$N,d_sched!$D:$D,$A53,d_sched!$K:$K,H$2))</f>
        <v>1</v>
      </c>
      <c r="I53">
        <f ca="1">IF($A53=I$2,0,SUMIFS(d_sched!$N:$N,d_sched!$D:$D,$A53,d_sched!$I:$I,I$2)+SUMIFS(d_sched!$N:$N,d_sched!$D:$D,$A53,d_sched!$K:$K,I$2))</f>
        <v>0</v>
      </c>
      <c r="J53">
        <f ca="1">IF($A53=J$2,0,SUMIFS(d_sched!$N:$N,d_sched!$D:$D,$A53,d_sched!$I:$I,J$2)+SUMIFS(d_sched!$N:$N,d_sched!$D:$D,$A53,d_sched!$K:$K,J$2))</f>
        <v>0</v>
      </c>
      <c r="K53">
        <f ca="1">IF($A53=K$2,0,SUMIFS(d_sched!$N:$N,d_sched!$D:$D,$A53,d_sched!$I:$I,K$2)+SUMIFS(d_sched!$N:$N,d_sched!$D:$D,$A53,d_sched!$K:$K,K$2))</f>
        <v>1</v>
      </c>
      <c r="L53">
        <f ca="1">IF($A53=L$2,0,SUMIFS(d_sched!$N:$N,d_sched!$D:$D,$A53,d_sched!$I:$I,L$2)+SUMIFS(d_sched!$N:$N,d_sched!$D:$D,$A53,d_sched!$K:$K,L$2))</f>
        <v>1</v>
      </c>
      <c r="M53">
        <f ca="1">IF($A53=M$2,0,SUMIFS(d_sched!$N:$N,d_sched!$D:$D,$A53,d_sched!$I:$I,M$2)+SUMIFS(d_sched!$N:$N,d_sched!$D:$D,$A53,d_sched!$K:$K,M$2))</f>
        <v>0</v>
      </c>
      <c r="N53">
        <f ca="1">IF($A53=N$2,0,SUMIFS(d_sched!$N:$N,d_sched!$D:$D,$A53,d_sched!$I:$I,N$2)+SUMIFS(d_sched!$N:$N,d_sched!$D:$D,$A53,d_sched!$K:$K,N$2))</f>
        <v>0</v>
      </c>
      <c r="O53">
        <f ca="1">IF($A53=O$2,0,SUMIFS(d_sched!$N:$N,d_sched!$D:$D,$A53,d_sched!$I:$I,O$2)+SUMIFS(d_sched!$N:$N,d_sched!$D:$D,$A53,d_sched!$K:$K,O$2))</f>
        <v>0</v>
      </c>
      <c r="P53">
        <f ca="1">IF($A53=P$2,0,SUMIFS(d_sched!$N:$N,d_sched!$D:$D,$A53,d_sched!$I:$I,P$2)+SUMIFS(d_sched!$N:$N,d_sched!$D:$D,$A53,d_sched!$K:$K,P$2))</f>
        <v>0</v>
      </c>
      <c r="Q53">
        <f ca="1">IF($A53=Q$2,0,SUMIFS(d_sched!$N:$N,d_sched!$D:$D,$A53,d_sched!$I:$I,Q$2)+SUMIFS(d_sched!$N:$N,d_sched!$D:$D,$A53,d_sched!$K:$K,Q$2))</f>
        <v>2</v>
      </c>
      <c r="R53">
        <f>IF($A53=R$2,0,SUMIFS(d_sched!$N:$N,d_sched!$D:$D,$A53,d_sched!$I:$I,R$2)+SUMIFS(d_sched!$N:$N,d_sched!$D:$D,$A53,d_sched!$K:$K,R$2))</f>
        <v>0</v>
      </c>
      <c r="S53">
        <f ca="1">IF($A53=S$2,0,SUMIFS(d_sched!$N:$N,d_sched!$D:$D,$A53,d_sched!$I:$I,S$2)+SUMIFS(d_sched!$N:$N,d_sched!$D:$D,$A53,d_sched!$K:$K,S$2))</f>
        <v>1</v>
      </c>
      <c r="T53">
        <f ca="1">IF($A53=T$2,0,SUMIFS(d_sched!$N:$N,d_sched!$D:$D,$A53,d_sched!$I:$I,T$2)+SUMIFS(d_sched!$N:$N,d_sched!$D:$D,$A53,d_sched!$K:$K,T$2))</f>
        <v>1</v>
      </c>
      <c r="U53">
        <f ca="1">IF($A53=U$2,0,SUMIFS(d_sched!$N:$N,d_sched!$D:$D,$A53,d_sched!$I:$I,U$2)+SUMIFS(d_sched!$N:$N,d_sched!$D:$D,$A53,d_sched!$K:$K,U$2))</f>
        <v>0</v>
      </c>
      <c r="V53">
        <f ca="1">IF($A53=V$2,0,SUMIFS(d_sched!$N:$N,d_sched!$D:$D,$A53,d_sched!$I:$I,V$2)+SUMIFS(d_sched!$N:$N,d_sched!$D:$D,$A53,d_sched!$K:$K,V$2))</f>
        <v>1</v>
      </c>
      <c r="W53">
        <f ca="1">IF($A53=W$2,0,SUMIFS(d_sched!$N:$N,d_sched!$D:$D,$A53,d_sched!$I:$I,W$2)+SUMIFS(d_sched!$N:$N,d_sched!$D:$D,$A53,d_sched!$K:$K,W$2))</f>
        <v>0</v>
      </c>
      <c r="X53">
        <f ca="1">IF($A53=X$2,0,SUMIFS(d_sched!$N:$N,d_sched!$D:$D,$A53,d_sched!$I:$I,X$2)+SUMIFS(d_sched!$N:$N,d_sched!$D:$D,$A53,d_sched!$K:$K,X$2))</f>
        <v>3</v>
      </c>
      <c r="Y53">
        <f ca="1">IF($A53=Y$2,0,SUMIFS(d_sched!$N:$N,d_sched!$D:$D,$A53,d_sched!$I:$I,Y$2)+SUMIFS(d_sched!$N:$N,d_sched!$D:$D,$A53,d_sched!$K:$K,Y$2))</f>
        <v>1</v>
      </c>
      <c r="Z53">
        <f ca="1">IF($A53=Z$2,0,SUMIFS(d_sched!$N:$N,d_sched!$D:$D,$A53,d_sched!$I:$I,Z$2)+SUMIFS(d_sched!$N:$N,d_sched!$D:$D,$A53,d_sched!$K:$K,Z$2))</f>
        <v>2</v>
      </c>
      <c r="AA53">
        <f ca="1">IF($A53=AA$2,0,SUMIFS(d_sched!$N:$N,d_sched!$D:$D,$A53,d_sched!$I:$I,AA$2)+SUMIFS(d_sched!$N:$N,d_sched!$D:$D,$A53,d_sched!$K:$K,AA$2))</f>
        <v>1</v>
      </c>
      <c r="AB53">
        <f ca="1">IF($A53=AB$2,0,SUMIFS(d_sched!$N:$N,d_sched!$D:$D,$A53,d_sched!$I:$I,AB$2)+SUMIFS(d_sched!$N:$N,d_sched!$D:$D,$A53,d_sched!$K:$K,AB$2))</f>
        <v>1</v>
      </c>
      <c r="AC53">
        <f ca="1">IF($A53=AC$2,0,SUMIFS(d_sched!$N:$N,d_sched!$D:$D,$A53,d_sched!$I:$I,AC$2)+SUMIFS(d_sched!$N:$N,d_sched!$D:$D,$A53,d_sched!$K:$K,AC$2))</f>
        <v>1</v>
      </c>
      <c r="AD53">
        <f ca="1">IF($A53=AD$2,0,SUMIFS(d_sched!$N:$N,d_sched!$D:$D,$A53,d_sched!$I:$I,AD$2)+SUMIFS(d_sched!$N:$N,d_sched!$D:$D,$A53,d_sched!$K:$K,AD$2))</f>
        <v>2</v>
      </c>
      <c r="AE53">
        <f ca="1">IF($A53=AE$2,0,SUMIFS(d_sched!$N:$N,d_sched!$D:$D,$A53,d_sched!$I:$I,AE$2)+SUMIFS(d_sched!$N:$N,d_sched!$D:$D,$A53,d_sched!$K:$K,AE$2))</f>
        <v>1</v>
      </c>
      <c r="AG53">
        <f ca="1">ROUND(SUM(B53:AE53),2)</f>
        <v>29</v>
      </c>
      <c r="AH53">
        <f>VLOOKUP($A53,p_win_totals!$D$2:$J$31,6,0)</f>
        <v>25</v>
      </c>
      <c r="AI53">
        <f>VLOOKUP($A53,d_win_totals!$E$2:$K$31,3,0)</f>
        <v>41</v>
      </c>
      <c r="AJ53">
        <f t="shared" ca="1" si="7"/>
        <v>28</v>
      </c>
      <c r="AK53">
        <f>VLOOKUP($A53,p_win_totals!$D$2:$J$31,7,0)</f>
        <v>27</v>
      </c>
      <c r="AL53">
        <f>VLOOKUP($A53,d_win_totals!$E$2:$K$31,6,0)</f>
        <v>29</v>
      </c>
      <c r="AM53">
        <f t="shared" ca="1" si="8"/>
        <v>1</v>
      </c>
      <c r="AN53">
        <f t="shared" ca="1" si="9"/>
        <v>1</v>
      </c>
      <c r="AO53">
        <f t="shared" ca="1" si="10"/>
        <v>1</v>
      </c>
    </row>
    <row r="54" spans="1:41" x14ac:dyDescent="0.25">
      <c r="A54" t="s">
        <v>29</v>
      </c>
      <c r="B54">
        <f ca="1">IF($A54=B$2,0,SUMIFS(d_sched!$N:$N,d_sched!$D:$D,$A54,d_sched!$I:$I,B$2)+SUMIFS(d_sched!$N:$N,d_sched!$D:$D,$A54,d_sched!$K:$K,B$2))</f>
        <v>0</v>
      </c>
      <c r="C54">
        <f ca="1">IF($A54=C$2,0,SUMIFS(d_sched!$N:$N,d_sched!$D:$D,$A54,d_sched!$I:$I,C$2)+SUMIFS(d_sched!$N:$N,d_sched!$D:$D,$A54,d_sched!$K:$K,C$2))</f>
        <v>1</v>
      </c>
      <c r="D54">
        <f ca="1">IF($A54=D$2,0,SUMIFS(d_sched!$N:$N,d_sched!$D:$D,$A54,d_sched!$I:$I,D$2)+SUMIFS(d_sched!$N:$N,d_sched!$D:$D,$A54,d_sched!$K:$K,D$2))</f>
        <v>2</v>
      </c>
      <c r="E54">
        <f ca="1">IF($A54=E$2,0,SUMIFS(d_sched!$N:$N,d_sched!$D:$D,$A54,d_sched!$I:$I,E$2)+SUMIFS(d_sched!$N:$N,d_sched!$D:$D,$A54,d_sched!$K:$K,E$2))</f>
        <v>0</v>
      </c>
      <c r="F54">
        <f ca="1">IF($A54=F$2,0,SUMIFS(d_sched!$N:$N,d_sched!$D:$D,$A54,d_sched!$I:$I,F$2)+SUMIFS(d_sched!$N:$N,d_sched!$D:$D,$A54,d_sched!$K:$K,F$2))</f>
        <v>1</v>
      </c>
      <c r="G54">
        <f ca="1">IF($A54=G$2,0,SUMIFS(d_sched!$N:$N,d_sched!$D:$D,$A54,d_sched!$I:$I,G$2)+SUMIFS(d_sched!$N:$N,d_sched!$D:$D,$A54,d_sched!$K:$K,G$2))</f>
        <v>1</v>
      </c>
      <c r="H54">
        <f ca="1">IF($A54=H$2,0,SUMIFS(d_sched!$N:$N,d_sched!$D:$D,$A54,d_sched!$I:$I,H$2)+SUMIFS(d_sched!$N:$N,d_sched!$D:$D,$A54,d_sched!$K:$K,H$2))</f>
        <v>0</v>
      </c>
      <c r="I54">
        <f ca="1">IF($A54=I$2,0,SUMIFS(d_sched!$N:$N,d_sched!$D:$D,$A54,d_sched!$I:$I,I$2)+SUMIFS(d_sched!$N:$N,d_sched!$D:$D,$A54,d_sched!$K:$K,I$2))</f>
        <v>2</v>
      </c>
      <c r="J54">
        <f ca="1">IF($A54=J$2,0,SUMIFS(d_sched!$N:$N,d_sched!$D:$D,$A54,d_sched!$I:$I,J$2)+SUMIFS(d_sched!$N:$N,d_sched!$D:$D,$A54,d_sched!$K:$K,J$2))</f>
        <v>1</v>
      </c>
      <c r="K54">
        <f ca="1">IF($A54=K$2,0,SUMIFS(d_sched!$N:$N,d_sched!$D:$D,$A54,d_sched!$I:$I,K$2)+SUMIFS(d_sched!$N:$N,d_sched!$D:$D,$A54,d_sched!$K:$K,K$2))</f>
        <v>2</v>
      </c>
      <c r="L54">
        <f ca="1">IF($A54=L$2,0,SUMIFS(d_sched!$N:$N,d_sched!$D:$D,$A54,d_sched!$I:$I,L$2)+SUMIFS(d_sched!$N:$N,d_sched!$D:$D,$A54,d_sched!$K:$K,L$2))</f>
        <v>0</v>
      </c>
      <c r="M54">
        <f ca="1">IF($A54=M$2,0,SUMIFS(d_sched!$N:$N,d_sched!$D:$D,$A54,d_sched!$I:$I,M$2)+SUMIFS(d_sched!$N:$N,d_sched!$D:$D,$A54,d_sched!$K:$K,M$2))</f>
        <v>1</v>
      </c>
      <c r="N54">
        <f ca="1">IF($A54=N$2,0,SUMIFS(d_sched!$N:$N,d_sched!$D:$D,$A54,d_sched!$I:$I,N$2)+SUMIFS(d_sched!$N:$N,d_sched!$D:$D,$A54,d_sched!$K:$K,N$2))</f>
        <v>2</v>
      </c>
      <c r="O54">
        <f ca="1">IF($A54=O$2,0,SUMIFS(d_sched!$N:$N,d_sched!$D:$D,$A54,d_sched!$I:$I,O$2)+SUMIFS(d_sched!$N:$N,d_sched!$D:$D,$A54,d_sched!$K:$K,O$2))</f>
        <v>0</v>
      </c>
      <c r="P54">
        <f ca="1">IF($A54=P$2,0,SUMIFS(d_sched!$N:$N,d_sched!$D:$D,$A54,d_sched!$I:$I,P$2)+SUMIFS(d_sched!$N:$N,d_sched!$D:$D,$A54,d_sched!$K:$K,P$2))</f>
        <v>1</v>
      </c>
      <c r="Q54">
        <f ca="1">IF($A54=Q$2,0,SUMIFS(d_sched!$N:$N,d_sched!$D:$D,$A54,d_sched!$I:$I,Q$2)+SUMIFS(d_sched!$N:$N,d_sched!$D:$D,$A54,d_sched!$K:$K,Q$2))</f>
        <v>0</v>
      </c>
      <c r="R54">
        <f ca="1">IF($A54=R$2,0,SUMIFS(d_sched!$N:$N,d_sched!$D:$D,$A54,d_sched!$I:$I,R$2)+SUMIFS(d_sched!$N:$N,d_sched!$D:$D,$A54,d_sched!$K:$K,R$2))</f>
        <v>0</v>
      </c>
      <c r="S54">
        <f>IF($A54=S$2,0,SUMIFS(d_sched!$N:$N,d_sched!$D:$D,$A54,d_sched!$I:$I,S$2)+SUMIFS(d_sched!$N:$N,d_sched!$D:$D,$A54,d_sched!$K:$K,S$2))</f>
        <v>0</v>
      </c>
      <c r="T54">
        <f ca="1">IF($A54=T$2,0,SUMIFS(d_sched!$N:$N,d_sched!$D:$D,$A54,d_sched!$I:$I,T$2)+SUMIFS(d_sched!$N:$N,d_sched!$D:$D,$A54,d_sched!$K:$K,T$2))</f>
        <v>0</v>
      </c>
      <c r="U54">
        <f ca="1">IF($A54=U$2,0,SUMIFS(d_sched!$N:$N,d_sched!$D:$D,$A54,d_sched!$I:$I,U$2)+SUMIFS(d_sched!$N:$N,d_sched!$D:$D,$A54,d_sched!$K:$K,U$2))</f>
        <v>2</v>
      </c>
      <c r="V54">
        <f ca="1">IF($A54=V$2,0,SUMIFS(d_sched!$N:$N,d_sched!$D:$D,$A54,d_sched!$I:$I,V$2)+SUMIFS(d_sched!$N:$N,d_sched!$D:$D,$A54,d_sched!$K:$K,V$2))</f>
        <v>2</v>
      </c>
      <c r="W54">
        <f ca="1">IF($A54=W$2,0,SUMIFS(d_sched!$N:$N,d_sched!$D:$D,$A54,d_sched!$I:$I,W$2)+SUMIFS(d_sched!$N:$N,d_sched!$D:$D,$A54,d_sched!$K:$K,W$2))</f>
        <v>0</v>
      </c>
      <c r="X54">
        <f ca="1">IF($A54=X$2,0,SUMIFS(d_sched!$N:$N,d_sched!$D:$D,$A54,d_sched!$I:$I,X$2)+SUMIFS(d_sched!$N:$N,d_sched!$D:$D,$A54,d_sched!$K:$K,X$2))</f>
        <v>0</v>
      </c>
      <c r="Y54">
        <f ca="1">IF($A54=Y$2,0,SUMIFS(d_sched!$N:$N,d_sched!$D:$D,$A54,d_sched!$I:$I,Y$2)+SUMIFS(d_sched!$N:$N,d_sched!$D:$D,$A54,d_sched!$K:$K,Y$2))</f>
        <v>2</v>
      </c>
      <c r="Z54">
        <f ca="1">IF($A54=Z$2,0,SUMIFS(d_sched!$N:$N,d_sched!$D:$D,$A54,d_sched!$I:$I,Z$2)+SUMIFS(d_sched!$N:$N,d_sched!$D:$D,$A54,d_sched!$K:$K,Z$2))</f>
        <v>3</v>
      </c>
      <c r="AA54">
        <f ca="1">IF($A54=AA$2,0,SUMIFS(d_sched!$N:$N,d_sched!$D:$D,$A54,d_sched!$I:$I,AA$2)+SUMIFS(d_sched!$N:$N,d_sched!$D:$D,$A54,d_sched!$K:$K,AA$2))</f>
        <v>4</v>
      </c>
      <c r="AB54">
        <f ca="1">IF($A54=AB$2,0,SUMIFS(d_sched!$N:$N,d_sched!$D:$D,$A54,d_sched!$I:$I,AB$2)+SUMIFS(d_sched!$N:$N,d_sched!$D:$D,$A54,d_sched!$K:$K,AB$2))</f>
        <v>2</v>
      </c>
      <c r="AC54">
        <f ca="1">IF($A54=AC$2,0,SUMIFS(d_sched!$N:$N,d_sched!$D:$D,$A54,d_sched!$I:$I,AC$2)+SUMIFS(d_sched!$N:$N,d_sched!$D:$D,$A54,d_sched!$K:$K,AC$2))</f>
        <v>0</v>
      </c>
      <c r="AD54">
        <f ca="1">IF($A54=AD$2,0,SUMIFS(d_sched!$N:$N,d_sched!$D:$D,$A54,d_sched!$I:$I,AD$2)+SUMIFS(d_sched!$N:$N,d_sched!$D:$D,$A54,d_sched!$K:$K,AD$2))</f>
        <v>1</v>
      </c>
      <c r="AE54">
        <f ca="1">IF($A54=AE$2,0,SUMIFS(d_sched!$N:$N,d_sched!$D:$D,$A54,d_sched!$I:$I,AE$2)+SUMIFS(d_sched!$N:$N,d_sched!$D:$D,$A54,d_sched!$K:$K,AE$2))</f>
        <v>0</v>
      </c>
      <c r="AG54">
        <f ca="1">ROUND(SUM(B54:AE54),2)</f>
        <v>30</v>
      </c>
      <c r="AH54">
        <f>VLOOKUP($A54,p_win_totals!$D$2:$J$31,6,0)</f>
        <v>24</v>
      </c>
      <c r="AI54">
        <f>VLOOKUP($A54,d_win_totals!$E$2:$K$31,3,0)</f>
        <v>16</v>
      </c>
      <c r="AJ54">
        <f t="shared" ca="1" si="7"/>
        <v>27</v>
      </c>
      <c r="AK54">
        <f>VLOOKUP($A54,p_win_totals!$D$2:$J$31,7,0)</f>
        <v>28</v>
      </c>
      <c r="AL54">
        <f>VLOOKUP($A54,d_win_totals!$E$2:$K$31,6,0)</f>
        <v>27</v>
      </c>
      <c r="AM54">
        <f t="shared" ca="1" si="8"/>
        <v>0</v>
      </c>
      <c r="AN54">
        <f t="shared" ca="1" si="9"/>
        <v>0</v>
      </c>
      <c r="AO54">
        <f t="shared" ca="1" si="10"/>
        <v>0</v>
      </c>
    </row>
    <row r="55" spans="1:41" x14ac:dyDescent="0.25">
      <c r="A55" t="s">
        <v>12</v>
      </c>
      <c r="B55">
        <f ca="1">IF($A55=B$2,0,SUMIFS(d_sched!$N:$N,d_sched!$D:$D,$A55,d_sched!$I:$I,B$2)+SUMIFS(d_sched!$N:$N,d_sched!$D:$D,$A55,d_sched!$K:$K,B$2))</f>
        <v>0</v>
      </c>
      <c r="C55">
        <f ca="1">IF($A55=C$2,0,SUMIFS(d_sched!$N:$N,d_sched!$D:$D,$A55,d_sched!$I:$I,C$2)+SUMIFS(d_sched!$N:$N,d_sched!$D:$D,$A55,d_sched!$K:$K,C$2))</f>
        <v>2</v>
      </c>
      <c r="D55">
        <f ca="1">IF($A55=D$2,0,SUMIFS(d_sched!$N:$N,d_sched!$D:$D,$A55,d_sched!$I:$I,D$2)+SUMIFS(d_sched!$N:$N,d_sched!$D:$D,$A55,d_sched!$K:$K,D$2))</f>
        <v>2</v>
      </c>
      <c r="E55">
        <f ca="1">IF($A55=E$2,0,SUMIFS(d_sched!$N:$N,d_sched!$D:$D,$A55,d_sched!$I:$I,E$2)+SUMIFS(d_sched!$N:$N,d_sched!$D:$D,$A55,d_sched!$K:$K,E$2))</f>
        <v>0</v>
      </c>
      <c r="F55">
        <f ca="1">IF($A55=F$2,0,SUMIFS(d_sched!$N:$N,d_sched!$D:$D,$A55,d_sched!$I:$I,F$2)+SUMIFS(d_sched!$N:$N,d_sched!$D:$D,$A55,d_sched!$K:$K,F$2))</f>
        <v>0</v>
      </c>
      <c r="G55">
        <f ca="1">IF($A55=G$2,0,SUMIFS(d_sched!$N:$N,d_sched!$D:$D,$A55,d_sched!$I:$I,G$2)+SUMIFS(d_sched!$N:$N,d_sched!$D:$D,$A55,d_sched!$K:$K,G$2))</f>
        <v>1</v>
      </c>
      <c r="H55">
        <f ca="1">IF($A55=H$2,0,SUMIFS(d_sched!$N:$N,d_sched!$D:$D,$A55,d_sched!$I:$I,H$2)+SUMIFS(d_sched!$N:$N,d_sched!$D:$D,$A55,d_sched!$K:$K,H$2))</f>
        <v>0</v>
      </c>
      <c r="I55">
        <f ca="1">IF($A55=I$2,0,SUMIFS(d_sched!$N:$N,d_sched!$D:$D,$A55,d_sched!$I:$I,I$2)+SUMIFS(d_sched!$N:$N,d_sched!$D:$D,$A55,d_sched!$K:$K,I$2))</f>
        <v>4</v>
      </c>
      <c r="J55">
        <f ca="1">IF($A55=J$2,0,SUMIFS(d_sched!$N:$N,d_sched!$D:$D,$A55,d_sched!$I:$I,J$2)+SUMIFS(d_sched!$N:$N,d_sched!$D:$D,$A55,d_sched!$K:$K,J$2))</f>
        <v>1</v>
      </c>
      <c r="K55">
        <f ca="1">IF($A55=K$2,0,SUMIFS(d_sched!$N:$N,d_sched!$D:$D,$A55,d_sched!$I:$I,K$2)+SUMIFS(d_sched!$N:$N,d_sched!$D:$D,$A55,d_sched!$K:$K,K$2))</f>
        <v>0</v>
      </c>
      <c r="L55">
        <f ca="1">IF($A55=L$2,0,SUMIFS(d_sched!$N:$N,d_sched!$D:$D,$A55,d_sched!$I:$I,L$2)+SUMIFS(d_sched!$N:$N,d_sched!$D:$D,$A55,d_sched!$K:$K,L$2))</f>
        <v>0</v>
      </c>
      <c r="M55">
        <f ca="1">IF($A55=M$2,0,SUMIFS(d_sched!$N:$N,d_sched!$D:$D,$A55,d_sched!$I:$I,M$2)+SUMIFS(d_sched!$N:$N,d_sched!$D:$D,$A55,d_sched!$K:$K,M$2))</f>
        <v>1</v>
      </c>
      <c r="N55">
        <f ca="1">IF($A55=N$2,0,SUMIFS(d_sched!$N:$N,d_sched!$D:$D,$A55,d_sched!$I:$I,N$2)+SUMIFS(d_sched!$N:$N,d_sched!$D:$D,$A55,d_sched!$K:$K,N$2))</f>
        <v>1</v>
      </c>
      <c r="O55">
        <f ca="1">IF($A55=O$2,0,SUMIFS(d_sched!$N:$N,d_sched!$D:$D,$A55,d_sched!$I:$I,O$2)+SUMIFS(d_sched!$N:$N,d_sched!$D:$D,$A55,d_sched!$K:$K,O$2))</f>
        <v>4</v>
      </c>
      <c r="P55">
        <f ca="1">IF($A55=P$2,0,SUMIFS(d_sched!$N:$N,d_sched!$D:$D,$A55,d_sched!$I:$I,P$2)+SUMIFS(d_sched!$N:$N,d_sched!$D:$D,$A55,d_sched!$K:$K,P$2))</f>
        <v>0</v>
      </c>
      <c r="Q55">
        <f ca="1">IF($A55=Q$2,0,SUMIFS(d_sched!$N:$N,d_sched!$D:$D,$A55,d_sched!$I:$I,Q$2)+SUMIFS(d_sched!$N:$N,d_sched!$D:$D,$A55,d_sched!$K:$K,Q$2))</f>
        <v>1</v>
      </c>
      <c r="R55">
        <f ca="1">IF($A55=R$2,0,SUMIFS(d_sched!$N:$N,d_sched!$D:$D,$A55,d_sched!$I:$I,R$2)+SUMIFS(d_sched!$N:$N,d_sched!$D:$D,$A55,d_sched!$K:$K,R$2))</f>
        <v>1</v>
      </c>
      <c r="S55">
        <f ca="1">IF($A55=S$2,0,SUMIFS(d_sched!$N:$N,d_sched!$D:$D,$A55,d_sched!$I:$I,S$2)+SUMIFS(d_sched!$N:$N,d_sched!$D:$D,$A55,d_sched!$K:$K,S$2))</f>
        <v>4</v>
      </c>
      <c r="T55">
        <f>IF($A55=T$2,0,SUMIFS(d_sched!$N:$N,d_sched!$D:$D,$A55,d_sched!$I:$I,T$2)+SUMIFS(d_sched!$N:$N,d_sched!$D:$D,$A55,d_sched!$K:$K,T$2))</f>
        <v>0</v>
      </c>
      <c r="U55">
        <f ca="1">IF($A55=U$2,0,SUMIFS(d_sched!$N:$N,d_sched!$D:$D,$A55,d_sched!$I:$I,U$2)+SUMIFS(d_sched!$N:$N,d_sched!$D:$D,$A55,d_sched!$K:$K,U$2))</f>
        <v>0</v>
      </c>
      <c r="V55">
        <f ca="1">IF($A55=V$2,0,SUMIFS(d_sched!$N:$N,d_sched!$D:$D,$A55,d_sched!$I:$I,V$2)+SUMIFS(d_sched!$N:$N,d_sched!$D:$D,$A55,d_sched!$K:$K,V$2))</f>
        <v>1</v>
      </c>
      <c r="W55">
        <f ca="1">IF($A55=W$2,0,SUMIFS(d_sched!$N:$N,d_sched!$D:$D,$A55,d_sched!$I:$I,W$2)+SUMIFS(d_sched!$N:$N,d_sched!$D:$D,$A55,d_sched!$K:$K,W$2))</f>
        <v>1.413430627349449</v>
      </c>
      <c r="X55">
        <f ca="1">IF($A55=X$2,0,SUMIFS(d_sched!$N:$N,d_sched!$D:$D,$A55,d_sched!$I:$I,X$2)+SUMIFS(d_sched!$N:$N,d_sched!$D:$D,$A55,d_sched!$K:$K,X$2))</f>
        <v>1</v>
      </c>
      <c r="Y55">
        <f ca="1">IF($A55=Y$2,0,SUMIFS(d_sched!$N:$N,d_sched!$D:$D,$A55,d_sched!$I:$I,Y$2)+SUMIFS(d_sched!$N:$N,d_sched!$D:$D,$A55,d_sched!$K:$K,Y$2))</f>
        <v>3</v>
      </c>
      <c r="Z55">
        <f ca="1">IF($A55=Z$2,0,SUMIFS(d_sched!$N:$N,d_sched!$D:$D,$A55,d_sched!$I:$I,Z$2)+SUMIFS(d_sched!$N:$N,d_sched!$D:$D,$A55,d_sched!$K:$K,Z$2))</f>
        <v>2</v>
      </c>
      <c r="AA55">
        <f ca="1">IF($A55=AA$2,0,SUMIFS(d_sched!$N:$N,d_sched!$D:$D,$A55,d_sched!$I:$I,AA$2)+SUMIFS(d_sched!$N:$N,d_sched!$D:$D,$A55,d_sched!$K:$K,AA$2))</f>
        <v>2</v>
      </c>
      <c r="AB55">
        <f ca="1">IF($A55=AB$2,0,SUMIFS(d_sched!$N:$N,d_sched!$D:$D,$A55,d_sched!$I:$I,AB$2)+SUMIFS(d_sched!$N:$N,d_sched!$D:$D,$A55,d_sched!$K:$K,AB$2))</f>
        <v>2</v>
      </c>
      <c r="AC55">
        <f ca="1">IF($A55=AC$2,0,SUMIFS(d_sched!$N:$N,d_sched!$D:$D,$A55,d_sched!$I:$I,AC$2)+SUMIFS(d_sched!$N:$N,d_sched!$D:$D,$A55,d_sched!$K:$K,AC$2))</f>
        <v>1</v>
      </c>
      <c r="AD55">
        <f ca="1">IF($A55=AD$2,0,SUMIFS(d_sched!$N:$N,d_sched!$D:$D,$A55,d_sched!$I:$I,AD$2)+SUMIFS(d_sched!$N:$N,d_sched!$D:$D,$A55,d_sched!$K:$K,AD$2))</f>
        <v>1</v>
      </c>
      <c r="AE55">
        <f ca="1">IF($A55=AE$2,0,SUMIFS(d_sched!$N:$N,d_sched!$D:$D,$A55,d_sched!$I:$I,AE$2)+SUMIFS(d_sched!$N:$N,d_sched!$D:$D,$A55,d_sched!$K:$K,AE$2))</f>
        <v>0</v>
      </c>
      <c r="AG55">
        <f ca="1">ROUND(SUM(B55:AE55),2)</f>
        <v>36.409999999999997</v>
      </c>
      <c r="AH55">
        <f>VLOOKUP($A55,p_win_totals!$D$2:$J$31,6,0)</f>
        <v>41</v>
      </c>
      <c r="AI55">
        <f>VLOOKUP($A55,d_win_totals!$E$2:$K$31,3,0)</f>
        <v>45</v>
      </c>
      <c r="AJ55">
        <f t="shared" ca="1" si="7"/>
        <v>21</v>
      </c>
      <c r="AK55">
        <f>VLOOKUP($A55,p_win_totals!$D$2:$J$31,7,0)</f>
        <v>17</v>
      </c>
      <c r="AL55">
        <f>VLOOKUP($A55,d_win_totals!$E$2:$K$31,6,0)</f>
        <v>16</v>
      </c>
      <c r="AM55">
        <f t="shared" ca="1" si="8"/>
        <v>-5</v>
      </c>
      <c r="AN55">
        <f t="shared" ca="1" si="9"/>
        <v>5</v>
      </c>
      <c r="AO55">
        <f t="shared" ca="1" si="10"/>
        <v>25</v>
      </c>
    </row>
    <row r="56" spans="1:41" x14ac:dyDescent="0.25">
      <c r="A56" t="s">
        <v>31</v>
      </c>
      <c r="B56">
        <f ca="1">IF($A56=B$2,0,SUMIFS(d_sched!$N:$N,d_sched!$D:$D,$A56,d_sched!$I:$I,B$2)+SUMIFS(d_sched!$N:$N,d_sched!$D:$D,$A56,d_sched!$K:$K,B$2))</f>
        <v>2</v>
      </c>
      <c r="C56">
        <f ca="1">IF($A56=C$2,0,SUMIFS(d_sched!$N:$N,d_sched!$D:$D,$A56,d_sched!$I:$I,C$2)+SUMIFS(d_sched!$N:$N,d_sched!$D:$D,$A56,d_sched!$K:$K,C$2))</f>
        <v>1</v>
      </c>
      <c r="D56">
        <f ca="1">IF($A56=D$2,0,SUMIFS(d_sched!$N:$N,d_sched!$D:$D,$A56,d_sched!$I:$I,D$2)+SUMIFS(d_sched!$N:$N,d_sched!$D:$D,$A56,d_sched!$K:$K,D$2))</f>
        <v>3</v>
      </c>
      <c r="E56">
        <f ca="1">IF($A56=E$2,0,SUMIFS(d_sched!$N:$N,d_sched!$D:$D,$A56,d_sched!$I:$I,E$2)+SUMIFS(d_sched!$N:$N,d_sched!$D:$D,$A56,d_sched!$K:$K,E$2))</f>
        <v>1</v>
      </c>
      <c r="F56">
        <f ca="1">IF($A56=F$2,0,SUMIFS(d_sched!$N:$N,d_sched!$D:$D,$A56,d_sched!$I:$I,F$2)+SUMIFS(d_sched!$N:$N,d_sched!$D:$D,$A56,d_sched!$K:$K,F$2))</f>
        <v>2</v>
      </c>
      <c r="G56">
        <f ca="1">IF($A56=G$2,0,SUMIFS(d_sched!$N:$N,d_sched!$D:$D,$A56,d_sched!$I:$I,G$2)+SUMIFS(d_sched!$N:$N,d_sched!$D:$D,$A56,d_sched!$K:$K,G$2))</f>
        <v>1</v>
      </c>
      <c r="H56">
        <f ca="1">IF($A56=H$2,0,SUMIFS(d_sched!$N:$N,d_sched!$D:$D,$A56,d_sched!$I:$I,H$2)+SUMIFS(d_sched!$N:$N,d_sched!$D:$D,$A56,d_sched!$K:$K,H$2))</f>
        <v>1</v>
      </c>
      <c r="I56">
        <f ca="1">IF($A56=I$2,0,SUMIFS(d_sched!$N:$N,d_sched!$D:$D,$A56,d_sched!$I:$I,I$2)+SUMIFS(d_sched!$N:$N,d_sched!$D:$D,$A56,d_sched!$K:$K,I$2))</f>
        <v>2</v>
      </c>
      <c r="J56">
        <f ca="1">IF($A56=J$2,0,SUMIFS(d_sched!$N:$N,d_sched!$D:$D,$A56,d_sched!$I:$I,J$2)+SUMIFS(d_sched!$N:$N,d_sched!$D:$D,$A56,d_sched!$K:$K,J$2))</f>
        <v>2</v>
      </c>
      <c r="K56">
        <f ca="1">IF($A56=K$2,0,SUMIFS(d_sched!$N:$N,d_sched!$D:$D,$A56,d_sched!$I:$I,K$2)+SUMIFS(d_sched!$N:$N,d_sched!$D:$D,$A56,d_sched!$K:$K,K$2))</f>
        <v>1</v>
      </c>
      <c r="L56">
        <f ca="1">IF($A56=L$2,0,SUMIFS(d_sched!$N:$N,d_sched!$D:$D,$A56,d_sched!$I:$I,L$2)+SUMIFS(d_sched!$N:$N,d_sched!$D:$D,$A56,d_sched!$K:$K,L$2))</f>
        <v>1</v>
      </c>
      <c r="M56">
        <f ca="1">IF($A56=M$2,0,SUMIFS(d_sched!$N:$N,d_sched!$D:$D,$A56,d_sched!$I:$I,M$2)+SUMIFS(d_sched!$N:$N,d_sched!$D:$D,$A56,d_sched!$K:$K,M$2))</f>
        <v>4</v>
      </c>
      <c r="N56">
        <f ca="1">IF($A56=N$2,0,SUMIFS(d_sched!$N:$N,d_sched!$D:$D,$A56,d_sched!$I:$I,N$2)+SUMIFS(d_sched!$N:$N,d_sched!$D:$D,$A56,d_sched!$K:$K,N$2))</f>
        <v>0</v>
      </c>
      <c r="O56">
        <f ca="1">IF($A56=O$2,0,SUMIFS(d_sched!$N:$N,d_sched!$D:$D,$A56,d_sched!$I:$I,O$2)+SUMIFS(d_sched!$N:$N,d_sched!$D:$D,$A56,d_sched!$K:$K,O$2))</f>
        <v>1</v>
      </c>
      <c r="P56">
        <f ca="1">IF($A56=P$2,0,SUMIFS(d_sched!$N:$N,d_sched!$D:$D,$A56,d_sched!$I:$I,P$2)+SUMIFS(d_sched!$N:$N,d_sched!$D:$D,$A56,d_sched!$K:$K,P$2))</f>
        <v>2</v>
      </c>
      <c r="Q56">
        <f ca="1">IF($A56=Q$2,0,SUMIFS(d_sched!$N:$N,d_sched!$D:$D,$A56,d_sched!$I:$I,Q$2)+SUMIFS(d_sched!$N:$N,d_sched!$D:$D,$A56,d_sched!$K:$K,Q$2))</f>
        <v>2</v>
      </c>
      <c r="R56">
        <f ca="1">IF($A56=R$2,0,SUMIFS(d_sched!$N:$N,d_sched!$D:$D,$A56,d_sched!$I:$I,R$2)+SUMIFS(d_sched!$N:$N,d_sched!$D:$D,$A56,d_sched!$K:$K,R$2))</f>
        <v>3</v>
      </c>
      <c r="S56">
        <f ca="1">IF($A56=S$2,0,SUMIFS(d_sched!$N:$N,d_sched!$D:$D,$A56,d_sched!$I:$I,S$2)+SUMIFS(d_sched!$N:$N,d_sched!$D:$D,$A56,d_sched!$K:$K,S$2))</f>
        <v>2</v>
      </c>
      <c r="T56">
        <f ca="1">IF($A56=T$2,0,SUMIFS(d_sched!$N:$N,d_sched!$D:$D,$A56,d_sched!$I:$I,T$2)+SUMIFS(d_sched!$N:$N,d_sched!$D:$D,$A56,d_sched!$K:$K,T$2))</f>
        <v>2</v>
      </c>
      <c r="U56">
        <f>IF($A56=U$2,0,SUMIFS(d_sched!$N:$N,d_sched!$D:$D,$A56,d_sched!$I:$I,U$2)+SUMIFS(d_sched!$N:$N,d_sched!$D:$D,$A56,d_sched!$K:$K,U$2))</f>
        <v>0</v>
      </c>
      <c r="V56">
        <f ca="1">IF($A56=V$2,0,SUMIFS(d_sched!$N:$N,d_sched!$D:$D,$A56,d_sched!$I:$I,V$2)+SUMIFS(d_sched!$N:$N,d_sched!$D:$D,$A56,d_sched!$K:$K,V$2))</f>
        <v>1</v>
      </c>
      <c r="W56">
        <f ca="1">IF($A56=W$2,0,SUMIFS(d_sched!$N:$N,d_sched!$D:$D,$A56,d_sched!$I:$I,W$2)+SUMIFS(d_sched!$N:$N,d_sched!$D:$D,$A56,d_sched!$K:$K,W$2))</f>
        <v>1</v>
      </c>
      <c r="X56">
        <f ca="1">IF($A56=X$2,0,SUMIFS(d_sched!$N:$N,d_sched!$D:$D,$A56,d_sched!$I:$I,X$2)+SUMIFS(d_sched!$N:$N,d_sched!$D:$D,$A56,d_sched!$K:$K,X$2))</f>
        <v>3</v>
      </c>
      <c r="Y56">
        <f ca="1">IF($A56=Y$2,0,SUMIFS(d_sched!$N:$N,d_sched!$D:$D,$A56,d_sched!$I:$I,Y$2)+SUMIFS(d_sched!$N:$N,d_sched!$D:$D,$A56,d_sched!$K:$K,Y$2))</f>
        <v>0</v>
      </c>
      <c r="Z56">
        <f ca="1">IF($A56=Z$2,0,SUMIFS(d_sched!$N:$N,d_sched!$D:$D,$A56,d_sched!$I:$I,Z$2)+SUMIFS(d_sched!$N:$N,d_sched!$D:$D,$A56,d_sched!$K:$K,Z$2))</f>
        <v>0</v>
      </c>
      <c r="AA56">
        <f ca="1">IF($A56=AA$2,0,SUMIFS(d_sched!$N:$N,d_sched!$D:$D,$A56,d_sched!$I:$I,AA$2)+SUMIFS(d_sched!$N:$N,d_sched!$D:$D,$A56,d_sched!$K:$K,AA$2))</f>
        <v>0</v>
      </c>
      <c r="AB56">
        <f ca="1">IF($A56=AB$2,0,SUMIFS(d_sched!$N:$N,d_sched!$D:$D,$A56,d_sched!$I:$I,AB$2)+SUMIFS(d_sched!$N:$N,d_sched!$D:$D,$A56,d_sched!$K:$K,AB$2))</f>
        <v>2</v>
      </c>
      <c r="AC56">
        <f ca="1">IF($A56=AC$2,0,SUMIFS(d_sched!$N:$N,d_sched!$D:$D,$A56,d_sched!$I:$I,AC$2)+SUMIFS(d_sched!$N:$N,d_sched!$D:$D,$A56,d_sched!$K:$K,AC$2))</f>
        <v>2</v>
      </c>
      <c r="AD56">
        <f ca="1">IF($A56=AD$2,0,SUMIFS(d_sched!$N:$N,d_sched!$D:$D,$A56,d_sched!$I:$I,AD$2)+SUMIFS(d_sched!$N:$N,d_sched!$D:$D,$A56,d_sched!$K:$K,AD$2))</f>
        <v>1</v>
      </c>
      <c r="AE56">
        <f ca="1">IF($A56=AE$2,0,SUMIFS(d_sched!$N:$N,d_sched!$D:$D,$A56,d_sched!$I:$I,AE$2)+SUMIFS(d_sched!$N:$N,d_sched!$D:$D,$A56,d_sched!$K:$K,AE$2))</f>
        <v>0</v>
      </c>
      <c r="AG56">
        <f ca="1">ROUND(SUM(B56:AE56),2)</f>
        <v>43</v>
      </c>
      <c r="AH56">
        <f>VLOOKUP($A56,p_win_totals!$D$2:$J$31,6,0)</f>
        <v>40</v>
      </c>
      <c r="AI56">
        <f>VLOOKUP($A56,d_win_totals!$E$2:$K$31,3,0)</f>
        <v>17</v>
      </c>
      <c r="AJ56">
        <f t="shared" ca="1" si="7"/>
        <v>12</v>
      </c>
      <c r="AK56">
        <f>VLOOKUP($A56,p_win_totals!$D$2:$J$31,7,0)</f>
        <v>18</v>
      </c>
      <c r="AL56">
        <f>VLOOKUP($A56,d_win_totals!$E$2:$K$31,6,0)</f>
        <v>18</v>
      </c>
      <c r="AM56">
        <f t="shared" ca="1" si="8"/>
        <v>6</v>
      </c>
      <c r="AN56">
        <f t="shared" ca="1" si="9"/>
        <v>6</v>
      </c>
      <c r="AO56">
        <f t="shared" ca="1" si="10"/>
        <v>36</v>
      </c>
    </row>
    <row r="57" spans="1:41" x14ac:dyDescent="0.25">
      <c r="A57" t="s">
        <v>38</v>
      </c>
      <c r="B57">
        <f ca="1">IF($A57=B$2,0,SUMIFS(d_sched!$N:$N,d_sched!$D:$D,$A57,d_sched!$I:$I,B$2)+SUMIFS(d_sched!$N:$N,d_sched!$D:$D,$A57,d_sched!$K:$K,B$2))</f>
        <v>1</v>
      </c>
      <c r="C57">
        <f ca="1">IF($A57=C$2,0,SUMIFS(d_sched!$N:$N,d_sched!$D:$D,$A57,d_sched!$I:$I,C$2)+SUMIFS(d_sched!$N:$N,d_sched!$D:$D,$A57,d_sched!$K:$K,C$2))</f>
        <v>2</v>
      </c>
      <c r="D57">
        <f ca="1">IF($A57=D$2,0,SUMIFS(d_sched!$N:$N,d_sched!$D:$D,$A57,d_sched!$I:$I,D$2)+SUMIFS(d_sched!$N:$N,d_sched!$D:$D,$A57,d_sched!$K:$K,D$2))</f>
        <v>2</v>
      </c>
      <c r="E57">
        <f ca="1">IF($A57=E$2,0,SUMIFS(d_sched!$N:$N,d_sched!$D:$D,$A57,d_sched!$I:$I,E$2)+SUMIFS(d_sched!$N:$N,d_sched!$D:$D,$A57,d_sched!$K:$K,E$2))</f>
        <v>2</v>
      </c>
      <c r="F57">
        <f ca="1">IF($A57=F$2,0,SUMIFS(d_sched!$N:$N,d_sched!$D:$D,$A57,d_sched!$I:$I,F$2)+SUMIFS(d_sched!$N:$N,d_sched!$D:$D,$A57,d_sched!$K:$K,F$2))</f>
        <v>0</v>
      </c>
      <c r="G57">
        <f ca="1">IF($A57=G$2,0,SUMIFS(d_sched!$N:$N,d_sched!$D:$D,$A57,d_sched!$I:$I,G$2)+SUMIFS(d_sched!$N:$N,d_sched!$D:$D,$A57,d_sched!$K:$K,G$2))</f>
        <v>1</v>
      </c>
      <c r="H57">
        <f ca="1">IF($A57=H$2,0,SUMIFS(d_sched!$N:$N,d_sched!$D:$D,$A57,d_sched!$I:$I,H$2)+SUMIFS(d_sched!$N:$N,d_sched!$D:$D,$A57,d_sched!$K:$K,H$2))</f>
        <v>2</v>
      </c>
      <c r="I57">
        <f ca="1">IF($A57=I$2,0,SUMIFS(d_sched!$N:$N,d_sched!$D:$D,$A57,d_sched!$I:$I,I$2)+SUMIFS(d_sched!$N:$N,d_sched!$D:$D,$A57,d_sched!$K:$K,I$2))</f>
        <v>2</v>
      </c>
      <c r="J57">
        <f ca="1">IF($A57=J$2,0,SUMIFS(d_sched!$N:$N,d_sched!$D:$D,$A57,d_sched!$I:$I,J$2)+SUMIFS(d_sched!$N:$N,d_sched!$D:$D,$A57,d_sched!$K:$K,J$2))</f>
        <v>1</v>
      </c>
      <c r="K57">
        <f ca="1">IF($A57=K$2,0,SUMIFS(d_sched!$N:$N,d_sched!$D:$D,$A57,d_sched!$I:$I,K$2)+SUMIFS(d_sched!$N:$N,d_sched!$D:$D,$A57,d_sched!$K:$K,K$2))</f>
        <v>2</v>
      </c>
      <c r="L57">
        <f ca="1">IF($A57=L$2,0,SUMIFS(d_sched!$N:$N,d_sched!$D:$D,$A57,d_sched!$I:$I,L$2)+SUMIFS(d_sched!$N:$N,d_sched!$D:$D,$A57,d_sched!$K:$K,L$2))</f>
        <v>1</v>
      </c>
      <c r="M57">
        <f ca="1">IF($A57=M$2,0,SUMIFS(d_sched!$N:$N,d_sched!$D:$D,$A57,d_sched!$I:$I,M$2)+SUMIFS(d_sched!$N:$N,d_sched!$D:$D,$A57,d_sched!$K:$K,M$2))</f>
        <v>1</v>
      </c>
      <c r="N57">
        <f ca="1">IF($A57=N$2,0,SUMIFS(d_sched!$N:$N,d_sched!$D:$D,$A57,d_sched!$I:$I,N$2)+SUMIFS(d_sched!$N:$N,d_sched!$D:$D,$A57,d_sched!$K:$K,N$2))</f>
        <v>2</v>
      </c>
      <c r="O57">
        <f ca="1">IF($A57=O$2,0,SUMIFS(d_sched!$N:$N,d_sched!$D:$D,$A57,d_sched!$I:$I,O$2)+SUMIFS(d_sched!$N:$N,d_sched!$D:$D,$A57,d_sched!$K:$K,O$2))</f>
        <v>3</v>
      </c>
      <c r="P57">
        <f ca="1">IF($A57=P$2,0,SUMIFS(d_sched!$N:$N,d_sched!$D:$D,$A57,d_sched!$I:$I,P$2)+SUMIFS(d_sched!$N:$N,d_sched!$D:$D,$A57,d_sched!$K:$K,P$2))</f>
        <v>3</v>
      </c>
      <c r="Q57">
        <f ca="1">IF($A57=Q$2,0,SUMIFS(d_sched!$N:$N,d_sched!$D:$D,$A57,d_sched!$I:$I,Q$2)+SUMIFS(d_sched!$N:$N,d_sched!$D:$D,$A57,d_sched!$K:$K,Q$2))</f>
        <v>2</v>
      </c>
      <c r="R57">
        <f ca="1">IF($A57=R$2,0,SUMIFS(d_sched!$N:$N,d_sched!$D:$D,$A57,d_sched!$I:$I,R$2)+SUMIFS(d_sched!$N:$N,d_sched!$D:$D,$A57,d_sched!$K:$K,R$2))</f>
        <v>1</v>
      </c>
      <c r="S57">
        <f ca="1">IF($A57=S$2,0,SUMIFS(d_sched!$N:$N,d_sched!$D:$D,$A57,d_sched!$I:$I,S$2)+SUMIFS(d_sched!$N:$N,d_sched!$D:$D,$A57,d_sched!$K:$K,S$2))</f>
        <v>4</v>
      </c>
      <c r="T57">
        <f ca="1">IF($A57=T$2,0,SUMIFS(d_sched!$N:$N,d_sched!$D:$D,$A57,d_sched!$I:$I,T$2)+SUMIFS(d_sched!$N:$N,d_sched!$D:$D,$A57,d_sched!$K:$K,T$2))</f>
        <v>4</v>
      </c>
      <c r="U57">
        <f ca="1">IF($A57=U$2,0,SUMIFS(d_sched!$N:$N,d_sched!$D:$D,$A57,d_sched!$I:$I,U$2)+SUMIFS(d_sched!$N:$N,d_sched!$D:$D,$A57,d_sched!$K:$K,U$2))</f>
        <v>2</v>
      </c>
      <c r="V57">
        <f>IF($A57=V$2,0,SUMIFS(d_sched!$N:$N,d_sched!$D:$D,$A57,d_sched!$I:$I,V$2)+SUMIFS(d_sched!$N:$N,d_sched!$D:$D,$A57,d_sched!$K:$K,V$2))</f>
        <v>0</v>
      </c>
      <c r="W57">
        <f ca="1">IF($A57=W$2,0,SUMIFS(d_sched!$N:$N,d_sched!$D:$D,$A57,d_sched!$I:$I,W$2)+SUMIFS(d_sched!$N:$N,d_sched!$D:$D,$A57,d_sched!$K:$K,W$2))</f>
        <v>2</v>
      </c>
      <c r="X57">
        <f ca="1">IF($A57=X$2,0,SUMIFS(d_sched!$N:$N,d_sched!$D:$D,$A57,d_sched!$I:$I,X$2)+SUMIFS(d_sched!$N:$N,d_sched!$D:$D,$A57,d_sched!$K:$K,X$2))</f>
        <v>1</v>
      </c>
      <c r="Y57">
        <f ca="1">IF($A57=Y$2,0,SUMIFS(d_sched!$N:$N,d_sched!$D:$D,$A57,d_sched!$I:$I,Y$2)+SUMIFS(d_sched!$N:$N,d_sched!$D:$D,$A57,d_sched!$K:$K,Y$2))</f>
        <v>4</v>
      </c>
      <c r="Z57">
        <f ca="1">IF($A57=Z$2,0,SUMIFS(d_sched!$N:$N,d_sched!$D:$D,$A57,d_sched!$I:$I,Z$2)+SUMIFS(d_sched!$N:$N,d_sched!$D:$D,$A57,d_sched!$K:$K,Z$2))</f>
        <v>1</v>
      </c>
      <c r="AA57">
        <f ca="1">IF($A57=AA$2,0,SUMIFS(d_sched!$N:$N,d_sched!$D:$D,$A57,d_sched!$I:$I,AA$2)+SUMIFS(d_sched!$N:$N,d_sched!$D:$D,$A57,d_sched!$K:$K,AA$2))</f>
        <v>0</v>
      </c>
      <c r="AB57">
        <f ca="1">IF($A57=AB$2,0,SUMIFS(d_sched!$N:$N,d_sched!$D:$D,$A57,d_sched!$I:$I,AB$2)+SUMIFS(d_sched!$N:$N,d_sched!$D:$D,$A57,d_sched!$K:$K,AB$2))</f>
        <v>2</v>
      </c>
      <c r="AC57">
        <f ca="1">IF($A57=AC$2,0,SUMIFS(d_sched!$N:$N,d_sched!$D:$D,$A57,d_sched!$I:$I,AC$2)+SUMIFS(d_sched!$N:$N,d_sched!$D:$D,$A57,d_sched!$K:$K,AC$2))</f>
        <v>1</v>
      </c>
      <c r="AD57">
        <f ca="1">IF($A57=AD$2,0,SUMIFS(d_sched!$N:$N,d_sched!$D:$D,$A57,d_sched!$I:$I,AD$2)+SUMIFS(d_sched!$N:$N,d_sched!$D:$D,$A57,d_sched!$K:$K,AD$2))</f>
        <v>2</v>
      </c>
      <c r="AE57">
        <f ca="1">IF($A57=AE$2,0,SUMIFS(d_sched!$N:$N,d_sched!$D:$D,$A57,d_sched!$I:$I,AE$2)+SUMIFS(d_sched!$N:$N,d_sched!$D:$D,$A57,d_sched!$K:$K,AE$2))</f>
        <v>2</v>
      </c>
      <c r="AG57">
        <f ca="1">ROUND(SUM(B57:AE57),2)</f>
        <v>53</v>
      </c>
      <c r="AH57">
        <f>VLOOKUP($A57,p_win_totals!$D$2:$J$31,6,0)</f>
        <v>55</v>
      </c>
      <c r="AI57">
        <f>VLOOKUP($A57,d_win_totals!$E$2:$K$31,3,0)</f>
        <v>45</v>
      </c>
      <c r="AJ57">
        <f t="shared" ca="1" si="7"/>
        <v>4</v>
      </c>
      <c r="AK57">
        <f>VLOOKUP($A57,p_win_totals!$D$2:$J$31,7,0)</f>
        <v>5</v>
      </c>
      <c r="AL57">
        <f>VLOOKUP($A57,d_win_totals!$E$2:$K$31,6,0)</f>
        <v>2</v>
      </c>
      <c r="AM57">
        <f t="shared" ca="1" si="8"/>
        <v>-2</v>
      </c>
      <c r="AN57">
        <f t="shared" ca="1" si="9"/>
        <v>2</v>
      </c>
      <c r="AO57">
        <f t="shared" ca="1" si="10"/>
        <v>4</v>
      </c>
    </row>
    <row r="58" spans="1:41" x14ac:dyDescent="0.25">
      <c r="A58" t="s">
        <v>13</v>
      </c>
      <c r="B58">
        <f ca="1">IF($A58=B$2,0,SUMIFS(d_sched!$N:$N,d_sched!$D:$D,$A58,d_sched!$I:$I,B$2)+SUMIFS(d_sched!$N:$N,d_sched!$D:$D,$A58,d_sched!$K:$K,B$2))</f>
        <v>1</v>
      </c>
      <c r="C58">
        <f ca="1">IF($A58=C$2,0,SUMIFS(d_sched!$N:$N,d_sched!$D:$D,$A58,d_sched!$I:$I,C$2)+SUMIFS(d_sched!$N:$N,d_sched!$D:$D,$A58,d_sched!$K:$K,C$2))</f>
        <v>2</v>
      </c>
      <c r="D58">
        <f ca="1">IF($A58=D$2,0,SUMIFS(d_sched!$N:$N,d_sched!$D:$D,$A58,d_sched!$I:$I,D$2)+SUMIFS(d_sched!$N:$N,d_sched!$D:$D,$A58,d_sched!$K:$K,D$2))</f>
        <v>3</v>
      </c>
      <c r="E58">
        <f ca="1">IF($A58=E$2,0,SUMIFS(d_sched!$N:$N,d_sched!$D:$D,$A58,d_sched!$I:$I,E$2)+SUMIFS(d_sched!$N:$N,d_sched!$D:$D,$A58,d_sched!$K:$K,E$2))</f>
        <v>1</v>
      </c>
      <c r="F58">
        <f ca="1">IF($A58=F$2,0,SUMIFS(d_sched!$N:$N,d_sched!$D:$D,$A58,d_sched!$I:$I,F$2)+SUMIFS(d_sched!$N:$N,d_sched!$D:$D,$A58,d_sched!$K:$K,F$2))</f>
        <v>2</v>
      </c>
      <c r="G58">
        <f ca="1">IF($A58=G$2,0,SUMIFS(d_sched!$N:$N,d_sched!$D:$D,$A58,d_sched!$I:$I,G$2)+SUMIFS(d_sched!$N:$N,d_sched!$D:$D,$A58,d_sched!$K:$K,G$2))</f>
        <v>1</v>
      </c>
      <c r="H58">
        <f ca="1">IF($A58=H$2,0,SUMIFS(d_sched!$N:$N,d_sched!$D:$D,$A58,d_sched!$I:$I,H$2)+SUMIFS(d_sched!$N:$N,d_sched!$D:$D,$A58,d_sched!$K:$K,H$2))</f>
        <v>1</v>
      </c>
      <c r="I58">
        <f ca="1">IF($A58=I$2,0,SUMIFS(d_sched!$N:$N,d_sched!$D:$D,$A58,d_sched!$I:$I,I$2)+SUMIFS(d_sched!$N:$N,d_sched!$D:$D,$A58,d_sched!$K:$K,I$2))</f>
        <v>1</v>
      </c>
      <c r="J58">
        <f ca="1">IF($A58=J$2,0,SUMIFS(d_sched!$N:$N,d_sched!$D:$D,$A58,d_sched!$I:$I,J$2)+SUMIFS(d_sched!$N:$N,d_sched!$D:$D,$A58,d_sched!$K:$K,J$2))</f>
        <v>1</v>
      </c>
      <c r="K58">
        <f ca="1">IF($A58=K$2,0,SUMIFS(d_sched!$N:$N,d_sched!$D:$D,$A58,d_sched!$I:$I,K$2)+SUMIFS(d_sched!$N:$N,d_sched!$D:$D,$A58,d_sched!$K:$K,K$2))</f>
        <v>0</v>
      </c>
      <c r="L58">
        <f ca="1">IF($A58=L$2,0,SUMIFS(d_sched!$N:$N,d_sched!$D:$D,$A58,d_sched!$I:$I,L$2)+SUMIFS(d_sched!$N:$N,d_sched!$D:$D,$A58,d_sched!$K:$K,L$2))</f>
        <v>1</v>
      </c>
      <c r="M58">
        <f ca="1">IF($A58=M$2,0,SUMIFS(d_sched!$N:$N,d_sched!$D:$D,$A58,d_sched!$I:$I,M$2)+SUMIFS(d_sched!$N:$N,d_sched!$D:$D,$A58,d_sched!$K:$K,M$2))</f>
        <v>1</v>
      </c>
      <c r="N58">
        <f ca="1">IF($A58=N$2,0,SUMIFS(d_sched!$N:$N,d_sched!$D:$D,$A58,d_sched!$I:$I,N$2)+SUMIFS(d_sched!$N:$N,d_sched!$D:$D,$A58,d_sched!$K:$K,N$2))</f>
        <v>2</v>
      </c>
      <c r="O58">
        <f ca="1">IF($A58=O$2,0,SUMIFS(d_sched!$N:$N,d_sched!$D:$D,$A58,d_sched!$I:$I,O$2)+SUMIFS(d_sched!$N:$N,d_sched!$D:$D,$A58,d_sched!$K:$K,O$2))</f>
        <v>1</v>
      </c>
      <c r="P58">
        <f ca="1">IF($A58=P$2,0,SUMIFS(d_sched!$N:$N,d_sched!$D:$D,$A58,d_sched!$I:$I,P$2)+SUMIFS(d_sched!$N:$N,d_sched!$D:$D,$A58,d_sched!$K:$K,P$2))</f>
        <v>1</v>
      </c>
      <c r="Q58">
        <f ca="1">IF($A58=Q$2,0,SUMIFS(d_sched!$N:$N,d_sched!$D:$D,$A58,d_sched!$I:$I,Q$2)+SUMIFS(d_sched!$N:$N,d_sched!$D:$D,$A58,d_sched!$K:$K,Q$2))</f>
        <v>2</v>
      </c>
      <c r="R58">
        <f ca="1">IF($A58=R$2,0,SUMIFS(d_sched!$N:$N,d_sched!$D:$D,$A58,d_sched!$I:$I,R$2)+SUMIFS(d_sched!$N:$N,d_sched!$D:$D,$A58,d_sched!$K:$K,R$2))</f>
        <v>2</v>
      </c>
      <c r="S58">
        <f ca="1">IF($A58=S$2,0,SUMIFS(d_sched!$N:$N,d_sched!$D:$D,$A58,d_sched!$I:$I,S$2)+SUMIFS(d_sched!$N:$N,d_sched!$D:$D,$A58,d_sched!$K:$K,S$2))</f>
        <v>0</v>
      </c>
      <c r="T58">
        <f ca="1">IF($A58=T$2,0,SUMIFS(d_sched!$N:$N,d_sched!$D:$D,$A58,d_sched!$I:$I,T$2)+SUMIFS(d_sched!$N:$N,d_sched!$D:$D,$A58,d_sched!$K:$K,T$2))</f>
        <v>1</v>
      </c>
      <c r="U58">
        <f ca="1">IF($A58=U$2,0,SUMIFS(d_sched!$N:$N,d_sched!$D:$D,$A58,d_sched!$I:$I,U$2)+SUMIFS(d_sched!$N:$N,d_sched!$D:$D,$A58,d_sched!$K:$K,U$2))</f>
        <v>1</v>
      </c>
      <c r="V58">
        <f ca="1">IF($A58=V$2,0,SUMIFS(d_sched!$N:$N,d_sched!$D:$D,$A58,d_sched!$I:$I,V$2)+SUMIFS(d_sched!$N:$N,d_sched!$D:$D,$A58,d_sched!$K:$K,V$2))</f>
        <v>1</v>
      </c>
      <c r="W58">
        <f>IF($A58=W$2,0,SUMIFS(d_sched!$N:$N,d_sched!$D:$D,$A58,d_sched!$I:$I,W$2)+SUMIFS(d_sched!$N:$N,d_sched!$D:$D,$A58,d_sched!$K:$K,W$2))</f>
        <v>0</v>
      </c>
      <c r="X58">
        <f ca="1">IF($A58=X$2,0,SUMIFS(d_sched!$N:$N,d_sched!$D:$D,$A58,d_sched!$I:$I,X$2)+SUMIFS(d_sched!$N:$N,d_sched!$D:$D,$A58,d_sched!$K:$K,X$2))</f>
        <v>3</v>
      </c>
      <c r="Y58">
        <f ca="1">IF($A58=Y$2,0,SUMIFS(d_sched!$N:$N,d_sched!$D:$D,$A58,d_sched!$I:$I,Y$2)+SUMIFS(d_sched!$N:$N,d_sched!$D:$D,$A58,d_sched!$K:$K,Y$2))</f>
        <v>0</v>
      </c>
      <c r="Z58">
        <f ca="1">IF($A58=Z$2,0,SUMIFS(d_sched!$N:$N,d_sched!$D:$D,$A58,d_sched!$I:$I,Z$2)+SUMIFS(d_sched!$N:$N,d_sched!$D:$D,$A58,d_sched!$K:$K,Z$2))</f>
        <v>2</v>
      </c>
      <c r="AA58">
        <f ca="1">IF($A58=AA$2,0,SUMIFS(d_sched!$N:$N,d_sched!$D:$D,$A58,d_sched!$I:$I,AA$2)+SUMIFS(d_sched!$N:$N,d_sched!$D:$D,$A58,d_sched!$K:$K,AA$2))</f>
        <v>0</v>
      </c>
      <c r="AB58">
        <f ca="1">IF($A58=AB$2,0,SUMIFS(d_sched!$N:$N,d_sched!$D:$D,$A58,d_sched!$I:$I,AB$2)+SUMIFS(d_sched!$N:$N,d_sched!$D:$D,$A58,d_sched!$K:$K,AB$2))</f>
        <v>0</v>
      </c>
      <c r="AC58">
        <f ca="1">IF($A58=AC$2,0,SUMIFS(d_sched!$N:$N,d_sched!$D:$D,$A58,d_sched!$I:$I,AC$2)+SUMIFS(d_sched!$N:$N,d_sched!$D:$D,$A58,d_sched!$K:$K,AC$2))</f>
        <v>2</v>
      </c>
      <c r="AD58">
        <f ca="1">IF($A58=AD$2,0,SUMIFS(d_sched!$N:$N,d_sched!$D:$D,$A58,d_sched!$I:$I,AD$2)+SUMIFS(d_sched!$N:$N,d_sched!$D:$D,$A58,d_sched!$K:$K,AD$2))</f>
        <v>1</v>
      </c>
      <c r="AE58">
        <f ca="1">IF($A58=AE$2,0,SUMIFS(d_sched!$N:$N,d_sched!$D:$D,$A58,d_sched!$I:$I,AE$2)+SUMIFS(d_sched!$N:$N,d_sched!$D:$D,$A58,d_sched!$K:$K,AE$2))</f>
        <v>0</v>
      </c>
      <c r="AG58">
        <f ca="1">ROUND(SUM(B58:AE58),2)</f>
        <v>34</v>
      </c>
      <c r="AH58">
        <f>VLOOKUP($A58,p_win_totals!$D$2:$J$31,6,0)</f>
        <v>27</v>
      </c>
      <c r="AI58">
        <f>VLOOKUP($A58,d_win_totals!$E$2:$K$31,3,0)</f>
        <v>25</v>
      </c>
      <c r="AJ58">
        <f t="shared" ca="1" si="7"/>
        <v>23</v>
      </c>
      <c r="AK58">
        <f>VLOOKUP($A58,p_win_totals!$D$2:$J$31,7,0)</f>
        <v>25</v>
      </c>
      <c r="AL58">
        <f>VLOOKUP($A58,d_win_totals!$E$2:$K$31,6,0)</f>
        <v>25</v>
      </c>
      <c r="AM58">
        <f t="shared" ca="1" si="8"/>
        <v>2</v>
      </c>
      <c r="AN58">
        <f t="shared" ca="1" si="9"/>
        <v>2</v>
      </c>
      <c r="AO58">
        <f t="shared" ca="1" si="10"/>
        <v>4</v>
      </c>
    </row>
    <row r="59" spans="1:41" x14ac:dyDescent="0.25">
      <c r="A59" t="s">
        <v>21</v>
      </c>
      <c r="B59">
        <f ca="1">IF($A59=B$2,0,SUMIFS(d_sched!$N:$N,d_sched!$D:$D,$A59,d_sched!$I:$I,B$2)+SUMIFS(d_sched!$N:$N,d_sched!$D:$D,$A59,d_sched!$K:$K,B$2))</f>
        <v>3</v>
      </c>
      <c r="C59">
        <f ca="1">IF($A59=C$2,0,SUMIFS(d_sched!$N:$N,d_sched!$D:$D,$A59,d_sched!$I:$I,C$2)+SUMIFS(d_sched!$N:$N,d_sched!$D:$D,$A59,d_sched!$K:$K,C$2))</f>
        <v>3</v>
      </c>
      <c r="D59">
        <f ca="1">IF($A59=D$2,0,SUMIFS(d_sched!$N:$N,d_sched!$D:$D,$A59,d_sched!$I:$I,D$2)+SUMIFS(d_sched!$N:$N,d_sched!$D:$D,$A59,d_sched!$K:$K,D$2))</f>
        <v>0</v>
      </c>
      <c r="E59">
        <f ca="1">IF($A59=E$2,0,SUMIFS(d_sched!$N:$N,d_sched!$D:$D,$A59,d_sched!$I:$I,E$2)+SUMIFS(d_sched!$N:$N,d_sched!$D:$D,$A59,d_sched!$K:$K,E$2))</f>
        <v>1</v>
      </c>
      <c r="F59">
        <f ca="1">IF($A59=F$2,0,SUMIFS(d_sched!$N:$N,d_sched!$D:$D,$A59,d_sched!$I:$I,F$2)+SUMIFS(d_sched!$N:$N,d_sched!$D:$D,$A59,d_sched!$K:$K,F$2))</f>
        <v>1</v>
      </c>
      <c r="G59">
        <f ca="1">IF($A59=G$2,0,SUMIFS(d_sched!$N:$N,d_sched!$D:$D,$A59,d_sched!$I:$I,G$2)+SUMIFS(d_sched!$N:$N,d_sched!$D:$D,$A59,d_sched!$K:$K,G$2))</f>
        <v>1</v>
      </c>
      <c r="H59">
        <f ca="1">IF($A59=H$2,0,SUMIFS(d_sched!$N:$N,d_sched!$D:$D,$A59,d_sched!$I:$I,H$2)+SUMIFS(d_sched!$N:$N,d_sched!$D:$D,$A59,d_sched!$K:$K,H$2))</f>
        <v>2</v>
      </c>
      <c r="I59">
        <f ca="1">IF($A59=I$2,0,SUMIFS(d_sched!$N:$N,d_sched!$D:$D,$A59,d_sched!$I:$I,I$2)+SUMIFS(d_sched!$N:$N,d_sched!$D:$D,$A59,d_sched!$K:$K,I$2))</f>
        <v>0</v>
      </c>
      <c r="J59">
        <f ca="1">IF($A59=J$2,0,SUMIFS(d_sched!$N:$N,d_sched!$D:$D,$A59,d_sched!$I:$I,J$2)+SUMIFS(d_sched!$N:$N,d_sched!$D:$D,$A59,d_sched!$K:$K,J$2))</f>
        <v>2</v>
      </c>
      <c r="K59">
        <f ca="1">IF($A59=K$2,0,SUMIFS(d_sched!$N:$N,d_sched!$D:$D,$A59,d_sched!$I:$I,K$2)+SUMIFS(d_sched!$N:$N,d_sched!$D:$D,$A59,d_sched!$K:$K,K$2))</f>
        <v>0</v>
      </c>
      <c r="L59">
        <f ca="1">IF($A59=L$2,0,SUMIFS(d_sched!$N:$N,d_sched!$D:$D,$A59,d_sched!$I:$I,L$2)+SUMIFS(d_sched!$N:$N,d_sched!$D:$D,$A59,d_sched!$K:$K,L$2))</f>
        <v>1</v>
      </c>
      <c r="M59">
        <f ca="1">IF($A59=M$2,0,SUMIFS(d_sched!$N:$N,d_sched!$D:$D,$A59,d_sched!$I:$I,M$2)+SUMIFS(d_sched!$N:$N,d_sched!$D:$D,$A59,d_sched!$K:$K,M$2))</f>
        <v>2</v>
      </c>
      <c r="N59">
        <f ca="1">IF($A59=N$2,0,SUMIFS(d_sched!$N:$N,d_sched!$D:$D,$A59,d_sched!$I:$I,N$2)+SUMIFS(d_sched!$N:$N,d_sched!$D:$D,$A59,d_sched!$K:$K,N$2))</f>
        <v>2</v>
      </c>
      <c r="O59">
        <f ca="1">IF($A59=O$2,0,SUMIFS(d_sched!$N:$N,d_sched!$D:$D,$A59,d_sched!$I:$I,O$2)+SUMIFS(d_sched!$N:$N,d_sched!$D:$D,$A59,d_sched!$K:$K,O$2))</f>
        <v>1</v>
      </c>
      <c r="P59">
        <f ca="1">IF($A59=P$2,0,SUMIFS(d_sched!$N:$N,d_sched!$D:$D,$A59,d_sched!$I:$I,P$2)+SUMIFS(d_sched!$N:$N,d_sched!$D:$D,$A59,d_sched!$K:$K,P$2))</f>
        <v>0</v>
      </c>
      <c r="Q59">
        <f ca="1">IF($A59=Q$2,0,SUMIFS(d_sched!$N:$N,d_sched!$D:$D,$A59,d_sched!$I:$I,Q$2)+SUMIFS(d_sched!$N:$N,d_sched!$D:$D,$A59,d_sched!$K:$K,Q$2))</f>
        <v>1</v>
      </c>
      <c r="R59">
        <f ca="1">IF($A59=R$2,0,SUMIFS(d_sched!$N:$N,d_sched!$D:$D,$A59,d_sched!$I:$I,R$2)+SUMIFS(d_sched!$N:$N,d_sched!$D:$D,$A59,d_sched!$K:$K,R$2))</f>
        <v>1</v>
      </c>
      <c r="S59">
        <f ca="1">IF($A59=S$2,0,SUMIFS(d_sched!$N:$N,d_sched!$D:$D,$A59,d_sched!$I:$I,S$2)+SUMIFS(d_sched!$N:$N,d_sched!$D:$D,$A59,d_sched!$K:$K,S$2))</f>
        <v>0</v>
      </c>
      <c r="T59">
        <f ca="1">IF($A59=T$2,0,SUMIFS(d_sched!$N:$N,d_sched!$D:$D,$A59,d_sched!$I:$I,T$2)+SUMIFS(d_sched!$N:$N,d_sched!$D:$D,$A59,d_sched!$K:$K,T$2))</f>
        <v>1</v>
      </c>
      <c r="U59">
        <f ca="1">IF($A59=U$2,0,SUMIFS(d_sched!$N:$N,d_sched!$D:$D,$A59,d_sched!$I:$I,U$2)+SUMIFS(d_sched!$N:$N,d_sched!$D:$D,$A59,d_sched!$K:$K,U$2))</f>
        <v>0</v>
      </c>
      <c r="V59">
        <f ca="1">IF($A59=V$2,0,SUMIFS(d_sched!$N:$N,d_sched!$D:$D,$A59,d_sched!$I:$I,V$2)+SUMIFS(d_sched!$N:$N,d_sched!$D:$D,$A59,d_sched!$K:$K,V$2))</f>
        <v>0</v>
      </c>
      <c r="W59">
        <f ca="1">IF($A59=W$2,0,SUMIFS(d_sched!$N:$N,d_sched!$D:$D,$A59,d_sched!$I:$I,W$2)+SUMIFS(d_sched!$N:$N,d_sched!$D:$D,$A59,d_sched!$K:$K,W$2))</f>
        <v>0</v>
      </c>
      <c r="X59">
        <f>IF($A59=X$2,0,SUMIFS(d_sched!$N:$N,d_sched!$D:$D,$A59,d_sched!$I:$I,X$2)+SUMIFS(d_sched!$N:$N,d_sched!$D:$D,$A59,d_sched!$K:$K,X$2))</f>
        <v>0</v>
      </c>
      <c r="Y59">
        <f ca="1">IF($A59=Y$2,0,SUMIFS(d_sched!$N:$N,d_sched!$D:$D,$A59,d_sched!$I:$I,Y$2)+SUMIFS(d_sched!$N:$N,d_sched!$D:$D,$A59,d_sched!$K:$K,Y$2))</f>
        <v>1</v>
      </c>
      <c r="Z59">
        <f ca="1">IF($A59=Z$2,0,SUMIFS(d_sched!$N:$N,d_sched!$D:$D,$A59,d_sched!$I:$I,Z$2)+SUMIFS(d_sched!$N:$N,d_sched!$D:$D,$A59,d_sched!$K:$K,Z$2))</f>
        <v>0</v>
      </c>
      <c r="AA59">
        <f ca="1">IF($A59=AA$2,0,SUMIFS(d_sched!$N:$N,d_sched!$D:$D,$A59,d_sched!$I:$I,AA$2)+SUMIFS(d_sched!$N:$N,d_sched!$D:$D,$A59,d_sched!$K:$K,AA$2))</f>
        <v>1</v>
      </c>
      <c r="AB59">
        <f ca="1">IF($A59=AB$2,0,SUMIFS(d_sched!$N:$N,d_sched!$D:$D,$A59,d_sched!$I:$I,AB$2)+SUMIFS(d_sched!$N:$N,d_sched!$D:$D,$A59,d_sched!$K:$K,AB$2))</f>
        <v>2</v>
      </c>
      <c r="AC59">
        <f ca="1">IF($A59=AC$2,0,SUMIFS(d_sched!$N:$N,d_sched!$D:$D,$A59,d_sched!$I:$I,AC$2)+SUMIFS(d_sched!$N:$N,d_sched!$D:$D,$A59,d_sched!$K:$K,AC$2))</f>
        <v>1</v>
      </c>
      <c r="AD59">
        <f ca="1">IF($A59=AD$2,0,SUMIFS(d_sched!$N:$N,d_sched!$D:$D,$A59,d_sched!$I:$I,AD$2)+SUMIFS(d_sched!$N:$N,d_sched!$D:$D,$A59,d_sched!$K:$K,AD$2))</f>
        <v>0</v>
      </c>
      <c r="AE59">
        <f ca="1">IF($A59=AE$2,0,SUMIFS(d_sched!$N:$N,d_sched!$D:$D,$A59,d_sched!$I:$I,AE$2)+SUMIFS(d_sched!$N:$N,d_sched!$D:$D,$A59,d_sched!$K:$K,AE$2))</f>
        <v>0</v>
      </c>
      <c r="AG59">
        <f ca="1">ROUND(SUM(B59:AE59),2)</f>
        <v>27</v>
      </c>
      <c r="AH59">
        <f>VLOOKUP($A59,p_win_totals!$D$2:$J$31,6,0)</f>
        <v>15</v>
      </c>
      <c r="AI59">
        <f>VLOOKUP($A59,d_win_totals!$E$2:$K$31,3,0)</f>
        <v>18</v>
      </c>
      <c r="AJ59">
        <f t="shared" ca="1" si="7"/>
        <v>30</v>
      </c>
      <c r="AK59">
        <f>VLOOKUP($A59,p_win_totals!$D$2:$J$31,7,0)</f>
        <v>30</v>
      </c>
      <c r="AL59">
        <f>VLOOKUP($A59,d_win_totals!$E$2:$K$31,6,0)</f>
        <v>30</v>
      </c>
      <c r="AM59">
        <f t="shared" ca="1" si="8"/>
        <v>0</v>
      </c>
      <c r="AN59">
        <f t="shared" ca="1" si="9"/>
        <v>0</v>
      </c>
      <c r="AO59">
        <f t="shared" ca="1" si="10"/>
        <v>0</v>
      </c>
    </row>
    <row r="60" spans="1:41" x14ac:dyDescent="0.25">
      <c r="A60" t="s">
        <v>35</v>
      </c>
      <c r="B60">
        <f ca="1">IF($A60=B$2,0,SUMIFS(d_sched!$N:$N,d_sched!$D:$D,$A60,d_sched!$I:$I,B$2)+SUMIFS(d_sched!$N:$N,d_sched!$D:$D,$A60,d_sched!$K:$K,B$2))</f>
        <v>2</v>
      </c>
      <c r="C60">
        <f ca="1">IF($A60=C$2,0,SUMIFS(d_sched!$N:$N,d_sched!$D:$D,$A60,d_sched!$I:$I,C$2)+SUMIFS(d_sched!$N:$N,d_sched!$D:$D,$A60,d_sched!$K:$K,C$2))</f>
        <v>2</v>
      </c>
      <c r="D60">
        <f ca="1">IF($A60=D$2,0,SUMIFS(d_sched!$N:$N,d_sched!$D:$D,$A60,d_sched!$I:$I,D$2)+SUMIFS(d_sched!$N:$N,d_sched!$D:$D,$A60,d_sched!$K:$K,D$2))</f>
        <v>1</v>
      </c>
      <c r="E60">
        <f ca="1">IF($A60=E$2,0,SUMIFS(d_sched!$N:$N,d_sched!$D:$D,$A60,d_sched!$I:$I,E$2)+SUMIFS(d_sched!$N:$N,d_sched!$D:$D,$A60,d_sched!$K:$K,E$2))</f>
        <v>1</v>
      </c>
      <c r="F60">
        <f ca="1">IF($A60=F$2,0,SUMIFS(d_sched!$N:$N,d_sched!$D:$D,$A60,d_sched!$I:$I,F$2)+SUMIFS(d_sched!$N:$N,d_sched!$D:$D,$A60,d_sched!$K:$K,F$2))</f>
        <v>0</v>
      </c>
      <c r="G60">
        <f ca="1">IF($A60=G$2,0,SUMIFS(d_sched!$N:$N,d_sched!$D:$D,$A60,d_sched!$I:$I,G$2)+SUMIFS(d_sched!$N:$N,d_sched!$D:$D,$A60,d_sched!$K:$K,G$2))</f>
        <v>1</v>
      </c>
      <c r="H60">
        <f ca="1">IF($A60=H$2,0,SUMIFS(d_sched!$N:$N,d_sched!$D:$D,$A60,d_sched!$I:$I,H$2)+SUMIFS(d_sched!$N:$N,d_sched!$D:$D,$A60,d_sched!$K:$K,H$2))</f>
        <v>1</v>
      </c>
      <c r="I60">
        <f ca="1">IF($A60=I$2,0,SUMIFS(d_sched!$N:$N,d_sched!$D:$D,$A60,d_sched!$I:$I,I$2)+SUMIFS(d_sched!$N:$N,d_sched!$D:$D,$A60,d_sched!$K:$K,I$2))</f>
        <v>1</v>
      </c>
      <c r="J60">
        <f ca="1">IF($A60=J$2,0,SUMIFS(d_sched!$N:$N,d_sched!$D:$D,$A60,d_sched!$I:$I,J$2)+SUMIFS(d_sched!$N:$N,d_sched!$D:$D,$A60,d_sched!$K:$K,J$2))</f>
        <v>2</v>
      </c>
      <c r="K60">
        <f ca="1">IF($A60=K$2,0,SUMIFS(d_sched!$N:$N,d_sched!$D:$D,$A60,d_sched!$I:$I,K$2)+SUMIFS(d_sched!$N:$N,d_sched!$D:$D,$A60,d_sched!$K:$K,K$2))</f>
        <v>0</v>
      </c>
      <c r="L60">
        <f ca="1">IF($A60=L$2,0,SUMIFS(d_sched!$N:$N,d_sched!$D:$D,$A60,d_sched!$I:$I,L$2)+SUMIFS(d_sched!$N:$N,d_sched!$D:$D,$A60,d_sched!$K:$K,L$2))</f>
        <v>2</v>
      </c>
      <c r="M60">
        <f ca="1">IF($A60=M$2,0,SUMIFS(d_sched!$N:$N,d_sched!$D:$D,$A60,d_sched!$I:$I,M$2)+SUMIFS(d_sched!$N:$N,d_sched!$D:$D,$A60,d_sched!$K:$K,M$2))</f>
        <v>1</v>
      </c>
      <c r="N60">
        <f ca="1">IF($A60=N$2,0,SUMIFS(d_sched!$N:$N,d_sched!$D:$D,$A60,d_sched!$I:$I,N$2)+SUMIFS(d_sched!$N:$N,d_sched!$D:$D,$A60,d_sched!$K:$K,N$2))</f>
        <v>2</v>
      </c>
      <c r="O60">
        <f ca="1">IF($A60=O$2,0,SUMIFS(d_sched!$N:$N,d_sched!$D:$D,$A60,d_sched!$I:$I,O$2)+SUMIFS(d_sched!$N:$N,d_sched!$D:$D,$A60,d_sched!$K:$K,O$2))</f>
        <v>1</v>
      </c>
      <c r="P60">
        <f ca="1">IF($A60=P$2,0,SUMIFS(d_sched!$N:$N,d_sched!$D:$D,$A60,d_sched!$I:$I,P$2)+SUMIFS(d_sched!$N:$N,d_sched!$D:$D,$A60,d_sched!$K:$K,P$2))</f>
        <v>2</v>
      </c>
      <c r="Q60">
        <f ca="1">IF($A60=Q$2,0,SUMIFS(d_sched!$N:$N,d_sched!$D:$D,$A60,d_sched!$I:$I,Q$2)+SUMIFS(d_sched!$N:$N,d_sched!$D:$D,$A60,d_sched!$K:$K,Q$2))</f>
        <v>1</v>
      </c>
      <c r="R60">
        <f ca="1">IF($A60=R$2,0,SUMIFS(d_sched!$N:$N,d_sched!$D:$D,$A60,d_sched!$I:$I,R$2)+SUMIFS(d_sched!$N:$N,d_sched!$D:$D,$A60,d_sched!$K:$K,R$2))</f>
        <v>0</v>
      </c>
      <c r="S60">
        <f ca="1">IF($A60=S$2,0,SUMIFS(d_sched!$N:$N,d_sched!$D:$D,$A60,d_sched!$I:$I,S$2)+SUMIFS(d_sched!$N:$N,d_sched!$D:$D,$A60,d_sched!$K:$K,S$2))</f>
        <v>3</v>
      </c>
      <c r="T60">
        <f ca="1">IF($A60=T$2,0,SUMIFS(d_sched!$N:$N,d_sched!$D:$D,$A60,d_sched!$I:$I,T$2)+SUMIFS(d_sched!$N:$N,d_sched!$D:$D,$A60,d_sched!$K:$K,T$2))</f>
        <v>2</v>
      </c>
      <c r="U60">
        <f ca="1">IF($A60=U$2,0,SUMIFS(d_sched!$N:$N,d_sched!$D:$D,$A60,d_sched!$I:$I,U$2)+SUMIFS(d_sched!$N:$N,d_sched!$D:$D,$A60,d_sched!$K:$K,U$2))</f>
        <v>1</v>
      </c>
      <c r="V60">
        <f ca="1">IF($A60=V$2,0,SUMIFS(d_sched!$N:$N,d_sched!$D:$D,$A60,d_sched!$I:$I,V$2)+SUMIFS(d_sched!$N:$N,d_sched!$D:$D,$A60,d_sched!$K:$K,V$2))</f>
        <v>3</v>
      </c>
      <c r="W60">
        <f ca="1">IF($A60=W$2,0,SUMIFS(d_sched!$N:$N,d_sched!$D:$D,$A60,d_sched!$I:$I,W$2)+SUMIFS(d_sched!$N:$N,d_sched!$D:$D,$A60,d_sched!$K:$K,W$2))</f>
        <v>1</v>
      </c>
      <c r="X60">
        <f ca="1">IF($A60=X$2,0,SUMIFS(d_sched!$N:$N,d_sched!$D:$D,$A60,d_sched!$I:$I,X$2)+SUMIFS(d_sched!$N:$N,d_sched!$D:$D,$A60,d_sched!$K:$K,X$2))</f>
        <v>1</v>
      </c>
      <c r="Y60">
        <f>IF($A60=Y$2,0,SUMIFS(d_sched!$N:$N,d_sched!$D:$D,$A60,d_sched!$I:$I,Y$2)+SUMIFS(d_sched!$N:$N,d_sched!$D:$D,$A60,d_sched!$K:$K,Y$2))</f>
        <v>0</v>
      </c>
      <c r="Z60">
        <f ca="1">IF($A60=Z$2,0,SUMIFS(d_sched!$N:$N,d_sched!$D:$D,$A60,d_sched!$I:$I,Z$2)+SUMIFS(d_sched!$N:$N,d_sched!$D:$D,$A60,d_sched!$K:$K,Z$2))</f>
        <v>2</v>
      </c>
      <c r="AA60">
        <f ca="1">IF($A60=AA$2,0,SUMIFS(d_sched!$N:$N,d_sched!$D:$D,$A60,d_sched!$I:$I,AA$2)+SUMIFS(d_sched!$N:$N,d_sched!$D:$D,$A60,d_sched!$K:$K,AA$2))</f>
        <v>1</v>
      </c>
      <c r="AB60">
        <f ca="1">IF($A60=AB$2,0,SUMIFS(d_sched!$N:$N,d_sched!$D:$D,$A60,d_sched!$I:$I,AB$2)+SUMIFS(d_sched!$N:$N,d_sched!$D:$D,$A60,d_sched!$K:$K,AB$2))</f>
        <v>1</v>
      </c>
      <c r="AC60">
        <f ca="1">IF($A60=AC$2,0,SUMIFS(d_sched!$N:$N,d_sched!$D:$D,$A60,d_sched!$I:$I,AC$2)+SUMIFS(d_sched!$N:$N,d_sched!$D:$D,$A60,d_sched!$K:$K,AC$2))</f>
        <v>1</v>
      </c>
      <c r="AD60">
        <f ca="1">IF($A60=AD$2,0,SUMIFS(d_sched!$N:$N,d_sched!$D:$D,$A60,d_sched!$I:$I,AD$2)+SUMIFS(d_sched!$N:$N,d_sched!$D:$D,$A60,d_sched!$K:$K,AD$2))</f>
        <v>2</v>
      </c>
      <c r="AE60">
        <f ca="1">IF($A60=AE$2,0,SUMIFS(d_sched!$N:$N,d_sched!$D:$D,$A60,d_sched!$I:$I,AE$2)+SUMIFS(d_sched!$N:$N,d_sched!$D:$D,$A60,d_sched!$K:$K,AE$2))</f>
        <v>0</v>
      </c>
      <c r="AG60">
        <f ca="1">ROUND(SUM(B60:AE60),2)</f>
        <v>38</v>
      </c>
      <c r="AH60">
        <f>VLOOKUP($A60,p_win_totals!$D$2:$J$31,6,0)</f>
        <v>43</v>
      </c>
      <c r="AI60">
        <f>VLOOKUP($A60,d_win_totals!$E$2:$K$31,3,0)</f>
        <v>39</v>
      </c>
      <c r="AJ60">
        <f t="shared" ca="1" si="7"/>
        <v>17</v>
      </c>
      <c r="AK60">
        <f>VLOOKUP($A60,p_win_totals!$D$2:$J$31,7,0)</f>
        <v>15</v>
      </c>
      <c r="AL60">
        <f>VLOOKUP($A60,d_win_totals!$E$2:$K$31,6,0)</f>
        <v>15</v>
      </c>
      <c r="AM60">
        <f t="shared" ca="1" si="8"/>
        <v>-2</v>
      </c>
      <c r="AN60">
        <f t="shared" ca="1" si="9"/>
        <v>2</v>
      </c>
      <c r="AO60">
        <f t="shared" ca="1" si="10"/>
        <v>4</v>
      </c>
    </row>
    <row r="61" spans="1:41" x14ac:dyDescent="0.25">
      <c r="A61" t="s">
        <v>39</v>
      </c>
      <c r="B61">
        <f ca="1">IF($A61=B$2,0,SUMIFS(d_sched!$N:$N,d_sched!$D:$D,$A61,d_sched!$I:$I,B$2)+SUMIFS(d_sched!$N:$N,d_sched!$D:$D,$A61,d_sched!$K:$K,B$2))</f>
        <v>1</v>
      </c>
      <c r="C61">
        <f ca="1">IF($A61=C$2,0,SUMIFS(d_sched!$N:$N,d_sched!$D:$D,$A61,d_sched!$I:$I,C$2)+SUMIFS(d_sched!$N:$N,d_sched!$D:$D,$A61,d_sched!$K:$K,C$2))</f>
        <v>2</v>
      </c>
      <c r="D61">
        <f ca="1">IF($A61=D$2,0,SUMIFS(d_sched!$N:$N,d_sched!$D:$D,$A61,d_sched!$I:$I,D$2)+SUMIFS(d_sched!$N:$N,d_sched!$D:$D,$A61,d_sched!$K:$K,D$2))</f>
        <v>2</v>
      </c>
      <c r="E61">
        <f ca="1">IF($A61=E$2,0,SUMIFS(d_sched!$N:$N,d_sched!$D:$D,$A61,d_sched!$I:$I,E$2)+SUMIFS(d_sched!$N:$N,d_sched!$D:$D,$A61,d_sched!$K:$K,E$2))</f>
        <v>2</v>
      </c>
      <c r="F61">
        <f ca="1">IF($A61=F$2,0,SUMIFS(d_sched!$N:$N,d_sched!$D:$D,$A61,d_sched!$I:$I,F$2)+SUMIFS(d_sched!$N:$N,d_sched!$D:$D,$A61,d_sched!$K:$K,F$2))</f>
        <v>0</v>
      </c>
      <c r="G61">
        <f ca="1">IF($A61=G$2,0,SUMIFS(d_sched!$N:$N,d_sched!$D:$D,$A61,d_sched!$I:$I,G$2)+SUMIFS(d_sched!$N:$N,d_sched!$D:$D,$A61,d_sched!$K:$K,G$2))</f>
        <v>0</v>
      </c>
      <c r="H61">
        <f ca="1">IF($A61=H$2,0,SUMIFS(d_sched!$N:$N,d_sched!$D:$D,$A61,d_sched!$I:$I,H$2)+SUMIFS(d_sched!$N:$N,d_sched!$D:$D,$A61,d_sched!$K:$K,H$2))</f>
        <v>1</v>
      </c>
      <c r="I61">
        <f ca="1">IF($A61=I$2,0,SUMIFS(d_sched!$N:$N,d_sched!$D:$D,$A61,d_sched!$I:$I,I$2)+SUMIFS(d_sched!$N:$N,d_sched!$D:$D,$A61,d_sched!$K:$K,I$2))</f>
        <v>4</v>
      </c>
      <c r="J61">
        <f ca="1">IF($A61=J$2,0,SUMIFS(d_sched!$N:$N,d_sched!$D:$D,$A61,d_sched!$I:$I,J$2)+SUMIFS(d_sched!$N:$N,d_sched!$D:$D,$A61,d_sched!$K:$K,J$2))</f>
        <v>1</v>
      </c>
      <c r="K61">
        <f ca="1">IF($A61=K$2,0,SUMIFS(d_sched!$N:$N,d_sched!$D:$D,$A61,d_sched!$I:$I,K$2)+SUMIFS(d_sched!$N:$N,d_sched!$D:$D,$A61,d_sched!$K:$K,K$2))</f>
        <v>3</v>
      </c>
      <c r="L61">
        <f ca="1">IF($A61=L$2,0,SUMIFS(d_sched!$N:$N,d_sched!$D:$D,$A61,d_sched!$I:$I,L$2)+SUMIFS(d_sched!$N:$N,d_sched!$D:$D,$A61,d_sched!$K:$K,L$2))</f>
        <v>1</v>
      </c>
      <c r="M61">
        <f ca="1">IF($A61=M$2,0,SUMIFS(d_sched!$N:$N,d_sched!$D:$D,$A61,d_sched!$I:$I,M$2)+SUMIFS(d_sched!$N:$N,d_sched!$D:$D,$A61,d_sched!$K:$K,M$2))</f>
        <v>2</v>
      </c>
      <c r="N61">
        <f ca="1">IF($A61=N$2,0,SUMIFS(d_sched!$N:$N,d_sched!$D:$D,$A61,d_sched!$I:$I,N$2)+SUMIFS(d_sched!$N:$N,d_sched!$D:$D,$A61,d_sched!$K:$K,N$2))</f>
        <v>1</v>
      </c>
      <c r="O61">
        <f ca="1">IF($A61=O$2,0,SUMIFS(d_sched!$N:$N,d_sched!$D:$D,$A61,d_sched!$I:$I,O$2)+SUMIFS(d_sched!$N:$N,d_sched!$D:$D,$A61,d_sched!$K:$K,O$2))</f>
        <v>3</v>
      </c>
      <c r="P61">
        <f ca="1">IF($A61=P$2,0,SUMIFS(d_sched!$N:$N,d_sched!$D:$D,$A61,d_sched!$I:$I,P$2)+SUMIFS(d_sched!$N:$N,d_sched!$D:$D,$A61,d_sched!$K:$K,P$2))</f>
        <v>1</v>
      </c>
      <c r="Q61">
        <f ca="1">IF($A61=Q$2,0,SUMIFS(d_sched!$N:$N,d_sched!$D:$D,$A61,d_sched!$I:$I,Q$2)+SUMIFS(d_sched!$N:$N,d_sched!$D:$D,$A61,d_sched!$K:$K,Q$2))</f>
        <v>2</v>
      </c>
      <c r="R61">
        <f ca="1">IF($A61=R$2,0,SUMIFS(d_sched!$N:$N,d_sched!$D:$D,$A61,d_sched!$I:$I,R$2)+SUMIFS(d_sched!$N:$N,d_sched!$D:$D,$A61,d_sched!$K:$K,R$2))</f>
        <v>2</v>
      </c>
      <c r="S61">
        <f ca="1">IF($A61=S$2,0,SUMIFS(d_sched!$N:$N,d_sched!$D:$D,$A61,d_sched!$I:$I,S$2)+SUMIFS(d_sched!$N:$N,d_sched!$D:$D,$A61,d_sched!$K:$K,S$2))</f>
        <v>2</v>
      </c>
      <c r="T61">
        <f ca="1">IF($A61=T$2,0,SUMIFS(d_sched!$N:$N,d_sched!$D:$D,$A61,d_sched!$I:$I,T$2)+SUMIFS(d_sched!$N:$N,d_sched!$D:$D,$A61,d_sched!$K:$K,T$2))</f>
        <v>3</v>
      </c>
      <c r="U61">
        <f ca="1">IF($A61=U$2,0,SUMIFS(d_sched!$N:$N,d_sched!$D:$D,$A61,d_sched!$I:$I,U$2)+SUMIFS(d_sched!$N:$N,d_sched!$D:$D,$A61,d_sched!$K:$K,U$2))</f>
        <v>1</v>
      </c>
      <c r="V61">
        <f ca="1">IF($A61=V$2,0,SUMIFS(d_sched!$N:$N,d_sched!$D:$D,$A61,d_sched!$I:$I,V$2)+SUMIFS(d_sched!$N:$N,d_sched!$D:$D,$A61,d_sched!$K:$K,V$2))</f>
        <v>0</v>
      </c>
      <c r="W61">
        <f ca="1">IF($A61=W$2,0,SUMIFS(d_sched!$N:$N,d_sched!$D:$D,$A61,d_sched!$I:$I,W$2)+SUMIFS(d_sched!$N:$N,d_sched!$D:$D,$A61,d_sched!$K:$K,W$2))</f>
        <v>1</v>
      </c>
      <c r="X61">
        <f ca="1">IF($A61=X$2,0,SUMIFS(d_sched!$N:$N,d_sched!$D:$D,$A61,d_sched!$I:$I,X$2)+SUMIFS(d_sched!$N:$N,d_sched!$D:$D,$A61,d_sched!$K:$K,X$2))</f>
        <v>2</v>
      </c>
      <c r="Y61">
        <f ca="1">IF($A61=Y$2,0,SUMIFS(d_sched!$N:$N,d_sched!$D:$D,$A61,d_sched!$I:$I,Y$2)+SUMIFS(d_sched!$N:$N,d_sched!$D:$D,$A61,d_sched!$K:$K,Y$2))</f>
        <v>2</v>
      </c>
      <c r="Z61">
        <f>IF($A61=Z$2,0,SUMIFS(d_sched!$N:$N,d_sched!$D:$D,$A61,d_sched!$I:$I,Z$2)+SUMIFS(d_sched!$N:$N,d_sched!$D:$D,$A61,d_sched!$K:$K,Z$2))</f>
        <v>0</v>
      </c>
      <c r="AA61">
        <f ca="1">IF($A61=AA$2,0,SUMIFS(d_sched!$N:$N,d_sched!$D:$D,$A61,d_sched!$I:$I,AA$2)+SUMIFS(d_sched!$N:$N,d_sched!$D:$D,$A61,d_sched!$K:$K,AA$2))</f>
        <v>2</v>
      </c>
      <c r="AB61">
        <f ca="1">IF($A61=AB$2,0,SUMIFS(d_sched!$N:$N,d_sched!$D:$D,$A61,d_sched!$I:$I,AB$2)+SUMIFS(d_sched!$N:$N,d_sched!$D:$D,$A61,d_sched!$K:$K,AB$2))</f>
        <v>3</v>
      </c>
      <c r="AC61">
        <f ca="1">IF($A61=AC$2,0,SUMIFS(d_sched!$N:$N,d_sched!$D:$D,$A61,d_sched!$I:$I,AC$2)+SUMIFS(d_sched!$N:$N,d_sched!$D:$D,$A61,d_sched!$K:$K,AC$2))</f>
        <v>1</v>
      </c>
      <c r="AD61">
        <f ca="1">IF($A61=AD$2,0,SUMIFS(d_sched!$N:$N,d_sched!$D:$D,$A61,d_sched!$I:$I,AD$2)+SUMIFS(d_sched!$N:$N,d_sched!$D:$D,$A61,d_sched!$K:$K,AD$2))</f>
        <v>2</v>
      </c>
      <c r="AE61">
        <f ca="1">IF($A61=AE$2,0,SUMIFS(d_sched!$N:$N,d_sched!$D:$D,$A61,d_sched!$I:$I,AE$2)+SUMIFS(d_sched!$N:$N,d_sched!$D:$D,$A61,d_sched!$K:$K,AE$2))</f>
        <v>1</v>
      </c>
      <c r="AG61">
        <f ca="1">ROUND(SUM(B61:AE61),2)</f>
        <v>48</v>
      </c>
      <c r="AH61">
        <f>VLOOKUP($A61,p_win_totals!$D$2:$J$31,6,0)</f>
        <v>49</v>
      </c>
      <c r="AI61">
        <f>VLOOKUP($A61,d_win_totals!$E$2:$K$31,3,0)</f>
        <v>51</v>
      </c>
      <c r="AJ61">
        <f t="shared" ca="1" si="7"/>
        <v>8</v>
      </c>
      <c r="AK61">
        <f>VLOOKUP($A61,p_win_totals!$D$2:$J$31,7,0)</f>
        <v>10</v>
      </c>
      <c r="AL61">
        <f>VLOOKUP($A61,d_win_totals!$E$2:$K$31,6,0)</f>
        <v>11</v>
      </c>
      <c r="AM61">
        <f t="shared" ca="1" si="8"/>
        <v>3</v>
      </c>
      <c r="AN61">
        <f t="shared" ca="1" si="9"/>
        <v>3</v>
      </c>
      <c r="AO61">
        <f t="shared" ca="1" si="10"/>
        <v>9</v>
      </c>
    </row>
    <row r="62" spans="1:41" x14ac:dyDescent="0.25">
      <c r="A62" t="s">
        <v>15</v>
      </c>
      <c r="B62">
        <f ca="1">IF($A62=B$2,0,SUMIFS(d_sched!$N:$N,d_sched!$D:$D,$A62,d_sched!$I:$I,B$2)+SUMIFS(d_sched!$N:$N,d_sched!$D:$D,$A62,d_sched!$K:$K,B$2))</f>
        <v>2</v>
      </c>
      <c r="C62">
        <f ca="1">IF($A62=C$2,0,SUMIFS(d_sched!$N:$N,d_sched!$D:$D,$A62,d_sched!$I:$I,C$2)+SUMIFS(d_sched!$N:$N,d_sched!$D:$D,$A62,d_sched!$K:$K,C$2))</f>
        <v>1</v>
      </c>
      <c r="D62">
        <f ca="1">IF($A62=D$2,0,SUMIFS(d_sched!$N:$N,d_sched!$D:$D,$A62,d_sched!$I:$I,D$2)+SUMIFS(d_sched!$N:$N,d_sched!$D:$D,$A62,d_sched!$K:$K,D$2))</f>
        <v>2</v>
      </c>
      <c r="E62">
        <f ca="1">IF($A62=E$2,0,SUMIFS(d_sched!$N:$N,d_sched!$D:$D,$A62,d_sched!$I:$I,E$2)+SUMIFS(d_sched!$N:$N,d_sched!$D:$D,$A62,d_sched!$K:$K,E$2))</f>
        <v>2</v>
      </c>
      <c r="F62">
        <f ca="1">IF($A62=F$2,0,SUMIFS(d_sched!$N:$N,d_sched!$D:$D,$A62,d_sched!$I:$I,F$2)+SUMIFS(d_sched!$N:$N,d_sched!$D:$D,$A62,d_sched!$K:$K,F$2))</f>
        <v>0</v>
      </c>
      <c r="G62">
        <f ca="1">IF($A62=G$2,0,SUMIFS(d_sched!$N:$N,d_sched!$D:$D,$A62,d_sched!$I:$I,G$2)+SUMIFS(d_sched!$N:$N,d_sched!$D:$D,$A62,d_sched!$K:$K,G$2))</f>
        <v>0</v>
      </c>
      <c r="H62">
        <f ca="1">IF($A62=H$2,0,SUMIFS(d_sched!$N:$N,d_sched!$D:$D,$A62,d_sched!$I:$I,H$2)+SUMIFS(d_sched!$N:$N,d_sched!$D:$D,$A62,d_sched!$K:$K,H$2))</f>
        <v>2</v>
      </c>
      <c r="I62">
        <f ca="1">IF($A62=I$2,0,SUMIFS(d_sched!$N:$N,d_sched!$D:$D,$A62,d_sched!$I:$I,I$2)+SUMIFS(d_sched!$N:$N,d_sched!$D:$D,$A62,d_sched!$K:$K,I$2))</f>
        <v>1</v>
      </c>
      <c r="J62">
        <f ca="1">IF($A62=J$2,0,SUMIFS(d_sched!$N:$N,d_sched!$D:$D,$A62,d_sched!$I:$I,J$2)+SUMIFS(d_sched!$N:$N,d_sched!$D:$D,$A62,d_sched!$K:$K,J$2))</f>
        <v>2</v>
      </c>
      <c r="K62">
        <f ca="1">IF($A62=K$2,0,SUMIFS(d_sched!$N:$N,d_sched!$D:$D,$A62,d_sched!$I:$I,K$2)+SUMIFS(d_sched!$N:$N,d_sched!$D:$D,$A62,d_sched!$K:$K,K$2))</f>
        <v>1</v>
      </c>
      <c r="L62">
        <f ca="1">IF($A62=L$2,0,SUMIFS(d_sched!$N:$N,d_sched!$D:$D,$A62,d_sched!$I:$I,L$2)+SUMIFS(d_sched!$N:$N,d_sched!$D:$D,$A62,d_sched!$K:$K,L$2))</f>
        <v>4</v>
      </c>
      <c r="M62">
        <f ca="1">IF($A62=M$2,0,SUMIFS(d_sched!$N:$N,d_sched!$D:$D,$A62,d_sched!$I:$I,M$2)+SUMIFS(d_sched!$N:$N,d_sched!$D:$D,$A62,d_sched!$K:$K,M$2))</f>
        <v>0</v>
      </c>
      <c r="N62">
        <f ca="1">IF($A62=N$2,0,SUMIFS(d_sched!$N:$N,d_sched!$D:$D,$A62,d_sched!$I:$I,N$2)+SUMIFS(d_sched!$N:$N,d_sched!$D:$D,$A62,d_sched!$K:$K,N$2))</f>
        <v>3</v>
      </c>
      <c r="O62">
        <f ca="1">IF($A62=O$2,0,SUMIFS(d_sched!$N:$N,d_sched!$D:$D,$A62,d_sched!$I:$I,O$2)+SUMIFS(d_sched!$N:$N,d_sched!$D:$D,$A62,d_sched!$K:$K,O$2))</f>
        <v>2</v>
      </c>
      <c r="P62">
        <f ca="1">IF($A62=P$2,0,SUMIFS(d_sched!$N:$N,d_sched!$D:$D,$A62,d_sched!$I:$I,P$2)+SUMIFS(d_sched!$N:$N,d_sched!$D:$D,$A62,d_sched!$K:$K,P$2))</f>
        <v>2</v>
      </c>
      <c r="Q62">
        <f ca="1">IF($A62=Q$2,0,SUMIFS(d_sched!$N:$N,d_sched!$D:$D,$A62,d_sched!$I:$I,Q$2)+SUMIFS(d_sched!$N:$N,d_sched!$D:$D,$A62,d_sched!$K:$K,Q$2))</f>
        <v>1</v>
      </c>
      <c r="R62">
        <f ca="1">IF($A62=R$2,0,SUMIFS(d_sched!$N:$N,d_sched!$D:$D,$A62,d_sched!$I:$I,R$2)+SUMIFS(d_sched!$N:$N,d_sched!$D:$D,$A62,d_sched!$K:$K,R$2))</f>
        <v>1</v>
      </c>
      <c r="S62">
        <f ca="1">IF($A62=S$2,0,SUMIFS(d_sched!$N:$N,d_sched!$D:$D,$A62,d_sched!$I:$I,S$2)+SUMIFS(d_sched!$N:$N,d_sched!$D:$D,$A62,d_sched!$K:$K,S$2))</f>
        <v>3</v>
      </c>
      <c r="T62">
        <f ca="1">IF($A62=T$2,0,SUMIFS(d_sched!$N:$N,d_sched!$D:$D,$A62,d_sched!$I:$I,T$2)+SUMIFS(d_sched!$N:$N,d_sched!$D:$D,$A62,d_sched!$K:$K,T$2))</f>
        <v>3</v>
      </c>
      <c r="U62">
        <f ca="1">IF($A62=U$2,0,SUMIFS(d_sched!$N:$N,d_sched!$D:$D,$A62,d_sched!$I:$I,U$2)+SUMIFS(d_sched!$N:$N,d_sched!$D:$D,$A62,d_sched!$K:$K,U$2))</f>
        <v>1</v>
      </c>
      <c r="V62">
        <f ca="1">IF($A62=V$2,0,SUMIFS(d_sched!$N:$N,d_sched!$D:$D,$A62,d_sched!$I:$I,V$2)+SUMIFS(d_sched!$N:$N,d_sched!$D:$D,$A62,d_sched!$K:$K,V$2))</f>
        <v>2</v>
      </c>
      <c r="W62">
        <f ca="1">IF($A62=W$2,0,SUMIFS(d_sched!$N:$N,d_sched!$D:$D,$A62,d_sched!$I:$I,W$2)+SUMIFS(d_sched!$N:$N,d_sched!$D:$D,$A62,d_sched!$K:$K,W$2))</f>
        <v>2</v>
      </c>
      <c r="X62">
        <f ca="1">IF($A62=X$2,0,SUMIFS(d_sched!$N:$N,d_sched!$D:$D,$A62,d_sched!$I:$I,X$2)+SUMIFS(d_sched!$N:$N,d_sched!$D:$D,$A62,d_sched!$K:$K,X$2))</f>
        <v>1</v>
      </c>
      <c r="Y62">
        <f ca="1">IF($A62=Y$2,0,SUMIFS(d_sched!$N:$N,d_sched!$D:$D,$A62,d_sched!$I:$I,Y$2)+SUMIFS(d_sched!$N:$N,d_sched!$D:$D,$A62,d_sched!$K:$K,Y$2))</f>
        <v>3</v>
      </c>
      <c r="Z62">
        <f ca="1">IF($A62=Z$2,0,SUMIFS(d_sched!$N:$N,d_sched!$D:$D,$A62,d_sched!$I:$I,Z$2)+SUMIFS(d_sched!$N:$N,d_sched!$D:$D,$A62,d_sched!$K:$K,Z$2))</f>
        <v>1</v>
      </c>
      <c r="AA62">
        <f>IF($A62=AA$2,0,SUMIFS(d_sched!$N:$N,d_sched!$D:$D,$A62,d_sched!$I:$I,AA$2)+SUMIFS(d_sched!$N:$N,d_sched!$D:$D,$A62,d_sched!$K:$K,AA$2))</f>
        <v>0</v>
      </c>
      <c r="AB62">
        <f ca="1">IF($A62=AB$2,0,SUMIFS(d_sched!$N:$N,d_sched!$D:$D,$A62,d_sched!$I:$I,AB$2)+SUMIFS(d_sched!$N:$N,d_sched!$D:$D,$A62,d_sched!$K:$K,AB$2))</f>
        <v>4</v>
      </c>
      <c r="AC62">
        <f ca="1">IF($A62=AC$2,0,SUMIFS(d_sched!$N:$N,d_sched!$D:$D,$A62,d_sched!$I:$I,AC$2)+SUMIFS(d_sched!$N:$N,d_sched!$D:$D,$A62,d_sched!$K:$K,AC$2))</f>
        <v>0</v>
      </c>
      <c r="AD62">
        <f ca="1">IF($A62=AD$2,0,SUMIFS(d_sched!$N:$N,d_sched!$D:$D,$A62,d_sched!$I:$I,AD$2)+SUMIFS(d_sched!$N:$N,d_sched!$D:$D,$A62,d_sched!$K:$K,AD$2))</f>
        <v>3</v>
      </c>
      <c r="AE62">
        <f ca="1">IF($A62=AE$2,0,SUMIFS(d_sched!$N:$N,d_sched!$D:$D,$A62,d_sched!$I:$I,AE$2)+SUMIFS(d_sched!$N:$N,d_sched!$D:$D,$A62,d_sched!$K:$K,AE$2))</f>
        <v>1</v>
      </c>
      <c r="AG62">
        <f ca="1">ROUND(SUM(B62:AE62),2)</f>
        <v>50</v>
      </c>
      <c r="AH62">
        <f>VLOOKUP($A62,p_win_totals!$D$2:$J$31,6,0)</f>
        <v>56</v>
      </c>
      <c r="AI62">
        <f>VLOOKUP($A62,d_win_totals!$E$2:$K$31,3,0)</f>
        <v>55</v>
      </c>
      <c r="AJ62">
        <f t="shared" ca="1" si="7"/>
        <v>6</v>
      </c>
      <c r="AK62">
        <f>VLOOKUP($A62,p_win_totals!$D$2:$J$31,7,0)</f>
        <v>3</v>
      </c>
      <c r="AL62">
        <f>VLOOKUP($A62,d_win_totals!$E$2:$K$31,6,0)</f>
        <v>3</v>
      </c>
      <c r="AM62">
        <f t="shared" ca="1" si="8"/>
        <v>-3</v>
      </c>
      <c r="AN62">
        <f t="shared" ca="1" si="9"/>
        <v>3</v>
      </c>
      <c r="AO62">
        <f t="shared" ca="1" si="10"/>
        <v>9</v>
      </c>
    </row>
    <row r="63" spans="1:41" x14ac:dyDescent="0.25">
      <c r="A63" t="s">
        <v>37</v>
      </c>
      <c r="B63">
        <f ca="1">IF($A63=B$2,0,SUMIFS(d_sched!$N:$N,d_sched!$D:$D,$A63,d_sched!$I:$I,B$2)+SUMIFS(d_sched!$N:$N,d_sched!$D:$D,$A63,d_sched!$K:$K,B$2))</f>
        <v>0</v>
      </c>
      <c r="C63">
        <f ca="1">IF($A63=C$2,0,SUMIFS(d_sched!$N:$N,d_sched!$D:$D,$A63,d_sched!$I:$I,C$2)+SUMIFS(d_sched!$N:$N,d_sched!$D:$D,$A63,d_sched!$K:$K,C$2))</f>
        <v>0</v>
      </c>
      <c r="D63">
        <f ca="1">IF($A63=D$2,0,SUMIFS(d_sched!$N:$N,d_sched!$D:$D,$A63,d_sched!$I:$I,D$2)+SUMIFS(d_sched!$N:$N,d_sched!$D:$D,$A63,d_sched!$K:$K,D$2))</f>
        <v>1</v>
      </c>
      <c r="E63">
        <f ca="1">IF($A63=E$2,0,SUMIFS(d_sched!$N:$N,d_sched!$D:$D,$A63,d_sched!$I:$I,E$2)+SUMIFS(d_sched!$N:$N,d_sched!$D:$D,$A63,d_sched!$K:$K,E$2))</f>
        <v>2</v>
      </c>
      <c r="F63">
        <f ca="1">IF($A63=F$2,0,SUMIFS(d_sched!$N:$N,d_sched!$D:$D,$A63,d_sched!$I:$I,F$2)+SUMIFS(d_sched!$N:$N,d_sched!$D:$D,$A63,d_sched!$K:$K,F$2))</f>
        <v>0</v>
      </c>
      <c r="G63">
        <f ca="1">IF($A63=G$2,0,SUMIFS(d_sched!$N:$N,d_sched!$D:$D,$A63,d_sched!$I:$I,G$2)+SUMIFS(d_sched!$N:$N,d_sched!$D:$D,$A63,d_sched!$K:$K,G$2))</f>
        <v>0</v>
      </c>
      <c r="H63">
        <f ca="1">IF($A63=H$2,0,SUMIFS(d_sched!$N:$N,d_sched!$D:$D,$A63,d_sched!$I:$I,H$2)+SUMIFS(d_sched!$N:$N,d_sched!$D:$D,$A63,d_sched!$K:$K,H$2))</f>
        <v>2</v>
      </c>
      <c r="I63">
        <f ca="1">IF($A63=I$2,0,SUMIFS(d_sched!$N:$N,d_sched!$D:$D,$A63,d_sched!$I:$I,I$2)+SUMIFS(d_sched!$N:$N,d_sched!$D:$D,$A63,d_sched!$K:$K,I$2))</f>
        <v>1</v>
      </c>
      <c r="J63">
        <f ca="1">IF($A63=J$2,0,SUMIFS(d_sched!$N:$N,d_sched!$D:$D,$A63,d_sched!$I:$I,J$2)+SUMIFS(d_sched!$N:$N,d_sched!$D:$D,$A63,d_sched!$K:$K,J$2))</f>
        <v>2</v>
      </c>
      <c r="K63">
        <f ca="1">IF($A63=K$2,0,SUMIFS(d_sched!$N:$N,d_sched!$D:$D,$A63,d_sched!$I:$I,K$2)+SUMIFS(d_sched!$N:$N,d_sched!$D:$D,$A63,d_sched!$K:$K,K$2))</f>
        <v>3</v>
      </c>
      <c r="L63">
        <f ca="1">IF($A63=L$2,0,SUMIFS(d_sched!$N:$N,d_sched!$D:$D,$A63,d_sched!$I:$I,L$2)+SUMIFS(d_sched!$N:$N,d_sched!$D:$D,$A63,d_sched!$K:$K,L$2))</f>
        <v>1</v>
      </c>
      <c r="M63">
        <f ca="1">IF($A63=M$2,0,SUMIFS(d_sched!$N:$N,d_sched!$D:$D,$A63,d_sched!$I:$I,M$2)+SUMIFS(d_sched!$N:$N,d_sched!$D:$D,$A63,d_sched!$K:$K,M$2))</f>
        <v>0</v>
      </c>
      <c r="N63">
        <f ca="1">IF($A63=N$2,0,SUMIFS(d_sched!$N:$N,d_sched!$D:$D,$A63,d_sched!$I:$I,N$2)+SUMIFS(d_sched!$N:$N,d_sched!$D:$D,$A63,d_sched!$K:$K,N$2))</f>
        <v>2</v>
      </c>
      <c r="O63">
        <f ca="1">IF($A63=O$2,0,SUMIFS(d_sched!$N:$N,d_sched!$D:$D,$A63,d_sched!$I:$I,O$2)+SUMIFS(d_sched!$N:$N,d_sched!$D:$D,$A63,d_sched!$K:$K,O$2))</f>
        <v>3</v>
      </c>
      <c r="P63">
        <f ca="1">IF($A63=P$2,0,SUMIFS(d_sched!$N:$N,d_sched!$D:$D,$A63,d_sched!$I:$I,P$2)+SUMIFS(d_sched!$N:$N,d_sched!$D:$D,$A63,d_sched!$K:$K,P$2))</f>
        <v>1</v>
      </c>
      <c r="Q63">
        <f ca="1">IF($A63=Q$2,0,SUMIFS(d_sched!$N:$N,d_sched!$D:$D,$A63,d_sched!$I:$I,Q$2)+SUMIFS(d_sched!$N:$N,d_sched!$D:$D,$A63,d_sched!$K:$K,Q$2))</f>
        <v>1</v>
      </c>
      <c r="R63">
        <f ca="1">IF($A63=R$2,0,SUMIFS(d_sched!$N:$N,d_sched!$D:$D,$A63,d_sched!$I:$I,R$2)+SUMIFS(d_sched!$N:$N,d_sched!$D:$D,$A63,d_sched!$K:$K,R$2))</f>
        <v>1</v>
      </c>
      <c r="S63">
        <f ca="1">IF($A63=S$2,0,SUMIFS(d_sched!$N:$N,d_sched!$D:$D,$A63,d_sched!$I:$I,S$2)+SUMIFS(d_sched!$N:$N,d_sched!$D:$D,$A63,d_sched!$K:$K,S$2))</f>
        <v>0</v>
      </c>
      <c r="T63">
        <f ca="1">IF($A63=T$2,0,SUMIFS(d_sched!$N:$N,d_sched!$D:$D,$A63,d_sched!$I:$I,T$2)+SUMIFS(d_sched!$N:$N,d_sched!$D:$D,$A63,d_sched!$K:$K,T$2))</f>
        <v>1</v>
      </c>
      <c r="U63">
        <f ca="1">IF($A63=U$2,0,SUMIFS(d_sched!$N:$N,d_sched!$D:$D,$A63,d_sched!$I:$I,U$2)+SUMIFS(d_sched!$N:$N,d_sched!$D:$D,$A63,d_sched!$K:$K,U$2))</f>
        <v>0</v>
      </c>
      <c r="V63">
        <f ca="1">IF($A63=V$2,0,SUMIFS(d_sched!$N:$N,d_sched!$D:$D,$A63,d_sched!$I:$I,V$2)+SUMIFS(d_sched!$N:$N,d_sched!$D:$D,$A63,d_sched!$K:$K,V$2))</f>
        <v>0</v>
      </c>
      <c r="W63">
        <f ca="1">IF($A63=W$2,0,SUMIFS(d_sched!$N:$N,d_sched!$D:$D,$A63,d_sched!$I:$I,W$2)+SUMIFS(d_sched!$N:$N,d_sched!$D:$D,$A63,d_sched!$K:$K,W$2))</f>
        <v>2</v>
      </c>
      <c r="X63">
        <f ca="1">IF($A63=X$2,0,SUMIFS(d_sched!$N:$N,d_sched!$D:$D,$A63,d_sched!$I:$I,X$2)+SUMIFS(d_sched!$N:$N,d_sched!$D:$D,$A63,d_sched!$K:$K,X$2))</f>
        <v>1</v>
      </c>
      <c r="Y63">
        <f ca="1">IF($A63=Y$2,0,SUMIFS(d_sched!$N:$N,d_sched!$D:$D,$A63,d_sched!$I:$I,Y$2)+SUMIFS(d_sched!$N:$N,d_sched!$D:$D,$A63,d_sched!$K:$K,Y$2))</f>
        <v>1</v>
      </c>
      <c r="Z63">
        <f ca="1">IF($A63=Z$2,0,SUMIFS(d_sched!$N:$N,d_sched!$D:$D,$A63,d_sched!$I:$I,Z$2)+SUMIFS(d_sched!$N:$N,d_sched!$D:$D,$A63,d_sched!$K:$K,Z$2))</f>
        <v>2</v>
      </c>
      <c r="AA63">
        <f ca="1">IF($A63=AA$2,0,SUMIFS(d_sched!$N:$N,d_sched!$D:$D,$A63,d_sched!$I:$I,AA$2)+SUMIFS(d_sched!$N:$N,d_sched!$D:$D,$A63,d_sched!$K:$K,AA$2))</f>
        <v>3</v>
      </c>
      <c r="AB63">
        <f>IF($A63=AB$2,0,SUMIFS(d_sched!$N:$N,d_sched!$D:$D,$A63,d_sched!$I:$I,AB$2)+SUMIFS(d_sched!$N:$N,d_sched!$D:$D,$A63,d_sched!$K:$K,AB$2))</f>
        <v>0</v>
      </c>
      <c r="AC63">
        <f ca="1">IF($A63=AC$2,0,SUMIFS(d_sched!$N:$N,d_sched!$D:$D,$A63,d_sched!$I:$I,AC$2)+SUMIFS(d_sched!$N:$N,d_sched!$D:$D,$A63,d_sched!$K:$K,AC$2))</f>
        <v>1</v>
      </c>
      <c r="AD63">
        <f ca="1">IF($A63=AD$2,0,SUMIFS(d_sched!$N:$N,d_sched!$D:$D,$A63,d_sched!$I:$I,AD$2)+SUMIFS(d_sched!$N:$N,d_sched!$D:$D,$A63,d_sched!$K:$K,AD$2))</f>
        <v>3</v>
      </c>
      <c r="AE63">
        <f ca="1">IF($A63=AE$2,0,SUMIFS(d_sched!$N:$N,d_sched!$D:$D,$A63,d_sched!$I:$I,AE$2)+SUMIFS(d_sched!$N:$N,d_sched!$D:$D,$A63,d_sched!$K:$K,AE$2))</f>
        <v>0</v>
      </c>
      <c r="AG63">
        <f ca="1">ROUND(SUM(B63:AE63),2)</f>
        <v>34</v>
      </c>
      <c r="AH63">
        <f>VLOOKUP($A63,p_win_totals!$D$2:$J$31,6,0)</f>
        <v>29</v>
      </c>
      <c r="AI63">
        <f>VLOOKUP($A63,d_win_totals!$E$2:$K$31,3,0)</f>
        <v>29</v>
      </c>
      <c r="AJ63">
        <f t="shared" ca="1" si="7"/>
        <v>23</v>
      </c>
      <c r="AK63">
        <f>VLOOKUP($A63,p_win_totals!$D$2:$J$31,7,0)</f>
        <v>23</v>
      </c>
      <c r="AL63">
        <f>VLOOKUP($A63,d_win_totals!$E$2:$K$31,6,0)</f>
        <v>24</v>
      </c>
      <c r="AM63">
        <f t="shared" ca="1" si="8"/>
        <v>1</v>
      </c>
      <c r="AN63">
        <f t="shared" ca="1" si="9"/>
        <v>1</v>
      </c>
      <c r="AO63">
        <f t="shared" ca="1" si="10"/>
        <v>1</v>
      </c>
    </row>
    <row r="64" spans="1:41" x14ac:dyDescent="0.25">
      <c r="A64" t="s">
        <v>27</v>
      </c>
      <c r="B64">
        <f ca="1">IF($A64=B$2,0,SUMIFS(d_sched!$N:$N,d_sched!$D:$D,$A64,d_sched!$I:$I,B$2)+SUMIFS(d_sched!$N:$N,d_sched!$D:$D,$A64,d_sched!$K:$K,B$2))</f>
        <v>3</v>
      </c>
      <c r="C64">
        <f ca="1">IF($A64=C$2,0,SUMIFS(d_sched!$N:$N,d_sched!$D:$D,$A64,d_sched!$I:$I,C$2)+SUMIFS(d_sched!$N:$N,d_sched!$D:$D,$A64,d_sched!$K:$K,C$2))</f>
        <v>3</v>
      </c>
      <c r="D64">
        <f ca="1">IF($A64=D$2,0,SUMIFS(d_sched!$N:$N,d_sched!$D:$D,$A64,d_sched!$I:$I,D$2)+SUMIFS(d_sched!$N:$N,d_sched!$D:$D,$A64,d_sched!$K:$K,D$2))</f>
        <v>2</v>
      </c>
      <c r="E64">
        <f ca="1">IF($A64=E$2,0,SUMIFS(d_sched!$N:$N,d_sched!$D:$D,$A64,d_sched!$I:$I,E$2)+SUMIFS(d_sched!$N:$N,d_sched!$D:$D,$A64,d_sched!$K:$K,E$2))</f>
        <v>3</v>
      </c>
      <c r="F64">
        <f ca="1">IF($A64=F$2,0,SUMIFS(d_sched!$N:$N,d_sched!$D:$D,$A64,d_sched!$I:$I,F$2)+SUMIFS(d_sched!$N:$N,d_sched!$D:$D,$A64,d_sched!$K:$K,F$2))</f>
        <v>2</v>
      </c>
      <c r="G64">
        <f ca="1">IF($A64=G$2,0,SUMIFS(d_sched!$N:$N,d_sched!$D:$D,$A64,d_sched!$I:$I,G$2)+SUMIFS(d_sched!$N:$N,d_sched!$D:$D,$A64,d_sched!$K:$K,G$2))</f>
        <v>2</v>
      </c>
      <c r="H64">
        <f ca="1">IF($A64=H$2,0,SUMIFS(d_sched!$N:$N,d_sched!$D:$D,$A64,d_sched!$I:$I,H$2)+SUMIFS(d_sched!$N:$N,d_sched!$D:$D,$A64,d_sched!$K:$K,H$2))</f>
        <v>2</v>
      </c>
      <c r="I64">
        <f ca="1">IF($A64=I$2,0,SUMIFS(d_sched!$N:$N,d_sched!$D:$D,$A64,d_sched!$I:$I,I$2)+SUMIFS(d_sched!$N:$N,d_sched!$D:$D,$A64,d_sched!$K:$K,I$2))</f>
        <v>2</v>
      </c>
      <c r="J64">
        <f ca="1">IF($A64=J$2,0,SUMIFS(d_sched!$N:$N,d_sched!$D:$D,$A64,d_sched!$I:$I,J$2)+SUMIFS(d_sched!$N:$N,d_sched!$D:$D,$A64,d_sched!$K:$K,J$2))</f>
        <v>3</v>
      </c>
      <c r="K64">
        <f ca="1">IF($A64=K$2,0,SUMIFS(d_sched!$N:$N,d_sched!$D:$D,$A64,d_sched!$I:$I,K$2)+SUMIFS(d_sched!$N:$N,d_sched!$D:$D,$A64,d_sched!$K:$K,K$2))</f>
        <v>0</v>
      </c>
      <c r="L64">
        <f ca="1">IF($A64=L$2,0,SUMIFS(d_sched!$N:$N,d_sched!$D:$D,$A64,d_sched!$I:$I,L$2)+SUMIFS(d_sched!$N:$N,d_sched!$D:$D,$A64,d_sched!$K:$K,L$2))</f>
        <v>1</v>
      </c>
      <c r="M64">
        <f ca="1">IF($A64=M$2,0,SUMIFS(d_sched!$N:$N,d_sched!$D:$D,$A64,d_sched!$I:$I,M$2)+SUMIFS(d_sched!$N:$N,d_sched!$D:$D,$A64,d_sched!$K:$K,M$2))</f>
        <v>1</v>
      </c>
      <c r="N64">
        <f ca="1">IF($A64=N$2,0,SUMIFS(d_sched!$N:$N,d_sched!$D:$D,$A64,d_sched!$I:$I,N$2)+SUMIFS(d_sched!$N:$N,d_sched!$D:$D,$A64,d_sched!$K:$K,N$2))</f>
        <v>1</v>
      </c>
      <c r="O64">
        <f ca="1">IF($A64=O$2,0,SUMIFS(d_sched!$N:$N,d_sched!$D:$D,$A64,d_sched!$I:$I,O$2)+SUMIFS(d_sched!$N:$N,d_sched!$D:$D,$A64,d_sched!$K:$K,O$2))</f>
        <v>1</v>
      </c>
      <c r="P64">
        <f ca="1">IF($A64=P$2,0,SUMIFS(d_sched!$N:$N,d_sched!$D:$D,$A64,d_sched!$I:$I,P$2)+SUMIFS(d_sched!$N:$N,d_sched!$D:$D,$A64,d_sched!$K:$K,P$2))</f>
        <v>0</v>
      </c>
      <c r="Q64">
        <f ca="1">IF($A64=Q$2,0,SUMIFS(d_sched!$N:$N,d_sched!$D:$D,$A64,d_sched!$I:$I,Q$2)+SUMIFS(d_sched!$N:$N,d_sched!$D:$D,$A64,d_sched!$K:$K,Q$2))</f>
        <v>2</v>
      </c>
      <c r="R64">
        <f ca="1">IF($A64=R$2,0,SUMIFS(d_sched!$N:$N,d_sched!$D:$D,$A64,d_sched!$I:$I,R$2)+SUMIFS(d_sched!$N:$N,d_sched!$D:$D,$A64,d_sched!$K:$K,R$2))</f>
        <v>2</v>
      </c>
      <c r="S64">
        <f ca="1">IF($A64=S$2,0,SUMIFS(d_sched!$N:$N,d_sched!$D:$D,$A64,d_sched!$I:$I,S$2)+SUMIFS(d_sched!$N:$N,d_sched!$D:$D,$A64,d_sched!$K:$K,S$2))</f>
        <v>0</v>
      </c>
      <c r="T64">
        <f ca="1">IF($A64=T$2,0,SUMIFS(d_sched!$N:$N,d_sched!$D:$D,$A64,d_sched!$I:$I,T$2)+SUMIFS(d_sched!$N:$N,d_sched!$D:$D,$A64,d_sched!$K:$K,T$2))</f>
        <v>2</v>
      </c>
      <c r="U64">
        <f ca="1">IF($A64=U$2,0,SUMIFS(d_sched!$N:$N,d_sched!$D:$D,$A64,d_sched!$I:$I,U$2)+SUMIFS(d_sched!$N:$N,d_sched!$D:$D,$A64,d_sched!$K:$K,U$2))</f>
        <v>4</v>
      </c>
      <c r="V64">
        <f ca="1">IF($A64=V$2,0,SUMIFS(d_sched!$N:$N,d_sched!$D:$D,$A64,d_sched!$I:$I,V$2)+SUMIFS(d_sched!$N:$N,d_sched!$D:$D,$A64,d_sched!$K:$K,V$2))</f>
        <v>1</v>
      </c>
      <c r="W64">
        <f ca="1">IF($A64=W$2,0,SUMIFS(d_sched!$N:$N,d_sched!$D:$D,$A64,d_sched!$I:$I,W$2)+SUMIFS(d_sched!$N:$N,d_sched!$D:$D,$A64,d_sched!$K:$K,W$2))</f>
        <v>2</v>
      </c>
      <c r="X64">
        <f ca="1">IF($A64=X$2,0,SUMIFS(d_sched!$N:$N,d_sched!$D:$D,$A64,d_sched!$I:$I,X$2)+SUMIFS(d_sched!$N:$N,d_sched!$D:$D,$A64,d_sched!$K:$K,X$2))</f>
        <v>3</v>
      </c>
      <c r="Y64">
        <f ca="1">IF($A64=Y$2,0,SUMIFS(d_sched!$N:$N,d_sched!$D:$D,$A64,d_sched!$I:$I,Y$2)+SUMIFS(d_sched!$N:$N,d_sched!$D:$D,$A64,d_sched!$K:$K,Y$2))</f>
        <v>2</v>
      </c>
      <c r="Z64">
        <f ca="1">IF($A64=Z$2,0,SUMIFS(d_sched!$N:$N,d_sched!$D:$D,$A64,d_sched!$I:$I,Z$2)+SUMIFS(d_sched!$N:$N,d_sched!$D:$D,$A64,d_sched!$K:$K,Z$2))</f>
        <v>1</v>
      </c>
      <c r="AA64">
        <f ca="1">IF($A64=AA$2,0,SUMIFS(d_sched!$N:$N,d_sched!$D:$D,$A64,d_sched!$I:$I,AA$2)+SUMIFS(d_sched!$N:$N,d_sched!$D:$D,$A64,d_sched!$K:$K,AA$2))</f>
        <v>0</v>
      </c>
      <c r="AB64">
        <f ca="1">IF($A64=AB$2,0,SUMIFS(d_sched!$N:$N,d_sched!$D:$D,$A64,d_sched!$I:$I,AB$2)+SUMIFS(d_sched!$N:$N,d_sched!$D:$D,$A64,d_sched!$K:$K,AB$2))</f>
        <v>2</v>
      </c>
      <c r="AC64">
        <f>IF($A64=AC$2,0,SUMIFS(d_sched!$N:$N,d_sched!$D:$D,$A64,d_sched!$I:$I,AC$2)+SUMIFS(d_sched!$N:$N,d_sched!$D:$D,$A64,d_sched!$K:$K,AC$2))</f>
        <v>0</v>
      </c>
      <c r="AD64">
        <f ca="1">IF($A64=AD$2,0,SUMIFS(d_sched!$N:$N,d_sched!$D:$D,$A64,d_sched!$I:$I,AD$2)+SUMIFS(d_sched!$N:$N,d_sched!$D:$D,$A64,d_sched!$K:$K,AD$2))</f>
        <v>1</v>
      </c>
      <c r="AE64">
        <f ca="1">IF($A64=AE$2,0,SUMIFS(d_sched!$N:$N,d_sched!$D:$D,$A64,d_sched!$I:$I,AE$2)+SUMIFS(d_sched!$N:$N,d_sched!$D:$D,$A64,d_sched!$K:$K,AE$2))</f>
        <v>3</v>
      </c>
      <c r="AG64">
        <f ca="1">ROUND(SUM(B64:AE64),2)</f>
        <v>51</v>
      </c>
      <c r="AH64">
        <f>VLOOKUP($A64,p_win_totals!$D$2:$J$31,6,0)</f>
        <v>52</v>
      </c>
      <c r="AI64">
        <f>VLOOKUP($A64,d_win_totals!$E$2:$K$31,3,0)</f>
        <v>49</v>
      </c>
      <c r="AJ64">
        <f t="shared" ca="1" si="7"/>
        <v>5</v>
      </c>
      <c r="AK64">
        <f>VLOOKUP($A64,p_win_totals!$D$2:$J$31,7,0)</f>
        <v>7</v>
      </c>
      <c r="AL64">
        <f>VLOOKUP($A64,d_win_totals!$E$2:$K$31,6,0)</f>
        <v>7</v>
      </c>
      <c r="AM64">
        <f t="shared" ca="1" si="8"/>
        <v>2</v>
      </c>
      <c r="AN64">
        <f t="shared" ca="1" si="9"/>
        <v>2</v>
      </c>
      <c r="AO64">
        <f t="shared" ca="1" si="10"/>
        <v>4</v>
      </c>
    </row>
    <row r="65" spans="1:41" x14ac:dyDescent="0.25">
      <c r="A65" t="s">
        <v>34</v>
      </c>
      <c r="B65">
        <f ca="1">IF($A65=B$2,0,SUMIFS(d_sched!$N:$N,d_sched!$D:$D,$A65,d_sched!$I:$I,B$2)+SUMIFS(d_sched!$N:$N,d_sched!$D:$D,$A65,d_sched!$K:$K,B$2))</f>
        <v>0</v>
      </c>
      <c r="C65">
        <f ca="1">IF($A65=C$2,0,SUMIFS(d_sched!$N:$N,d_sched!$D:$D,$A65,d_sched!$I:$I,C$2)+SUMIFS(d_sched!$N:$N,d_sched!$D:$D,$A65,d_sched!$K:$K,C$2))</f>
        <v>0</v>
      </c>
      <c r="D65">
        <f ca="1">IF($A65=D$2,0,SUMIFS(d_sched!$N:$N,d_sched!$D:$D,$A65,d_sched!$I:$I,D$2)+SUMIFS(d_sched!$N:$N,d_sched!$D:$D,$A65,d_sched!$K:$K,D$2))</f>
        <v>2</v>
      </c>
      <c r="E65">
        <f ca="1">IF($A65=E$2,0,SUMIFS(d_sched!$N:$N,d_sched!$D:$D,$A65,d_sched!$I:$I,E$2)+SUMIFS(d_sched!$N:$N,d_sched!$D:$D,$A65,d_sched!$K:$K,E$2))</f>
        <v>1</v>
      </c>
      <c r="F65">
        <f ca="1">IF($A65=F$2,0,SUMIFS(d_sched!$N:$N,d_sched!$D:$D,$A65,d_sched!$I:$I,F$2)+SUMIFS(d_sched!$N:$N,d_sched!$D:$D,$A65,d_sched!$K:$K,F$2))</f>
        <v>1</v>
      </c>
      <c r="G65">
        <f ca="1">IF($A65=G$2,0,SUMIFS(d_sched!$N:$N,d_sched!$D:$D,$A65,d_sched!$I:$I,G$2)+SUMIFS(d_sched!$N:$N,d_sched!$D:$D,$A65,d_sched!$K:$K,G$2))</f>
        <v>0</v>
      </c>
      <c r="H65">
        <f ca="1">IF($A65=H$2,0,SUMIFS(d_sched!$N:$N,d_sched!$D:$D,$A65,d_sched!$I:$I,H$2)+SUMIFS(d_sched!$N:$N,d_sched!$D:$D,$A65,d_sched!$K:$K,H$2))</f>
        <v>0</v>
      </c>
      <c r="I65">
        <f ca="1">IF($A65=I$2,0,SUMIFS(d_sched!$N:$N,d_sched!$D:$D,$A65,d_sched!$I:$I,I$2)+SUMIFS(d_sched!$N:$N,d_sched!$D:$D,$A65,d_sched!$K:$K,I$2))</f>
        <v>2</v>
      </c>
      <c r="J65">
        <f ca="1">IF($A65=J$2,0,SUMIFS(d_sched!$N:$N,d_sched!$D:$D,$A65,d_sched!$I:$I,J$2)+SUMIFS(d_sched!$N:$N,d_sched!$D:$D,$A65,d_sched!$K:$K,J$2))</f>
        <v>1</v>
      </c>
      <c r="K65">
        <f ca="1">IF($A65=K$2,0,SUMIFS(d_sched!$N:$N,d_sched!$D:$D,$A65,d_sched!$I:$I,K$2)+SUMIFS(d_sched!$N:$N,d_sched!$D:$D,$A65,d_sched!$K:$K,K$2))</f>
        <v>1</v>
      </c>
      <c r="L65">
        <f ca="1">IF($A65=L$2,0,SUMIFS(d_sched!$N:$N,d_sched!$D:$D,$A65,d_sched!$I:$I,L$2)+SUMIFS(d_sched!$N:$N,d_sched!$D:$D,$A65,d_sched!$K:$K,L$2))</f>
        <v>2</v>
      </c>
      <c r="M65">
        <f ca="1">IF($A65=M$2,0,SUMIFS(d_sched!$N:$N,d_sched!$D:$D,$A65,d_sched!$I:$I,M$2)+SUMIFS(d_sched!$N:$N,d_sched!$D:$D,$A65,d_sched!$K:$K,M$2))</f>
        <v>1</v>
      </c>
      <c r="N65">
        <f ca="1">IF($A65=N$2,0,SUMIFS(d_sched!$N:$N,d_sched!$D:$D,$A65,d_sched!$I:$I,N$2)+SUMIFS(d_sched!$N:$N,d_sched!$D:$D,$A65,d_sched!$K:$K,N$2))</f>
        <v>0</v>
      </c>
      <c r="O65">
        <f ca="1">IF($A65=O$2,0,SUMIFS(d_sched!$N:$N,d_sched!$D:$D,$A65,d_sched!$I:$I,O$2)+SUMIFS(d_sched!$N:$N,d_sched!$D:$D,$A65,d_sched!$K:$K,O$2))</f>
        <v>0</v>
      </c>
      <c r="P65">
        <f ca="1">IF($A65=P$2,0,SUMIFS(d_sched!$N:$N,d_sched!$D:$D,$A65,d_sched!$I:$I,P$2)+SUMIFS(d_sched!$N:$N,d_sched!$D:$D,$A65,d_sched!$K:$K,P$2))</f>
        <v>1</v>
      </c>
      <c r="Q65">
        <f ca="1">IF($A65=Q$2,0,SUMIFS(d_sched!$N:$N,d_sched!$D:$D,$A65,d_sched!$I:$I,Q$2)+SUMIFS(d_sched!$N:$N,d_sched!$D:$D,$A65,d_sched!$K:$K,Q$2))</f>
        <v>1</v>
      </c>
      <c r="R65">
        <f ca="1">IF($A65=R$2,0,SUMIFS(d_sched!$N:$N,d_sched!$D:$D,$A65,d_sched!$I:$I,R$2)+SUMIFS(d_sched!$N:$N,d_sched!$D:$D,$A65,d_sched!$K:$K,R$2))</f>
        <v>2</v>
      </c>
      <c r="S65">
        <f ca="1">IF($A65=S$2,0,SUMIFS(d_sched!$N:$N,d_sched!$D:$D,$A65,d_sched!$I:$I,S$2)+SUMIFS(d_sched!$N:$N,d_sched!$D:$D,$A65,d_sched!$K:$K,S$2))</f>
        <v>3</v>
      </c>
      <c r="T65">
        <f ca="1">IF($A65=T$2,0,SUMIFS(d_sched!$N:$N,d_sched!$D:$D,$A65,d_sched!$I:$I,T$2)+SUMIFS(d_sched!$N:$N,d_sched!$D:$D,$A65,d_sched!$K:$K,T$2))</f>
        <v>2</v>
      </c>
      <c r="U65">
        <f ca="1">IF($A65=U$2,0,SUMIFS(d_sched!$N:$N,d_sched!$D:$D,$A65,d_sched!$I:$I,U$2)+SUMIFS(d_sched!$N:$N,d_sched!$D:$D,$A65,d_sched!$K:$K,U$2))</f>
        <v>1</v>
      </c>
      <c r="V65">
        <f ca="1">IF($A65=V$2,0,SUMIFS(d_sched!$N:$N,d_sched!$D:$D,$A65,d_sched!$I:$I,V$2)+SUMIFS(d_sched!$N:$N,d_sched!$D:$D,$A65,d_sched!$K:$K,V$2))</f>
        <v>2</v>
      </c>
      <c r="W65">
        <f ca="1">IF($A65=W$2,0,SUMIFS(d_sched!$N:$N,d_sched!$D:$D,$A65,d_sched!$I:$I,W$2)+SUMIFS(d_sched!$N:$N,d_sched!$D:$D,$A65,d_sched!$K:$K,W$2))</f>
        <v>0</v>
      </c>
      <c r="X65">
        <f ca="1">IF($A65=X$2,0,SUMIFS(d_sched!$N:$N,d_sched!$D:$D,$A65,d_sched!$I:$I,X$2)+SUMIFS(d_sched!$N:$N,d_sched!$D:$D,$A65,d_sched!$K:$K,X$2))</f>
        <v>1</v>
      </c>
      <c r="Y65">
        <f ca="1">IF($A65=Y$2,0,SUMIFS(d_sched!$N:$N,d_sched!$D:$D,$A65,d_sched!$I:$I,Y$2)+SUMIFS(d_sched!$N:$N,d_sched!$D:$D,$A65,d_sched!$K:$K,Y$2))</f>
        <v>1</v>
      </c>
      <c r="Z65">
        <f ca="1">IF($A65=Z$2,0,SUMIFS(d_sched!$N:$N,d_sched!$D:$D,$A65,d_sched!$I:$I,Z$2)+SUMIFS(d_sched!$N:$N,d_sched!$D:$D,$A65,d_sched!$K:$K,Z$2))</f>
        <v>1</v>
      </c>
      <c r="AA65">
        <f ca="1">IF($A65=AA$2,0,SUMIFS(d_sched!$N:$N,d_sched!$D:$D,$A65,d_sched!$I:$I,AA$2)+SUMIFS(d_sched!$N:$N,d_sched!$D:$D,$A65,d_sched!$K:$K,AA$2))</f>
        <v>2</v>
      </c>
      <c r="AB65">
        <f ca="1">IF($A65=AB$2,0,SUMIFS(d_sched!$N:$N,d_sched!$D:$D,$A65,d_sched!$I:$I,AB$2)+SUMIFS(d_sched!$N:$N,d_sched!$D:$D,$A65,d_sched!$K:$K,AB$2))</f>
        <v>3</v>
      </c>
      <c r="AC65">
        <f ca="1">IF($A65=AC$2,0,SUMIFS(d_sched!$N:$N,d_sched!$D:$D,$A65,d_sched!$I:$I,AC$2)+SUMIFS(d_sched!$N:$N,d_sched!$D:$D,$A65,d_sched!$K:$K,AC$2))</f>
        <v>0</v>
      </c>
      <c r="AD65">
        <f>IF($A65=AD$2,0,SUMIFS(d_sched!$N:$N,d_sched!$D:$D,$A65,d_sched!$I:$I,AD$2)+SUMIFS(d_sched!$N:$N,d_sched!$D:$D,$A65,d_sched!$K:$K,AD$2))</f>
        <v>0</v>
      </c>
      <c r="AE65">
        <f ca="1">IF($A65=AE$2,0,SUMIFS(d_sched!$N:$N,d_sched!$D:$D,$A65,d_sched!$I:$I,AE$2)+SUMIFS(d_sched!$N:$N,d_sched!$D:$D,$A65,d_sched!$K:$K,AE$2))</f>
        <v>1</v>
      </c>
      <c r="AG65">
        <f ca="1">ROUND(SUM(B65:AE65),2)</f>
        <v>32</v>
      </c>
      <c r="AH65">
        <f>VLOOKUP($A65,p_win_totals!$D$2:$J$31,6,0)</f>
        <v>27</v>
      </c>
      <c r="AI65">
        <f>VLOOKUP($A65,d_win_totals!$E$2:$K$31,3,0)</f>
        <v>38</v>
      </c>
      <c r="AJ65">
        <f t="shared" ca="1" si="7"/>
        <v>26</v>
      </c>
      <c r="AK65">
        <f>VLOOKUP($A65,p_win_totals!$D$2:$J$31,7,0)</f>
        <v>25</v>
      </c>
      <c r="AL65">
        <f>VLOOKUP($A65,d_win_totals!$E$2:$K$31,6,0)</f>
        <v>27</v>
      </c>
      <c r="AM65">
        <f t="shared" ca="1" si="8"/>
        <v>1</v>
      </c>
      <c r="AN65">
        <f t="shared" ca="1" si="9"/>
        <v>1</v>
      </c>
      <c r="AO65">
        <f t="shared" ca="1" si="10"/>
        <v>1</v>
      </c>
    </row>
    <row r="66" spans="1:41" x14ac:dyDescent="0.25">
      <c r="A66" t="s">
        <v>25</v>
      </c>
      <c r="B66">
        <f ca="1">IF($A66=B$2,0,SUMIFS(d_sched!$N:$N,d_sched!$D:$D,$A66,d_sched!$I:$I,B$2)+SUMIFS(d_sched!$N:$N,d_sched!$D:$D,$A66,d_sched!$K:$K,B$2))</f>
        <v>1</v>
      </c>
      <c r="C66">
        <f ca="1">IF($A66=C$2,0,SUMIFS(d_sched!$N:$N,d_sched!$D:$D,$A66,d_sched!$I:$I,C$2)+SUMIFS(d_sched!$N:$N,d_sched!$D:$D,$A66,d_sched!$K:$K,C$2))</f>
        <v>3</v>
      </c>
      <c r="D66">
        <f ca="1">IF($A66=D$2,0,SUMIFS(d_sched!$N:$N,d_sched!$D:$D,$A66,d_sched!$I:$I,D$2)+SUMIFS(d_sched!$N:$N,d_sched!$D:$D,$A66,d_sched!$K:$K,D$2))</f>
        <v>2</v>
      </c>
      <c r="E66">
        <f ca="1">IF($A66=E$2,0,SUMIFS(d_sched!$N:$N,d_sched!$D:$D,$A66,d_sched!$I:$I,E$2)+SUMIFS(d_sched!$N:$N,d_sched!$D:$D,$A66,d_sched!$K:$K,E$2))</f>
        <v>4</v>
      </c>
      <c r="F66">
        <f ca="1">IF($A66=F$2,0,SUMIFS(d_sched!$N:$N,d_sched!$D:$D,$A66,d_sched!$I:$I,F$2)+SUMIFS(d_sched!$N:$N,d_sched!$D:$D,$A66,d_sched!$K:$K,F$2))</f>
        <v>1</v>
      </c>
      <c r="G66">
        <f ca="1">IF($A66=G$2,0,SUMIFS(d_sched!$N:$N,d_sched!$D:$D,$A66,d_sched!$I:$I,G$2)+SUMIFS(d_sched!$N:$N,d_sched!$D:$D,$A66,d_sched!$K:$K,G$2))</f>
        <v>0</v>
      </c>
      <c r="H66">
        <f ca="1">IF($A66=H$2,0,SUMIFS(d_sched!$N:$N,d_sched!$D:$D,$A66,d_sched!$I:$I,H$2)+SUMIFS(d_sched!$N:$N,d_sched!$D:$D,$A66,d_sched!$K:$K,H$2))</f>
        <v>0</v>
      </c>
      <c r="I66">
        <f ca="1">IF($A66=I$2,0,SUMIFS(d_sched!$N:$N,d_sched!$D:$D,$A66,d_sched!$I:$I,I$2)+SUMIFS(d_sched!$N:$N,d_sched!$D:$D,$A66,d_sched!$K:$K,I$2))</f>
        <v>1</v>
      </c>
      <c r="J66">
        <f ca="1">IF($A66=J$2,0,SUMIFS(d_sched!$N:$N,d_sched!$D:$D,$A66,d_sched!$I:$I,J$2)+SUMIFS(d_sched!$N:$N,d_sched!$D:$D,$A66,d_sched!$K:$K,J$2))</f>
        <v>1</v>
      </c>
      <c r="K66">
        <f ca="1">IF($A66=K$2,0,SUMIFS(d_sched!$N:$N,d_sched!$D:$D,$A66,d_sched!$I:$I,K$2)+SUMIFS(d_sched!$N:$N,d_sched!$D:$D,$A66,d_sched!$K:$K,K$2))</f>
        <v>2</v>
      </c>
      <c r="L66">
        <f ca="1">IF($A66=L$2,0,SUMIFS(d_sched!$N:$N,d_sched!$D:$D,$A66,d_sched!$I:$I,L$2)+SUMIFS(d_sched!$N:$N,d_sched!$D:$D,$A66,d_sched!$K:$K,L$2))</f>
        <v>2</v>
      </c>
      <c r="M66">
        <f ca="1">IF($A66=M$2,0,SUMIFS(d_sched!$N:$N,d_sched!$D:$D,$A66,d_sched!$I:$I,M$2)+SUMIFS(d_sched!$N:$N,d_sched!$D:$D,$A66,d_sched!$K:$K,M$2))</f>
        <v>3</v>
      </c>
      <c r="N66">
        <f ca="1">IF($A66=N$2,0,SUMIFS(d_sched!$N:$N,d_sched!$D:$D,$A66,d_sched!$I:$I,N$2)+SUMIFS(d_sched!$N:$N,d_sched!$D:$D,$A66,d_sched!$K:$K,N$2))</f>
        <v>0</v>
      </c>
      <c r="O66">
        <f ca="1">IF($A66=O$2,0,SUMIFS(d_sched!$N:$N,d_sched!$D:$D,$A66,d_sched!$I:$I,O$2)+SUMIFS(d_sched!$N:$N,d_sched!$D:$D,$A66,d_sched!$K:$K,O$2))</f>
        <v>2</v>
      </c>
      <c r="P66">
        <f ca="1">IF($A66=P$2,0,SUMIFS(d_sched!$N:$N,d_sched!$D:$D,$A66,d_sched!$I:$I,P$2)+SUMIFS(d_sched!$N:$N,d_sched!$D:$D,$A66,d_sched!$K:$K,P$2))</f>
        <v>2</v>
      </c>
      <c r="Q66">
        <f ca="1">IF($A66=Q$2,0,SUMIFS(d_sched!$N:$N,d_sched!$D:$D,$A66,d_sched!$I:$I,Q$2)+SUMIFS(d_sched!$N:$N,d_sched!$D:$D,$A66,d_sched!$K:$K,Q$2))</f>
        <v>4</v>
      </c>
      <c r="R66">
        <f ca="1">IF($A66=R$2,0,SUMIFS(d_sched!$N:$N,d_sched!$D:$D,$A66,d_sched!$I:$I,R$2)+SUMIFS(d_sched!$N:$N,d_sched!$D:$D,$A66,d_sched!$K:$K,R$2))</f>
        <v>3</v>
      </c>
      <c r="S66">
        <f ca="1">IF($A66=S$2,0,SUMIFS(d_sched!$N:$N,d_sched!$D:$D,$A66,d_sched!$I:$I,S$2)+SUMIFS(d_sched!$N:$N,d_sched!$D:$D,$A66,d_sched!$K:$K,S$2))</f>
        <v>2</v>
      </c>
      <c r="T66">
        <f ca="1">IF($A66=T$2,0,SUMIFS(d_sched!$N:$N,d_sched!$D:$D,$A66,d_sched!$I:$I,T$2)+SUMIFS(d_sched!$N:$N,d_sched!$D:$D,$A66,d_sched!$K:$K,T$2))</f>
        <v>2</v>
      </c>
      <c r="U66">
        <f ca="1">IF($A66=U$2,0,SUMIFS(d_sched!$N:$N,d_sched!$D:$D,$A66,d_sched!$I:$I,U$2)+SUMIFS(d_sched!$N:$N,d_sched!$D:$D,$A66,d_sched!$K:$K,U$2))</f>
        <v>3</v>
      </c>
      <c r="V66">
        <f ca="1">IF($A66=V$2,0,SUMIFS(d_sched!$N:$N,d_sched!$D:$D,$A66,d_sched!$I:$I,V$2)+SUMIFS(d_sched!$N:$N,d_sched!$D:$D,$A66,d_sched!$K:$K,V$2))</f>
        <v>0</v>
      </c>
      <c r="W66">
        <f ca="1">IF($A66=W$2,0,SUMIFS(d_sched!$N:$N,d_sched!$D:$D,$A66,d_sched!$I:$I,W$2)+SUMIFS(d_sched!$N:$N,d_sched!$D:$D,$A66,d_sched!$K:$K,W$2))</f>
        <v>4</v>
      </c>
      <c r="X66">
        <f ca="1">IF($A66=X$2,0,SUMIFS(d_sched!$N:$N,d_sched!$D:$D,$A66,d_sched!$I:$I,X$2)+SUMIFS(d_sched!$N:$N,d_sched!$D:$D,$A66,d_sched!$K:$K,X$2))</f>
        <v>2</v>
      </c>
      <c r="Y66">
        <f ca="1">IF($A66=Y$2,0,SUMIFS(d_sched!$N:$N,d_sched!$D:$D,$A66,d_sched!$I:$I,Y$2)+SUMIFS(d_sched!$N:$N,d_sched!$D:$D,$A66,d_sched!$K:$K,Y$2))</f>
        <v>1</v>
      </c>
      <c r="Z66">
        <f ca="1">IF($A66=Z$2,0,SUMIFS(d_sched!$N:$N,d_sched!$D:$D,$A66,d_sched!$I:$I,Z$2)+SUMIFS(d_sched!$N:$N,d_sched!$D:$D,$A66,d_sched!$K:$K,Z$2))</f>
        <v>1</v>
      </c>
      <c r="AA66">
        <f ca="1">IF($A66=AA$2,0,SUMIFS(d_sched!$N:$N,d_sched!$D:$D,$A66,d_sched!$I:$I,AA$2)+SUMIFS(d_sched!$N:$N,d_sched!$D:$D,$A66,d_sched!$K:$K,AA$2))</f>
        <v>0</v>
      </c>
      <c r="AB66">
        <f ca="1">IF($A66=AB$2,0,SUMIFS(d_sched!$N:$N,d_sched!$D:$D,$A66,d_sched!$I:$I,AB$2)+SUMIFS(d_sched!$N:$N,d_sched!$D:$D,$A66,d_sched!$K:$K,AB$2))</f>
        <v>1</v>
      </c>
      <c r="AC66">
        <f ca="1">IF($A66=AC$2,0,SUMIFS(d_sched!$N:$N,d_sched!$D:$D,$A66,d_sched!$I:$I,AC$2)+SUMIFS(d_sched!$N:$N,d_sched!$D:$D,$A66,d_sched!$K:$K,AC$2))</f>
        <v>1</v>
      </c>
      <c r="AD66">
        <f ca="1">IF($A66=AD$2,0,SUMIFS(d_sched!$N:$N,d_sched!$D:$D,$A66,d_sched!$I:$I,AD$2)+SUMIFS(d_sched!$N:$N,d_sched!$D:$D,$A66,d_sched!$K:$K,AD$2))</f>
        <v>1</v>
      </c>
      <c r="AE66">
        <f>IF($A66=AE$2,0,SUMIFS(d_sched!$N:$N,d_sched!$D:$D,$A66,d_sched!$I:$I,AE$2)+SUMIFS(d_sched!$N:$N,d_sched!$D:$D,$A66,d_sched!$K:$K,AE$2))</f>
        <v>0</v>
      </c>
      <c r="AG66">
        <f ca="1">ROUND(SUM(B66:AE66),2)</f>
        <v>49</v>
      </c>
      <c r="AH66">
        <f>VLOOKUP($A66,p_win_totals!$D$2:$J$31,6,0)</f>
        <v>48</v>
      </c>
      <c r="AI66">
        <f>VLOOKUP($A66,d_win_totals!$E$2:$K$31,3,0)</f>
        <v>46</v>
      </c>
      <c r="AJ66">
        <f t="shared" ca="1" si="7"/>
        <v>7</v>
      </c>
      <c r="AK66">
        <f>VLOOKUP($A66,p_win_totals!$D$2:$J$31,7,0)</f>
        <v>11</v>
      </c>
      <c r="AL66">
        <f>VLOOKUP($A66,d_win_totals!$E$2:$K$31,6,0)</f>
        <v>7</v>
      </c>
      <c r="AM66">
        <f t="shared" ca="1" si="8"/>
        <v>0</v>
      </c>
      <c r="AN66">
        <f t="shared" ca="1" si="9"/>
        <v>0</v>
      </c>
      <c r="AO66">
        <f t="shared" ca="1" si="10"/>
        <v>0</v>
      </c>
    </row>
    <row r="67" spans="1:41" x14ac:dyDescent="0.25">
      <c r="AG67">
        <f ca="1">SUM(AG37:AG66)</f>
        <v>1235.4099999999999</v>
      </c>
      <c r="AH67">
        <v>1241</v>
      </c>
      <c r="AI67">
        <f>SUM(AI37:AI66)</f>
        <v>1230</v>
      </c>
      <c r="AJ67">
        <f t="shared" ref="AJ67:AM67" ca="1" si="11">SUM(AJ37:AJ66)</f>
        <v>455</v>
      </c>
      <c r="AK67">
        <f t="shared" si="11"/>
        <v>454</v>
      </c>
      <c r="AL67">
        <f t="shared" si="11"/>
        <v>452</v>
      </c>
      <c r="AM67">
        <f t="shared" ca="1" si="11"/>
        <v>-3</v>
      </c>
      <c r="AN67">
        <f t="shared" ref="AN67" ca="1" si="12">SUM(AN37:AN66)</f>
        <v>77</v>
      </c>
      <c r="AO67">
        <f t="shared" ref="AO67" ca="1" si="13">SUM(AO37:AO66)</f>
        <v>377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AI151"/>
  <sheetViews>
    <sheetView topLeftCell="A115" zoomScale="80" zoomScaleNormal="80" workbookViewId="0">
      <selection activeCell="C141" sqref="C141"/>
    </sheetView>
  </sheetViews>
  <sheetFormatPr defaultRowHeight="15" x14ac:dyDescent="0.25"/>
  <cols>
    <col min="2" max="32" width="5.7109375" customWidth="1"/>
  </cols>
  <sheetData>
    <row r="1" spans="1:33" x14ac:dyDescent="0.25">
      <c r="A1" t="s">
        <v>78</v>
      </c>
      <c r="AG1" t="s">
        <v>103</v>
      </c>
    </row>
    <row r="2" spans="1:33" x14ac:dyDescent="0.25">
      <c r="B2" t="s">
        <v>26</v>
      </c>
      <c r="C2" t="s">
        <v>23</v>
      </c>
      <c r="D2" t="s">
        <v>22</v>
      </c>
      <c r="E2" t="s">
        <v>18</v>
      </c>
      <c r="F2" t="s">
        <v>30</v>
      </c>
      <c r="G2" t="s">
        <v>40</v>
      </c>
      <c r="H2" t="s">
        <v>14</v>
      </c>
      <c r="I2" t="s">
        <v>32</v>
      </c>
      <c r="J2" t="s">
        <v>33</v>
      </c>
      <c r="K2" t="s">
        <v>36</v>
      </c>
      <c r="L2" t="s">
        <v>16</v>
      </c>
      <c r="M2" t="s">
        <v>20</v>
      </c>
      <c r="N2" t="s">
        <v>41</v>
      </c>
      <c r="O2" t="s">
        <v>17</v>
      </c>
      <c r="P2" t="s">
        <v>28</v>
      </c>
      <c r="Q2" t="s">
        <v>24</v>
      </c>
      <c r="R2" t="s">
        <v>19</v>
      </c>
      <c r="S2" t="s">
        <v>29</v>
      </c>
      <c r="T2" t="s">
        <v>12</v>
      </c>
      <c r="U2" t="s">
        <v>31</v>
      </c>
      <c r="V2" t="s">
        <v>38</v>
      </c>
      <c r="W2" t="s">
        <v>13</v>
      </c>
      <c r="X2" t="s">
        <v>21</v>
      </c>
      <c r="Y2" t="s">
        <v>35</v>
      </c>
      <c r="Z2" t="s">
        <v>39</v>
      </c>
      <c r="AA2" t="s">
        <v>15</v>
      </c>
      <c r="AB2" t="s">
        <v>37</v>
      </c>
      <c r="AC2" t="s">
        <v>27</v>
      </c>
      <c r="AD2" t="s">
        <v>34</v>
      </c>
      <c r="AE2" t="s">
        <v>25</v>
      </c>
    </row>
    <row r="3" spans="1:33" x14ac:dyDescent="0.25">
      <c r="A3" t="s">
        <v>26</v>
      </c>
      <c r="B3">
        <v>30</v>
      </c>
      <c r="C3">
        <v>47.25</v>
      </c>
      <c r="D3">
        <v>35.666666666666664</v>
      </c>
      <c r="E3">
        <v>39</v>
      </c>
      <c r="F3">
        <v>33</v>
      </c>
      <c r="G3">
        <v>33.25</v>
      </c>
      <c r="H3">
        <v>40</v>
      </c>
      <c r="I3">
        <v>29.5</v>
      </c>
      <c r="J3">
        <v>33.5</v>
      </c>
      <c r="K3">
        <v>24.5</v>
      </c>
      <c r="L3">
        <v>37.5</v>
      </c>
      <c r="M3">
        <v>45</v>
      </c>
      <c r="N3">
        <v>36</v>
      </c>
      <c r="O3">
        <v>30</v>
      </c>
      <c r="P3">
        <v>32</v>
      </c>
      <c r="Q3">
        <v>39</v>
      </c>
      <c r="R3">
        <v>29.75</v>
      </c>
      <c r="S3">
        <v>42</v>
      </c>
      <c r="T3">
        <v>27</v>
      </c>
      <c r="U3">
        <v>33</v>
      </c>
      <c r="V3">
        <v>31</v>
      </c>
      <c r="W3">
        <v>36</v>
      </c>
      <c r="X3">
        <v>38</v>
      </c>
      <c r="Y3">
        <v>48</v>
      </c>
      <c r="Z3">
        <v>37</v>
      </c>
      <c r="AA3">
        <v>19.5</v>
      </c>
      <c r="AB3">
        <v>46</v>
      </c>
      <c r="AC3">
        <v>24.5</v>
      </c>
      <c r="AD3">
        <v>34.5</v>
      </c>
      <c r="AE3">
        <v>38.75</v>
      </c>
      <c r="AG3">
        <f>ROUND(AVERAGE(B3:AE3),2)-30</f>
        <v>5.009999999999998</v>
      </c>
    </row>
    <row r="4" spans="1:33" x14ac:dyDescent="0.25">
      <c r="A4" t="s">
        <v>23</v>
      </c>
      <c r="B4">
        <v>12.75</v>
      </c>
      <c r="C4">
        <v>30</v>
      </c>
      <c r="D4">
        <v>19.75</v>
      </c>
      <c r="E4">
        <v>32</v>
      </c>
      <c r="F4">
        <v>16</v>
      </c>
      <c r="G4">
        <v>19.25</v>
      </c>
      <c r="H4">
        <v>31</v>
      </c>
      <c r="I4">
        <v>47</v>
      </c>
      <c r="J4">
        <v>34</v>
      </c>
      <c r="K4">
        <v>27</v>
      </c>
      <c r="L4">
        <v>21</v>
      </c>
      <c r="M4">
        <v>27.333333333333332</v>
      </c>
      <c r="N4">
        <v>11.5</v>
      </c>
      <c r="O4">
        <v>38.5</v>
      </c>
      <c r="P4">
        <v>20</v>
      </c>
      <c r="Q4">
        <v>23.5</v>
      </c>
      <c r="R4">
        <v>22.25</v>
      </c>
      <c r="S4">
        <v>34.5</v>
      </c>
      <c r="T4">
        <v>17</v>
      </c>
      <c r="U4">
        <v>35.5</v>
      </c>
      <c r="V4">
        <v>46.5</v>
      </c>
      <c r="W4">
        <v>37.666666666666664</v>
      </c>
      <c r="X4">
        <v>37.75</v>
      </c>
      <c r="Y4">
        <v>22</v>
      </c>
      <c r="Z4">
        <v>30</v>
      </c>
      <c r="AA4">
        <v>25</v>
      </c>
      <c r="AB4">
        <v>35.5</v>
      </c>
      <c r="AC4">
        <v>30</v>
      </c>
      <c r="AD4">
        <v>9</v>
      </c>
      <c r="AE4">
        <v>33.25</v>
      </c>
      <c r="AG4">
        <f>ROUND(AVERAGE(B4:AE4),2)-30</f>
        <v>-2.4499999999999993</v>
      </c>
    </row>
    <row r="5" spans="1:33" x14ac:dyDescent="0.25">
      <c r="A5" t="s">
        <v>22</v>
      </c>
      <c r="B5">
        <v>24.333333333333332</v>
      </c>
      <c r="C5">
        <v>40.25</v>
      </c>
      <c r="D5">
        <v>30</v>
      </c>
      <c r="E5">
        <v>30.5</v>
      </c>
      <c r="F5">
        <v>24.25</v>
      </c>
      <c r="G5">
        <v>34</v>
      </c>
      <c r="H5">
        <v>18.5</v>
      </c>
      <c r="I5">
        <v>32.5</v>
      </c>
      <c r="J5">
        <v>33</v>
      </c>
      <c r="K5">
        <v>26</v>
      </c>
      <c r="L5">
        <v>20</v>
      </c>
      <c r="M5">
        <v>34</v>
      </c>
      <c r="N5">
        <v>19</v>
      </c>
      <c r="O5">
        <v>35</v>
      </c>
      <c r="P5">
        <v>23</v>
      </c>
      <c r="Q5">
        <v>24.75</v>
      </c>
      <c r="R5">
        <v>27.666666666666668</v>
      </c>
      <c r="S5">
        <v>32</v>
      </c>
      <c r="T5">
        <v>37</v>
      </c>
      <c r="U5">
        <v>37.5</v>
      </c>
      <c r="V5">
        <v>20.5</v>
      </c>
      <c r="W5">
        <v>33.5</v>
      </c>
      <c r="X5">
        <v>44.75</v>
      </c>
      <c r="Y5">
        <v>30.5</v>
      </c>
      <c r="Z5">
        <v>27.5</v>
      </c>
      <c r="AA5">
        <v>13</v>
      </c>
      <c r="AB5">
        <v>37</v>
      </c>
      <c r="AC5">
        <v>26.75</v>
      </c>
      <c r="AD5">
        <v>35</v>
      </c>
      <c r="AE5">
        <v>28</v>
      </c>
      <c r="AG5">
        <f>ROUND(AVERAGE(B5:AE5),2)-30</f>
        <v>-0.67000000000000171</v>
      </c>
    </row>
    <row r="6" spans="1:33" x14ac:dyDescent="0.25">
      <c r="A6" t="s">
        <v>18</v>
      </c>
      <c r="B6">
        <v>21</v>
      </c>
      <c r="C6">
        <v>28</v>
      </c>
      <c r="D6">
        <v>29.5</v>
      </c>
      <c r="E6">
        <v>30</v>
      </c>
      <c r="F6">
        <v>30.75</v>
      </c>
      <c r="G6">
        <v>12.666666666666668</v>
      </c>
      <c r="H6">
        <v>11</v>
      </c>
      <c r="I6">
        <v>53</v>
      </c>
      <c r="J6">
        <v>21</v>
      </c>
      <c r="K6">
        <v>15</v>
      </c>
      <c r="L6">
        <v>15.5</v>
      </c>
      <c r="M6">
        <v>26.75</v>
      </c>
      <c r="N6">
        <v>16</v>
      </c>
      <c r="O6">
        <v>23</v>
      </c>
      <c r="P6">
        <v>26</v>
      </c>
      <c r="Q6">
        <v>30.75</v>
      </c>
      <c r="R6">
        <v>29.666666666666668</v>
      </c>
      <c r="S6">
        <v>48</v>
      </c>
      <c r="T6">
        <v>27.5</v>
      </c>
      <c r="U6">
        <v>37.75</v>
      </c>
      <c r="V6">
        <v>15</v>
      </c>
      <c r="W6">
        <v>32.5</v>
      </c>
      <c r="X6">
        <v>33.666666666666664</v>
      </c>
      <c r="Y6">
        <v>31.5</v>
      </c>
      <c r="Z6">
        <v>25</v>
      </c>
      <c r="AA6">
        <v>23</v>
      </c>
      <c r="AB6">
        <v>21.5</v>
      </c>
      <c r="AC6">
        <v>28.5</v>
      </c>
      <c r="AD6">
        <v>25</v>
      </c>
      <c r="AE6">
        <v>25.5</v>
      </c>
      <c r="AG6">
        <f>ROUND(AVERAGE(B6:AE6),2)-30</f>
        <v>-3.5300000000000011</v>
      </c>
    </row>
    <row r="7" spans="1:33" x14ac:dyDescent="0.25">
      <c r="A7" t="s">
        <v>30</v>
      </c>
      <c r="B7">
        <v>27</v>
      </c>
      <c r="C7">
        <v>44</v>
      </c>
      <c r="D7">
        <v>35.75</v>
      </c>
      <c r="E7">
        <v>29.25</v>
      </c>
      <c r="F7">
        <v>30</v>
      </c>
      <c r="G7">
        <v>27.5</v>
      </c>
      <c r="H7">
        <v>30.5</v>
      </c>
      <c r="I7">
        <v>30</v>
      </c>
      <c r="J7">
        <v>28</v>
      </c>
      <c r="K7">
        <v>26</v>
      </c>
      <c r="L7">
        <v>29</v>
      </c>
      <c r="M7">
        <v>29</v>
      </c>
      <c r="N7">
        <v>33</v>
      </c>
      <c r="O7">
        <v>37.5</v>
      </c>
      <c r="P7">
        <v>28</v>
      </c>
      <c r="Q7">
        <v>35.666666666666664</v>
      </c>
      <c r="R7">
        <v>37.25</v>
      </c>
      <c r="S7">
        <v>34</v>
      </c>
      <c r="T7">
        <v>51</v>
      </c>
      <c r="U7">
        <v>50.333333333333329</v>
      </c>
      <c r="V7">
        <v>27</v>
      </c>
      <c r="W7">
        <v>30</v>
      </c>
      <c r="X7">
        <v>36.333333333333336</v>
      </c>
      <c r="Y7">
        <v>29.5</v>
      </c>
      <c r="Z7">
        <v>30.5</v>
      </c>
      <c r="AA7">
        <v>36</v>
      </c>
      <c r="AB7">
        <v>31.5</v>
      </c>
      <c r="AC7">
        <v>41.25</v>
      </c>
      <c r="AD7">
        <v>21</v>
      </c>
      <c r="AE7">
        <v>27.75</v>
      </c>
      <c r="AG7">
        <f>ROUND(AVERAGE(B7:AE7),2)-30</f>
        <v>2.7899999999999991</v>
      </c>
    </row>
    <row r="8" spans="1:33" x14ac:dyDescent="0.25">
      <c r="A8" t="s">
        <v>40</v>
      </c>
      <c r="B8">
        <v>26.75</v>
      </c>
      <c r="C8">
        <v>40.75</v>
      </c>
      <c r="D8">
        <v>26</v>
      </c>
      <c r="E8">
        <v>47.333333333333329</v>
      </c>
      <c r="F8">
        <v>32.5</v>
      </c>
      <c r="G8">
        <v>30</v>
      </c>
      <c r="H8">
        <v>37</v>
      </c>
      <c r="I8">
        <v>30</v>
      </c>
      <c r="J8">
        <v>31.5</v>
      </c>
      <c r="K8">
        <v>26.5</v>
      </c>
      <c r="L8">
        <v>23</v>
      </c>
      <c r="M8">
        <v>31</v>
      </c>
      <c r="N8">
        <v>38</v>
      </c>
      <c r="O8">
        <v>41</v>
      </c>
      <c r="P8">
        <v>48</v>
      </c>
      <c r="Q8">
        <v>35.5</v>
      </c>
      <c r="R8">
        <v>32.5</v>
      </c>
      <c r="S8">
        <v>48.5</v>
      </c>
      <c r="T8">
        <v>31</v>
      </c>
      <c r="U8">
        <v>35.333333333333336</v>
      </c>
      <c r="V8">
        <v>30.5</v>
      </c>
      <c r="W8">
        <v>48.666666666666671</v>
      </c>
      <c r="X8">
        <v>33.666666666666664</v>
      </c>
      <c r="Y8">
        <v>31.5</v>
      </c>
      <c r="Z8">
        <v>23</v>
      </c>
      <c r="AA8">
        <v>30.5</v>
      </c>
      <c r="AB8">
        <v>26</v>
      </c>
      <c r="AC8">
        <v>32.25</v>
      </c>
      <c r="AD8">
        <v>36</v>
      </c>
      <c r="AE8">
        <v>44</v>
      </c>
      <c r="AG8">
        <f>ROUND(AVERAGE(B8:AE8),2)-30</f>
        <v>4.2800000000000011</v>
      </c>
    </row>
    <row r="9" spans="1:33" x14ac:dyDescent="0.25">
      <c r="A9" t="s">
        <v>14</v>
      </c>
      <c r="B9">
        <v>20</v>
      </c>
      <c r="C9">
        <v>29</v>
      </c>
      <c r="D9">
        <v>41.5</v>
      </c>
      <c r="E9">
        <v>49</v>
      </c>
      <c r="F9">
        <v>29.5</v>
      </c>
      <c r="G9">
        <v>23</v>
      </c>
      <c r="H9">
        <v>30</v>
      </c>
      <c r="I9">
        <v>30.666666666666668</v>
      </c>
      <c r="J9">
        <v>29</v>
      </c>
      <c r="K9">
        <v>17.75</v>
      </c>
      <c r="L9">
        <v>29</v>
      </c>
      <c r="M9">
        <v>22</v>
      </c>
      <c r="N9">
        <v>27.666666666666668</v>
      </c>
      <c r="O9">
        <v>44.75</v>
      </c>
      <c r="P9">
        <v>22.25</v>
      </c>
      <c r="Q9">
        <v>36</v>
      </c>
      <c r="R9">
        <v>42.5</v>
      </c>
      <c r="S9">
        <v>44.333333333333336</v>
      </c>
      <c r="T9">
        <v>34</v>
      </c>
      <c r="U9">
        <v>43.5</v>
      </c>
      <c r="V9">
        <v>29.5</v>
      </c>
      <c r="W9">
        <v>40</v>
      </c>
      <c r="X9">
        <v>60</v>
      </c>
      <c r="Y9">
        <v>24</v>
      </c>
      <c r="Z9">
        <v>26.5</v>
      </c>
      <c r="AA9">
        <v>28.5</v>
      </c>
      <c r="AB9">
        <v>41.666666666666664</v>
      </c>
      <c r="AC9">
        <v>35.5</v>
      </c>
      <c r="AD9">
        <v>37.25</v>
      </c>
      <c r="AE9">
        <v>45</v>
      </c>
      <c r="AG9">
        <f>ROUND(AVERAGE(B9:AE9),2)-30</f>
        <v>3.7800000000000011</v>
      </c>
    </row>
    <row r="10" spans="1:33" x14ac:dyDescent="0.25">
      <c r="A10" t="s">
        <v>32</v>
      </c>
      <c r="B10">
        <v>30.5</v>
      </c>
      <c r="C10">
        <v>13</v>
      </c>
      <c r="D10">
        <v>27.5</v>
      </c>
      <c r="E10">
        <v>7</v>
      </c>
      <c r="F10">
        <v>30</v>
      </c>
      <c r="G10">
        <v>30</v>
      </c>
      <c r="H10">
        <v>29.333333333333332</v>
      </c>
      <c r="I10">
        <v>30</v>
      </c>
      <c r="J10">
        <v>30</v>
      </c>
      <c r="K10">
        <v>17</v>
      </c>
      <c r="L10">
        <v>20</v>
      </c>
      <c r="M10">
        <v>42</v>
      </c>
      <c r="N10">
        <v>24.25</v>
      </c>
      <c r="O10">
        <v>36.75</v>
      </c>
      <c r="P10">
        <v>26</v>
      </c>
      <c r="Q10">
        <v>31.5</v>
      </c>
      <c r="R10">
        <v>31.5</v>
      </c>
      <c r="S10">
        <v>35</v>
      </c>
      <c r="T10">
        <v>37</v>
      </c>
      <c r="U10">
        <v>36</v>
      </c>
      <c r="V10">
        <v>20.25</v>
      </c>
      <c r="W10">
        <v>41</v>
      </c>
      <c r="X10">
        <v>19.5</v>
      </c>
      <c r="Y10">
        <v>31</v>
      </c>
      <c r="Z10">
        <v>19.75</v>
      </c>
      <c r="AA10">
        <v>15.75</v>
      </c>
      <c r="AB10">
        <v>28.5</v>
      </c>
      <c r="AC10">
        <v>20.5</v>
      </c>
      <c r="AD10">
        <v>25.5</v>
      </c>
      <c r="AE10">
        <v>14</v>
      </c>
      <c r="AG10">
        <f>ROUND(AVERAGE(B10:AE10),2)-30</f>
        <v>-3.3299999999999983</v>
      </c>
    </row>
    <row r="11" spans="1:33" x14ac:dyDescent="0.25">
      <c r="A11" t="s">
        <v>33</v>
      </c>
      <c r="B11">
        <v>26.5</v>
      </c>
      <c r="C11">
        <v>26</v>
      </c>
      <c r="D11">
        <v>27</v>
      </c>
      <c r="E11">
        <v>39</v>
      </c>
      <c r="F11">
        <v>32</v>
      </c>
      <c r="G11">
        <v>28.5</v>
      </c>
      <c r="H11">
        <v>31</v>
      </c>
      <c r="I11">
        <v>30</v>
      </c>
      <c r="J11">
        <v>30</v>
      </c>
      <c r="K11">
        <v>21</v>
      </c>
      <c r="L11">
        <v>31.5</v>
      </c>
      <c r="M11">
        <v>30.75</v>
      </c>
      <c r="N11">
        <v>16</v>
      </c>
      <c r="O11">
        <v>21</v>
      </c>
      <c r="P11">
        <v>31.5</v>
      </c>
      <c r="Q11">
        <v>33.666666666666664</v>
      </c>
      <c r="R11">
        <v>20</v>
      </c>
      <c r="S11">
        <v>21.5</v>
      </c>
      <c r="T11">
        <v>23</v>
      </c>
      <c r="U11">
        <v>38.75</v>
      </c>
      <c r="V11">
        <v>32.5</v>
      </c>
      <c r="W11">
        <v>38.25</v>
      </c>
      <c r="X11">
        <v>25</v>
      </c>
      <c r="Y11">
        <v>30</v>
      </c>
      <c r="Z11">
        <v>14.5</v>
      </c>
      <c r="AA11">
        <v>22</v>
      </c>
      <c r="AB11">
        <v>42</v>
      </c>
      <c r="AC11">
        <v>28.25</v>
      </c>
      <c r="AD11">
        <v>28</v>
      </c>
      <c r="AE11">
        <v>33</v>
      </c>
      <c r="AG11">
        <f>ROUND(AVERAGE(B11:AE11),2)-30</f>
        <v>-1.5899999999999999</v>
      </c>
    </row>
    <row r="12" spans="1:33" x14ac:dyDescent="0.25">
      <c r="A12" t="s">
        <v>36</v>
      </c>
      <c r="B12">
        <v>35.5</v>
      </c>
      <c r="C12">
        <v>33</v>
      </c>
      <c r="D12">
        <v>34</v>
      </c>
      <c r="E12">
        <v>45</v>
      </c>
      <c r="F12">
        <v>34</v>
      </c>
      <c r="G12">
        <v>33.5</v>
      </c>
      <c r="H12">
        <v>42.25</v>
      </c>
      <c r="I12">
        <v>43</v>
      </c>
      <c r="J12">
        <v>39</v>
      </c>
      <c r="K12">
        <v>30</v>
      </c>
      <c r="L12">
        <v>45.25</v>
      </c>
      <c r="M12">
        <v>34.5</v>
      </c>
      <c r="N12">
        <v>33.75</v>
      </c>
      <c r="O12">
        <v>39.25</v>
      </c>
      <c r="P12">
        <v>36.666666666666664</v>
      </c>
      <c r="Q12">
        <v>46</v>
      </c>
      <c r="R12">
        <v>41</v>
      </c>
      <c r="S12">
        <v>40.25</v>
      </c>
      <c r="T12">
        <v>41.5</v>
      </c>
      <c r="U12">
        <v>52.5</v>
      </c>
      <c r="V12">
        <v>36</v>
      </c>
      <c r="W12">
        <v>38</v>
      </c>
      <c r="X12">
        <v>52.5</v>
      </c>
      <c r="Y12">
        <v>36.5</v>
      </c>
      <c r="Z12">
        <v>40</v>
      </c>
      <c r="AA12">
        <v>24.333333333333332</v>
      </c>
      <c r="AB12">
        <v>52</v>
      </c>
      <c r="AC12">
        <v>52.5</v>
      </c>
      <c r="AD12">
        <v>37.25</v>
      </c>
      <c r="AE12">
        <v>49</v>
      </c>
      <c r="AG12">
        <f>ROUND(AVERAGE(B12:AE12),2)-30</f>
        <v>9.93</v>
      </c>
    </row>
    <row r="13" spans="1:33" x14ac:dyDescent="0.25">
      <c r="A13" t="s">
        <v>16</v>
      </c>
      <c r="B13">
        <v>22.5</v>
      </c>
      <c r="C13">
        <v>39</v>
      </c>
      <c r="D13">
        <v>40</v>
      </c>
      <c r="E13">
        <v>44.5</v>
      </c>
      <c r="F13">
        <v>31</v>
      </c>
      <c r="G13">
        <v>37</v>
      </c>
      <c r="H13">
        <v>31</v>
      </c>
      <c r="I13">
        <v>40</v>
      </c>
      <c r="J13">
        <v>28.5</v>
      </c>
      <c r="K13">
        <v>14.75</v>
      </c>
      <c r="L13">
        <v>30</v>
      </c>
      <c r="M13">
        <v>41</v>
      </c>
      <c r="N13">
        <v>23.75</v>
      </c>
      <c r="O13">
        <v>38</v>
      </c>
      <c r="P13">
        <v>26.75</v>
      </c>
      <c r="Q13">
        <v>56.5</v>
      </c>
      <c r="R13">
        <v>40</v>
      </c>
      <c r="S13">
        <v>38.75</v>
      </c>
      <c r="T13">
        <v>23</v>
      </c>
      <c r="U13">
        <v>44.5</v>
      </c>
      <c r="V13">
        <v>36</v>
      </c>
      <c r="W13">
        <v>33</v>
      </c>
      <c r="X13">
        <v>36</v>
      </c>
      <c r="Y13">
        <v>30.25</v>
      </c>
      <c r="Z13">
        <v>29.666666666666668</v>
      </c>
      <c r="AA13">
        <v>30</v>
      </c>
      <c r="AB13">
        <v>37</v>
      </c>
      <c r="AC13">
        <v>39.5</v>
      </c>
      <c r="AD13">
        <v>38.5</v>
      </c>
      <c r="AE13">
        <v>33.5</v>
      </c>
      <c r="AG13">
        <f>ROUND(AVERAGE(B13:AE13),2)-30</f>
        <v>4.4600000000000009</v>
      </c>
    </row>
    <row r="14" spans="1:33" x14ac:dyDescent="0.25">
      <c r="A14" t="s">
        <v>20</v>
      </c>
      <c r="B14">
        <v>15</v>
      </c>
      <c r="C14">
        <v>32.666666666666664</v>
      </c>
      <c r="D14">
        <v>26</v>
      </c>
      <c r="E14">
        <v>33.25</v>
      </c>
      <c r="F14">
        <v>31</v>
      </c>
      <c r="G14">
        <v>29</v>
      </c>
      <c r="H14">
        <v>38</v>
      </c>
      <c r="I14">
        <v>18</v>
      </c>
      <c r="J14">
        <v>29.25</v>
      </c>
      <c r="K14">
        <v>25.5</v>
      </c>
      <c r="L14">
        <v>19</v>
      </c>
      <c r="M14">
        <v>30</v>
      </c>
      <c r="N14">
        <v>25.5</v>
      </c>
      <c r="O14">
        <v>39</v>
      </c>
      <c r="P14">
        <v>20</v>
      </c>
      <c r="Q14">
        <v>39.5</v>
      </c>
      <c r="R14">
        <v>29.75</v>
      </c>
      <c r="S14">
        <v>27.5</v>
      </c>
      <c r="T14">
        <v>42.5</v>
      </c>
      <c r="U14">
        <v>46.5</v>
      </c>
      <c r="V14">
        <v>29.5</v>
      </c>
      <c r="W14">
        <v>48</v>
      </c>
      <c r="X14">
        <v>40.5</v>
      </c>
      <c r="Y14">
        <v>13</v>
      </c>
      <c r="Z14">
        <v>22</v>
      </c>
      <c r="AA14">
        <v>26</v>
      </c>
      <c r="AB14">
        <v>27</v>
      </c>
      <c r="AC14">
        <v>15.333333333333334</v>
      </c>
      <c r="AD14">
        <v>37.5</v>
      </c>
      <c r="AE14">
        <v>29.25</v>
      </c>
      <c r="AG14">
        <f>ROUND(AVERAGE(B14:AE14),2)-30</f>
        <v>-0.5</v>
      </c>
    </row>
    <row r="15" spans="1:33" x14ac:dyDescent="0.25">
      <c r="A15" t="s">
        <v>41</v>
      </c>
      <c r="B15">
        <v>24</v>
      </c>
      <c r="C15">
        <v>48.5</v>
      </c>
      <c r="D15">
        <v>41</v>
      </c>
      <c r="E15">
        <v>44</v>
      </c>
      <c r="F15">
        <v>27</v>
      </c>
      <c r="G15">
        <v>22</v>
      </c>
      <c r="H15">
        <v>32.333333333333336</v>
      </c>
      <c r="I15">
        <v>35.75</v>
      </c>
      <c r="J15">
        <v>44</v>
      </c>
      <c r="K15">
        <v>26.25</v>
      </c>
      <c r="L15">
        <v>36.25</v>
      </c>
      <c r="M15">
        <v>34.5</v>
      </c>
      <c r="N15">
        <v>30</v>
      </c>
      <c r="O15">
        <v>46.25</v>
      </c>
      <c r="P15">
        <v>31.75</v>
      </c>
      <c r="Q15">
        <v>31.5</v>
      </c>
      <c r="R15">
        <v>29.5</v>
      </c>
      <c r="S15">
        <v>44.666666666666664</v>
      </c>
      <c r="T15">
        <v>37.333333333333336</v>
      </c>
      <c r="U15">
        <v>56</v>
      </c>
      <c r="V15">
        <v>27.333333333333332</v>
      </c>
      <c r="W15">
        <v>56</v>
      </c>
      <c r="X15">
        <v>58.5</v>
      </c>
      <c r="Y15">
        <v>41.25</v>
      </c>
      <c r="Z15">
        <v>32.25</v>
      </c>
      <c r="AA15">
        <v>33.25</v>
      </c>
      <c r="AB15">
        <v>40.25</v>
      </c>
      <c r="AC15">
        <v>16</v>
      </c>
      <c r="AD15">
        <v>37.75</v>
      </c>
      <c r="AE15">
        <v>33</v>
      </c>
      <c r="AG15">
        <f>ROUND(AVERAGE(B15:AE15),2)-30</f>
        <v>6.6099999999999994</v>
      </c>
    </row>
    <row r="16" spans="1:33" x14ac:dyDescent="0.25">
      <c r="A16" t="s">
        <v>17</v>
      </c>
      <c r="B16">
        <v>30</v>
      </c>
      <c r="C16">
        <v>21.5</v>
      </c>
      <c r="D16">
        <v>25</v>
      </c>
      <c r="E16">
        <v>37</v>
      </c>
      <c r="F16">
        <v>22.5</v>
      </c>
      <c r="G16">
        <v>19</v>
      </c>
      <c r="H16">
        <v>15.25</v>
      </c>
      <c r="I16">
        <v>23.25</v>
      </c>
      <c r="J16">
        <v>39</v>
      </c>
      <c r="K16">
        <v>20.75</v>
      </c>
      <c r="L16">
        <v>22</v>
      </c>
      <c r="M16">
        <v>21</v>
      </c>
      <c r="N16">
        <v>13.75</v>
      </c>
      <c r="O16">
        <v>30</v>
      </c>
      <c r="P16">
        <v>24.75</v>
      </c>
      <c r="Q16">
        <v>25.5</v>
      </c>
      <c r="R16">
        <v>30</v>
      </c>
      <c r="S16">
        <v>33.75</v>
      </c>
      <c r="T16">
        <v>14.75</v>
      </c>
      <c r="U16">
        <v>20.5</v>
      </c>
      <c r="V16">
        <v>24</v>
      </c>
      <c r="W16">
        <v>35.5</v>
      </c>
      <c r="X16">
        <v>38</v>
      </c>
      <c r="Y16">
        <v>17.5</v>
      </c>
      <c r="Z16">
        <v>14.5</v>
      </c>
      <c r="AA16">
        <v>21.666666666666664</v>
      </c>
      <c r="AB16">
        <v>20.75</v>
      </c>
      <c r="AC16">
        <v>28</v>
      </c>
      <c r="AD16">
        <v>25.666666666666668</v>
      </c>
      <c r="AE16">
        <v>19</v>
      </c>
      <c r="AG16">
        <f>ROUND(AVERAGE(B16:AE16),2)-30</f>
        <v>-5.5399999999999991</v>
      </c>
    </row>
    <row r="17" spans="1:33" x14ac:dyDescent="0.25">
      <c r="A17" t="s">
        <v>28</v>
      </c>
      <c r="B17">
        <v>28</v>
      </c>
      <c r="C17">
        <v>40</v>
      </c>
      <c r="D17">
        <v>37</v>
      </c>
      <c r="E17">
        <v>34</v>
      </c>
      <c r="F17">
        <v>32</v>
      </c>
      <c r="G17">
        <v>12</v>
      </c>
      <c r="H17">
        <v>37.75</v>
      </c>
      <c r="I17">
        <v>34</v>
      </c>
      <c r="J17">
        <v>28.5</v>
      </c>
      <c r="K17">
        <v>23.333333333333332</v>
      </c>
      <c r="L17">
        <v>33.25</v>
      </c>
      <c r="M17">
        <v>40</v>
      </c>
      <c r="N17">
        <v>28.25</v>
      </c>
      <c r="O17">
        <v>35.25</v>
      </c>
      <c r="P17">
        <v>30</v>
      </c>
      <c r="Q17">
        <v>42</v>
      </c>
      <c r="R17">
        <v>36</v>
      </c>
      <c r="S17">
        <v>32.333333333333336</v>
      </c>
      <c r="T17">
        <v>37.75</v>
      </c>
      <c r="U17">
        <v>51.5</v>
      </c>
      <c r="V17">
        <v>31.25</v>
      </c>
      <c r="W17">
        <v>39.5</v>
      </c>
      <c r="X17">
        <v>41.5</v>
      </c>
      <c r="Y17">
        <v>38</v>
      </c>
      <c r="Z17">
        <v>38.5</v>
      </c>
      <c r="AA17">
        <v>27.25</v>
      </c>
      <c r="AB17">
        <v>33.75</v>
      </c>
      <c r="AC17">
        <v>31</v>
      </c>
      <c r="AD17">
        <v>28.5</v>
      </c>
      <c r="AE17">
        <v>15.5</v>
      </c>
      <c r="AG17">
        <f>ROUND(AVERAGE(B17:AE17),2)-30</f>
        <v>3.259999999999998</v>
      </c>
    </row>
    <row r="18" spans="1:33" x14ac:dyDescent="0.25">
      <c r="A18" t="s">
        <v>24</v>
      </c>
      <c r="B18">
        <v>21</v>
      </c>
      <c r="C18">
        <v>36.5</v>
      </c>
      <c r="D18">
        <v>35.25</v>
      </c>
      <c r="E18">
        <v>29.25</v>
      </c>
      <c r="F18">
        <v>24.333333333333332</v>
      </c>
      <c r="G18">
        <v>24.5</v>
      </c>
      <c r="H18">
        <v>24</v>
      </c>
      <c r="I18">
        <v>28.5</v>
      </c>
      <c r="J18">
        <v>26.333333333333332</v>
      </c>
      <c r="K18">
        <v>14</v>
      </c>
      <c r="L18">
        <v>3.5</v>
      </c>
      <c r="M18">
        <v>20.5</v>
      </c>
      <c r="N18">
        <v>28.5</v>
      </c>
      <c r="O18">
        <v>34.5</v>
      </c>
      <c r="P18">
        <v>18</v>
      </c>
      <c r="Q18">
        <v>30</v>
      </c>
      <c r="R18">
        <v>20.25</v>
      </c>
      <c r="S18">
        <v>34.5</v>
      </c>
      <c r="T18">
        <v>22</v>
      </c>
      <c r="U18">
        <v>45</v>
      </c>
      <c r="V18">
        <v>17</v>
      </c>
      <c r="W18">
        <v>34</v>
      </c>
      <c r="X18">
        <v>37.25</v>
      </c>
      <c r="Y18">
        <v>41.5</v>
      </c>
      <c r="Z18">
        <v>24</v>
      </c>
      <c r="AA18">
        <v>16.5</v>
      </c>
      <c r="AB18">
        <v>38.5</v>
      </c>
      <c r="AC18">
        <v>27.5</v>
      </c>
      <c r="AD18">
        <v>23.5</v>
      </c>
      <c r="AE18">
        <v>26.75</v>
      </c>
      <c r="AG18">
        <f>ROUND(AVERAGE(B18:AE18),2)-30</f>
        <v>-3.1000000000000014</v>
      </c>
    </row>
    <row r="19" spans="1:33" x14ac:dyDescent="0.25">
      <c r="A19" t="s">
        <v>19</v>
      </c>
      <c r="B19">
        <v>30.25</v>
      </c>
      <c r="C19">
        <v>37.75</v>
      </c>
      <c r="D19">
        <v>32.333333333333336</v>
      </c>
      <c r="E19">
        <v>30.333333333333332</v>
      </c>
      <c r="F19">
        <v>22.75</v>
      </c>
      <c r="G19">
        <v>27.5</v>
      </c>
      <c r="H19">
        <v>17.5</v>
      </c>
      <c r="I19">
        <v>28.5</v>
      </c>
      <c r="J19">
        <v>40</v>
      </c>
      <c r="K19">
        <v>19</v>
      </c>
      <c r="L19">
        <v>20</v>
      </c>
      <c r="M19">
        <v>30.25</v>
      </c>
      <c r="N19">
        <v>30.5</v>
      </c>
      <c r="O19">
        <v>30</v>
      </c>
      <c r="P19">
        <v>24</v>
      </c>
      <c r="Q19">
        <v>39.75</v>
      </c>
      <c r="R19">
        <v>30</v>
      </c>
      <c r="S19">
        <v>45.5</v>
      </c>
      <c r="T19">
        <v>24</v>
      </c>
      <c r="U19">
        <v>40.25</v>
      </c>
      <c r="V19">
        <v>27</v>
      </c>
      <c r="W19">
        <v>29.5</v>
      </c>
      <c r="X19">
        <v>44.5</v>
      </c>
      <c r="Y19">
        <v>28</v>
      </c>
      <c r="Z19">
        <v>30</v>
      </c>
      <c r="AA19">
        <v>21.5</v>
      </c>
      <c r="AB19">
        <v>34.5</v>
      </c>
      <c r="AC19">
        <v>17.333333333333336</v>
      </c>
      <c r="AD19">
        <v>25.5</v>
      </c>
      <c r="AE19">
        <v>24.666666666666668</v>
      </c>
      <c r="AG19">
        <f>ROUND(AVERAGE(B19:AE19),2)-30</f>
        <v>-0.57999999999999829</v>
      </c>
    </row>
    <row r="20" spans="1:33" x14ac:dyDescent="0.25">
      <c r="A20" t="s">
        <v>29</v>
      </c>
      <c r="B20">
        <v>18</v>
      </c>
      <c r="C20">
        <v>25.5</v>
      </c>
      <c r="D20">
        <v>28</v>
      </c>
      <c r="E20">
        <v>12</v>
      </c>
      <c r="F20">
        <v>26</v>
      </c>
      <c r="G20">
        <v>11.5</v>
      </c>
      <c r="H20">
        <v>15.666666666666666</v>
      </c>
      <c r="I20">
        <v>25</v>
      </c>
      <c r="J20">
        <v>38.5</v>
      </c>
      <c r="K20">
        <v>19.75</v>
      </c>
      <c r="L20">
        <v>21.25</v>
      </c>
      <c r="M20">
        <v>32.5</v>
      </c>
      <c r="N20">
        <v>15.333333333333334</v>
      </c>
      <c r="O20">
        <v>26.25</v>
      </c>
      <c r="P20">
        <v>27.666666666666668</v>
      </c>
      <c r="Q20">
        <v>25.5</v>
      </c>
      <c r="R20">
        <v>14.5</v>
      </c>
      <c r="S20">
        <v>30</v>
      </c>
      <c r="T20">
        <v>7.5</v>
      </c>
      <c r="U20">
        <v>39.5</v>
      </c>
      <c r="V20">
        <v>13.5</v>
      </c>
      <c r="W20">
        <v>19</v>
      </c>
      <c r="X20">
        <v>21.5</v>
      </c>
      <c r="Y20">
        <v>25</v>
      </c>
      <c r="Z20">
        <v>24.25</v>
      </c>
      <c r="AA20">
        <v>7</v>
      </c>
      <c r="AB20">
        <v>23.333333333333332</v>
      </c>
      <c r="AC20">
        <v>20.5</v>
      </c>
      <c r="AD20">
        <v>21</v>
      </c>
      <c r="AE20">
        <v>33</v>
      </c>
      <c r="AG20">
        <f>ROUND(AVERAGE(B20:AE20),2)-30</f>
        <v>-7.73</v>
      </c>
    </row>
    <row r="21" spans="1:33" x14ac:dyDescent="0.25">
      <c r="A21" t="s">
        <v>12</v>
      </c>
      <c r="B21">
        <v>33</v>
      </c>
      <c r="C21">
        <v>43</v>
      </c>
      <c r="D21">
        <v>23</v>
      </c>
      <c r="E21">
        <v>32.5</v>
      </c>
      <c r="F21">
        <v>9</v>
      </c>
      <c r="G21">
        <v>29</v>
      </c>
      <c r="H21">
        <v>26</v>
      </c>
      <c r="I21">
        <v>23</v>
      </c>
      <c r="J21">
        <v>37</v>
      </c>
      <c r="K21">
        <v>18.5</v>
      </c>
      <c r="L21">
        <v>37</v>
      </c>
      <c r="M21">
        <v>17.5</v>
      </c>
      <c r="N21">
        <v>22.666666666666668</v>
      </c>
      <c r="O21">
        <v>45.25</v>
      </c>
      <c r="P21">
        <v>22.25</v>
      </c>
      <c r="Q21">
        <v>38</v>
      </c>
      <c r="R21">
        <v>36</v>
      </c>
      <c r="S21">
        <v>52.5</v>
      </c>
      <c r="T21">
        <v>30</v>
      </c>
      <c r="U21">
        <v>32</v>
      </c>
      <c r="V21">
        <v>30.5</v>
      </c>
      <c r="W21">
        <v>33</v>
      </c>
      <c r="X21">
        <v>35</v>
      </c>
      <c r="Y21">
        <v>35.666666666666664</v>
      </c>
      <c r="Z21">
        <v>15.333333333333334</v>
      </c>
      <c r="AA21">
        <v>32.75</v>
      </c>
      <c r="AB21">
        <v>34</v>
      </c>
      <c r="AC21">
        <v>32.5</v>
      </c>
      <c r="AD21">
        <v>35.333333333333336</v>
      </c>
      <c r="AE21">
        <v>25</v>
      </c>
      <c r="AG21">
        <f>ROUND(AVERAGE(B21:AE21),2)-30</f>
        <v>0.53999999999999915</v>
      </c>
    </row>
    <row r="22" spans="1:33" x14ac:dyDescent="0.25">
      <c r="A22" t="s">
        <v>31</v>
      </c>
      <c r="B22">
        <v>27</v>
      </c>
      <c r="C22">
        <v>24.5</v>
      </c>
      <c r="D22">
        <v>22.5</v>
      </c>
      <c r="E22">
        <v>22.25</v>
      </c>
      <c r="F22">
        <v>9.6666666666666679</v>
      </c>
      <c r="G22">
        <v>24.666666666666668</v>
      </c>
      <c r="H22">
        <v>16.5</v>
      </c>
      <c r="I22">
        <v>24</v>
      </c>
      <c r="J22">
        <v>21.25</v>
      </c>
      <c r="K22">
        <v>7.5</v>
      </c>
      <c r="L22">
        <v>15.5</v>
      </c>
      <c r="M22">
        <v>13.5</v>
      </c>
      <c r="N22">
        <v>4</v>
      </c>
      <c r="O22">
        <v>39.5</v>
      </c>
      <c r="P22">
        <v>8.5</v>
      </c>
      <c r="Q22">
        <v>15</v>
      </c>
      <c r="R22">
        <v>19.75</v>
      </c>
      <c r="S22">
        <v>20.5</v>
      </c>
      <c r="T22">
        <v>28</v>
      </c>
      <c r="U22">
        <v>30</v>
      </c>
      <c r="V22">
        <v>20.5</v>
      </c>
      <c r="W22">
        <v>30</v>
      </c>
      <c r="X22">
        <v>32.25</v>
      </c>
      <c r="Y22">
        <v>19</v>
      </c>
      <c r="Z22">
        <v>17</v>
      </c>
      <c r="AA22">
        <v>25</v>
      </c>
      <c r="AB22">
        <v>8</v>
      </c>
      <c r="AC22">
        <v>23.25</v>
      </c>
      <c r="AD22">
        <v>26.5</v>
      </c>
      <c r="AE22">
        <v>17.5</v>
      </c>
      <c r="AG22">
        <f>ROUND(AVERAGE(B22:AE22),2)-30</f>
        <v>-9.5599999999999987</v>
      </c>
    </row>
    <row r="23" spans="1:33" x14ac:dyDescent="0.25">
      <c r="A23" t="s">
        <v>38</v>
      </c>
      <c r="B23">
        <v>29</v>
      </c>
      <c r="C23">
        <v>13.5</v>
      </c>
      <c r="D23">
        <v>39.5</v>
      </c>
      <c r="E23">
        <v>45</v>
      </c>
      <c r="F23">
        <v>33</v>
      </c>
      <c r="G23">
        <v>29.5</v>
      </c>
      <c r="H23">
        <v>30.5</v>
      </c>
      <c r="I23">
        <v>39.75</v>
      </c>
      <c r="J23">
        <v>27.5</v>
      </c>
      <c r="K23">
        <v>24</v>
      </c>
      <c r="L23">
        <v>24</v>
      </c>
      <c r="M23">
        <v>30.5</v>
      </c>
      <c r="N23">
        <v>32.666666666666664</v>
      </c>
      <c r="O23">
        <v>36</v>
      </c>
      <c r="P23">
        <v>28.75</v>
      </c>
      <c r="Q23">
        <v>43</v>
      </c>
      <c r="R23">
        <v>33</v>
      </c>
      <c r="S23">
        <v>46.5</v>
      </c>
      <c r="T23">
        <v>29.5</v>
      </c>
      <c r="U23">
        <v>39.5</v>
      </c>
      <c r="V23">
        <v>30</v>
      </c>
      <c r="W23">
        <v>47.5</v>
      </c>
      <c r="X23">
        <v>38.5</v>
      </c>
      <c r="Y23">
        <v>38.75</v>
      </c>
      <c r="Z23">
        <v>26.75</v>
      </c>
      <c r="AA23">
        <v>11.333333333333332</v>
      </c>
      <c r="AB23">
        <v>33</v>
      </c>
      <c r="AC23">
        <v>26</v>
      </c>
      <c r="AD23">
        <v>29.5</v>
      </c>
      <c r="AE23">
        <v>34.5</v>
      </c>
      <c r="AG23">
        <f>ROUND(AVERAGE(B23:AE23),2)-30</f>
        <v>2.3500000000000014</v>
      </c>
    </row>
    <row r="24" spans="1:33" x14ac:dyDescent="0.25">
      <c r="A24" t="s">
        <v>13</v>
      </c>
      <c r="B24">
        <v>24</v>
      </c>
      <c r="C24">
        <v>22.333333333333332</v>
      </c>
      <c r="D24">
        <v>26.5</v>
      </c>
      <c r="E24">
        <v>27.5</v>
      </c>
      <c r="F24">
        <v>30</v>
      </c>
      <c r="G24">
        <v>11.333333333333332</v>
      </c>
      <c r="H24">
        <v>20</v>
      </c>
      <c r="I24">
        <v>19</v>
      </c>
      <c r="J24">
        <v>21.75</v>
      </c>
      <c r="K24">
        <v>22</v>
      </c>
      <c r="L24">
        <v>27</v>
      </c>
      <c r="M24">
        <v>12</v>
      </c>
      <c r="N24">
        <v>4</v>
      </c>
      <c r="O24">
        <v>24.5</v>
      </c>
      <c r="P24">
        <v>20.5</v>
      </c>
      <c r="Q24">
        <v>26</v>
      </c>
      <c r="R24">
        <v>30.5</v>
      </c>
      <c r="S24">
        <v>41</v>
      </c>
      <c r="T24">
        <v>27</v>
      </c>
      <c r="U24">
        <v>30</v>
      </c>
      <c r="V24">
        <v>12.5</v>
      </c>
      <c r="W24">
        <v>30</v>
      </c>
      <c r="X24">
        <v>29.666666666666668</v>
      </c>
      <c r="Y24">
        <v>29</v>
      </c>
      <c r="Z24">
        <v>28</v>
      </c>
      <c r="AA24">
        <v>20.5</v>
      </c>
      <c r="AB24">
        <v>37</v>
      </c>
      <c r="AC24">
        <v>22</v>
      </c>
      <c r="AD24">
        <v>29</v>
      </c>
      <c r="AE24">
        <v>22.5</v>
      </c>
      <c r="AG24">
        <f>ROUND(AVERAGE(B24:AE24),2)-30</f>
        <v>-5.7600000000000016</v>
      </c>
    </row>
    <row r="25" spans="1:33" x14ac:dyDescent="0.25">
      <c r="A25" t="s">
        <v>21</v>
      </c>
      <c r="B25">
        <v>22</v>
      </c>
      <c r="C25">
        <v>22.25</v>
      </c>
      <c r="D25">
        <v>15.25</v>
      </c>
      <c r="E25">
        <v>26.333333333333332</v>
      </c>
      <c r="F25">
        <v>23.666666666666668</v>
      </c>
      <c r="G25">
        <v>26.333333333333332</v>
      </c>
      <c r="H25">
        <v>0</v>
      </c>
      <c r="I25">
        <v>40.5</v>
      </c>
      <c r="J25">
        <v>35</v>
      </c>
      <c r="K25">
        <v>7.5</v>
      </c>
      <c r="L25">
        <v>24</v>
      </c>
      <c r="M25">
        <v>19.5</v>
      </c>
      <c r="N25">
        <v>1.5</v>
      </c>
      <c r="O25">
        <v>22</v>
      </c>
      <c r="P25">
        <v>18.5</v>
      </c>
      <c r="Q25">
        <v>22.75</v>
      </c>
      <c r="R25">
        <v>15.5</v>
      </c>
      <c r="S25">
        <v>38.5</v>
      </c>
      <c r="T25">
        <v>25</v>
      </c>
      <c r="U25">
        <v>27.75</v>
      </c>
      <c r="V25">
        <v>21.5</v>
      </c>
      <c r="W25">
        <v>30.333333333333332</v>
      </c>
      <c r="X25">
        <v>30</v>
      </c>
      <c r="Y25">
        <v>9</v>
      </c>
      <c r="Z25">
        <v>14.5</v>
      </c>
      <c r="AA25">
        <v>14.5</v>
      </c>
      <c r="AB25">
        <v>33</v>
      </c>
      <c r="AC25">
        <v>14</v>
      </c>
      <c r="AD25">
        <v>18.5</v>
      </c>
      <c r="AE25">
        <v>12.75</v>
      </c>
      <c r="AG25">
        <f>ROUND(AVERAGE(B25:AE25),2)-30</f>
        <v>-8.9400000000000013</v>
      </c>
    </row>
    <row r="26" spans="1:33" x14ac:dyDescent="0.25">
      <c r="A26" t="s">
        <v>35</v>
      </c>
      <c r="B26">
        <v>12</v>
      </c>
      <c r="C26">
        <v>38</v>
      </c>
      <c r="D26">
        <v>29.5</v>
      </c>
      <c r="E26">
        <v>28.5</v>
      </c>
      <c r="F26">
        <v>30.5</v>
      </c>
      <c r="G26">
        <v>28.5</v>
      </c>
      <c r="H26">
        <v>36</v>
      </c>
      <c r="I26">
        <v>29</v>
      </c>
      <c r="J26">
        <v>30</v>
      </c>
      <c r="K26">
        <v>23.5</v>
      </c>
      <c r="L26">
        <v>29.75</v>
      </c>
      <c r="M26">
        <v>47</v>
      </c>
      <c r="N26">
        <v>18.75</v>
      </c>
      <c r="O26">
        <v>42.5</v>
      </c>
      <c r="P26">
        <v>22</v>
      </c>
      <c r="Q26">
        <v>18.5</v>
      </c>
      <c r="R26">
        <v>32</v>
      </c>
      <c r="S26">
        <v>35</v>
      </c>
      <c r="T26">
        <v>24.333333333333332</v>
      </c>
      <c r="U26">
        <v>41</v>
      </c>
      <c r="V26">
        <v>21.25</v>
      </c>
      <c r="W26">
        <v>31</v>
      </c>
      <c r="X26">
        <v>51</v>
      </c>
      <c r="Y26">
        <v>30</v>
      </c>
      <c r="Z26">
        <v>18.75</v>
      </c>
      <c r="AA26">
        <v>19.25</v>
      </c>
      <c r="AB26">
        <v>29</v>
      </c>
      <c r="AC26">
        <v>36</v>
      </c>
      <c r="AD26">
        <v>24</v>
      </c>
      <c r="AE26">
        <v>40</v>
      </c>
      <c r="AG26">
        <f>ROUND(AVERAGE(B26:AE26),2)-30</f>
        <v>-0.10999999999999943</v>
      </c>
    </row>
    <row r="27" spans="1:33" x14ac:dyDescent="0.25">
      <c r="A27" t="s">
        <v>39</v>
      </c>
      <c r="B27">
        <v>23</v>
      </c>
      <c r="C27">
        <v>30</v>
      </c>
      <c r="D27">
        <v>32.5</v>
      </c>
      <c r="E27">
        <v>35</v>
      </c>
      <c r="F27">
        <v>29.5</v>
      </c>
      <c r="G27">
        <v>37</v>
      </c>
      <c r="H27">
        <v>33.5</v>
      </c>
      <c r="I27">
        <v>40.25</v>
      </c>
      <c r="J27">
        <v>45.5</v>
      </c>
      <c r="K27">
        <v>20</v>
      </c>
      <c r="L27">
        <v>30.333333333333332</v>
      </c>
      <c r="M27">
        <v>38</v>
      </c>
      <c r="N27">
        <v>27.75</v>
      </c>
      <c r="O27">
        <v>45.5</v>
      </c>
      <c r="P27">
        <v>21.5</v>
      </c>
      <c r="Q27">
        <v>36</v>
      </c>
      <c r="R27">
        <v>30</v>
      </c>
      <c r="S27">
        <v>35.75</v>
      </c>
      <c r="T27">
        <v>44.666666666666664</v>
      </c>
      <c r="U27">
        <v>43</v>
      </c>
      <c r="V27">
        <v>33.25</v>
      </c>
      <c r="W27">
        <v>32</v>
      </c>
      <c r="X27">
        <v>45.5</v>
      </c>
      <c r="Y27">
        <v>41.25</v>
      </c>
      <c r="Z27">
        <v>30</v>
      </c>
      <c r="AA27">
        <v>36.25</v>
      </c>
      <c r="AB27">
        <v>32</v>
      </c>
      <c r="AC27">
        <v>40.5</v>
      </c>
      <c r="AD27">
        <v>25.5</v>
      </c>
      <c r="AE27">
        <v>29.5</v>
      </c>
      <c r="AG27">
        <f>ROUND(AVERAGE(B27:AE27),2)-30</f>
        <v>4.1499999999999986</v>
      </c>
    </row>
    <row r="28" spans="1:33" x14ac:dyDescent="0.25">
      <c r="A28" t="s">
        <v>15</v>
      </c>
      <c r="B28">
        <v>40.5</v>
      </c>
      <c r="C28">
        <v>35</v>
      </c>
      <c r="D28">
        <v>47</v>
      </c>
      <c r="E28">
        <v>37</v>
      </c>
      <c r="F28">
        <v>24</v>
      </c>
      <c r="G28">
        <v>29.5</v>
      </c>
      <c r="H28">
        <v>31.5</v>
      </c>
      <c r="I28">
        <v>44.25</v>
      </c>
      <c r="J28">
        <v>38</v>
      </c>
      <c r="K28">
        <v>35.666666666666664</v>
      </c>
      <c r="L28">
        <v>30</v>
      </c>
      <c r="M28">
        <v>34</v>
      </c>
      <c r="N28">
        <v>26.75</v>
      </c>
      <c r="O28">
        <v>38.333333333333336</v>
      </c>
      <c r="P28">
        <v>32.75</v>
      </c>
      <c r="Q28">
        <v>43.5</v>
      </c>
      <c r="R28">
        <v>38.5</v>
      </c>
      <c r="S28">
        <v>53</v>
      </c>
      <c r="T28">
        <v>27.25</v>
      </c>
      <c r="U28">
        <v>35</v>
      </c>
      <c r="V28">
        <v>48.666666666666671</v>
      </c>
      <c r="W28">
        <v>39.5</v>
      </c>
      <c r="X28">
        <v>45.5</v>
      </c>
      <c r="Y28">
        <v>40.75</v>
      </c>
      <c r="Z28">
        <v>23.75</v>
      </c>
      <c r="AA28">
        <v>30</v>
      </c>
      <c r="AB28">
        <v>40.75</v>
      </c>
      <c r="AC28">
        <v>32.5</v>
      </c>
      <c r="AD28">
        <v>32.333333333333336</v>
      </c>
      <c r="AE28">
        <v>30.5</v>
      </c>
      <c r="AG28">
        <f>ROUND(AVERAGE(B28:AE28),2)-30</f>
        <v>6.1899999999999977</v>
      </c>
    </row>
    <row r="29" spans="1:33" x14ac:dyDescent="0.25">
      <c r="A29" t="s">
        <v>37</v>
      </c>
      <c r="B29">
        <v>14</v>
      </c>
      <c r="C29">
        <v>24.5</v>
      </c>
      <c r="D29">
        <v>23</v>
      </c>
      <c r="E29">
        <v>38.5</v>
      </c>
      <c r="F29">
        <v>28.5</v>
      </c>
      <c r="G29">
        <v>34</v>
      </c>
      <c r="H29">
        <v>18.333333333333336</v>
      </c>
      <c r="I29">
        <v>31.5</v>
      </c>
      <c r="J29">
        <v>18</v>
      </c>
      <c r="K29">
        <v>8</v>
      </c>
      <c r="L29">
        <v>23</v>
      </c>
      <c r="M29">
        <v>33</v>
      </c>
      <c r="N29">
        <v>19.75</v>
      </c>
      <c r="O29">
        <v>39.25</v>
      </c>
      <c r="P29">
        <v>26.25</v>
      </c>
      <c r="Q29">
        <v>21.5</v>
      </c>
      <c r="R29">
        <v>25.5</v>
      </c>
      <c r="S29">
        <v>36.666666666666664</v>
      </c>
      <c r="T29">
        <v>26</v>
      </c>
      <c r="U29">
        <v>52</v>
      </c>
      <c r="V29">
        <v>27</v>
      </c>
      <c r="W29">
        <v>23</v>
      </c>
      <c r="X29">
        <v>27</v>
      </c>
      <c r="Y29">
        <v>31</v>
      </c>
      <c r="Z29">
        <v>28</v>
      </c>
      <c r="AA29">
        <v>19.25</v>
      </c>
      <c r="AB29">
        <v>30</v>
      </c>
      <c r="AC29">
        <v>17.5</v>
      </c>
      <c r="AD29">
        <v>24.75</v>
      </c>
      <c r="AE29">
        <v>33.5</v>
      </c>
      <c r="AG29">
        <f>ROUND(AVERAGE(B29:AE29),2)-30</f>
        <v>-3.2600000000000016</v>
      </c>
    </row>
    <row r="30" spans="1:33" x14ac:dyDescent="0.25">
      <c r="A30" t="s">
        <v>27</v>
      </c>
      <c r="B30">
        <v>35.5</v>
      </c>
      <c r="C30">
        <v>30</v>
      </c>
      <c r="D30">
        <v>33.25</v>
      </c>
      <c r="E30">
        <v>31.5</v>
      </c>
      <c r="F30">
        <v>18.75</v>
      </c>
      <c r="G30">
        <v>27.75</v>
      </c>
      <c r="H30">
        <v>24.5</v>
      </c>
      <c r="I30">
        <v>39.5</v>
      </c>
      <c r="J30">
        <v>31.75</v>
      </c>
      <c r="K30">
        <v>7.5</v>
      </c>
      <c r="L30">
        <v>20.5</v>
      </c>
      <c r="M30">
        <v>44.666666666666664</v>
      </c>
      <c r="N30">
        <v>44</v>
      </c>
      <c r="O30">
        <v>32</v>
      </c>
      <c r="P30">
        <v>29</v>
      </c>
      <c r="Q30">
        <v>32.5</v>
      </c>
      <c r="R30">
        <v>42.666666666666664</v>
      </c>
      <c r="S30">
        <v>39.5</v>
      </c>
      <c r="T30">
        <v>27.5</v>
      </c>
      <c r="U30">
        <v>36.75</v>
      </c>
      <c r="V30">
        <v>34</v>
      </c>
      <c r="W30">
        <v>38</v>
      </c>
      <c r="X30">
        <v>46</v>
      </c>
      <c r="Y30">
        <v>24</v>
      </c>
      <c r="Z30">
        <v>19.5</v>
      </c>
      <c r="AA30">
        <v>27.5</v>
      </c>
      <c r="AB30">
        <v>42.5</v>
      </c>
      <c r="AC30">
        <v>30</v>
      </c>
      <c r="AD30">
        <v>48.5</v>
      </c>
      <c r="AE30">
        <v>38.333333333333336</v>
      </c>
      <c r="AG30">
        <f>ROUND(AVERAGE(B30:AE30),2)-30</f>
        <v>2.5799999999999983</v>
      </c>
    </row>
    <row r="31" spans="1:33" x14ac:dyDescent="0.25">
      <c r="A31" t="s">
        <v>34</v>
      </c>
      <c r="B31">
        <v>25.5</v>
      </c>
      <c r="C31">
        <v>51</v>
      </c>
      <c r="D31">
        <v>25</v>
      </c>
      <c r="E31">
        <v>35</v>
      </c>
      <c r="F31">
        <v>39</v>
      </c>
      <c r="G31">
        <v>24</v>
      </c>
      <c r="H31">
        <v>22.75</v>
      </c>
      <c r="I31">
        <v>34.5</v>
      </c>
      <c r="J31">
        <v>32</v>
      </c>
      <c r="K31">
        <v>22.75</v>
      </c>
      <c r="L31">
        <v>21.5</v>
      </c>
      <c r="M31">
        <v>22.5</v>
      </c>
      <c r="N31">
        <v>22.25</v>
      </c>
      <c r="O31">
        <v>34.333333333333336</v>
      </c>
      <c r="P31">
        <v>31.5</v>
      </c>
      <c r="Q31">
        <v>36.5</v>
      </c>
      <c r="R31">
        <v>34.5</v>
      </c>
      <c r="S31">
        <v>39</v>
      </c>
      <c r="T31">
        <v>24.666666666666668</v>
      </c>
      <c r="U31">
        <v>33.5</v>
      </c>
      <c r="V31">
        <v>30.5</v>
      </c>
      <c r="W31">
        <v>31</v>
      </c>
      <c r="X31">
        <v>41.5</v>
      </c>
      <c r="Y31">
        <v>36</v>
      </c>
      <c r="Z31">
        <v>34.5</v>
      </c>
      <c r="AA31">
        <v>27.666666666666668</v>
      </c>
      <c r="AB31">
        <v>35.25</v>
      </c>
      <c r="AC31">
        <v>11.5</v>
      </c>
      <c r="AD31">
        <v>30</v>
      </c>
      <c r="AE31">
        <v>23.5</v>
      </c>
      <c r="AG31">
        <f>ROUND(AVERAGE(B31:AE31),2)-30</f>
        <v>0.44000000000000128</v>
      </c>
    </row>
    <row r="32" spans="1:33" x14ac:dyDescent="0.25">
      <c r="A32" t="s">
        <v>25</v>
      </c>
      <c r="B32">
        <v>21.25</v>
      </c>
      <c r="C32">
        <v>26.75</v>
      </c>
      <c r="D32">
        <v>32</v>
      </c>
      <c r="E32">
        <v>34.5</v>
      </c>
      <c r="F32">
        <v>32.25</v>
      </c>
      <c r="G32">
        <v>16</v>
      </c>
      <c r="H32">
        <v>15</v>
      </c>
      <c r="I32">
        <v>46</v>
      </c>
      <c r="J32">
        <v>27</v>
      </c>
      <c r="K32">
        <v>11</v>
      </c>
      <c r="L32">
        <v>26.5</v>
      </c>
      <c r="M32">
        <v>30.75</v>
      </c>
      <c r="N32">
        <v>27</v>
      </c>
      <c r="O32">
        <v>41</v>
      </c>
      <c r="P32">
        <v>44.5</v>
      </c>
      <c r="Q32">
        <v>33.25</v>
      </c>
      <c r="R32">
        <v>35.333333333333336</v>
      </c>
      <c r="S32">
        <v>27</v>
      </c>
      <c r="T32">
        <v>35</v>
      </c>
      <c r="U32">
        <v>42.5</v>
      </c>
      <c r="V32">
        <v>25.5</v>
      </c>
      <c r="W32">
        <v>37.5</v>
      </c>
      <c r="X32">
        <v>47.25</v>
      </c>
      <c r="Y32">
        <v>20</v>
      </c>
      <c r="Z32">
        <v>30.5</v>
      </c>
      <c r="AA32">
        <v>29.5</v>
      </c>
      <c r="AB32">
        <v>26.5</v>
      </c>
      <c r="AC32">
        <v>21.666666666666664</v>
      </c>
      <c r="AD32">
        <v>36.5</v>
      </c>
      <c r="AE32">
        <v>30</v>
      </c>
      <c r="AG32">
        <f>ROUND(AVERAGE(B32:AE32),2)-30</f>
        <v>0.32000000000000028</v>
      </c>
    </row>
    <row r="33" spans="1:33" x14ac:dyDescent="0.25">
      <c r="AG33">
        <f>SUM(AG3:AG32)</f>
        <v>3.9999999999992042E-2</v>
      </c>
    </row>
    <row r="34" spans="1:33" x14ac:dyDescent="0.25">
      <c r="F34" t="s">
        <v>84</v>
      </c>
      <c r="G34">
        <v>1</v>
      </c>
      <c r="H34">
        <v>1</v>
      </c>
      <c r="I34">
        <v>1</v>
      </c>
      <c r="J34">
        <v>1</v>
      </c>
      <c r="K34">
        <v>2</v>
      </c>
      <c r="L34">
        <v>2</v>
      </c>
      <c r="M34">
        <v>2</v>
      </c>
      <c r="N34">
        <v>2</v>
      </c>
    </row>
    <row r="35" spans="1:33" x14ac:dyDescent="0.25">
      <c r="A35" t="s">
        <v>45</v>
      </c>
      <c r="B35" t="s">
        <v>75</v>
      </c>
      <c r="C35" t="s">
        <v>76</v>
      </c>
      <c r="D35" t="s">
        <v>111</v>
      </c>
      <c r="G35" t="s">
        <v>85</v>
      </c>
      <c r="H35" t="s">
        <v>86</v>
      </c>
      <c r="I35" t="s">
        <v>87</v>
      </c>
      <c r="J35" t="s">
        <v>88</v>
      </c>
      <c r="K35" t="s">
        <v>85</v>
      </c>
      <c r="L35" t="s">
        <v>86</v>
      </c>
      <c r="M35" t="s">
        <v>87</v>
      </c>
      <c r="N35" t="s">
        <v>88</v>
      </c>
      <c r="P35" t="s">
        <v>112</v>
      </c>
      <c r="Q35" t="s">
        <v>114</v>
      </c>
      <c r="R35" t="s">
        <v>113</v>
      </c>
    </row>
    <row r="36" spans="1:33" x14ac:dyDescent="0.25">
      <c r="A36" t="s">
        <v>26</v>
      </c>
      <c r="B36">
        <v>1</v>
      </c>
      <c r="C36">
        <f t="shared" ref="C36:C65" si="0">RANK(B36,$B$36:$B$65)</f>
        <v>4</v>
      </c>
      <c r="D36">
        <f>VLOOKUP($A36,d_win_totals!$E$2:$K$31,6,0)</f>
        <v>18</v>
      </c>
      <c r="G36">
        <v>1</v>
      </c>
      <c r="H36">
        <v>1</v>
      </c>
      <c r="I36">
        <v>1</v>
      </c>
      <c r="J36">
        <v>4</v>
      </c>
      <c r="K36">
        <f>VLOOKUP($A36,p_win_totals!$D$2:$J$31,6,0)</f>
        <v>43</v>
      </c>
      <c r="L36">
        <f>VLOOKUP($A36,p_win_totals!$D$2:$J$31,7,0)</f>
        <v>15</v>
      </c>
      <c r="M36">
        <v>43</v>
      </c>
      <c r="N36">
        <v>4</v>
      </c>
      <c r="P36">
        <f>$D36-$N36</f>
        <v>14</v>
      </c>
      <c r="Q36">
        <f>ABS($D36-$N36)</f>
        <v>14</v>
      </c>
      <c r="R36">
        <f>($D36-$N36)^2</f>
        <v>196</v>
      </c>
    </row>
    <row r="37" spans="1:33" x14ac:dyDescent="0.25">
      <c r="A37" t="s">
        <v>23</v>
      </c>
      <c r="B37">
        <v>0.59022566279610145</v>
      </c>
      <c r="C37">
        <f t="shared" si="0"/>
        <v>21</v>
      </c>
      <c r="D37">
        <f>VLOOKUP($A37,d_win_totals!$E$2:$K$31,6,0)</f>
        <v>16</v>
      </c>
      <c r="G37">
        <v>1</v>
      </c>
      <c r="H37">
        <v>1</v>
      </c>
      <c r="I37">
        <v>0.59022566279610145</v>
      </c>
      <c r="J37">
        <v>21</v>
      </c>
      <c r="K37">
        <f>VLOOKUP($A37,p_win_totals!$D$2:$J$31,6,0)</f>
        <v>40</v>
      </c>
      <c r="L37">
        <f>VLOOKUP($A37,p_win_totals!$D$2:$J$31,7,0)</f>
        <v>18</v>
      </c>
      <c r="M37">
        <v>25.379937453300823</v>
      </c>
      <c r="N37">
        <v>21</v>
      </c>
      <c r="P37">
        <f t="shared" ref="P37:P65" si="1">$D37-$N37</f>
        <v>-5</v>
      </c>
      <c r="Q37">
        <f t="shared" ref="Q37:Q65" si="2">ABS($D37-$N37)</f>
        <v>5</v>
      </c>
      <c r="R37">
        <f t="shared" ref="R37:R65" si="3">($D37-$N37)^2</f>
        <v>25</v>
      </c>
    </row>
    <row r="38" spans="1:33" x14ac:dyDescent="0.25">
      <c r="A38" t="s">
        <v>22</v>
      </c>
      <c r="B38">
        <v>0.66788959401019132</v>
      </c>
      <c r="C38">
        <f t="shared" si="0"/>
        <v>19</v>
      </c>
      <c r="D38">
        <f>VLOOKUP($A38,d_win_totals!$E$2:$K$31,6,0)</f>
        <v>26</v>
      </c>
      <c r="G38">
        <v>1</v>
      </c>
      <c r="H38">
        <v>1</v>
      </c>
      <c r="I38">
        <v>0.66788959401019132</v>
      </c>
      <c r="J38">
        <v>19</v>
      </c>
      <c r="K38">
        <f>VLOOKUP($A38,p_win_totals!$D$2:$J$31,6,0)</f>
        <v>24</v>
      </c>
      <c r="L38">
        <f>VLOOKUP($A38,p_win_totals!$D$2:$J$31,7,0)</f>
        <v>28</v>
      </c>
      <c r="M38">
        <v>28.719349388674509</v>
      </c>
      <c r="N38">
        <v>19</v>
      </c>
      <c r="P38">
        <f t="shared" si="1"/>
        <v>7</v>
      </c>
      <c r="Q38">
        <f t="shared" si="2"/>
        <v>7</v>
      </c>
      <c r="R38">
        <f t="shared" si="3"/>
        <v>49</v>
      </c>
    </row>
    <row r="39" spans="1:33" x14ac:dyDescent="0.25">
      <c r="A39" t="s">
        <v>18</v>
      </c>
      <c r="B39">
        <v>0.5505526550482801</v>
      </c>
      <c r="C39">
        <f t="shared" si="0"/>
        <v>25</v>
      </c>
      <c r="D39">
        <f>VLOOKUP($A39,d_win_totals!$E$2:$K$31,6,0)</f>
        <v>13</v>
      </c>
      <c r="G39">
        <v>1</v>
      </c>
      <c r="H39">
        <v>1</v>
      </c>
      <c r="I39">
        <v>0.5505526550482801</v>
      </c>
      <c r="J39">
        <v>25</v>
      </c>
      <c r="K39">
        <f>VLOOKUP($A39,p_win_totals!$D$2:$J$31,6,0)</f>
        <v>47</v>
      </c>
      <c r="L39">
        <f>VLOOKUP($A39,p_win_totals!$D$2:$J$31,7,0)</f>
        <v>13</v>
      </c>
      <c r="M39">
        <v>23.67424062410991</v>
      </c>
      <c r="N39">
        <v>25</v>
      </c>
      <c r="P39">
        <f t="shared" si="1"/>
        <v>-12</v>
      </c>
      <c r="Q39">
        <f t="shared" si="2"/>
        <v>12</v>
      </c>
      <c r="R39">
        <f t="shared" si="3"/>
        <v>144</v>
      </c>
    </row>
    <row r="40" spans="1:33" x14ac:dyDescent="0.25">
      <c r="A40" t="s">
        <v>30</v>
      </c>
      <c r="B40">
        <v>0.84926679272737282</v>
      </c>
      <c r="C40">
        <f t="shared" si="0"/>
        <v>10</v>
      </c>
      <c r="D40">
        <f>VLOOKUP($A40,d_win_totals!$E$2:$K$31,6,0)</f>
        <v>4</v>
      </c>
      <c r="G40">
        <v>1</v>
      </c>
      <c r="H40">
        <v>1</v>
      </c>
      <c r="I40">
        <v>0.84926679272737282</v>
      </c>
      <c r="J40">
        <v>10</v>
      </c>
      <c r="K40">
        <f>VLOOKUP($A40,p_win_totals!$D$2:$J$31,6,0)</f>
        <v>56</v>
      </c>
      <c r="L40">
        <f>VLOOKUP($A40,p_win_totals!$D$2:$J$31,7,0)</f>
        <v>3</v>
      </c>
      <c r="M40">
        <v>36.518063009513213</v>
      </c>
      <c r="N40">
        <v>10</v>
      </c>
      <c r="P40">
        <f t="shared" si="1"/>
        <v>-6</v>
      </c>
      <c r="Q40">
        <f t="shared" si="2"/>
        <v>6</v>
      </c>
      <c r="R40">
        <f t="shared" si="3"/>
        <v>36</v>
      </c>
    </row>
    <row r="41" spans="1:33" x14ac:dyDescent="0.25">
      <c r="A41" t="s">
        <v>40</v>
      </c>
      <c r="B41">
        <v>0.94355836160001672</v>
      </c>
      <c r="C41">
        <f t="shared" si="0"/>
        <v>6</v>
      </c>
      <c r="D41">
        <f>VLOOKUP($A41,d_win_totals!$E$2:$K$31,6,0)</f>
        <v>1</v>
      </c>
      <c r="G41">
        <v>1</v>
      </c>
      <c r="H41">
        <v>1</v>
      </c>
      <c r="I41">
        <v>0.94355836160001672</v>
      </c>
      <c r="J41">
        <v>6</v>
      </c>
      <c r="K41">
        <f>VLOOKUP($A41,p_win_totals!$D$2:$J$31,6,0)</f>
        <v>58</v>
      </c>
      <c r="L41">
        <f>VLOOKUP($A41,p_win_totals!$D$2:$J$31,7,0)</f>
        <v>1</v>
      </c>
      <c r="M41">
        <v>40.574301323568911</v>
      </c>
      <c r="N41">
        <v>6</v>
      </c>
      <c r="P41">
        <f t="shared" si="1"/>
        <v>-5</v>
      </c>
      <c r="Q41">
        <f t="shared" si="2"/>
        <v>5</v>
      </c>
      <c r="R41">
        <f t="shared" si="3"/>
        <v>25</v>
      </c>
    </row>
    <row r="42" spans="1:33" x14ac:dyDescent="0.25">
      <c r="A42" t="s">
        <v>14</v>
      </c>
      <c r="B42">
        <v>0.89873177979410968</v>
      </c>
      <c r="C42">
        <f t="shared" si="0"/>
        <v>8</v>
      </c>
      <c r="D42">
        <f>VLOOKUP($A42,d_win_totals!$E$2:$K$31,6,0)</f>
        <v>7</v>
      </c>
      <c r="G42">
        <v>1</v>
      </c>
      <c r="H42">
        <v>1</v>
      </c>
      <c r="I42">
        <v>0.89873177979410968</v>
      </c>
      <c r="J42">
        <v>8</v>
      </c>
      <c r="K42">
        <f>VLOOKUP($A42,p_win_totals!$D$2:$J$31,6,0)</f>
        <v>52</v>
      </c>
      <c r="L42">
        <f>VLOOKUP($A42,p_win_totals!$D$2:$J$31,7,0)</f>
        <v>7</v>
      </c>
      <c r="M42">
        <v>38.646647383143652</v>
      </c>
      <c r="N42">
        <v>8</v>
      </c>
      <c r="P42">
        <f t="shared" si="1"/>
        <v>-1</v>
      </c>
      <c r="Q42">
        <f t="shared" si="2"/>
        <v>1</v>
      </c>
      <c r="R42">
        <f t="shared" si="3"/>
        <v>1</v>
      </c>
    </row>
    <row r="43" spans="1:33" x14ac:dyDescent="0.25">
      <c r="A43" t="s">
        <v>32</v>
      </c>
      <c r="B43">
        <v>0.55502428165143802</v>
      </c>
      <c r="C43">
        <f t="shared" si="0"/>
        <v>24</v>
      </c>
      <c r="D43">
        <f>VLOOKUP($A43,d_win_totals!$E$2:$K$31,6,0)</f>
        <v>18</v>
      </c>
      <c r="G43">
        <v>1</v>
      </c>
      <c r="H43">
        <v>1</v>
      </c>
      <c r="I43">
        <v>0.55502428165143802</v>
      </c>
      <c r="J43">
        <v>24</v>
      </c>
      <c r="K43">
        <f>VLOOKUP($A43,p_win_totals!$D$2:$J$31,6,0)</f>
        <v>40</v>
      </c>
      <c r="L43">
        <f>VLOOKUP($A43,p_win_totals!$D$2:$J$31,7,0)</f>
        <v>18</v>
      </c>
      <c r="M43">
        <v>23.866295942762044</v>
      </c>
      <c r="N43">
        <v>24</v>
      </c>
      <c r="P43">
        <f t="shared" si="1"/>
        <v>-6</v>
      </c>
      <c r="Q43">
        <f t="shared" si="2"/>
        <v>6</v>
      </c>
      <c r="R43">
        <f t="shared" si="3"/>
        <v>36</v>
      </c>
    </row>
    <row r="44" spans="1:33" x14ac:dyDescent="0.25">
      <c r="A44" t="s">
        <v>33</v>
      </c>
      <c r="B44">
        <v>0.62795400450332217</v>
      </c>
      <c r="C44">
        <f t="shared" si="0"/>
        <v>20</v>
      </c>
      <c r="D44">
        <f>VLOOKUP($A44,d_win_totals!$E$2:$K$31,6,0)</f>
        <v>21</v>
      </c>
      <c r="G44">
        <v>1</v>
      </c>
      <c r="H44">
        <v>1</v>
      </c>
      <c r="I44">
        <v>0.62795400450332217</v>
      </c>
      <c r="J44">
        <v>20</v>
      </c>
      <c r="K44">
        <f>VLOOKUP($A44,p_win_totals!$D$2:$J$31,6,0)</f>
        <v>34</v>
      </c>
      <c r="L44">
        <f>VLOOKUP($A44,p_win_totals!$D$2:$J$31,7,0)</f>
        <v>21</v>
      </c>
      <c r="M44">
        <v>27.003394794311877</v>
      </c>
      <c r="N44">
        <v>20</v>
      </c>
      <c r="P44">
        <f t="shared" si="1"/>
        <v>1</v>
      </c>
      <c r="Q44">
        <f t="shared" si="2"/>
        <v>1</v>
      </c>
      <c r="R44">
        <f t="shared" si="3"/>
        <v>1</v>
      </c>
    </row>
    <row r="45" spans="1:33" x14ac:dyDescent="0.25">
      <c r="A45" t="s">
        <v>36</v>
      </c>
      <c r="B45">
        <v>1.4211377703472576</v>
      </c>
      <c r="C45">
        <f t="shared" si="0"/>
        <v>1</v>
      </c>
      <c r="D45">
        <f>VLOOKUP($A45,d_win_totals!$E$2:$K$31,6,0)</f>
        <v>6</v>
      </c>
      <c r="G45">
        <v>1</v>
      </c>
      <c r="H45">
        <v>1</v>
      </c>
      <c r="I45">
        <v>1.4211377703472576</v>
      </c>
      <c r="J45">
        <v>1</v>
      </c>
      <c r="K45">
        <f>VLOOKUP($A45,p_win_totals!$D$2:$J$31,6,0)</f>
        <v>53</v>
      </c>
      <c r="L45">
        <f>VLOOKUP($A45,p_win_totals!$D$2:$J$31,7,0)</f>
        <v>6</v>
      </c>
      <c r="M45">
        <v>61.110494836892229</v>
      </c>
      <c r="N45">
        <v>1</v>
      </c>
      <c r="P45">
        <f t="shared" si="1"/>
        <v>5</v>
      </c>
      <c r="Q45">
        <f t="shared" si="2"/>
        <v>5</v>
      </c>
      <c r="R45">
        <f t="shared" si="3"/>
        <v>25</v>
      </c>
    </row>
    <row r="46" spans="1:33" x14ac:dyDescent="0.25">
      <c r="A46" t="s">
        <v>16</v>
      </c>
      <c r="B46">
        <v>0.95430835533952585</v>
      </c>
      <c r="C46">
        <f t="shared" si="0"/>
        <v>5</v>
      </c>
      <c r="D46">
        <f>VLOOKUP($A46,d_win_totals!$E$2:$K$31,6,0)</f>
        <v>7</v>
      </c>
      <c r="G46">
        <v>1</v>
      </c>
      <c r="H46">
        <v>1</v>
      </c>
      <c r="I46">
        <v>0.95430835533952585</v>
      </c>
      <c r="J46">
        <v>5</v>
      </c>
      <c r="K46">
        <f>VLOOKUP($A46,p_win_totals!$D$2:$J$31,6,0)</f>
        <v>48</v>
      </c>
      <c r="L46">
        <f>VLOOKUP($A46,p_win_totals!$D$2:$J$31,7,0)</f>
        <v>11</v>
      </c>
      <c r="M46">
        <v>41.035498697198705</v>
      </c>
      <c r="N46">
        <v>5</v>
      </c>
      <c r="P46">
        <f t="shared" si="1"/>
        <v>2</v>
      </c>
      <c r="Q46">
        <f t="shared" si="2"/>
        <v>2</v>
      </c>
      <c r="R46">
        <f t="shared" si="3"/>
        <v>4</v>
      </c>
    </row>
    <row r="47" spans="1:33" x14ac:dyDescent="0.25">
      <c r="A47" t="s">
        <v>20</v>
      </c>
      <c r="B47">
        <v>0.67387265386243389</v>
      </c>
      <c r="C47">
        <f t="shared" si="0"/>
        <v>17</v>
      </c>
      <c r="D47">
        <f>VLOOKUP($A47,d_win_totals!$E$2:$K$31,6,0)</f>
        <v>22</v>
      </c>
      <c r="G47">
        <v>1</v>
      </c>
      <c r="H47">
        <v>1</v>
      </c>
      <c r="I47">
        <v>0.67387265386243389</v>
      </c>
      <c r="J47">
        <v>17</v>
      </c>
      <c r="K47">
        <f>VLOOKUP($A47,p_win_totals!$D$2:$J$31,6,0)</f>
        <v>33</v>
      </c>
      <c r="L47">
        <f>VLOOKUP($A47,p_win_totals!$D$2:$J$31,7,0)</f>
        <v>22</v>
      </c>
      <c r="M47">
        <v>28.976231834645485</v>
      </c>
      <c r="N47">
        <v>17</v>
      </c>
      <c r="P47">
        <f t="shared" si="1"/>
        <v>5</v>
      </c>
      <c r="Q47">
        <f t="shared" si="2"/>
        <v>5</v>
      </c>
      <c r="R47">
        <f t="shared" si="3"/>
        <v>25</v>
      </c>
    </row>
    <row r="48" spans="1:33" x14ac:dyDescent="0.25">
      <c r="A48" t="s">
        <v>41</v>
      </c>
      <c r="B48">
        <v>1.0833466401696195</v>
      </c>
      <c r="C48">
        <f t="shared" si="0"/>
        <v>2</v>
      </c>
      <c r="D48">
        <f>VLOOKUP($A48,d_win_totals!$E$2:$K$31,6,0)</f>
        <v>4</v>
      </c>
      <c r="G48">
        <v>1</v>
      </c>
      <c r="H48">
        <v>1</v>
      </c>
      <c r="I48">
        <v>1.0833466401696195</v>
      </c>
      <c r="J48">
        <v>2</v>
      </c>
      <c r="K48">
        <f>VLOOKUP($A48,p_win_totals!$D$2:$J$31,6,0)</f>
        <v>58</v>
      </c>
      <c r="L48">
        <f>VLOOKUP($A48,p_win_totals!$D$2:$J$31,7,0)</f>
        <v>1</v>
      </c>
      <c r="M48">
        <v>46.581999312073435</v>
      </c>
      <c r="N48">
        <v>2</v>
      </c>
      <c r="P48">
        <f t="shared" si="1"/>
        <v>2</v>
      </c>
      <c r="Q48">
        <f t="shared" si="2"/>
        <v>2</v>
      </c>
      <c r="R48">
        <f t="shared" si="3"/>
        <v>4</v>
      </c>
    </row>
    <row r="49" spans="1:18" x14ac:dyDescent="0.25">
      <c r="A49" t="s">
        <v>17</v>
      </c>
      <c r="B49">
        <v>0.4747564952217726</v>
      </c>
      <c r="C49">
        <f t="shared" si="0"/>
        <v>26</v>
      </c>
      <c r="D49">
        <f>VLOOKUP($A49,d_win_totals!$E$2:$K$31,6,0)</f>
        <v>23</v>
      </c>
      <c r="G49">
        <v>1</v>
      </c>
      <c r="H49">
        <v>1</v>
      </c>
      <c r="I49">
        <v>0.4747564952217726</v>
      </c>
      <c r="J49">
        <v>26</v>
      </c>
      <c r="K49">
        <f>VLOOKUP($A49,p_win_totals!$D$2:$J$31,6,0)</f>
        <v>29</v>
      </c>
      <c r="L49">
        <f>VLOOKUP($A49,p_win_totals!$D$2:$J$31,7,0)</f>
        <v>23</v>
      </c>
      <c r="M49">
        <v>20.414491256846432</v>
      </c>
      <c r="N49">
        <v>26</v>
      </c>
      <c r="P49">
        <f t="shared" si="1"/>
        <v>-3</v>
      </c>
      <c r="Q49">
        <f t="shared" si="2"/>
        <v>3</v>
      </c>
      <c r="R49">
        <f t="shared" si="3"/>
        <v>9</v>
      </c>
    </row>
    <row r="50" spans="1:18" x14ac:dyDescent="0.25">
      <c r="A50" t="s">
        <v>28</v>
      </c>
      <c r="B50">
        <v>0.87463908105732846</v>
      </c>
      <c r="C50">
        <f t="shared" si="0"/>
        <v>9</v>
      </c>
      <c r="D50">
        <f>VLOOKUP($A50,d_win_totals!$E$2:$K$31,6,0)</f>
        <v>11</v>
      </c>
      <c r="G50">
        <v>1</v>
      </c>
      <c r="H50">
        <v>1</v>
      </c>
      <c r="I50">
        <v>0.87463908105732846</v>
      </c>
      <c r="J50">
        <v>9</v>
      </c>
      <c r="K50">
        <f>VLOOKUP($A50,p_win_totals!$D$2:$J$31,6,0)</f>
        <v>50</v>
      </c>
      <c r="L50">
        <f>VLOOKUP($A50,p_win_totals!$D$2:$J$31,7,0)</f>
        <v>9</v>
      </c>
      <c r="M50">
        <v>37.609811783013924</v>
      </c>
      <c r="N50">
        <v>9</v>
      </c>
      <c r="P50">
        <f t="shared" si="1"/>
        <v>2</v>
      </c>
      <c r="Q50">
        <f t="shared" si="2"/>
        <v>2</v>
      </c>
      <c r="R50">
        <f t="shared" si="3"/>
        <v>4</v>
      </c>
    </row>
    <row r="51" spans="1:18" x14ac:dyDescent="0.25">
      <c r="A51" t="s">
        <v>24</v>
      </c>
      <c r="B51">
        <v>0.56673471650013763</v>
      </c>
      <c r="C51">
        <f t="shared" si="0"/>
        <v>22</v>
      </c>
      <c r="D51">
        <f>VLOOKUP($A51,d_win_totals!$E$2:$K$31,6,0)</f>
        <v>14</v>
      </c>
      <c r="G51">
        <v>1</v>
      </c>
      <c r="H51">
        <v>1</v>
      </c>
      <c r="I51">
        <v>0.56673471650013763</v>
      </c>
      <c r="J51">
        <v>22</v>
      </c>
      <c r="K51">
        <f>VLOOKUP($A51,p_win_totals!$D$2:$J$31,6,0)</f>
        <v>45</v>
      </c>
      <c r="L51">
        <f>VLOOKUP($A51,p_win_totals!$D$2:$J$31,7,0)</f>
        <v>14</v>
      </c>
      <c r="M51">
        <v>24.369898634440016</v>
      </c>
      <c r="N51">
        <v>22</v>
      </c>
      <c r="P51">
        <f t="shared" si="1"/>
        <v>-8</v>
      </c>
      <c r="Q51">
        <f t="shared" si="2"/>
        <v>8</v>
      </c>
      <c r="R51">
        <f t="shared" si="3"/>
        <v>64</v>
      </c>
    </row>
    <row r="52" spans="1:18" x14ac:dyDescent="0.25">
      <c r="A52" t="s">
        <v>19</v>
      </c>
      <c r="B52">
        <v>0.67083551812970799</v>
      </c>
      <c r="C52">
        <f t="shared" si="0"/>
        <v>18</v>
      </c>
      <c r="D52">
        <f>VLOOKUP($A52,d_win_totals!$E$2:$K$31,6,0)</f>
        <v>29</v>
      </c>
      <c r="G52">
        <v>1</v>
      </c>
      <c r="H52">
        <v>1</v>
      </c>
      <c r="I52">
        <v>0.67083551812970799</v>
      </c>
      <c r="J52">
        <v>18</v>
      </c>
      <c r="K52">
        <f>VLOOKUP($A52,p_win_totals!$D$2:$J$31,6,0)</f>
        <v>25</v>
      </c>
      <c r="L52">
        <f>VLOOKUP($A52,p_win_totals!$D$2:$J$31,7,0)</f>
        <v>27</v>
      </c>
      <c r="M52">
        <v>28.846564089018234</v>
      </c>
      <c r="N52">
        <v>18</v>
      </c>
      <c r="P52">
        <f t="shared" si="1"/>
        <v>11</v>
      </c>
      <c r="Q52">
        <f t="shared" si="2"/>
        <v>11</v>
      </c>
      <c r="R52">
        <f t="shared" si="3"/>
        <v>121</v>
      </c>
    </row>
    <row r="53" spans="1:18" x14ac:dyDescent="0.25">
      <c r="A53" t="s">
        <v>29</v>
      </c>
      <c r="B53">
        <v>0.4051100920942462</v>
      </c>
      <c r="C53">
        <f t="shared" si="0"/>
        <v>28</v>
      </c>
      <c r="D53">
        <f>VLOOKUP($A53,d_win_totals!$E$2:$K$31,6,0)</f>
        <v>27</v>
      </c>
      <c r="G53">
        <v>1</v>
      </c>
      <c r="H53">
        <v>1</v>
      </c>
      <c r="I53">
        <v>0.4051100920942462</v>
      </c>
      <c r="J53">
        <v>28</v>
      </c>
      <c r="K53">
        <f>VLOOKUP($A53,p_win_totals!$D$2:$J$31,6,0)</f>
        <v>24</v>
      </c>
      <c r="L53">
        <f>VLOOKUP($A53,p_win_totals!$D$2:$J$31,7,0)</f>
        <v>28</v>
      </c>
      <c r="M53">
        <v>17.419972607949394</v>
      </c>
      <c r="N53">
        <v>28</v>
      </c>
      <c r="P53">
        <f t="shared" si="1"/>
        <v>-1</v>
      </c>
      <c r="Q53">
        <f t="shared" si="2"/>
        <v>1</v>
      </c>
      <c r="R53">
        <f t="shared" si="3"/>
        <v>1</v>
      </c>
    </row>
    <row r="54" spans="1:18" x14ac:dyDescent="0.25">
      <c r="A54" t="s">
        <v>12</v>
      </c>
      <c r="B54">
        <v>0.72565960627278758</v>
      </c>
      <c r="C54">
        <f t="shared" si="0"/>
        <v>13</v>
      </c>
      <c r="D54">
        <f>VLOOKUP($A54,d_win_totals!$E$2:$K$31,6,0)</f>
        <v>16</v>
      </c>
      <c r="G54">
        <v>1</v>
      </c>
      <c r="H54">
        <v>1</v>
      </c>
      <c r="I54">
        <v>0.72565960627278758</v>
      </c>
      <c r="J54">
        <v>13</v>
      </c>
      <c r="K54">
        <f>VLOOKUP($A54,p_win_totals!$D$2:$J$31,6,0)</f>
        <v>41</v>
      </c>
      <c r="L54">
        <f>VLOOKUP($A54,p_win_totals!$D$2:$J$31,7,0)</f>
        <v>17</v>
      </c>
      <c r="M54">
        <v>31.204065171115634</v>
      </c>
      <c r="N54">
        <v>13</v>
      </c>
      <c r="P54">
        <f t="shared" si="1"/>
        <v>3</v>
      </c>
      <c r="Q54">
        <f t="shared" si="2"/>
        <v>3</v>
      </c>
      <c r="R54">
        <f t="shared" si="3"/>
        <v>9</v>
      </c>
    </row>
    <row r="55" spans="1:18" x14ac:dyDescent="0.25">
      <c r="A55" t="s">
        <v>31</v>
      </c>
      <c r="B55">
        <v>0.35478158442528313</v>
      </c>
      <c r="C55">
        <f t="shared" si="0"/>
        <v>30</v>
      </c>
      <c r="D55">
        <f>VLOOKUP($A55,d_win_totals!$E$2:$K$31,6,0)</f>
        <v>18</v>
      </c>
      <c r="G55">
        <v>1</v>
      </c>
      <c r="H55">
        <v>1</v>
      </c>
      <c r="I55">
        <v>0.35478158442528313</v>
      </c>
      <c r="J55">
        <v>30</v>
      </c>
      <c r="K55">
        <f>VLOOKUP($A55,p_win_totals!$D$2:$J$31,6,0)</f>
        <v>40</v>
      </c>
      <c r="L55">
        <f>VLOOKUP($A55,p_win_totals!$D$2:$J$31,7,0)</f>
        <v>18</v>
      </c>
      <c r="M55">
        <v>15.255332899922429</v>
      </c>
      <c r="N55">
        <v>30</v>
      </c>
      <c r="P55">
        <f t="shared" si="1"/>
        <v>-12</v>
      </c>
      <c r="Q55">
        <f t="shared" si="2"/>
        <v>12</v>
      </c>
      <c r="R55">
        <f t="shared" si="3"/>
        <v>144</v>
      </c>
    </row>
    <row r="56" spans="1:18" x14ac:dyDescent="0.25">
      <c r="A56" t="s">
        <v>38</v>
      </c>
      <c r="B56">
        <v>0.82050766774363182</v>
      </c>
      <c r="C56">
        <f t="shared" si="0"/>
        <v>12</v>
      </c>
      <c r="D56">
        <f>VLOOKUP($A56,d_win_totals!$E$2:$K$31,6,0)</f>
        <v>2</v>
      </c>
      <c r="G56">
        <v>1</v>
      </c>
      <c r="H56">
        <v>1</v>
      </c>
      <c r="I56">
        <v>0.82050766774363182</v>
      </c>
      <c r="J56">
        <v>12</v>
      </c>
      <c r="K56">
        <f>VLOOKUP($A56,p_win_totals!$D$2:$J$31,6,0)</f>
        <v>55</v>
      </c>
      <c r="L56">
        <f>VLOOKUP($A56,p_win_totals!$D$2:$J$31,7,0)</f>
        <v>5</v>
      </c>
      <c r="M56">
        <v>35.282922349752297</v>
      </c>
      <c r="N56">
        <v>12</v>
      </c>
      <c r="P56">
        <f t="shared" si="1"/>
        <v>-10</v>
      </c>
      <c r="Q56">
        <f t="shared" si="2"/>
        <v>10</v>
      </c>
      <c r="R56">
        <f t="shared" si="3"/>
        <v>100</v>
      </c>
    </row>
    <row r="57" spans="1:18" x14ac:dyDescent="0.25">
      <c r="A57" t="s">
        <v>13</v>
      </c>
      <c r="B57">
        <v>0.46755984518874777</v>
      </c>
      <c r="C57">
        <f t="shared" si="0"/>
        <v>27</v>
      </c>
      <c r="D57">
        <f>VLOOKUP($A57,d_win_totals!$E$2:$K$31,6,0)</f>
        <v>25</v>
      </c>
      <c r="G57">
        <v>1</v>
      </c>
      <c r="H57">
        <v>1</v>
      </c>
      <c r="I57">
        <v>0.46755984518874777</v>
      </c>
      <c r="J57">
        <v>27</v>
      </c>
      <c r="K57">
        <f>VLOOKUP($A57,p_win_totals!$D$2:$J$31,6,0)</f>
        <v>27</v>
      </c>
      <c r="L57">
        <f>VLOOKUP($A57,p_win_totals!$D$2:$J$31,7,0)</f>
        <v>25</v>
      </c>
      <c r="M57">
        <v>20.10475286150545</v>
      </c>
      <c r="N57">
        <v>27</v>
      </c>
      <c r="P57">
        <f t="shared" si="1"/>
        <v>-2</v>
      </c>
      <c r="Q57">
        <f t="shared" si="2"/>
        <v>2</v>
      </c>
      <c r="R57">
        <f t="shared" si="3"/>
        <v>4</v>
      </c>
    </row>
    <row r="58" spans="1:18" x14ac:dyDescent="0.25">
      <c r="A58" t="s">
        <v>21</v>
      </c>
      <c r="B58">
        <v>0.37724045376012311</v>
      </c>
      <c r="C58">
        <f t="shared" si="0"/>
        <v>29</v>
      </c>
      <c r="D58">
        <f>VLOOKUP($A58,d_win_totals!$E$2:$K$31,6,0)</f>
        <v>30</v>
      </c>
      <c r="G58">
        <v>1</v>
      </c>
      <c r="H58">
        <v>1</v>
      </c>
      <c r="I58">
        <v>0.37724045376012311</v>
      </c>
      <c r="J58">
        <v>29</v>
      </c>
      <c r="K58">
        <f>VLOOKUP($A58,p_win_totals!$D$2:$J$31,6,0)</f>
        <v>15</v>
      </c>
      <c r="L58">
        <f>VLOOKUP($A58,p_win_totals!$D$2:$J$31,7,0)</f>
        <v>30</v>
      </c>
      <c r="M58">
        <v>16.221677657702795</v>
      </c>
      <c r="N58">
        <v>29</v>
      </c>
      <c r="P58">
        <f t="shared" si="1"/>
        <v>1</v>
      </c>
      <c r="Q58">
        <f t="shared" si="2"/>
        <v>1</v>
      </c>
      <c r="R58">
        <f t="shared" si="3"/>
        <v>1</v>
      </c>
    </row>
    <row r="59" spans="1:18" x14ac:dyDescent="0.25">
      <c r="A59" t="s">
        <v>35</v>
      </c>
      <c r="B59">
        <v>0.69306581612255547</v>
      </c>
      <c r="C59">
        <f t="shared" si="0"/>
        <v>16</v>
      </c>
      <c r="D59">
        <f>VLOOKUP($A59,d_win_totals!$E$2:$K$31,6,0)</f>
        <v>15</v>
      </c>
      <c r="G59">
        <v>1</v>
      </c>
      <c r="H59">
        <v>1</v>
      </c>
      <c r="I59">
        <v>0.69306581612255547</v>
      </c>
      <c r="J59">
        <v>16</v>
      </c>
      <c r="K59">
        <f>VLOOKUP($A59,p_win_totals!$D$2:$J$31,6,0)</f>
        <v>43</v>
      </c>
      <c r="L59">
        <f>VLOOKUP($A59,p_win_totals!$D$2:$J$31,7,0)</f>
        <v>15</v>
      </c>
      <c r="M59">
        <v>29.80182240201632</v>
      </c>
      <c r="N59">
        <v>16</v>
      </c>
      <c r="P59">
        <f t="shared" si="1"/>
        <v>-1</v>
      </c>
      <c r="Q59">
        <f t="shared" si="2"/>
        <v>1</v>
      </c>
      <c r="R59">
        <f t="shared" si="3"/>
        <v>1</v>
      </c>
    </row>
    <row r="60" spans="1:18" x14ac:dyDescent="0.25">
      <c r="A60" t="s">
        <v>39</v>
      </c>
      <c r="B60">
        <v>0.93360612113576547</v>
      </c>
      <c r="C60">
        <f t="shared" si="0"/>
        <v>7</v>
      </c>
      <c r="D60">
        <f>VLOOKUP($A60,d_win_totals!$E$2:$K$31,6,0)</f>
        <v>11</v>
      </c>
      <c r="G60">
        <v>1</v>
      </c>
      <c r="H60">
        <v>1</v>
      </c>
      <c r="I60">
        <v>0.93360612113576547</v>
      </c>
      <c r="J60">
        <v>7</v>
      </c>
      <c r="K60">
        <f>VLOOKUP($A60,p_win_totals!$D$2:$J$31,6,0)</f>
        <v>49</v>
      </c>
      <c r="L60">
        <f>VLOOKUP($A60,p_win_totals!$D$2:$J$31,7,0)</f>
        <v>10</v>
      </c>
      <c r="M60">
        <v>40.147089920319658</v>
      </c>
      <c r="N60">
        <v>7</v>
      </c>
      <c r="P60">
        <f t="shared" si="1"/>
        <v>4</v>
      </c>
      <c r="Q60">
        <f t="shared" si="2"/>
        <v>4</v>
      </c>
      <c r="R60">
        <f t="shared" si="3"/>
        <v>16</v>
      </c>
    </row>
    <row r="61" spans="1:18" x14ac:dyDescent="0.25">
      <c r="A61" t="s">
        <v>15</v>
      </c>
      <c r="B61">
        <v>1.0762045447629514</v>
      </c>
      <c r="C61">
        <f t="shared" si="0"/>
        <v>3</v>
      </c>
      <c r="D61">
        <f>VLOOKUP($A61,d_win_totals!$E$2:$K$31,6,0)</f>
        <v>3</v>
      </c>
      <c r="G61">
        <v>1</v>
      </c>
      <c r="H61">
        <v>1</v>
      </c>
      <c r="I61">
        <v>1.0762045447629514</v>
      </c>
      <c r="J61">
        <v>3</v>
      </c>
      <c r="K61">
        <f>VLOOKUP($A61,p_win_totals!$D$2:$J$31,6,0)</f>
        <v>56</v>
      </c>
      <c r="L61">
        <f>VLOOKUP($A61,p_win_totals!$D$2:$J$31,7,0)</f>
        <v>3</v>
      </c>
      <c r="M61">
        <v>46.279730222543456</v>
      </c>
      <c r="N61">
        <v>3</v>
      </c>
      <c r="P61">
        <f t="shared" si="1"/>
        <v>0</v>
      </c>
      <c r="Q61">
        <f t="shared" si="2"/>
        <v>0</v>
      </c>
      <c r="R61">
        <f t="shared" si="3"/>
        <v>0</v>
      </c>
    </row>
    <row r="62" spans="1:18" x14ac:dyDescent="0.25">
      <c r="A62" t="s">
        <v>37</v>
      </c>
      <c r="B62">
        <v>0.56035177792532342</v>
      </c>
      <c r="C62">
        <f t="shared" si="0"/>
        <v>23</v>
      </c>
      <c r="D62">
        <f>VLOOKUP($A62,d_win_totals!$E$2:$K$31,6,0)</f>
        <v>24</v>
      </c>
      <c r="G62">
        <v>1</v>
      </c>
      <c r="H62">
        <v>1</v>
      </c>
      <c r="I62">
        <v>0.56035177792532342</v>
      </c>
      <c r="J62">
        <v>23</v>
      </c>
      <c r="K62">
        <f>VLOOKUP($A62,p_win_totals!$D$2:$J$31,6,0)</f>
        <v>29</v>
      </c>
      <c r="L62">
        <f>VLOOKUP($A62,p_win_totals!$D$2:$J$31,7,0)</f>
        <v>23</v>
      </c>
      <c r="M62">
        <v>24.095670578252314</v>
      </c>
      <c r="N62">
        <v>23</v>
      </c>
      <c r="P62">
        <f t="shared" si="1"/>
        <v>1</v>
      </c>
      <c r="Q62">
        <f t="shared" si="2"/>
        <v>1</v>
      </c>
      <c r="R62">
        <f t="shared" si="3"/>
        <v>1</v>
      </c>
    </row>
    <row r="63" spans="1:18" x14ac:dyDescent="0.25">
      <c r="A63" t="s">
        <v>27</v>
      </c>
      <c r="B63">
        <v>0.83750426768218933</v>
      </c>
      <c r="C63">
        <f t="shared" si="0"/>
        <v>11</v>
      </c>
      <c r="D63">
        <f>VLOOKUP($A63,d_win_totals!$E$2:$K$31,6,0)</f>
        <v>7</v>
      </c>
      <c r="G63">
        <v>1</v>
      </c>
      <c r="H63">
        <v>1</v>
      </c>
      <c r="I63">
        <v>0.83750426768218933</v>
      </c>
      <c r="J63">
        <v>11</v>
      </c>
      <c r="K63">
        <f>VLOOKUP($A63,p_win_totals!$D$2:$J$31,6,0)</f>
        <v>52</v>
      </c>
      <c r="L63">
        <f>VLOOKUP($A63,p_win_totals!$D$2:$J$31,7,0)</f>
        <v>7</v>
      </c>
      <c r="M63">
        <v>36.013249494327859</v>
      </c>
      <c r="N63">
        <v>11</v>
      </c>
      <c r="P63">
        <f t="shared" si="1"/>
        <v>-4</v>
      </c>
      <c r="Q63">
        <f t="shared" si="2"/>
        <v>4</v>
      </c>
      <c r="R63">
        <f t="shared" si="3"/>
        <v>16</v>
      </c>
    </row>
    <row r="64" spans="1:18" x14ac:dyDescent="0.25">
      <c r="A64" t="s">
        <v>34</v>
      </c>
      <c r="B64">
        <v>0.72113411550460271</v>
      </c>
      <c r="C64">
        <f t="shared" si="0"/>
        <v>14</v>
      </c>
      <c r="D64">
        <f>VLOOKUP($A64,d_win_totals!$E$2:$K$31,6,0)</f>
        <v>27</v>
      </c>
      <c r="G64">
        <v>1</v>
      </c>
      <c r="H64">
        <v>1</v>
      </c>
      <c r="I64">
        <v>0.72113411550460271</v>
      </c>
      <c r="J64">
        <v>14</v>
      </c>
      <c r="K64">
        <f>VLOOKUP($A64,p_win_totals!$D$2:$J$31,6,0)</f>
        <v>27</v>
      </c>
      <c r="L64">
        <f>VLOOKUP($A64,p_win_totals!$D$2:$J$31,7,0)</f>
        <v>25</v>
      </c>
      <c r="M64">
        <v>31.009861658919064</v>
      </c>
      <c r="N64">
        <v>14</v>
      </c>
      <c r="P64">
        <f t="shared" si="1"/>
        <v>13</v>
      </c>
      <c r="Q64">
        <f t="shared" si="2"/>
        <v>13</v>
      </c>
      <c r="R64">
        <f t="shared" si="3"/>
        <v>169</v>
      </c>
    </row>
    <row r="65" spans="1:35" x14ac:dyDescent="0.25">
      <c r="A65" t="s">
        <v>25</v>
      </c>
      <c r="B65">
        <v>0.71537286286293134</v>
      </c>
      <c r="C65">
        <f t="shared" si="0"/>
        <v>15</v>
      </c>
      <c r="D65">
        <f>VLOOKUP($A65,d_win_totals!$E$2:$K$31,6,0)</f>
        <v>7</v>
      </c>
      <c r="G65">
        <v>1</v>
      </c>
      <c r="H65">
        <v>1</v>
      </c>
      <c r="I65">
        <v>0.71537286286293134</v>
      </c>
      <c r="J65">
        <v>15</v>
      </c>
      <c r="K65">
        <f>VLOOKUP($A65,p_win_totals!$D$2:$J$31,6,0)</f>
        <v>48</v>
      </c>
      <c r="L65">
        <f>VLOOKUP($A65,p_win_totals!$D$2:$J$31,7,0)</f>
        <v>11</v>
      </c>
      <c r="M65">
        <v>30.761712800515525</v>
      </c>
      <c r="N65">
        <v>15</v>
      </c>
      <c r="P65">
        <f t="shared" si="1"/>
        <v>-8</v>
      </c>
      <c r="Q65">
        <f t="shared" si="2"/>
        <v>8</v>
      </c>
      <c r="R65">
        <f t="shared" si="3"/>
        <v>64</v>
      </c>
    </row>
    <row r="67" spans="1:35" x14ac:dyDescent="0.25">
      <c r="A67" t="s">
        <v>89</v>
      </c>
      <c r="G67">
        <v>180101.24879139115</v>
      </c>
      <c r="I67">
        <v>40347.340585376522</v>
      </c>
      <c r="K67">
        <v>63961.220358802995</v>
      </c>
      <c r="M67">
        <v>40347.340469320174</v>
      </c>
      <c r="P67">
        <f>SUM(P36:P65)</f>
        <v>-13</v>
      </c>
      <c r="Q67">
        <f>SUM(Q36:Q65)</f>
        <v>155</v>
      </c>
      <c r="R67">
        <f>SUM(R36:R65)</f>
        <v>1295</v>
      </c>
    </row>
    <row r="69" spans="1:35" x14ac:dyDescent="0.25">
      <c r="A69" t="s">
        <v>79</v>
      </c>
      <c r="AG69" t="s">
        <v>102</v>
      </c>
      <c r="AH69" t="s">
        <v>103</v>
      </c>
      <c r="AI69" t="s">
        <v>110</v>
      </c>
    </row>
    <row r="70" spans="1:35" x14ac:dyDescent="0.25">
      <c r="B70" t="s">
        <v>26</v>
      </c>
      <c r="C70" t="s">
        <v>23</v>
      </c>
      <c r="D70" t="s">
        <v>22</v>
      </c>
      <c r="E70" t="s">
        <v>18</v>
      </c>
      <c r="F70" t="s">
        <v>30</v>
      </c>
      <c r="G70" t="s">
        <v>40</v>
      </c>
      <c r="H70" t="s">
        <v>14</v>
      </c>
      <c r="I70" t="s">
        <v>32</v>
      </c>
      <c r="J70" t="s">
        <v>33</v>
      </c>
      <c r="K70" t="s">
        <v>36</v>
      </c>
      <c r="L70" t="s">
        <v>16</v>
      </c>
      <c r="M70" t="s">
        <v>20</v>
      </c>
      <c r="N70" t="s">
        <v>41</v>
      </c>
      <c r="O70" t="s">
        <v>17</v>
      </c>
      <c r="P70" t="s">
        <v>28</v>
      </c>
      <c r="Q70" t="s">
        <v>24</v>
      </c>
      <c r="R70" t="s">
        <v>19</v>
      </c>
      <c r="S70" t="s">
        <v>29</v>
      </c>
      <c r="T70" t="s">
        <v>12</v>
      </c>
      <c r="U70" t="s">
        <v>31</v>
      </c>
      <c r="V70" t="s">
        <v>38</v>
      </c>
      <c r="W70" t="s">
        <v>13</v>
      </c>
      <c r="X70" t="s">
        <v>21</v>
      </c>
      <c r="Y70" t="s">
        <v>35</v>
      </c>
      <c r="Z70" t="s">
        <v>39</v>
      </c>
      <c r="AA70" t="s">
        <v>15</v>
      </c>
      <c r="AB70" t="s">
        <v>37</v>
      </c>
      <c r="AC70" t="s">
        <v>27</v>
      </c>
      <c r="AD70" t="s">
        <v>34</v>
      </c>
      <c r="AE70" t="s">
        <v>25</v>
      </c>
    </row>
    <row r="71" spans="1:35" x14ac:dyDescent="0.25">
      <c r="A71" t="s">
        <v>26</v>
      </c>
      <c r="B71">
        <f>IFERROR(VLOOKUP($A71,table_rank_apm,2,0)/(VLOOKUP($A71,table_rank_apm,2,0)+VLOOKUP(B$70,table_rank_apm,2,0))*(B3+HLOOKUP($A71,table_h2h_apm,MATCH(B$70,$A$2:$A$32,0),0)),0)</f>
        <v>30</v>
      </c>
      <c r="C71">
        <f>IFERROR(VLOOKUP($A71,table_rank_apm,2,0)/(VLOOKUP($A71,table_rank_apm,2,0)+VLOOKUP(C$70,table_rank_apm,2,0))*(C3+HLOOKUP($A71,table_h2h_apm,MATCH(C$70,$A$2:$A$32,0),0)),0)</f>
        <v>37.730494107673827</v>
      </c>
      <c r="D71">
        <f>IFERROR(VLOOKUP($A71,table_rank_apm,2,0)/(VLOOKUP($A71,table_rank_apm,2,0)+VLOOKUP(D$70,table_rank_apm,2,0))*(D3+HLOOKUP($A71,table_h2h_apm,MATCH(D$70,$A$2:$A$32,0),0)),0)</f>
        <v>35.973604137513057</v>
      </c>
      <c r="E71">
        <f>IFERROR(VLOOKUP($A71,table_rank_apm,2,0)/(VLOOKUP($A71,table_rank_apm,2,0)+VLOOKUP(E$70,table_rank_apm,2,0))*(E3+HLOOKUP($A71,table_h2h_apm,MATCH(E$70,$A$2:$A$32,0),0)),0)</f>
        <v>38.695880339601722</v>
      </c>
      <c r="F71">
        <f>IFERROR(VLOOKUP($A71,table_rank_apm,2,0)/(VLOOKUP($A71,table_rank_apm,2,0)+VLOOKUP(F$70,table_rank_apm,2,0))*(F3+HLOOKUP($A71,table_h2h_apm,MATCH(F$70,$A$2:$A$32,0),0)),0)</f>
        <v>32.445291418178556</v>
      </c>
      <c r="G71">
        <f>IFERROR(VLOOKUP($A71,table_rank_apm,2,0)/(VLOOKUP($A71,table_rank_apm,2,0)+VLOOKUP(G$70,table_rank_apm,2,0))*(G3+HLOOKUP($A71,table_h2h_apm,MATCH(G$70,$A$2:$A$32,0),0)),0)</f>
        <v>30.871210860169668</v>
      </c>
      <c r="H71">
        <f>IFERROR(VLOOKUP($A71,table_rank_apm,2,0)/(VLOOKUP($A71,table_rank_apm,2,0)+VLOOKUP(H$70,table_rank_apm,2,0))*(H3+HLOOKUP($A71,table_h2h_apm,MATCH(H$70,$A$2:$A$32,0),0)),0)</f>
        <v>31.600039899530277</v>
      </c>
      <c r="I71">
        <f>IFERROR(VLOOKUP($A71,table_rank_apm,2,0)/(VLOOKUP($A71,table_rank_apm,2,0)+VLOOKUP(I$70,table_rank_apm,2,0))*(I3+HLOOKUP($A71,table_h2h_apm,MATCH(I$70,$A$2:$A$32,0),0)),0)</f>
        <v>38.584606496485002</v>
      </c>
      <c r="J71">
        <f>IFERROR(VLOOKUP($A71,table_rank_apm,2,0)/(VLOOKUP($A71,table_rank_apm,2,0)+VLOOKUP(J$70,table_rank_apm,2,0))*(J3+HLOOKUP($A71,table_h2h_apm,MATCH(J$70,$A$2:$A$32,0),0)),0)</f>
        <v>36.856078141044037</v>
      </c>
      <c r="K71">
        <f>IFERROR(VLOOKUP($A71,table_rank_apm,2,0)/(VLOOKUP($A71,table_rank_apm,2,0)+VLOOKUP(K$70,table_rank_apm,2,0))*(K3+HLOOKUP($A71,table_h2h_apm,MATCH(K$70,$A$2:$A$32,0),0)),0)</f>
        <v>24.781737220758963</v>
      </c>
      <c r="L71">
        <f>IFERROR(VLOOKUP($A71,table_rank_apm,2,0)/(VLOOKUP($A71,table_rank_apm,2,0)+VLOOKUP(L$70,table_rank_apm,2,0))*(L3+HLOOKUP($A71,table_h2h_apm,MATCH(L$70,$A$2:$A$32,0),0)),0)</f>
        <v>30.701398699989731</v>
      </c>
      <c r="M71">
        <f>IFERROR(VLOOKUP($A71,table_rank_apm,2,0)/(VLOOKUP($A71,table_rank_apm,2,0)+VLOOKUP(M$70,table_rank_apm,2,0))*(M3+HLOOKUP($A71,table_h2h_apm,MATCH(M$70,$A$2:$A$32,0),0)),0)</f>
        <v>35.845020743693368</v>
      </c>
      <c r="N71">
        <f>IFERROR(VLOOKUP($A71,table_rank_apm,2,0)/(VLOOKUP($A71,table_rank_apm,2,0)+VLOOKUP(N$70,table_rank_apm,2,0))*(N3+HLOOKUP($A71,table_h2h_apm,MATCH(N$70,$A$2:$A$32,0),0)),0)</f>
        <v>28.799816047470141</v>
      </c>
      <c r="O71">
        <f>IFERROR(VLOOKUP($A71,table_rank_apm,2,0)/(VLOOKUP($A71,table_rank_apm,2,0)+VLOOKUP(O$70,table_rank_apm,2,0))*(O3+HLOOKUP($A71,table_h2h_apm,MATCH(O$70,$A$2:$A$32,0),0)),0)</f>
        <v>40.684682653984346</v>
      </c>
      <c r="P71">
        <f>IFERROR(VLOOKUP($A71,table_rank_apm,2,0)/(VLOOKUP($A71,table_rank_apm,2,0)+VLOOKUP(P$70,table_rank_apm,2,0))*(P3+HLOOKUP($A71,table_h2h_apm,MATCH(P$70,$A$2:$A$32,0),0)),0)</f>
        <v>32.006160869194602</v>
      </c>
      <c r="Q71">
        <f>IFERROR(VLOOKUP($A71,table_rank_apm,2,0)/(VLOOKUP($A71,table_rank_apm,2,0)+VLOOKUP(Q$70,table_rank_apm,2,0))*(Q3+HLOOKUP($A71,table_h2h_apm,MATCH(Q$70,$A$2:$A$32,0),0)),0)</f>
        <v>38.296208903847777</v>
      </c>
      <c r="R71">
        <f>IFERROR(VLOOKUP($A71,table_rank_apm,2,0)/(VLOOKUP($A71,table_rank_apm,2,0)+VLOOKUP(R$70,table_rank_apm,2,0))*(R3+HLOOKUP($A71,table_h2h_apm,MATCH(R$70,$A$2:$A$32,0),0)),0)</f>
        <v>35.910177482438563</v>
      </c>
      <c r="S71">
        <f>IFERROR(VLOOKUP($A71,table_rank_apm,2,0)/(VLOOKUP($A71,table_rank_apm,2,0)+VLOOKUP(S$70,table_rank_apm,2,0))*(S3+HLOOKUP($A71,table_h2h_apm,MATCH(S$70,$A$2:$A$32,0),0)),0)</f>
        <v>42.701280374816051</v>
      </c>
      <c r="T71">
        <f>IFERROR(VLOOKUP($A71,table_rank_apm,2,0)/(VLOOKUP($A71,table_rank_apm,2,0)+VLOOKUP(T$70,table_rank_apm,2,0))*(T3+HLOOKUP($A71,table_h2h_apm,MATCH(T$70,$A$2:$A$32,0),0)),0)</f>
        <v>34.769313589945249</v>
      </c>
      <c r="U71">
        <f>IFERROR(VLOOKUP($A71,table_rank_apm,2,0)/(VLOOKUP($A71,table_rank_apm,2,0)+VLOOKUP(U$70,table_rank_apm,2,0))*(U3+HLOOKUP($A71,table_h2h_apm,MATCH(U$70,$A$2:$A$32,0),0)),0)</f>
        <v>44.287581621839678</v>
      </c>
      <c r="V71">
        <f>IFERROR(VLOOKUP($A71,table_rank_apm,2,0)/(VLOOKUP($A71,table_rank_apm,2,0)+VLOOKUP(V$70,table_rank_apm,2,0))*(V3+HLOOKUP($A71,table_h2h_apm,MATCH(V$70,$A$2:$A$32,0),0)),0)</f>
        <v>32.957839762556468</v>
      </c>
      <c r="W71">
        <f>IFERROR(VLOOKUP($A71,table_rank_apm,2,0)/(VLOOKUP($A71,table_rank_apm,2,0)+VLOOKUP(W$70,table_rank_apm,2,0))*(W3+HLOOKUP($A71,table_h2h_apm,MATCH(W$70,$A$2:$A$32,0),0)),0)</f>
        <v>40.884193034242635</v>
      </c>
      <c r="X71">
        <f>IFERROR(VLOOKUP($A71,table_rank_apm,2,0)/(VLOOKUP($A71,table_rank_apm,2,0)+VLOOKUP(X$70,table_rank_apm,2,0))*(X3+HLOOKUP($A71,table_h2h_apm,MATCH(X$70,$A$2:$A$32,0),0)),0)</f>
        <v>43.565377299358886</v>
      </c>
      <c r="Y71">
        <f>IFERROR(VLOOKUP($A71,table_rank_apm,2,0)/(VLOOKUP($A71,table_rank_apm,2,0)+VLOOKUP(Y$70,table_rank_apm,2,0))*(Y3+HLOOKUP($A71,table_h2h_apm,MATCH(Y$70,$A$2:$A$32,0),0)),0)</f>
        <v>35.438669559469027</v>
      </c>
      <c r="Z71">
        <f>IFERROR(VLOOKUP($A71,table_rank_apm,2,0)/(VLOOKUP($A71,table_rank_apm,2,0)+VLOOKUP(Z$70,table_rank_apm,2,0))*(Z3+HLOOKUP($A71,table_h2h_apm,MATCH(Z$70,$A$2:$A$32,0),0)),0)</f>
        <v>31.030104499647049</v>
      </c>
      <c r="AA71">
        <f>IFERROR(VLOOKUP($A71,table_rank_apm,2,0)/(VLOOKUP($A71,table_rank_apm,2,0)+VLOOKUP(AA$70,table_rank_apm,2,0))*(AA3+HLOOKUP($A71,table_h2h_apm,MATCH(AA$70,$A$2:$A$32,0),0)),0)</f>
        <v>28.898886745694146</v>
      </c>
      <c r="AB71">
        <f>IFERROR(VLOOKUP($A71,table_rank_apm,2,0)/(VLOOKUP($A71,table_rank_apm,2,0)+VLOOKUP(AB$70,table_rank_apm,2,0))*(AB3+HLOOKUP($A71,table_h2h_apm,MATCH(AB$70,$A$2:$A$32,0),0)),0)</f>
        <v>38.452867391081043</v>
      </c>
      <c r="AC71">
        <f>IFERROR(VLOOKUP($A71,table_rank_apm,2,0)/(VLOOKUP($A71,table_rank_apm,2,0)+VLOOKUP(AC$70,table_rank_apm,2,0))*(AC3+HLOOKUP($A71,table_h2h_apm,MATCH(AC$70,$A$2:$A$32,0),0)),0)</f>
        <v>32.652985386359646</v>
      </c>
      <c r="AD71">
        <f>IFERROR(VLOOKUP($A71,table_rank_apm,2,0)/(VLOOKUP($A71,table_rank_apm,2,0)+VLOOKUP(AD$70,table_rank_apm,2,0))*(AD3+HLOOKUP($A71,table_h2h_apm,MATCH(AD$70,$A$2:$A$32,0),0)),0)</f>
        <v>34.860734825658362</v>
      </c>
      <c r="AE71">
        <f>IFERROR(VLOOKUP($A71,table_rank_apm,2,0)/(VLOOKUP($A71,table_rank_apm,2,0)+VLOOKUP(AE$70,table_rank_apm,2,0))*(AE3+HLOOKUP($A71,table_h2h_apm,MATCH(AE$70,$A$2:$A$32,0),0)),0)</f>
        <v>34.97781811696666</v>
      </c>
      <c r="AG71">
        <f>AG3</f>
        <v>5.009999999999998</v>
      </c>
      <c r="AH71">
        <f>ROUND(AVERAGE(B71:AE71),2)-30</f>
        <v>5.18</v>
      </c>
      <c r="AI71">
        <f>AG71-AH71</f>
        <v>-0.17000000000000171</v>
      </c>
    </row>
    <row r="72" spans="1:35" x14ac:dyDescent="0.25">
      <c r="A72" t="s">
        <v>23</v>
      </c>
      <c r="B72">
        <f>IFERROR(VLOOKUP($A72,table_rank_apm,2,0)/(VLOOKUP($A72,table_rank_apm,2,0)+VLOOKUP(B$70,table_rank_apm,2,0))*(B4+HLOOKUP($A72,table_h2h_apm,MATCH(B$70,$A$2:$A$32,0),0)),0)</f>
        <v>22.269505892326183</v>
      </c>
      <c r="C72">
        <f>IFERROR(VLOOKUP($A72,table_rank_apm,2,0)/(VLOOKUP($A72,table_rank_apm,2,0)+VLOOKUP(C$70,table_rank_apm,2,0))*(C4+HLOOKUP($A72,table_h2h_apm,MATCH(C$70,$A$2:$A$32,0),0)),0)</f>
        <v>30</v>
      </c>
      <c r="D72">
        <f>IFERROR(VLOOKUP($A72,table_rank_apm,2,0)/(VLOOKUP($A72,table_rank_apm,2,0)+VLOOKUP(D$70,table_rank_apm,2,0))*(D4+HLOOKUP($A72,table_h2h_apm,MATCH(D$70,$A$2:$A$32,0),0)),0)</f>
        <v>28.148088639877749</v>
      </c>
      <c r="E72">
        <f>IFERROR(VLOOKUP($A72,table_rank_apm,2,0)/(VLOOKUP($A72,table_rank_apm,2,0)+VLOOKUP(E$70,table_rank_apm,2,0))*(E4+HLOOKUP($A72,table_h2h_apm,MATCH(E$70,$A$2:$A$32,0),0)),0)</f>
        <v>31.043314212601469</v>
      </c>
      <c r="F72">
        <f>IFERROR(VLOOKUP($A72,table_rank_apm,2,0)/(VLOOKUP($A72,table_rank_apm,2,0)+VLOOKUP(F$70,table_rank_apm,2,0))*(F4+HLOOKUP($A72,table_h2h_apm,MATCH(F$70,$A$2:$A$32,0),0)),0)</f>
        <v>24.601406997223812</v>
      </c>
      <c r="G72">
        <f>IFERROR(VLOOKUP($A72,table_rank_apm,2,0)/(VLOOKUP($A72,table_rank_apm,2,0)+VLOOKUP(G$70,table_rank_apm,2,0))*(G4+HLOOKUP($A72,table_h2h_apm,MATCH(G$70,$A$2:$A$32,0),0)),0)</f>
        <v>23.089000279364047</v>
      </c>
      <c r="H72">
        <f>IFERROR(VLOOKUP($A72,table_rank_apm,2,0)/(VLOOKUP($A72,table_rank_apm,2,0)+VLOOKUP(H$70,table_rank_apm,2,0))*(H4+HLOOKUP($A72,table_h2h_apm,MATCH(H$70,$A$2:$A$32,0),0)),0)</f>
        <v>23.784118172081666</v>
      </c>
      <c r="I72">
        <f>IFERROR(VLOOKUP($A72,table_rank_apm,2,0)/(VLOOKUP($A72,table_rank_apm,2,0)+VLOOKUP(I$70,table_rank_apm,2,0))*(I4+HLOOKUP($A72,table_h2h_apm,MATCH(I$70,$A$2:$A$32,0),0)),0)</f>
        <v>30.922105641183272</v>
      </c>
      <c r="J72">
        <f>IFERROR(VLOOKUP($A72,table_rank_apm,2,0)/(VLOOKUP($A72,table_rank_apm,2,0)+VLOOKUP(J$70,table_rank_apm,2,0))*(J4+HLOOKUP($A72,table_h2h_apm,MATCH(J$70,$A$2:$A$32,0),0)),0)</f>
        <v>29.070867556240032</v>
      </c>
      <c r="K72">
        <f>IFERROR(VLOOKUP($A72,table_rank_apm,2,0)/(VLOOKUP($A72,table_rank_apm,2,0)+VLOOKUP(K$70,table_rank_apm,2,0))*(K4+HLOOKUP($A72,table_h2h_apm,MATCH(K$70,$A$2:$A$32,0),0)),0)</f>
        <v>17.60673341486665</v>
      </c>
      <c r="L72">
        <f>IFERROR(VLOOKUP($A72,table_rank_apm,2,0)/(VLOOKUP($A72,table_rank_apm,2,0)+VLOOKUP(L$70,table_rank_apm,2,0))*(L4+HLOOKUP($A72,table_h2h_apm,MATCH(L$70,$A$2:$A$32,0),0)),0)</f>
        <v>22.928300284711749</v>
      </c>
      <c r="M72">
        <f>IFERROR(VLOOKUP($A72,table_rank_apm,2,0)/(VLOOKUP($A72,table_rank_apm,2,0)+VLOOKUP(M$70,table_rank_apm,2,0))*(M4+HLOOKUP($A72,table_h2h_apm,MATCH(M$70,$A$2:$A$32,0),0)),0)</f>
        <v>28.014861898856694</v>
      </c>
      <c r="N72">
        <f>IFERROR(VLOOKUP($A72,table_rank_apm,2,0)/(VLOOKUP($A72,table_rank_apm,2,0)+VLOOKUP(N$70,table_rank_apm,2,0))*(N4+HLOOKUP($A72,table_h2h_apm,MATCH(N$70,$A$2:$A$32,0),0)),0)</f>
        <v>21.160448045782125</v>
      </c>
      <c r="O72">
        <f>IFERROR(VLOOKUP($A72,table_rank_apm,2,0)/(VLOOKUP($A72,table_rank_apm,2,0)+VLOOKUP(O$70,table_rank_apm,2,0))*(O4+HLOOKUP($A72,table_h2h_apm,MATCH(O$70,$A$2:$A$32,0),0)),0)</f>
        <v>33.252707100443018</v>
      </c>
      <c r="P72">
        <f>IFERROR(VLOOKUP($A72,table_rank_apm,2,0)/(VLOOKUP($A72,table_rank_apm,2,0)+VLOOKUP(P$70,table_rank_apm,2,0))*(P4+HLOOKUP($A72,table_h2h_apm,MATCH(P$70,$A$2:$A$32,0),0)),0)</f>
        <v>24.175296672516179</v>
      </c>
      <c r="Q72">
        <f>IFERROR(VLOOKUP($A72,table_rank_apm,2,0)/(VLOOKUP($A72,table_rank_apm,2,0)+VLOOKUP(Q$70,table_rank_apm,2,0))*(Q4+HLOOKUP($A72,table_h2h_apm,MATCH(Q$70,$A$2:$A$32,0),0)),0)</f>
        <v>30.609120590030567</v>
      </c>
      <c r="R72">
        <f>IFERROR(VLOOKUP($A72,table_rank_apm,2,0)/(VLOOKUP($A72,table_rank_apm,2,0)+VLOOKUP(R$70,table_rank_apm,2,0))*(R4+HLOOKUP($A72,table_h2h_apm,MATCH(R$70,$A$2:$A$32,0),0)),0)</f>
        <v>28.082332803050203</v>
      </c>
      <c r="S72">
        <f>IFERROR(VLOOKUP($A72,table_rank_apm,2,0)/(VLOOKUP($A72,table_rank_apm,2,0)+VLOOKUP(S$70,table_rank_apm,2,0))*(S4+HLOOKUP($A72,table_h2h_apm,MATCH(S$70,$A$2:$A$32,0),0)),0)</f>
        <v>35.579491235766426</v>
      </c>
      <c r="T72">
        <f>IFERROR(VLOOKUP($A72,table_rank_apm,2,0)/(VLOOKUP($A72,table_rank_apm,2,0)+VLOOKUP(T$70,table_rank_apm,2,0))*(T4+HLOOKUP($A72,table_h2h_apm,MATCH(T$70,$A$2:$A$32,0),0)),0)</f>
        <v>26.912330884914038</v>
      </c>
      <c r="U72">
        <f>IFERROR(VLOOKUP($A72,table_rank_apm,2,0)/(VLOOKUP($A72,table_rank_apm,2,0)+VLOOKUP(U$70,table_rank_apm,2,0))*(U4+HLOOKUP($A72,table_h2h_apm,MATCH(U$70,$A$2:$A$32,0),0)),0)</f>
        <v>37.47435786539512</v>
      </c>
      <c r="V72">
        <f>IFERROR(VLOOKUP($A72,table_rank_apm,2,0)/(VLOOKUP($A72,table_rank_apm,2,0)+VLOOKUP(V$70,table_rank_apm,2,0))*(V4+HLOOKUP($A72,table_h2h_apm,MATCH(V$70,$A$2:$A$32,0),0)),0)</f>
        <v>25.102929803336536</v>
      </c>
      <c r="W72">
        <f>IFERROR(VLOOKUP($A72,table_rank_apm,2,0)/(VLOOKUP($A72,table_rank_apm,2,0)+VLOOKUP(W$70,table_rank_apm,2,0))*(W4+HLOOKUP($A72,table_h2h_apm,MATCH(W$70,$A$2:$A$32,0),0)),0)</f>
        <v>33.478942092174435</v>
      </c>
      <c r="X72">
        <f>IFERROR(VLOOKUP($A72,table_rank_apm,2,0)/(VLOOKUP($A72,table_rank_apm,2,0)+VLOOKUP(X$70,table_rank_apm,2,0))*(X4+HLOOKUP($A72,table_h2h_apm,MATCH(X$70,$A$2:$A$32,0),0)),0)</f>
        <v>36.604423826049327</v>
      </c>
      <c r="Y72">
        <f>IFERROR(VLOOKUP($A72,table_rank_apm,2,0)/(VLOOKUP($A72,table_rank_apm,2,0)+VLOOKUP(Y$70,table_rank_apm,2,0))*(Y4+HLOOKUP($A72,table_h2h_apm,MATCH(Y$70,$A$2:$A$32,0),0)),0)</f>
        <v>27.595866059678574</v>
      </c>
      <c r="Z72">
        <f>IFERROR(VLOOKUP($A72,table_rank_apm,2,0)/(VLOOKUP($A72,table_rank_apm,2,0)+VLOOKUP(Z$70,table_rank_apm,2,0))*(Z4+HLOOKUP($A72,table_h2h_apm,MATCH(Z$70,$A$2:$A$32,0),0)),0)</f>
        <v>23.239795980885962</v>
      </c>
      <c r="AA72">
        <f>IFERROR(VLOOKUP($A72,table_rank_apm,2,0)/(VLOOKUP($A72,table_rank_apm,2,0)+VLOOKUP(AA$70,table_rank_apm,2,0))*(AA4+HLOOKUP($A72,table_h2h_apm,MATCH(AA$70,$A$2:$A$32,0),0)),0)</f>
        <v>21.251138875860274</v>
      </c>
      <c r="AB72">
        <f>IFERROR(VLOOKUP($A72,table_rank_apm,2,0)/(VLOOKUP($A72,table_rank_apm,2,0)+VLOOKUP(AB$70,table_rank_apm,2,0))*(AB4+HLOOKUP($A72,table_h2h_apm,MATCH(AB$70,$A$2:$A$32,0),0)),0)</f>
        <v>30.778927618780191</v>
      </c>
      <c r="AC72">
        <f>IFERROR(VLOOKUP($A72,table_rank_apm,2,0)/(VLOOKUP($A72,table_rank_apm,2,0)+VLOOKUP(AC$70,table_rank_apm,2,0))*(AC4+HLOOKUP($A72,table_h2h_apm,MATCH(AC$70,$A$2:$A$32,0),0)),0)</f>
        <v>24.804088652748579</v>
      </c>
      <c r="AD72">
        <f>IFERROR(VLOOKUP($A72,table_rank_apm,2,0)/(VLOOKUP($A72,table_rank_apm,2,0)+VLOOKUP(AD$70,table_rank_apm,2,0))*(AD4+HLOOKUP($A72,table_h2h_apm,MATCH(AD$70,$A$2:$A$32,0),0)),0)</f>
        <v>27.005205096084246</v>
      </c>
      <c r="AE72">
        <f>IFERROR(VLOOKUP($A72,table_rank_apm,2,0)/(VLOOKUP($A72,table_rank_apm,2,0)+VLOOKUP(AE$70,table_rank_apm,2,0))*(AE4+HLOOKUP($A72,table_h2h_apm,MATCH(AE$70,$A$2:$A$32,0),0)),0)</f>
        <v>27.124371751178437</v>
      </c>
      <c r="AG72">
        <f>AG4</f>
        <v>-2.4499999999999993</v>
      </c>
      <c r="AH72">
        <f>ROUND(AVERAGE(B72:AE72),2)-30</f>
        <v>-2.4800000000000004</v>
      </c>
      <c r="AI72">
        <f>AG72-AH72</f>
        <v>3.0000000000001137E-2</v>
      </c>
    </row>
    <row r="73" spans="1:35" x14ac:dyDescent="0.25">
      <c r="A73" t="s">
        <v>22</v>
      </c>
      <c r="B73">
        <f>IFERROR(VLOOKUP($A73,table_rank_apm,2,0)/(VLOOKUP($A73,table_rank_apm,2,0)+VLOOKUP(B$70,table_rank_apm,2,0))*(B5+HLOOKUP($A73,table_h2h_apm,MATCH(B$70,$A$2:$A$32,0),0)),0)</f>
        <v>24.026395862486936</v>
      </c>
      <c r="C73">
        <f>IFERROR(VLOOKUP($A73,table_rank_apm,2,0)/(VLOOKUP($A73,table_rank_apm,2,0)+VLOOKUP(C$70,table_rank_apm,2,0))*(C5+HLOOKUP($A73,table_h2h_apm,MATCH(C$70,$A$2:$A$32,0),0)),0)</f>
        <v>31.851911360122251</v>
      </c>
      <c r="D73">
        <f>IFERROR(VLOOKUP($A73,table_rank_apm,2,0)/(VLOOKUP($A73,table_rank_apm,2,0)+VLOOKUP(D$70,table_rank_apm,2,0))*(D5+HLOOKUP($A73,table_h2h_apm,MATCH(D$70,$A$2:$A$32,0),0)),0)</f>
        <v>30</v>
      </c>
      <c r="E73">
        <f>IFERROR(VLOOKUP($A73,table_rank_apm,2,0)/(VLOOKUP($A73,table_rank_apm,2,0)+VLOOKUP(E$70,table_rank_apm,2,0))*(E5+HLOOKUP($A73,table_h2h_apm,MATCH(E$70,$A$2:$A$32,0),0)),0)</f>
        <v>32.889023399818441</v>
      </c>
      <c r="F73">
        <f>IFERROR(VLOOKUP($A73,table_rank_apm,2,0)/(VLOOKUP($A73,table_rank_apm,2,0)+VLOOKUP(F$70,table_rank_apm,2,0))*(F5+HLOOKUP($A73,table_h2h_apm,MATCH(F$70,$A$2:$A$32,0),0)),0)</f>
        <v>26.413477207042419</v>
      </c>
      <c r="G73">
        <f>IFERROR(VLOOKUP($A73,table_rank_apm,2,0)/(VLOOKUP($A73,table_rank_apm,2,0)+VLOOKUP(G$70,table_rank_apm,2,0))*(G5+HLOOKUP($A73,table_h2h_apm,MATCH(G$70,$A$2:$A$32,0),0)),0)</f>
        <v>24.867930423131085</v>
      </c>
      <c r="H73">
        <f>IFERROR(VLOOKUP($A73,table_rank_apm,2,0)/(VLOOKUP($A73,table_rank_apm,2,0)+VLOOKUP(H$70,table_rank_apm,2,0))*(H5+HLOOKUP($A73,table_h2h_apm,MATCH(H$70,$A$2:$A$32,0),0)),0)</f>
        <v>25.579489920592238</v>
      </c>
      <c r="I73">
        <f>IFERROR(VLOOKUP($A73,table_rank_apm,2,0)/(VLOOKUP($A73,table_rank_apm,2,0)+VLOOKUP(I$70,table_rank_apm,2,0))*(I5+HLOOKUP($A73,table_h2h_apm,MATCH(I$70,$A$2:$A$32,0),0)),0)</f>
        <v>32.768763555757921</v>
      </c>
      <c r="J73">
        <f>IFERROR(VLOOKUP($A73,table_rank_apm,2,0)/(VLOOKUP($A73,table_rank_apm,2,0)+VLOOKUP(J$70,table_rank_apm,2,0))*(J5+HLOOKUP($A73,table_h2h_apm,MATCH(J$70,$A$2:$A$32,0),0)),0)</f>
        <v>30.924546516709579</v>
      </c>
      <c r="K73">
        <f>IFERROR(VLOOKUP($A73,table_rank_apm,2,0)/(VLOOKUP($A73,table_rank_apm,2,0)+VLOOKUP(K$70,table_rank_apm,2,0))*(K5+HLOOKUP($A73,table_h2h_apm,MATCH(K$70,$A$2:$A$32,0),0)),0)</f>
        <v>19.182791151679051</v>
      </c>
      <c r="L73">
        <f>IFERROR(VLOOKUP($A73,table_rank_apm,2,0)/(VLOOKUP($A73,table_rank_apm,2,0)+VLOOKUP(L$70,table_rank_apm,2,0))*(L5+HLOOKUP($A73,table_h2h_apm,MATCH(L$70,$A$2:$A$32,0),0)),0)</f>
        <v>24.703135432192788</v>
      </c>
      <c r="M73">
        <f>IFERROR(VLOOKUP($A73,table_rank_apm,2,0)/(VLOOKUP($A73,table_rank_apm,2,0)+VLOOKUP(M$70,table_rank_apm,2,0))*(M5+HLOOKUP($A73,table_h2h_apm,MATCH(M$70,$A$2:$A$32,0),0)),0)</f>
        <v>29.86622682531733</v>
      </c>
      <c r="N73">
        <f>IFERROR(VLOOKUP($A73,table_rank_apm,2,0)/(VLOOKUP($A73,table_rank_apm,2,0)+VLOOKUP(N$70,table_rank_apm,2,0))*(N5+HLOOKUP($A73,table_h2h_apm,MATCH(N$70,$A$2:$A$32,0),0)),0)</f>
        <v>22.88290686229422</v>
      </c>
      <c r="O73">
        <f>IFERROR(VLOOKUP($A73,table_rank_apm,2,0)/(VLOOKUP($A73,table_rank_apm,2,0)+VLOOKUP(O$70,table_rank_apm,2,0))*(O5+HLOOKUP($A73,table_h2h_apm,MATCH(O$70,$A$2:$A$32,0),0)),0)</f>
        <v>35.070680255464779</v>
      </c>
      <c r="P73">
        <f>IFERROR(VLOOKUP($A73,table_rank_apm,2,0)/(VLOOKUP($A73,table_rank_apm,2,0)+VLOOKUP(P$70,table_rank_apm,2,0))*(P5+HLOOKUP($A73,table_h2h_apm,MATCH(P$70,$A$2:$A$32,0),0)),0)</f>
        <v>25.979015034425458</v>
      </c>
      <c r="Q73">
        <f>IFERROR(VLOOKUP($A73,table_rank_apm,2,0)/(VLOOKUP($A73,table_rank_apm,2,0)+VLOOKUP(Q$70,table_rank_apm,2,0))*(Q5+HLOOKUP($A73,table_h2h_apm,MATCH(Q$70,$A$2:$A$32,0),0)),0)</f>
        <v>32.457951215983464</v>
      </c>
      <c r="R73">
        <f>IFERROR(VLOOKUP($A73,table_rank_apm,2,0)/(VLOOKUP($A73,table_rank_apm,2,0)+VLOOKUP(R$70,table_rank_apm,2,0))*(R5+HLOOKUP($A73,table_h2h_apm,MATCH(R$70,$A$2:$A$32,0),0)),0)</f>
        <v>29.933983666412118</v>
      </c>
      <c r="S73">
        <f>IFERROR(VLOOKUP($A73,table_rank_apm,2,0)/(VLOOKUP($A73,table_rank_apm,2,0)+VLOOKUP(S$70,table_rank_apm,2,0))*(S5+HLOOKUP($A73,table_h2h_apm,MATCH(S$70,$A$2:$A$32,0),0)),0)</f>
        <v>37.347052529063873</v>
      </c>
      <c r="T73">
        <f>IFERROR(VLOOKUP($A73,table_rank_apm,2,0)/(VLOOKUP($A73,table_rank_apm,2,0)+VLOOKUP(T$70,table_rank_apm,2,0))*(T5+HLOOKUP($A73,table_h2h_apm,MATCH(T$70,$A$2:$A$32,0),0)),0)</f>
        <v>28.756340739511778</v>
      </c>
      <c r="U73">
        <f>IFERROR(VLOOKUP($A73,table_rank_apm,2,0)/(VLOOKUP($A73,table_rank_apm,2,0)+VLOOKUP(U$70,table_rank_apm,2,0))*(U5+HLOOKUP($A73,table_h2h_apm,MATCH(U$70,$A$2:$A$32,0),0)),0)</f>
        <v>39.18500539138828</v>
      </c>
      <c r="V73">
        <f>IFERROR(VLOOKUP($A73,table_rank_apm,2,0)/(VLOOKUP($A73,table_rank_apm,2,0)+VLOOKUP(V$70,table_rank_apm,2,0))*(V5+HLOOKUP($A73,table_h2h_apm,MATCH(V$70,$A$2:$A$32,0),0)),0)</f>
        <v>26.923843969849703</v>
      </c>
      <c r="W73">
        <f>IFERROR(VLOOKUP($A73,table_rank_apm,2,0)/(VLOOKUP($A73,table_rank_apm,2,0)+VLOOKUP(W$70,table_rank_apm,2,0))*(W5+HLOOKUP($A73,table_h2h_apm,MATCH(W$70,$A$2:$A$32,0),0)),0)</f>
        <v>35.292963523662749</v>
      </c>
      <c r="X73">
        <f>IFERROR(VLOOKUP($A73,table_rank_apm,2,0)/(VLOOKUP($A73,table_rank_apm,2,0)+VLOOKUP(X$70,table_rank_apm,2,0))*(X5+HLOOKUP($A73,table_h2h_apm,MATCH(X$70,$A$2:$A$32,0),0)),0)</f>
        <v>38.342956195838219</v>
      </c>
      <c r="Y73">
        <f>IFERROR(VLOOKUP($A73,table_rank_apm,2,0)/(VLOOKUP($A73,table_rank_apm,2,0)+VLOOKUP(Y$70,table_rank_apm,2,0))*(Y5+HLOOKUP($A73,table_h2h_apm,MATCH(Y$70,$A$2:$A$32,0),0)),0)</f>
        <v>29.445032028420936</v>
      </c>
      <c r="Z73">
        <f>IFERROR(VLOOKUP($A73,table_rank_apm,2,0)/(VLOOKUP($A73,table_rank_apm,2,0)+VLOOKUP(Z$70,table_rank_apm,2,0))*(Z5+HLOOKUP($A73,table_h2h_apm,MATCH(Z$70,$A$2:$A$32,0),0)),0)</f>
        <v>25.022468222438722</v>
      </c>
      <c r="AA73">
        <f>IFERROR(VLOOKUP($A73,table_rank_apm,2,0)/(VLOOKUP($A73,table_rank_apm,2,0)+VLOOKUP(AA$70,table_rank_apm,2,0))*(AA5+HLOOKUP($A73,table_h2h_apm,MATCH(AA$70,$A$2:$A$32,0),0)),0)</f>
        <v>22.976612758300135</v>
      </c>
      <c r="AB73">
        <f>IFERROR(VLOOKUP($A73,table_rank_apm,2,0)/(VLOOKUP($A73,table_rank_apm,2,0)+VLOOKUP(AB$70,table_rank_apm,2,0))*(AB5+HLOOKUP($A73,table_h2h_apm,MATCH(AB$70,$A$2:$A$32,0),0)),0)</f>
        <v>32.626629061893716</v>
      </c>
      <c r="AC73">
        <f>IFERROR(VLOOKUP($A73,table_rank_apm,2,0)/(VLOOKUP($A73,table_rank_apm,2,0)+VLOOKUP(AC$70,table_rank_apm,2,0))*(AC5+HLOOKUP($A73,table_h2h_apm,MATCH(AC$70,$A$2:$A$32,0),0)),0)</f>
        <v>26.619861194040304</v>
      </c>
      <c r="AD73">
        <f>IFERROR(VLOOKUP($A73,table_rank_apm,2,0)/(VLOOKUP($A73,table_rank_apm,2,0)+VLOOKUP(AD$70,table_rank_apm,2,0))*(AD5+HLOOKUP($A73,table_h2h_apm,MATCH(AD$70,$A$2:$A$32,0),0)),0)</f>
        <v>28.850029964290307</v>
      </c>
      <c r="AE73">
        <f>IFERROR(VLOOKUP($A73,table_rank_apm,2,0)/(VLOOKUP($A73,table_rank_apm,2,0)+VLOOKUP(AE$70,table_rank_apm,2,0))*(AE5+HLOOKUP($A73,table_h2h_apm,MATCH(AE$70,$A$2:$A$32,0),0)),0)</f>
        <v>28.970189598868828</v>
      </c>
      <c r="AG73">
        <f>AG5</f>
        <v>-0.67000000000000171</v>
      </c>
      <c r="AH73">
        <f>ROUND(AVERAGE(B73:AE73),2)-30</f>
        <v>-0.67000000000000171</v>
      </c>
      <c r="AI73">
        <f>AG73-AH73</f>
        <v>0</v>
      </c>
    </row>
    <row r="74" spans="1:35" x14ac:dyDescent="0.25">
      <c r="A74" t="s">
        <v>18</v>
      </c>
      <c r="B74">
        <f>IFERROR(VLOOKUP($A74,table_rank_apm,2,0)/(VLOOKUP($A74,table_rank_apm,2,0)+VLOOKUP(B$70,table_rank_apm,2,0))*(B6+HLOOKUP($A74,table_h2h_apm,MATCH(B$70,$A$2:$A$32,0),0)),0)</f>
        <v>21.304119660398271</v>
      </c>
      <c r="C74">
        <f>IFERROR(VLOOKUP($A74,table_rank_apm,2,0)/(VLOOKUP($A74,table_rank_apm,2,0)+VLOOKUP(C$70,table_rank_apm,2,0))*(C6+HLOOKUP($A74,table_h2h_apm,MATCH(C$70,$A$2:$A$32,0),0)),0)</f>
        <v>28.956685787398531</v>
      </c>
      <c r="D74">
        <f>IFERROR(VLOOKUP($A74,table_rank_apm,2,0)/(VLOOKUP($A74,table_rank_apm,2,0)+VLOOKUP(D$70,table_rank_apm,2,0))*(D6+HLOOKUP($A74,table_h2h_apm,MATCH(D$70,$A$2:$A$32,0),0)),0)</f>
        <v>27.110976600181555</v>
      </c>
      <c r="E74">
        <f>IFERROR(VLOOKUP($A74,table_rank_apm,2,0)/(VLOOKUP($A74,table_rank_apm,2,0)+VLOOKUP(E$70,table_rank_apm,2,0))*(E6+HLOOKUP($A74,table_h2h_apm,MATCH(E$70,$A$2:$A$32,0),0)),0)</f>
        <v>30</v>
      </c>
      <c r="F74">
        <f>IFERROR(VLOOKUP($A74,table_rank_apm,2,0)/(VLOOKUP($A74,table_rank_apm,2,0)+VLOOKUP(F$70,table_rank_apm,2,0))*(F6+HLOOKUP($A74,table_h2h_apm,MATCH(F$70,$A$2:$A$32,0),0)),0)</f>
        <v>23.598157144756989</v>
      </c>
      <c r="G74">
        <f>IFERROR(VLOOKUP($A74,table_rank_apm,2,0)/(VLOOKUP($A74,table_rank_apm,2,0)+VLOOKUP(G$70,table_rank_apm,2,0))*(G6+HLOOKUP($A74,table_h2h_apm,MATCH(G$70,$A$2:$A$32,0),0)),0)</f>
        <v>22.108905519617476</v>
      </c>
      <c r="H74">
        <f>IFERROR(VLOOKUP($A74,table_rank_apm,2,0)/(VLOOKUP($A74,table_rank_apm,2,0)+VLOOKUP(H$70,table_rank_apm,2,0))*(H6+HLOOKUP($A74,table_h2h_apm,MATCH(H$70,$A$2:$A$32,0),0)),0)</f>
        <v>22.792737235523528</v>
      </c>
      <c r="I74">
        <f>IFERROR(VLOOKUP($A74,table_rank_apm,2,0)/(VLOOKUP($A74,table_rank_apm,2,0)+VLOOKUP(I$70,table_rank_apm,2,0))*(I6+HLOOKUP($A74,table_h2h_apm,MATCH(I$70,$A$2:$A$32,0),0)),0)</f>
        <v>29.878661725257054</v>
      </c>
      <c r="J74">
        <f>IFERROR(VLOOKUP($A74,table_rank_apm,2,0)/(VLOOKUP($A74,table_rank_apm,2,0)+VLOOKUP(J$70,table_rank_apm,2,0))*(J6+HLOOKUP($A74,table_h2h_apm,MATCH(J$70,$A$2:$A$32,0),0)),0)</f>
        <v>28.029675551825264</v>
      </c>
      <c r="K74">
        <f>IFERROR(VLOOKUP($A74,table_rank_apm,2,0)/(VLOOKUP($A74,table_rank_apm,2,0)+VLOOKUP(K$70,table_rank_apm,2,0))*(K6+HLOOKUP($A74,table_h2h_apm,MATCH(K$70,$A$2:$A$32,0),0)),0)</f>
        <v>16.753725066281678</v>
      </c>
      <c r="L74">
        <f>IFERROR(VLOOKUP($A74,table_rank_apm,2,0)/(VLOOKUP($A74,table_rank_apm,2,0)+VLOOKUP(L$70,table_rank_apm,2,0))*(L6+HLOOKUP($A74,table_h2h_apm,MATCH(L$70,$A$2:$A$32,0),0)),0)</f>
        <v>21.950970272253972</v>
      </c>
      <c r="M74">
        <f>IFERROR(VLOOKUP($A74,table_rank_apm,2,0)/(VLOOKUP($A74,table_rank_apm,2,0)+VLOOKUP(M$70,table_rank_apm,2,0))*(M6+HLOOKUP($A74,table_h2h_apm,MATCH(M$70,$A$2:$A$32,0),0)),0)</f>
        <v>26.978500903647696</v>
      </c>
      <c r="N74">
        <f>IFERROR(VLOOKUP($A74,table_rank_apm,2,0)/(VLOOKUP($A74,table_rank_apm,2,0)+VLOOKUP(N$70,table_rank_apm,2,0))*(N6+HLOOKUP($A74,table_h2h_apm,MATCH(N$70,$A$2:$A$32,0),0)),0)</f>
        <v>20.217377778164384</v>
      </c>
      <c r="O74">
        <f>IFERROR(VLOOKUP($A74,table_rank_apm,2,0)/(VLOOKUP($A74,table_rank_apm,2,0)+VLOOKUP(O$70,table_rank_apm,2,0))*(O6+HLOOKUP($A74,table_h2h_apm,MATCH(O$70,$A$2:$A$32,0),0)),0)</f>
        <v>32.217755292826865</v>
      </c>
      <c r="P74">
        <f>IFERROR(VLOOKUP($A74,table_rank_apm,2,0)/(VLOOKUP($A74,table_rank_apm,2,0)+VLOOKUP(P$70,table_rank_apm,2,0))*(P6+HLOOKUP($A74,table_h2h_apm,MATCH(P$70,$A$2:$A$32,0),0)),0)</f>
        <v>23.178045778711283</v>
      </c>
      <c r="Q74">
        <f>IFERROR(VLOOKUP($A74,table_rank_apm,2,0)/(VLOOKUP($A74,table_rank_apm,2,0)+VLOOKUP(Q$70,table_rank_apm,2,0))*(Q6+HLOOKUP($A74,table_h2h_apm,MATCH(Q$70,$A$2:$A$32,0),0)),0)</f>
        <v>29.565499569834984</v>
      </c>
      <c r="R74">
        <f>IFERROR(VLOOKUP($A74,table_rank_apm,2,0)/(VLOOKUP($A74,table_rank_apm,2,0)+VLOOKUP(R$70,table_rank_apm,2,0))*(R6+HLOOKUP($A74,table_h2h_apm,MATCH(R$70,$A$2:$A$32,0),0)),0)</f>
        <v>27.045586348643166</v>
      </c>
      <c r="S74">
        <f>IFERROR(VLOOKUP($A74,table_rank_apm,2,0)/(VLOOKUP($A74,table_rank_apm,2,0)+VLOOKUP(S$70,table_rank_apm,2,0))*(S6+HLOOKUP($A74,table_h2h_apm,MATCH(S$70,$A$2:$A$32,0),0)),0)</f>
        <v>34.565707831206574</v>
      </c>
      <c r="T74">
        <f>IFERROR(VLOOKUP($A74,table_rank_apm,2,0)/(VLOOKUP($A74,table_rank_apm,2,0)+VLOOKUP(T$70,table_rank_apm,2,0))*(T6+HLOOKUP($A74,table_h2h_apm,MATCH(T$70,$A$2:$A$32,0),0)),0)</f>
        <v>25.883750144119933</v>
      </c>
      <c r="U74">
        <f>IFERROR(VLOOKUP($A74,table_rank_apm,2,0)/(VLOOKUP($A74,table_rank_apm,2,0)+VLOOKUP(U$70,table_rank_apm,2,0))*(U6+HLOOKUP($A74,table_h2h_apm,MATCH(U$70,$A$2:$A$32,0),0)),0)</f>
        <v>36.487252842778858</v>
      </c>
      <c r="V74">
        <f>IFERROR(VLOOKUP($A74,table_rank_apm,2,0)/(VLOOKUP($A74,table_rank_apm,2,0)+VLOOKUP(V$70,table_rank_apm,2,0))*(V6+HLOOKUP($A74,table_h2h_apm,MATCH(V$70,$A$2:$A$32,0),0)),0)</f>
        <v>24.093148021110306</v>
      </c>
      <c r="W74">
        <f>IFERROR(VLOOKUP($A74,table_rank_apm,2,0)/(VLOOKUP($A74,table_rank_apm,2,0)+VLOOKUP(W$70,table_rank_apm,2,0))*(W6+HLOOKUP($A74,table_h2h_apm,MATCH(W$70,$A$2:$A$32,0),0)),0)</f>
        <v>32.445490351219853</v>
      </c>
      <c r="X74">
        <f>IFERROR(VLOOKUP($A74,table_rank_apm,2,0)/(VLOOKUP($A74,table_rank_apm,2,0)+VLOOKUP(X$70,table_rank_apm,2,0))*(X6+HLOOKUP($A74,table_h2h_apm,MATCH(X$70,$A$2:$A$32,0),0)),0)</f>
        <v>35.604014504184491</v>
      </c>
      <c r="Y74">
        <f>IFERROR(VLOOKUP($A74,table_rank_apm,2,0)/(VLOOKUP($A74,table_rank_apm,2,0)+VLOOKUP(Y$70,table_rank_apm,2,0))*(Y6+HLOOKUP($A74,table_h2h_apm,MATCH(Y$70,$A$2:$A$32,0),0)),0)</f>
        <v>26.56213305660933</v>
      </c>
      <c r="Z74">
        <f>IFERROR(VLOOKUP($A74,table_rank_apm,2,0)/(VLOOKUP($A74,table_rank_apm,2,0)+VLOOKUP(Z$70,table_rank_apm,2,0))*(Z6+HLOOKUP($A74,table_h2h_apm,MATCH(Z$70,$A$2:$A$32,0),0)),0)</f>
        <v>22.257159970329532</v>
      </c>
      <c r="AA74">
        <f>IFERROR(VLOOKUP($A74,table_rank_apm,2,0)/(VLOOKUP($A74,table_rank_apm,2,0)+VLOOKUP(AA$70,table_rank_apm,2,0))*(AA6+HLOOKUP($A74,table_h2h_apm,MATCH(AA$70,$A$2:$A$32,0),0)),0)</f>
        <v>20.306139912415919</v>
      </c>
      <c r="AB74">
        <f>IFERROR(VLOOKUP($A74,table_rank_apm,2,0)/(VLOOKUP($A74,table_rank_apm,2,0)+VLOOKUP(AB$70,table_rank_apm,2,0))*(AB6+HLOOKUP($A74,table_h2h_apm,MATCH(AB$70,$A$2:$A$32,0),0)),0)</f>
        <v>29.73537445923732</v>
      </c>
      <c r="AC74">
        <f>IFERROR(VLOOKUP($A74,table_rank_apm,2,0)/(VLOOKUP($A74,table_rank_apm,2,0)+VLOOKUP(AC$70,table_rank_apm,2,0))*(AC6+HLOOKUP($A74,table_h2h_apm,MATCH(AC$70,$A$2:$A$32,0),0)),0)</f>
        <v>23.798130150107056</v>
      </c>
      <c r="AD74">
        <f>IFERROR(VLOOKUP($A74,table_rank_apm,2,0)/(VLOOKUP($A74,table_rank_apm,2,0)+VLOOKUP(AD$70,table_rank_apm,2,0))*(AD6+HLOOKUP($A74,table_h2h_apm,MATCH(AD$70,$A$2:$A$32,0),0)),0)</f>
        <v>25.975861405348429</v>
      </c>
      <c r="AE74">
        <f>IFERROR(VLOOKUP($A74,table_rank_apm,2,0)/(VLOOKUP($A74,table_rank_apm,2,0)+VLOOKUP(AE$70,table_rank_apm,2,0))*(AE6+HLOOKUP($A74,table_h2h_apm,MATCH(AE$70,$A$2:$A$32,0),0)),0)</f>
        <v>26.094078076095521</v>
      </c>
      <c r="AG74">
        <f>AG6</f>
        <v>-3.5300000000000011</v>
      </c>
      <c r="AH74">
        <f>ROUND(AVERAGE(B74:AE74),2)-30</f>
        <v>-3.4800000000000004</v>
      </c>
      <c r="AI74">
        <f>AG74-AH74</f>
        <v>-5.0000000000000711E-2</v>
      </c>
    </row>
    <row r="75" spans="1:35" x14ac:dyDescent="0.25">
      <c r="A75" t="s">
        <v>30</v>
      </c>
      <c r="B75">
        <f>IFERROR(VLOOKUP($A75,table_rank_apm,2,0)/(VLOOKUP($A75,table_rank_apm,2,0)+VLOOKUP(B$70,table_rank_apm,2,0))*(B7+HLOOKUP($A75,table_h2h_apm,MATCH(B$70,$A$2:$A$32,0),0)),0)</f>
        <v>27.554708581821451</v>
      </c>
      <c r="C75">
        <f>IFERROR(VLOOKUP($A75,table_rank_apm,2,0)/(VLOOKUP($A75,table_rank_apm,2,0)+VLOOKUP(C$70,table_rank_apm,2,0))*(C7+HLOOKUP($A75,table_h2h_apm,MATCH(C$70,$A$2:$A$32,0),0)),0)</f>
        <v>35.398593002776188</v>
      </c>
      <c r="D75">
        <f>IFERROR(VLOOKUP($A75,table_rank_apm,2,0)/(VLOOKUP($A75,table_rank_apm,2,0)+VLOOKUP(D$70,table_rank_apm,2,0))*(D7+HLOOKUP($A75,table_h2h_apm,MATCH(D$70,$A$2:$A$32,0),0)),0)</f>
        <v>33.586522792957581</v>
      </c>
      <c r="E75">
        <f>IFERROR(VLOOKUP($A75,table_rank_apm,2,0)/(VLOOKUP($A75,table_rank_apm,2,0)+VLOOKUP(E$70,table_rank_apm,2,0))*(E7+HLOOKUP($A75,table_h2h_apm,MATCH(E$70,$A$2:$A$32,0),0)),0)</f>
        <v>36.401842855243011</v>
      </c>
      <c r="F75">
        <f>IFERROR(VLOOKUP($A75,table_rank_apm,2,0)/(VLOOKUP($A75,table_rank_apm,2,0)+VLOOKUP(F$70,table_rank_apm,2,0))*(F7+HLOOKUP($A75,table_h2h_apm,MATCH(F$70,$A$2:$A$32,0),0)),0)</f>
        <v>30</v>
      </c>
      <c r="G75">
        <f>IFERROR(VLOOKUP($A75,table_rank_apm,2,0)/(VLOOKUP($A75,table_rank_apm,2,0)+VLOOKUP(G$70,table_rank_apm,2,0))*(G7+HLOOKUP($A75,table_h2h_apm,MATCH(G$70,$A$2:$A$32,0),0)),0)</f>
        <v>28.42218464006292</v>
      </c>
      <c r="H75">
        <f>IFERROR(VLOOKUP($A75,table_rank_apm,2,0)/(VLOOKUP($A75,table_rank_apm,2,0)+VLOOKUP(H$70,table_rank_apm,2,0))*(H7+HLOOKUP($A75,table_h2h_apm,MATCH(H$70,$A$2:$A$32,0),0)),0)</f>
        <v>29.151057881093394</v>
      </c>
      <c r="I75">
        <f>IFERROR(VLOOKUP($A75,table_rank_apm,2,0)/(VLOOKUP($A75,table_rank_apm,2,0)+VLOOKUP(I$70,table_rank_apm,2,0))*(I7+HLOOKUP($A75,table_h2h_apm,MATCH(I$70,$A$2:$A$32,0),0)),0)</f>
        <v>36.285929956638647</v>
      </c>
      <c r="J75">
        <f>IFERROR(VLOOKUP($A75,table_rank_apm,2,0)/(VLOOKUP($A75,table_rank_apm,2,0)+VLOOKUP(J$70,table_rank_apm,2,0))*(J7+HLOOKUP($A75,table_h2h_apm,MATCH(J$70,$A$2:$A$32,0),0)),0)</f>
        <v>34.494510000920769</v>
      </c>
      <c r="K75">
        <f>IFERROR(VLOOKUP($A75,table_rank_apm,2,0)/(VLOOKUP($A75,table_rank_apm,2,0)+VLOOKUP(K$70,table_rank_apm,2,0))*(K7+HLOOKUP($A75,table_h2h_apm,MATCH(K$70,$A$2:$A$32,0),0)),0)</f>
        <v>22.44358049326533</v>
      </c>
      <c r="L75">
        <f>IFERROR(VLOOKUP($A75,table_rank_apm,2,0)/(VLOOKUP($A75,table_rank_apm,2,0)+VLOOKUP(L$70,table_rank_apm,2,0))*(L7+HLOOKUP($A75,table_h2h_apm,MATCH(L$70,$A$2:$A$32,0),0)),0)</f>
        <v>28.252777611322628</v>
      </c>
      <c r="M75">
        <f>IFERROR(VLOOKUP($A75,table_rank_apm,2,0)/(VLOOKUP($A75,table_rank_apm,2,0)+VLOOKUP(M$70,table_rank_apm,2,0))*(M7+HLOOKUP($A75,table_h2h_apm,MATCH(M$70,$A$2:$A$32,0),0)),0)</f>
        <v>33.454591224545453</v>
      </c>
      <c r="N75">
        <f>IFERROR(VLOOKUP($A75,table_rank_apm,2,0)/(VLOOKUP($A75,table_rank_apm,2,0)+VLOOKUP(N$70,table_rank_apm,2,0))*(N7+HLOOKUP($A75,table_h2h_apm,MATCH(N$70,$A$2:$A$32,0),0)),0)</f>
        <v>26.366373479697483</v>
      </c>
      <c r="O75">
        <f>IFERROR(VLOOKUP($A75,table_rank_apm,2,0)/(VLOOKUP($A75,table_rank_apm,2,0)+VLOOKUP(O$70,table_rank_apm,2,0))*(O7+HLOOKUP($A75,table_h2h_apm,MATCH(O$70,$A$2:$A$32,0),0)),0)</f>
        <v>38.485733617700191</v>
      </c>
      <c r="P75">
        <f>IFERROR(VLOOKUP($A75,table_rank_apm,2,0)/(VLOOKUP($A75,table_rank_apm,2,0)+VLOOKUP(P$70,table_rank_apm,2,0))*(P7+HLOOKUP($A75,table_h2h_apm,MATCH(P$70,$A$2:$A$32,0),0)),0)</f>
        <v>29.558462755145914</v>
      </c>
      <c r="Q75">
        <f>IFERROR(VLOOKUP($A75,table_rank_apm,2,0)/(VLOOKUP($A75,table_rank_apm,2,0)+VLOOKUP(Q$70,table_rank_apm,2,0))*(Q7+HLOOKUP($A75,table_h2h_apm,MATCH(Q$70,$A$2:$A$32,0),0)),0)</f>
        <v>35.985842692668498</v>
      </c>
      <c r="R75">
        <f>IFERROR(VLOOKUP($A75,table_rank_apm,2,0)/(VLOOKUP($A75,table_rank_apm,2,0)+VLOOKUP(R$70,table_rank_apm,2,0))*(R7+HLOOKUP($A75,table_h2h_apm,MATCH(R$70,$A$2:$A$32,0),0)),0)</f>
        <v>33.52143286652317</v>
      </c>
      <c r="S75">
        <f>IFERROR(VLOOKUP($A75,table_rank_apm,2,0)/(VLOOKUP($A75,table_rank_apm,2,0)+VLOOKUP(S$70,table_rank_apm,2,0))*(S7+HLOOKUP($A75,table_h2h_apm,MATCH(S$70,$A$2:$A$32,0),0)),0)</f>
        <v>40.622565817520353</v>
      </c>
      <c r="T75">
        <f>IFERROR(VLOOKUP($A75,table_rank_apm,2,0)/(VLOOKUP($A75,table_rank_apm,2,0)+VLOOKUP(T$70,table_rank_apm,2,0))*(T7+HLOOKUP($A75,table_h2h_apm,MATCH(T$70,$A$2:$A$32,0),0)),0)</f>
        <v>32.354532628313116</v>
      </c>
      <c r="U75">
        <f>IFERROR(VLOOKUP($A75,table_rank_apm,2,0)/(VLOOKUP($A75,table_rank_apm,2,0)+VLOOKUP(U$70,table_rank_apm,2,0))*(U7+HLOOKUP($A75,table_h2h_apm,MATCH(U$70,$A$2:$A$32,0),0)),0)</f>
        <v>42.320564962799565</v>
      </c>
      <c r="V75">
        <f>IFERROR(VLOOKUP($A75,table_rank_apm,2,0)/(VLOOKUP($A75,table_rank_apm,2,0)+VLOOKUP(V$70,table_rank_apm,2,0))*(V7+HLOOKUP($A75,table_h2h_apm,MATCH(V$70,$A$2:$A$32,0),0)),0)</f>
        <v>30.516700770036248</v>
      </c>
      <c r="W75">
        <f>IFERROR(VLOOKUP($A75,table_rank_apm,2,0)/(VLOOKUP($A75,table_rank_apm,2,0)+VLOOKUP(W$70,table_rank_apm,2,0))*(W7+HLOOKUP($A75,table_h2h_apm,MATCH(W$70,$A$2:$A$32,0),0)),0)</f>
        <v>38.696063776686877</v>
      </c>
      <c r="X75">
        <f>IFERROR(VLOOKUP($A75,table_rank_apm,2,0)/(VLOOKUP($A75,table_rank_apm,2,0)+VLOOKUP(X$70,table_rank_apm,2,0))*(X7+HLOOKUP($A75,table_h2h_apm,MATCH(X$70,$A$2:$A$32,0),0)),0)</f>
        <v>41.545622913824225</v>
      </c>
      <c r="Y75">
        <f>IFERROR(VLOOKUP($A75,table_rank_apm,2,0)/(VLOOKUP($A75,table_rank_apm,2,0)+VLOOKUP(Y$70,table_rank_apm,2,0))*(Y7+HLOOKUP($A75,table_h2h_apm,MATCH(Y$70,$A$2:$A$32,0),0)),0)</f>
        <v>33.038274151279694</v>
      </c>
      <c r="Z75">
        <f>IFERROR(VLOOKUP($A75,table_rank_apm,2,0)/(VLOOKUP($A75,table_rank_apm,2,0)+VLOOKUP(Z$70,table_rank_apm,2,0))*(Z7+HLOOKUP($A75,table_h2h_apm,MATCH(Z$70,$A$2:$A$32,0),0)),0)</f>
        <v>28.580841162273661</v>
      </c>
      <c r="AA75">
        <f>IFERROR(VLOOKUP($A75,table_rank_apm,2,0)/(VLOOKUP($A75,table_rank_apm,2,0)+VLOOKUP(AA$70,table_rank_apm,2,0))*(AA7+HLOOKUP($A75,table_h2h_apm,MATCH(AA$70,$A$2:$A$32,0),0)),0)</f>
        <v>26.464173509878819</v>
      </c>
      <c r="AB75">
        <f>IFERROR(VLOOKUP($A75,table_rank_apm,2,0)/(VLOOKUP($A75,table_rank_apm,2,0)+VLOOKUP(AB$70,table_rank_apm,2,0))*(AB7+HLOOKUP($A75,table_h2h_apm,MATCH(AB$70,$A$2:$A$32,0),0)),0)</f>
        <v>36.148791328740927</v>
      </c>
      <c r="AC75">
        <f>IFERROR(VLOOKUP($A75,table_rank_apm,2,0)/(VLOOKUP($A75,table_rank_apm,2,0)+VLOOKUP(AC$70,table_rank_apm,2,0))*(AC7+HLOOKUP($A75,table_h2h_apm,MATCH(AC$70,$A$2:$A$32,0),0)),0)</f>
        <v>30.209201924100963</v>
      </c>
      <c r="AD75">
        <f>IFERROR(VLOOKUP($A75,table_rank_apm,2,0)/(VLOOKUP($A75,table_rank_apm,2,0)+VLOOKUP(AD$70,table_rank_apm,2,0))*(AD7+HLOOKUP($A75,table_h2h_apm,MATCH(AD$70,$A$2:$A$32,0),0)),0)</f>
        <v>32.44777005447024</v>
      </c>
      <c r="AE75">
        <f>IFERROR(VLOOKUP($A75,table_rank_apm,2,0)/(VLOOKUP($A75,table_rank_apm,2,0)+VLOOKUP(AE$70,table_rank_apm,2,0))*(AE7+HLOOKUP($A75,table_h2h_apm,MATCH(AE$70,$A$2:$A$32,0),0)),0)</f>
        <v>32.56724791652924</v>
      </c>
      <c r="AG75">
        <f>AG7</f>
        <v>2.7899999999999991</v>
      </c>
      <c r="AH75">
        <f>ROUND(AVERAGE(B75:AE75),2)-30</f>
        <v>2.8299999999999983</v>
      </c>
      <c r="AI75">
        <f>AG75-AH75</f>
        <v>-3.9999999999999147E-2</v>
      </c>
    </row>
    <row r="76" spans="1:35" x14ac:dyDescent="0.25">
      <c r="A76" t="s">
        <v>40</v>
      </c>
      <c r="B76">
        <f>IFERROR(VLOOKUP($A76,table_rank_apm,2,0)/(VLOOKUP($A76,table_rank_apm,2,0)+VLOOKUP(B$70,table_rank_apm,2,0))*(B8+HLOOKUP($A76,table_h2h_apm,MATCH(B$70,$A$2:$A$32,0),0)),0)</f>
        <v>29.128789139830335</v>
      </c>
      <c r="C76">
        <f>IFERROR(VLOOKUP($A76,table_rank_apm,2,0)/(VLOOKUP($A76,table_rank_apm,2,0)+VLOOKUP(C$70,table_rank_apm,2,0))*(C8+HLOOKUP($A76,table_h2h_apm,MATCH(C$70,$A$2:$A$32,0),0)),0)</f>
        <v>36.910999720635949</v>
      </c>
      <c r="D76">
        <f>IFERROR(VLOOKUP($A76,table_rank_apm,2,0)/(VLOOKUP($A76,table_rank_apm,2,0)+VLOOKUP(D$70,table_rank_apm,2,0))*(D8+HLOOKUP($A76,table_h2h_apm,MATCH(D$70,$A$2:$A$32,0),0)),0)</f>
        <v>35.132069576868922</v>
      </c>
      <c r="E76">
        <f>IFERROR(VLOOKUP($A76,table_rank_apm,2,0)/(VLOOKUP($A76,table_rank_apm,2,0)+VLOOKUP(E$70,table_rank_apm,2,0))*(E8+HLOOKUP($A76,table_h2h_apm,MATCH(E$70,$A$2:$A$32,0),0)),0)</f>
        <v>37.891094480382527</v>
      </c>
      <c r="F76">
        <f>IFERROR(VLOOKUP($A76,table_rank_apm,2,0)/(VLOOKUP($A76,table_rank_apm,2,0)+VLOOKUP(F$70,table_rank_apm,2,0))*(F8+HLOOKUP($A76,table_h2h_apm,MATCH(F$70,$A$2:$A$32,0),0)),0)</f>
        <v>31.577815359937073</v>
      </c>
      <c r="G76">
        <f>IFERROR(VLOOKUP($A76,table_rank_apm,2,0)/(VLOOKUP($A76,table_rank_apm,2,0)+VLOOKUP(G$70,table_rank_apm,2,0))*(G8+HLOOKUP($A76,table_h2h_apm,MATCH(G$70,$A$2:$A$32,0),0)),0)</f>
        <v>30</v>
      </c>
      <c r="H76">
        <f>IFERROR(VLOOKUP($A76,table_rank_apm,2,0)/(VLOOKUP($A76,table_rank_apm,2,0)+VLOOKUP(H$70,table_rank_apm,2,0))*(H8+HLOOKUP($A76,table_h2h_apm,MATCH(H$70,$A$2:$A$32,0),0)),0)</f>
        <v>30.72995964314261</v>
      </c>
      <c r="I76">
        <f>IFERROR(VLOOKUP($A76,table_rank_apm,2,0)/(VLOOKUP($A76,table_rank_apm,2,0)+VLOOKUP(I$70,table_rank_apm,2,0))*(I8+HLOOKUP($A76,table_h2h_apm,MATCH(I$70,$A$2:$A$32,0),0)),0)</f>
        <v>37.778031095547355</v>
      </c>
      <c r="J76">
        <f>IFERROR(VLOOKUP($A76,table_rank_apm,2,0)/(VLOOKUP($A76,table_rank_apm,2,0)+VLOOKUP(J$70,table_rank_apm,2,0))*(J8+HLOOKUP($A76,table_h2h_apm,MATCH(J$70,$A$2:$A$32,0),0)),0)</f>
        <v>36.024852821475179</v>
      </c>
      <c r="K76">
        <f>IFERROR(VLOOKUP($A76,table_rank_apm,2,0)/(VLOOKUP($A76,table_rank_apm,2,0)+VLOOKUP(K$70,table_rank_apm,2,0))*(K8+HLOOKUP($A76,table_h2h_apm,MATCH(K$70,$A$2:$A$32,0),0)),0)</f>
        <v>23.941131772132199</v>
      </c>
      <c r="L76">
        <f>IFERROR(VLOOKUP($A76,table_rank_apm,2,0)/(VLOOKUP($A76,table_rank_apm,2,0)+VLOOKUP(L$70,table_rank_apm,2,0))*(L8+HLOOKUP($A76,table_h2h_apm,MATCH(L$70,$A$2:$A$32,0),0)),0)</f>
        <v>29.830072465412467</v>
      </c>
      <c r="M76">
        <f>IFERROR(VLOOKUP($A76,table_rank_apm,2,0)/(VLOOKUP($A76,table_rank_apm,2,0)+VLOOKUP(M$70,table_rank_apm,2,0))*(M8+HLOOKUP($A76,table_h2h_apm,MATCH(M$70,$A$2:$A$32,0),0)),0)</f>
        <v>35.002112086872685</v>
      </c>
      <c r="N76">
        <f>IFERROR(VLOOKUP($A76,table_rank_apm,2,0)/(VLOOKUP($A76,table_rank_apm,2,0)+VLOOKUP(N$70,table_rank_apm,2,0))*(N8+HLOOKUP($A76,table_h2h_apm,MATCH(N$70,$A$2:$A$32,0),0)),0)</f>
        <v>27.931008925713481</v>
      </c>
      <c r="O76">
        <f>IFERROR(VLOOKUP($A76,table_rank_apm,2,0)/(VLOOKUP($A76,table_rank_apm,2,0)+VLOOKUP(O$70,table_rank_apm,2,0))*(O8+HLOOKUP($A76,table_h2h_apm,MATCH(O$70,$A$2:$A$32,0),0)),0)</f>
        <v>39.916032341974166</v>
      </c>
      <c r="P76">
        <f>IFERROR(VLOOKUP($A76,table_rank_apm,2,0)/(VLOOKUP($A76,table_rank_apm,2,0)+VLOOKUP(P$70,table_rank_apm,2,0))*(P8+HLOOKUP($A76,table_h2h_apm,MATCH(P$70,$A$2:$A$32,0),0)),0)</f>
        <v>31.137158356827751</v>
      </c>
      <c r="Q76">
        <f>IFERROR(VLOOKUP($A76,table_rank_apm,2,0)/(VLOOKUP($A76,table_rank_apm,2,0)+VLOOKUP(Q$70,table_rank_apm,2,0))*(Q8+HLOOKUP($A76,table_h2h_apm,MATCH(Q$70,$A$2:$A$32,0),0)),0)</f>
        <v>37.485109689582195</v>
      </c>
      <c r="R76">
        <f>IFERROR(VLOOKUP($A76,table_rank_apm,2,0)/(VLOOKUP($A76,table_rank_apm,2,0)+VLOOKUP(R$70,table_rank_apm,2,0))*(R8+HLOOKUP($A76,table_h2h_apm,MATCH(R$70,$A$2:$A$32,0),0)),0)</f>
        <v>35.067961051412688</v>
      </c>
      <c r="S76">
        <f>IFERROR(VLOOKUP($A76,table_rank_apm,2,0)/(VLOOKUP($A76,table_rank_apm,2,0)+VLOOKUP(S$70,table_rank_apm,2,0))*(S8+HLOOKUP($A76,table_h2h_apm,MATCH(S$70,$A$2:$A$32,0),0)),0)</f>
        <v>41.977330707873904</v>
      </c>
      <c r="T76">
        <f>IFERROR(VLOOKUP($A76,table_rank_apm,2,0)/(VLOOKUP($A76,table_rank_apm,2,0)+VLOOKUP(T$70,table_rank_apm,2,0))*(T8+HLOOKUP($A76,table_h2h_apm,MATCH(T$70,$A$2:$A$32,0),0)),0)</f>
        <v>33.916182778781945</v>
      </c>
      <c r="U76">
        <f>IFERROR(VLOOKUP($A76,table_rank_apm,2,0)/(VLOOKUP($A76,table_rank_apm,2,0)+VLOOKUP(U$70,table_rank_apm,2,0))*(U8+HLOOKUP($A76,table_h2h_apm,MATCH(U$70,$A$2:$A$32,0),0)),0)</f>
        <v>43.604528898087082</v>
      </c>
      <c r="V76">
        <f>IFERROR(VLOOKUP($A76,table_rank_apm,2,0)/(VLOOKUP($A76,table_rank_apm,2,0)+VLOOKUP(V$70,table_rank_apm,2,0))*(V8+HLOOKUP($A76,table_h2h_apm,MATCH(V$70,$A$2:$A$32,0),0)),0)</f>
        <v>32.092620544971915</v>
      </c>
      <c r="W76">
        <f>IFERROR(VLOOKUP($A76,table_rank_apm,2,0)/(VLOOKUP($A76,table_rank_apm,2,0)+VLOOKUP(W$70,table_rank_apm,2,0))*(W8+HLOOKUP($A76,table_h2h_apm,MATCH(W$70,$A$2:$A$32,0),0)),0)</f>
        <v>40.11960261276375</v>
      </c>
      <c r="X76">
        <f>IFERROR(VLOOKUP($A76,table_rank_apm,2,0)/(VLOOKUP($A76,table_rank_apm,2,0)+VLOOKUP(X$70,table_rank_apm,2,0))*(X8+HLOOKUP($A76,table_h2h_apm,MATCH(X$70,$A$2:$A$32,0),0)),0)</f>
        <v>42.863077281428595</v>
      </c>
      <c r="Y76">
        <f>IFERROR(VLOOKUP($A76,table_rank_apm,2,0)/(VLOOKUP($A76,table_rank_apm,2,0)+VLOOKUP(Y$70,table_rank_apm,2,0))*(Y8+HLOOKUP($A76,table_h2h_apm,MATCH(Y$70,$A$2:$A$32,0),0)),0)</f>
        <v>34.591632255354405</v>
      </c>
      <c r="Z76">
        <f>IFERROR(VLOOKUP($A76,table_rank_apm,2,0)/(VLOOKUP($A76,table_rank_apm,2,0)+VLOOKUP(Z$70,table_rank_apm,2,0))*(Z8+HLOOKUP($A76,table_h2h_apm,MATCH(Z$70,$A$2:$A$32,0),0)),0)</f>
        <v>30.159052238987819</v>
      </c>
      <c r="AA76">
        <f>IFERROR(VLOOKUP($A76,table_rank_apm,2,0)/(VLOOKUP($A76,table_rank_apm,2,0)+VLOOKUP(AA$70,table_rank_apm,2,0))*(AA8+HLOOKUP($A76,table_h2h_apm,MATCH(AA$70,$A$2:$A$32,0),0)),0)</f>
        <v>28.029775929465998</v>
      </c>
      <c r="AB76">
        <f>IFERROR(VLOOKUP($A76,table_rank_apm,2,0)/(VLOOKUP($A76,table_rank_apm,2,0)+VLOOKUP(AB$70,table_rank_apm,2,0))*(AB8+HLOOKUP($A76,table_h2h_apm,MATCH(AB$70,$A$2:$A$32,0),0)),0)</f>
        <v>37.644205067909979</v>
      </c>
      <c r="AC76">
        <f>IFERROR(VLOOKUP($A76,table_rank_apm,2,0)/(VLOOKUP($A76,table_rank_apm,2,0)+VLOOKUP(AC$70,table_rank_apm,2,0))*(AC8+HLOOKUP($A76,table_h2h_apm,MATCH(AC$70,$A$2:$A$32,0),0)),0)</f>
        <v>31.786362121817728</v>
      </c>
      <c r="AD76">
        <f>IFERROR(VLOOKUP($A76,table_rank_apm,2,0)/(VLOOKUP($A76,table_rank_apm,2,0)+VLOOKUP(AD$70,table_rank_apm,2,0))*(AD8+HLOOKUP($A76,table_h2h_apm,MATCH(AD$70,$A$2:$A$32,0),0)),0)</f>
        <v>34.008384416122439</v>
      </c>
      <c r="AE76">
        <f>IFERROR(VLOOKUP($A76,table_rank_apm,2,0)/(VLOOKUP($A76,table_rank_apm,2,0)+VLOOKUP(AE$70,table_rank_apm,2,0))*(AE8+HLOOKUP($A76,table_h2h_apm,MATCH(AE$70,$A$2:$A$32,0),0)),0)</f>
        <v>34.126491117393186</v>
      </c>
      <c r="AG76">
        <f>AG8</f>
        <v>4.2800000000000011</v>
      </c>
      <c r="AH76">
        <f>ROUND(AVERAGE(B76:AE76),2)-30</f>
        <v>4.3500000000000014</v>
      </c>
      <c r="AI76">
        <f>AG76-AH76</f>
        <v>-7.0000000000000284E-2</v>
      </c>
    </row>
    <row r="77" spans="1:35" x14ac:dyDescent="0.25">
      <c r="A77" t="s">
        <v>14</v>
      </c>
      <c r="B77">
        <f>IFERROR(VLOOKUP($A77,table_rank_apm,2,0)/(VLOOKUP($A77,table_rank_apm,2,0)+VLOOKUP(B$70,table_rank_apm,2,0))*(B9+HLOOKUP($A77,table_h2h_apm,MATCH(B$70,$A$2:$A$32,0),0)),0)</f>
        <v>28.399960100469723</v>
      </c>
      <c r="C77">
        <f>IFERROR(VLOOKUP($A77,table_rank_apm,2,0)/(VLOOKUP($A77,table_rank_apm,2,0)+VLOOKUP(C$70,table_rank_apm,2,0))*(C9+HLOOKUP($A77,table_h2h_apm,MATCH(C$70,$A$2:$A$32,0),0)),0)</f>
        <v>36.215881827918331</v>
      </c>
      <c r="D77">
        <f>IFERROR(VLOOKUP($A77,table_rank_apm,2,0)/(VLOOKUP($A77,table_rank_apm,2,0)+VLOOKUP(D$70,table_rank_apm,2,0))*(D9+HLOOKUP($A77,table_h2h_apm,MATCH(D$70,$A$2:$A$32,0),0)),0)</f>
        <v>34.420510079407762</v>
      </c>
      <c r="E77">
        <f>IFERROR(VLOOKUP($A77,table_rank_apm,2,0)/(VLOOKUP($A77,table_rank_apm,2,0)+VLOOKUP(E$70,table_rank_apm,2,0))*(E9+HLOOKUP($A77,table_h2h_apm,MATCH(E$70,$A$2:$A$32,0),0)),0)</f>
        <v>37.207262764476475</v>
      </c>
      <c r="F77">
        <f>IFERROR(VLOOKUP($A77,table_rank_apm,2,0)/(VLOOKUP($A77,table_rank_apm,2,0)+VLOOKUP(F$70,table_rank_apm,2,0))*(F9+HLOOKUP($A77,table_h2h_apm,MATCH(F$70,$A$2:$A$32,0),0)),0)</f>
        <v>30.848942118906603</v>
      </c>
      <c r="G77">
        <f>IFERROR(VLOOKUP($A77,table_rank_apm,2,0)/(VLOOKUP($A77,table_rank_apm,2,0)+VLOOKUP(G$70,table_rank_apm,2,0))*(G9+HLOOKUP($A77,table_h2h_apm,MATCH(G$70,$A$2:$A$32,0),0)),0)</f>
        <v>29.270040356857386</v>
      </c>
      <c r="H77">
        <f>IFERROR(VLOOKUP($A77,table_rank_apm,2,0)/(VLOOKUP($A77,table_rank_apm,2,0)+VLOOKUP(H$70,table_rank_apm,2,0))*(H9+HLOOKUP($A77,table_h2h_apm,MATCH(H$70,$A$2:$A$32,0),0)),0)</f>
        <v>30</v>
      </c>
      <c r="I77">
        <f>IFERROR(VLOOKUP($A77,table_rank_apm,2,0)/(VLOOKUP($A77,table_rank_apm,2,0)+VLOOKUP(I$70,table_rank_apm,2,0))*(I9+HLOOKUP($A77,table_h2h_apm,MATCH(I$70,$A$2:$A$32,0),0)),0)</f>
        <v>37.092816475707174</v>
      </c>
      <c r="J77">
        <f>IFERROR(VLOOKUP($A77,table_rank_apm,2,0)/(VLOOKUP($A77,table_rank_apm,2,0)+VLOOKUP(J$70,table_rank_apm,2,0))*(J9+HLOOKUP($A77,table_h2h_apm,MATCH(J$70,$A$2:$A$32,0),0)),0)</f>
        <v>35.320894019106824</v>
      </c>
      <c r="K77">
        <f>IFERROR(VLOOKUP($A77,table_rank_apm,2,0)/(VLOOKUP($A77,table_rank_apm,2,0)+VLOOKUP(K$70,table_rank_apm,2,0))*(K9+HLOOKUP($A77,table_h2h_apm,MATCH(K$70,$A$2:$A$32,0),0)),0)</f>
        <v>23.244370263992035</v>
      </c>
      <c r="L77">
        <f>IFERROR(VLOOKUP($A77,table_rank_apm,2,0)/(VLOOKUP($A77,table_rank_apm,2,0)+VLOOKUP(L$70,table_rank_apm,2,0))*(L9+HLOOKUP($A77,table_h2h_apm,MATCH(L$70,$A$2:$A$32,0),0)),0)</f>
        <v>29.100236829871879</v>
      </c>
      <c r="M77">
        <f>IFERROR(VLOOKUP($A77,table_rank_apm,2,0)/(VLOOKUP($A77,table_rank_apm,2,0)+VLOOKUP(M$70,table_rank_apm,2,0))*(M9+HLOOKUP($A77,table_h2h_apm,MATCH(M$70,$A$2:$A$32,0),0)),0)</f>
        <v>34.289555360253772</v>
      </c>
      <c r="N77">
        <f>IFERROR(VLOOKUP($A77,table_rank_apm,2,0)/(VLOOKUP($A77,table_rank_apm,2,0)+VLOOKUP(N$70,table_rank_apm,2,0))*(N9+HLOOKUP($A77,table_h2h_apm,MATCH(N$70,$A$2:$A$32,0),0)),0)</f>
        <v>27.205738302036181</v>
      </c>
      <c r="O77">
        <f>IFERROR(VLOOKUP($A77,table_rank_apm,2,0)/(VLOOKUP($A77,table_rank_apm,2,0)+VLOOKUP(O$70,table_rank_apm,2,0))*(O9+HLOOKUP($A77,table_h2h_apm,MATCH(O$70,$A$2:$A$32,0),0)),0)</f>
        <v>39.260551231879305</v>
      </c>
      <c r="P77">
        <f>IFERROR(VLOOKUP($A77,table_rank_apm,2,0)/(VLOOKUP($A77,table_rank_apm,2,0)+VLOOKUP(P$70,table_rank_apm,2,0))*(P9+HLOOKUP($A77,table_h2h_apm,MATCH(P$70,$A$2:$A$32,0),0)),0)</f>
        <v>30.407574624157533</v>
      </c>
      <c r="Q77">
        <f>IFERROR(VLOOKUP($A77,table_rank_apm,2,0)/(VLOOKUP($A77,table_rank_apm,2,0)+VLOOKUP(Q$70,table_rank_apm,2,0))*(Q9+HLOOKUP($A77,table_h2h_apm,MATCH(Q$70,$A$2:$A$32,0),0)),0)</f>
        <v>36.79641051092262</v>
      </c>
      <c r="R77">
        <f>IFERROR(VLOOKUP($A77,table_rank_apm,2,0)/(VLOOKUP($A77,table_rank_apm,2,0)+VLOOKUP(R$70,table_rank_apm,2,0))*(R9+HLOOKUP($A77,table_h2h_apm,MATCH(R$70,$A$2:$A$32,0),0)),0)</f>
        <v>34.355906152591032</v>
      </c>
      <c r="S77">
        <f>IFERROR(VLOOKUP($A77,table_rank_apm,2,0)/(VLOOKUP($A77,table_rank_apm,2,0)+VLOOKUP(S$70,table_rank_apm,2,0))*(S9+HLOOKUP($A77,table_h2h_apm,MATCH(S$70,$A$2:$A$32,0),0)),0)</f>
        <v>41.357704450424272</v>
      </c>
      <c r="T77">
        <f>IFERROR(VLOOKUP($A77,table_rank_apm,2,0)/(VLOOKUP($A77,table_rank_apm,2,0)+VLOOKUP(T$70,table_rank_apm,2,0))*(T9+HLOOKUP($A77,table_h2h_apm,MATCH(T$70,$A$2:$A$32,0),0)),0)</f>
        <v>33.196375731966498</v>
      </c>
      <c r="U77">
        <f>IFERROR(VLOOKUP($A77,table_rank_apm,2,0)/(VLOOKUP($A77,table_rank_apm,2,0)+VLOOKUP(U$70,table_rank_apm,2,0))*(U9+HLOOKUP($A77,table_h2h_apm,MATCH(U$70,$A$2:$A$32,0),0)),0)</f>
        <v>43.018214505616307</v>
      </c>
      <c r="V77">
        <f>IFERROR(VLOOKUP($A77,table_rank_apm,2,0)/(VLOOKUP($A77,table_rank_apm,2,0)+VLOOKUP(V$70,table_rank_apm,2,0))*(V9+HLOOKUP($A77,table_h2h_apm,MATCH(V$70,$A$2:$A$32,0),0)),0)</f>
        <v>31.364977615465524</v>
      </c>
      <c r="W77">
        <f>IFERROR(VLOOKUP($A77,table_rank_apm,2,0)/(VLOOKUP($A77,table_rank_apm,2,0)+VLOOKUP(W$70,table_rank_apm,2,0))*(W9+HLOOKUP($A77,table_h2h_apm,MATCH(W$70,$A$2:$A$32,0),0)),0)</f>
        <v>39.467347820655171</v>
      </c>
      <c r="X77">
        <f>IFERROR(VLOOKUP($A77,table_rank_apm,2,0)/(VLOOKUP($A77,table_rank_apm,2,0)+VLOOKUP(X$70,table_rank_apm,2,0))*(X9+HLOOKUP($A77,table_h2h_apm,MATCH(X$70,$A$2:$A$32,0),0)),0)</f>
        <v>42.261034660167354</v>
      </c>
      <c r="Y77">
        <f>IFERROR(VLOOKUP($A77,table_rank_apm,2,0)/(VLOOKUP($A77,table_rank_apm,2,0)+VLOOKUP(Y$70,table_rank_apm,2,0))*(Y9+HLOOKUP($A77,table_h2h_apm,MATCH(Y$70,$A$2:$A$32,0),0)),0)</f>
        <v>33.876107694831354</v>
      </c>
      <c r="Z77">
        <f>IFERROR(VLOOKUP($A77,table_rank_apm,2,0)/(VLOOKUP($A77,table_rank_apm,2,0)+VLOOKUP(Z$70,table_rank_apm,2,0))*(Z9+HLOOKUP($A77,table_h2h_apm,MATCH(Z$70,$A$2:$A$32,0),0)),0)</f>
        <v>29.42901893819981</v>
      </c>
      <c r="AA77">
        <f>IFERROR(VLOOKUP($A77,table_rank_apm,2,0)/(VLOOKUP($A77,table_rank_apm,2,0)+VLOOKUP(AA$70,table_rank_apm,2,0))*(AA9+HLOOKUP($A77,table_h2h_apm,MATCH(AA$70,$A$2:$A$32,0),0)),0)</f>
        <v>27.304124248026397</v>
      </c>
      <c r="AB77">
        <f>IFERROR(VLOOKUP($A77,table_rank_apm,2,0)/(VLOOKUP($A77,table_rank_apm,2,0)+VLOOKUP(AB$70,table_rank_apm,2,0))*(AB9+HLOOKUP($A77,table_h2h_apm,MATCH(AB$70,$A$2:$A$32,0),0)),0)</f>
        <v>36.957380886349213</v>
      </c>
      <c r="AC77">
        <f>IFERROR(VLOOKUP($A77,table_rank_apm,2,0)/(VLOOKUP($A77,table_rank_apm,2,0)+VLOOKUP(AC$70,table_rank_apm,2,0))*(AC9+HLOOKUP($A77,table_h2h_apm,MATCH(AC$70,$A$2:$A$32,0),0)),0)</f>
        <v>31.057935276731254</v>
      </c>
      <c r="AD77">
        <f>IFERROR(VLOOKUP($A77,table_rank_apm,2,0)/(VLOOKUP($A77,table_rank_apm,2,0)+VLOOKUP(AD$70,table_rank_apm,2,0))*(AD9+HLOOKUP($A77,table_h2h_apm,MATCH(AD$70,$A$2:$A$32,0),0)),0)</f>
        <v>33.289117910407462</v>
      </c>
      <c r="AE77">
        <f>IFERROR(VLOOKUP($A77,table_rank_apm,2,0)/(VLOOKUP($A77,table_rank_apm,2,0)+VLOOKUP(AE$70,table_rank_apm,2,0))*(AE9+HLOOKUP($A77,table_h2h_apm,MATCH(AE$70,$A$2:$A$32,0),0)),0)</f>
        <v>33.407937355833582</v>
      </c>
      <c r="AG77">
        <f>AG9</f>
        <v>3.7800000000000011</v>
      </c>
      <c r="AH77">
        <f>ROUND(AVERAGE(B77:AE77),2)-30</f>
        <v>3.6499999999999986</v>
      </c>
      <c r="AI77">
        <f>AG77-AH77</f>
        <v>0.13000000000000256</v>
      </c>
    </row>
    <row r="78" spans="1:35" x14ac:dyDescent="0.25">
      <c r="A78" t="s">
        <v>32</v>
      </c>
      <c r="B78">
        <f>IFERROR(VLOOKUP($A78,table_rank_apm,2,0)/(VLOOKUP($A78,table_rank_apm,2,0)+VLOOKUP(B$70,table_rank_apm,2,0))*(B10+HLOOKUP($A78,table_h2h_apm,MATCH(B$70,$A$2:$A$32,0),0)),0)</f>
        <v>21.415393503514995</v>
      </c>
      <c r="C78">
        <f>IFERROR(VLOOKUP($A78,table_rank_apm,2,0)/(VLOOKUP($A78,table_rank_apm,2,0)+VLOOKUP(C$70,table_rank_apm,2,0))*(C10+HLOOKUP($A78,table_h2h_apm,MATCH(C$70,$A$2:$A$32,0),0)),0)</f>
        <v>29.077894358816732</v>
      </c>
      <c r="D78">
        <f>IFERROR(VLOOKUP($A78,table_rank_apm,2,0)/(VLOOKUP($A78,table_rank_apm,2,0)+VLOOKUP(D$70,table_rank_apm,2,0))*(D10+HLOOKUP($A78,table_h2h_apm,MATCH(D$70,$A$2:$A$32,0),0)),0)</f>
        <v>27.231236444242075</v>
      </c>
      <c r="E78">
        <f>IFERROR(VLOOKUP($A78,table_rank_apm,2,0)/(VLOOKUP($A78,table_rank_apm,2,0)+VLOOKUP(E$70,table_rank_apm,2,0))*(E10+HLOOKUP($A78,table_h2h_apm,MATCH(E$70,$A$2:$A$32,0),0)),0)</f>
        <v>30.12133827474295</v>
      </c>
      <c r="F78">
        <f>IFERROR(VLOOKUP($A78,table_rank_apm,2,0)/(VLOOKUP($A78,table_rank_apm,2,0)+VLOOKUP(F$70,table_rank_apm,2,0))*(F10+HLOOKUP($A78,table_h2h_apm,MATCH(F$70,$A$2:$A$32,0),0)),0)</f>
        <v>23.714070043361346</v>
      </c>
      <c r="G78">
        <f>IFERROR(VLOOKUP($A78,table_rank_apm,2,0)/(VLOOKUP($A78,table_rank_apm,2,0)+VLOOKUP(G$70,table_rank_apm,2,0))*(G10+HLOOKUP($A78,table_h2h_apm,MATCH(G$70,$A$2:$A$32,0),0)),0)</f>
        <v>22.221968904452648</v>
      </c>
      <c r="H78">
        <f>IFERROR(VLOOKUP($A78,table_rank_apm,2,0)/(VLOOKUP($A78,table_rank_apm,2,0)+VLOOKUP(H$70,table_rank_apm,2,0))*(H10+HLOOKUP($A78,table_h2h_apm,MATCH(H$70,$A$2:$A$32,0),0)),0)</f>
        <v>22.907183524292829</v>
      </c>
      <c r="I78">
        <f>IFERROR(VLOOKUP($A78,table_rank_apm,2,0)/(VLOOKUP($A78,table_rank_apm,2,0)+VLOOKUP(I$70,table_rank_apm,2,0))*(I10+HLOOKUP($A78,table_h2h_apm,MATCH(I$70,$A$2:$A$32,0),0)),0)</f>
        <v>30</v>
      </c>
      <c r="J78">
        <f>IFERROR(VLOOKUP($A78,table_rank_apm,2,0)/(VLOOKUP($A78,table_rank_apm,2,0)+VLOOKUP(J$70,table_rank_apm,2,0))*(J10+HLOOKUP($A78,table_h2h_apm,MATCH(J$70,$A$2:$A$32,0),0)),0)</f>
        <v>28.150522531847809</v>
      </c>
      <c r="K78">
        <f>IFERROR(VLOOKUP($A78,table_rank_apm,2,0)/(VLOOKUP($A78,table_rank_apm,2,0)+VLOOKUP(K$70,table_rank_apm,2,0))*(K10+HLOOKUP($A78,table_h2h_apm,MATCH(K$70,$A$2:$A$32,0),0)),0)</f>
        <v>16.851582017479334</v>
      </c>
      <c r="L78">
        <f>IFERROR(VLOOKUP($A78,table_rank_apm,2,0)/(VLOOKUP($A78,table_rank_apm,2,0)+VLOOKUP(L$70,table_rank_apm,2,0))*(L10+HLOOKUP($A78,table_h2h_apm,MATCH(L$70,$A$2:$A$32,0),0)),0)</f>
        <v>22.063696287305319</v>
      </c>
      <c r="M78">
        <f>IFERROR(VLOOKUP($A78,table_rank_apm,2,0)/(VLOOKUP($A78,table_rank_apm,2,0)+VLOOKUP(M$70,table_rank_apm,2,0))*(M10+HLOOKUP($A78,table_h2h_apm,MATCH(M$70,$A$2:$A$32,0),0)),0)</f>
        <v>27.098657289076112</v>
      </c>
      <c r="N78">
        <f>IFERROR(VLOOKUP($A78,table_rank_apm,2,0)/(VLOOKUP($A78,table_rank_apm,2,0)+VLOOKUP(N$70,table_rank_apm,2,0))*(N10+HLOOKUP($A78,table_h2h_apm,MATCH(N$70,$A$2:$A$32,0),0)),0)</f>
        <v>20.325956995178814</v>
      </c>
      <c r="O78">
        <f>IFERROR(VLOOKUP($A78,table_rank_apm,2,0)/(VLOOKUP($A78,table_rank_apm,2,0)+VLOOKUP(O$70,table_rank_apm,2,0))*(O10+HLOOKUP($A78,table_h2h_apm,MATCH(O$70,$A$2:$A$32,0),0)),0)</f>
        <v>32.338394391281639</v>
      </c>
      <c r="P78">
        <f>IFERROR(VLOOKUP($A78,table_rank_apm,2,0)/(VLOOKUP($A78,table_rank_apm,2,0)+VLOOKUP(P$70,table_rank_apm,2,0))*(P10+HLOOKUP($A78,table_h2h_apm,MATCH(P$70,$A$2:$A$32,0),0)),0)</f>
        <v>23.293215569286463</v>
      </c>
      <c r="Q78">
        <f>IFERROR(VLOOKUP($A78,table_rank_apm,2,0)/(VLOOKUP($A78,table_rank_apm,2,0)+VLOOKUP(Q$70,table_rank_apm,2,0))*(Q10+HLOOKUP($A78,table_h2h_apm,MATCH(Q$70,$A$2:$A$32,0),0)),0)</f>
        <v>29.686819498626818</v>
      </c>
      <c r="R78">
        <f>IFERROR(VLOOKUP($A78,table_rank_apm,2,0)/(VLOOKUP($A78,table_rank_apm,2,0)+VLOOKUP(R$70,table_rank_apm,2,0))*(R10+HLOOKUP($A78,table_h2h_apm,MATCH(R$70,$A$2:$A$32,0),0)),0)</f>
        <v>27.165795717447967</v>
      </c>
      <c r="S78">
        <f>IFERROR(VLOOKUP($A78,table_rank_apm,2,0)/(VLOOKUP($A78,table_rank_apm,2,0)+VLOOKUP(S$70,table_rank_apm,2,0))*(S10+HLOOKUP($A78,table_h2h_apm,MATCH(S$70,$A$2:$A$32,0),0)),0)</f>
        <v>34.684162768978219</v>
      </c>
      <c r="T78">
        <f>IFERROR(VLOOKUP($A78,table_rank_apm,2,0)/(VLOOKUP($A78,table_rank_apm,2,0)+VLOOKUP(T$70,table_rank_apm,2,0))*(T10+HLOOKUP($A78,table_h2h_apm,MATCH(T$70,$A$2:$A$32,0),0)),0)</f>
        <v>26.002870195440948</v>
      </c>
      <c r="U78">
        <f>IFERROR(VLOOKUP($A78,table_rank_apm,2,0)/(VLOOKUP($A78,table_rank_apm,2,0)+VLOOKUP(U$70,table_rank_apm,2,0))*(U10+HLOOKUP($A78,table_h2h_apm,MATCH(U$70,$A$2:$A$32,0),0)),0)</f>
        <v>36.602816205933401</v>
      </c>
      <c r="V78">
        <f>IFERROR(VLOOKUP($A78,table_rank_apm,2,0)/(VLOOKUP($A78,table_rank_apm,2,0)+VLOOKUP(V$70,table_rank_apm,2,0))*(V10+HLOOKUP($A78,table_h2h_apm,MATCH(V$70,$A$2:$A$32,0),0)),0)</f>
        <v>24.209875251339358</v>
      </c>
      <c r="W78">
        <f>IFERROR(VLOOKUP($A78,table_rank_apm,2,0)/(VLOOKUP($A78,table_rank_apm,2,0)+VLOOKUP(W$70,table_rank_apm,2,0))*(W10+HLOOKUP($A78,table_h2h_apm,MATCH(W$70,$A$2:$A$32,0),0)),0)</f>
        <v>32.565982616988912</v>
      </c>
      <c r="X78">
        <f>IFERROR(VLOOKUP($A78,table_rank_apm,2,0)/(VLOOKUP($A78,table_rank_apm,2,0)+VLOOKUP(X$70,table_rank_apm,2,0))*(X10+HLOOKUP($A78,table_h2h_apm,MATCH(X$70,$A$2:$A$32,0),0)),0)</f>
        <v>35.72103034057691</v>
      </c>
      <c r="Y78">
        <f>IFERROR(VLOOKUP($A78,table_rank_apm,2,0)/(VLOOKUP($A78,table_rank_apm,2,0)+VLOOKUP(Y$70,table_rank_apm,2,0))*(Y10+HLOOKUP($A78,table_h2h_apm,MATCH(Y$70,$A$2:$A$32,0),0)),0)</f>
        <v>26.681933426505378</v>
      </c>
      <c r="Z78">
        <f>IFERROR(VLOOKUP($A78,table_rank_apm,2,0)/(VLOOKUP($A78,table_rank_apm,2,0)+VLOOKUP(Z$70,table_rank_apm,2,0))*(Z10+HLOOKUP($A78,table_h2h_apm,MATCH(Z$70,$A$2:$A$32,0),0)),0)</f>
        <v>22.370533906021972</v>
      </c>
      <c r="AA78">
        <f>IFERROR(VLOOKUP($A78,table_rank_apm,2,0)/(VLOOKUP($A78,table_rank_apm,2,0)+VLOOKUP(AA$70,table_rank_apm,2,0))*(AA10+HLOOKUP($A78,table_h2h_apm,MATCH(AA$70,$A$2:$A$32,0),0)),0)</f>
        <v>20.414951207235802</v>
      </c>
      <c r="AB78">
        <f>IFERROR(VLOOKUP($A78,table_rank_apm,2,0)/(VLOOKUP($A78,table_rank_apm,2,0)+VLOOKUP(AB$70,table_rank_apm,2,0))*(AB10+HLOOKUP($A78,table_h2h_apm,MATCH(AB$70,$A$2:$A$32,0),0)),0)</f>
        <v>29.856707621752964</v>
      </c>
      <c r="AC78">
        <f>IFERROR(VLOOKUP($A78,table_rank_apm,2,0)/(VLOOKUP($A78,table_rank_apm,2,0)+VLOOKUP(AC$70,table_rank_apm,2,0))*(AC10+HLOOKUP($A78,table_h2h_apm,MATCH(AC$70,$A$2:$A$32,0),0)),0)</f>
        <v>23.914380006802851</v>
      </c>
      <c r="AD78">
        <f>IFERROR(VLOOKUP($A78,table_rank_apm,2,0)/(VLOOKUP($A78,table_rank_apm,2,0)+VLOOKUP(AD$70,table_rank_apm,2,0))*(AD10+HLOOKUP($A78,table_h2h_apm,MATCH(AD$70,$A$2:$A$32,0),0)),0)</f>
        <v>26.095081122609571</v>
      </c>
      <c r="AE78">
        <f>IFERROR(VLOOKUP($A78,table_rank_apm,2,0)/(VLOOKUP($A78,table_rank_apm,2,0)+VLOOKUP(AE$70,table_rank_apm,2,0))*(AE10+HLOOKUP($A78,table_h2h_apm,MATCH(AE$70,$A$2:$A$32,0),0)),0)</f>
        <v>26.213422348187283</v>
      </c>
      <c r="AG78">
        <f>AG10</f>
        <v>-3.3299999999999983</v>
      </c>
      <c r="AH78">
        <f>ROUND(AVERAGE(B78:AE78),2)-30</f>
        <v>-3.370000000000001</v>
      </c>
      <c r="AI78">
        <f>AG78-AH78</f>
        <v>4.00000000000027E-2</v>
      </c>
    </row>
    <row r="79" spans="1:35" x14ac:dyDescent="0.25">
      <c r="A79" t="s">
        <v>33</v>
      </c>
      <c r="B79">
        <f>IFERROR(VLOOKUP($A79,table_rank_apm,2,0)/(VLOOKUP($A79,table_rank_apm,2,0)+VLOOKUP(B$70,table_rank_apm,2,0))*(B11+HLOOKUP($A79,table_h2h_apm,MATCH(B$70,$A$2:$A$32,0),0)),0)</f>
        <v>23.143921858955963</v>
      </c>
      <c r="C79">
        <f>IFERROR(VLOOKUP($A79,table_rank_apm,2,0)/(VLOOKUP($A79,table_rank_apm,2,0)+VLOOKUP(C$70,table_rank_apm,2,0))*(C11+HLOOKUP($A79,table_h2h_apm,MATCH(C$70,$A$2:$A$32,0),0)),0)</f>
        <v>30.929132443759968</v>
      </c>
      <c r="D79">
        <f>IFERROR(VLOOKUP($A79,table_rank_apm,2,0)/(VLOOKUP($A79,table_rank_apm,2,0)+VLOOKUP(D$70,table_rank_apm,2,0))*(D11+HLOOKUP($A79,table_h2h_apm,MATCH(D$70,$A$2:$A$32,0),0)),0)</f>
        <v>29.075453483290421</v>
      </c>
      <c r="E79">
        <f>IFERROR(VLOOKUP($A79,table_rank_apm,2,0)/(VLOOKUP($A79,table_rank_apm,2,0)+VLOOKUP(E$70,table_rank_apm,2,0))*(E11+HLOOKUP($A79,table_h2h_apm,MATCH(E$70,$A$2:$A$32,0),0)),0)</f>
        <v>31.970324448174736</v>
      </c>
      <c r="F79">
        <f>IFERROR(VLOOKUP($A79,table_rank_apm,2,0)/(VLOOKUP($A79,table_rank_apm,2,0)+VLOOKUP(F$70,table_rank_apm,2,0))*(F11+HLOOKUP($A79,table_h2h_apm,MATCH(F$70,$A$2:$A$32,0),0)),0)</f>
        <v>25.505489999079224</v>
      </c>
      <c r="G79">
        <f>IFERROR(VLOOKUP($A79,table_rank_apm,2,0)/(VLOOKUP($A79,table_rank_apm,2,0)+VLOOKUP(G$70,table_rank_apm,2,0))*(G11+HLOOKUP($A79,table_h2h_apm,MATCH(G$70,$A$2:$A$32,0),0)),0)</f>
        <v>23.975147178524818</v>
      </c>
      <c r="H79">
        <f>IFERROR(VLOOKUP($A79,table_rank_apm,2,0)/(VLOOKUP($A79,table_rank_apm,2,0)+VLOOKUP(H$70,table_rank_apm,2,0))*(H11+HLOOKUP($A79,table_h2h_apm,MATCH(H$70,$A$2:$A$32,0),0)),0)</f>
        <v>24.679105980893169</v>
      </c>
      <c r="I79">
        <f>IFERROR(VLOOKUP($A79,table_rank_apm,2,0)/(VLOOKUP($A79,table_rank_apm,2,0)+VLOOKUP(I$70,table_rank_apm,2,0))*(I11+HLOOKUP($A79,table_h2h_apm,MATCH(I$70,$A$2:$A$32,0),0)),0)</f>
        <v>31.849477468152191</v>
      </c>
      <c r="J79">
        <f>IFERROR(VLOOKUP($A79,table_rank_apm,2,0)/(VLOOKUP($A79,table_rank_apm,2,0)+VLOOKUP(J$70,table_rank_apm,2,0))*(J11+HLOOKUP($A79,table_h2h_apm,MATCH(J$70,$A$2:$A$32,0),0)),0)</f>
        <v>30</v>
      </c>
      <c r="K79">
        <f>IFERROR(VLOOKUP($A79,table_rank_apm,2,0)/(VLOOKUP($A79,table_rank_apm,2,0)+VLOOKUP(K$70,table_rank_apm,2,0))*(K11+HLOOKUP($A79,table_h2h_apm,MATCH(K$70,$A$2:$A$32,0),0)),0)</f>
        <v>18.387287837777183</v>
      </c>
      <c r="L79">
        <f>IFERROR(VLOOKUP($A79,table_rank_apm,2,0)/(VLOOKUP($A79,table_rank_apm,2,0)+VLOOKUP(L$70,table_rank_apm,2,0))*(L11+HLOOKUP($A79,table_h2h_apm,MATCH(L$70,$A$2:$A$32,0),0)),0)</f>
        <v>23.812258463850124</v>
      </c>
      <c r="M79">
        <f>IFERROR(VLOOKUP($A79,table_rank_apm,2,0)/(VLOOKUP($A79,table_rank_apm,2,0)+VLOOKUP(M$70,table_rank_apm,2,0))*(M11+HLOOKUP($A79,table_h2h_apm,MATCH(M$70,$A$2:$A$32,0),0)),0)</f>
        <v>28.941825724706952</v>
      </c>
      <c r="N79">
        <f>IFERROR(VLOOKUP($A79,table_rank_apm,2,0)/(VLOOKUP($A79,table_rank_apm,2,0)+VLOOKUP(N$70,table_rank_apm,2,0))*(N11+HLOOKUP($A79,table_h2h_apm,MATCH(N$70,$A$2:$A$32,0),0)),0)</f>
        <v>22.016727678730046</v>
      </c>
      <c r="O79">
        <f>IFERROR(VLOOKUP($A79,table_rank_apm,2,0)/(VLOOKUP($A79,table_rank_apm,2,0)+VLOOKUP(O$70,table_rank_apm,2,0))*(O11+HLOOKUP($A79,table_h2h_apm,MATCH(O$70,$A$2:$A$32,0),0)),0)</f>
        <v>34.167843944165085</v>
      </c>
      <c r="P79">
        <f>IFERROR(VLOOKUP($A79,table_rank_apm,2,0)/(VLOOKUP($A79,table_rank_apm,2,0)+VLOOKUP(P$70,table_rank_apm,2,0))*(P11+HLOOKUP($A79,table_h2h_apm,MATCH(P$70,$A$2:$A$32,0),0)),0)</f>
        <v>25.074812756868983</v>
      </c>
      <c r="Q79">
        <f>IFERROR(VLOOKUP($A79,table_rank_apm,2,0)/(VLOOKUP($A79,table_rank_apm,2,0)+VLOOKUP(Q$70,table_rank_apm,2,0))*(Q11+HLOOKUP($A79,table_h2h_apm,MATCH(Q$70,$A$2:$A$32,0),0)),0)</f>
        <v>31.537286330579011</v>
      </c>
      <c r="R79">
        <f>IFERROR(VLOOKUP($A79,table_rank_apm,2,0)/(VLOOKUP($A79,table_rank_apm,2,0)+VLOOKUP(R$70,table_rank_apm,2,0))*(R11+HLOOKUP($A79,table_h2h_apm,MATCH(R$70,$A$2:$A$32,0),0)),0)</f>
        <v>29.009504322006254</v>
      </c>
      <c r="S79">
        <f>IFERROR(VLOOKUP($A79,table_rank_apm,2,0)/(VLOOKUP($A79,table_rank_apm,2,0)+VLOOKUP(S$70,table_rank_apm,2,0))*(S11+HLOOKUP($A79,table_h2h_apm,MATCH(S$70,$A$2:$A$32,0),0)),0)</f>
        <v>36.47134809378295</v>
      </c>
      <c r="T79">
        <f>IFERROR(VLOOKUP($A79,table_rank_apm,2,0)/(VLOOKUP($A79,table_rank_apm,2,0)+VLOOKUP(T$70,table_rank_apm,2,0))*(T11+HLOOKUP($A79,table_h2h_apm,MATCH(T$70,$A$2:$A$32,0),0)),0)</f>
        <v>27.834560741891959</v>
      </c>
      <c r="U79">
        <f>IFERROR(VLOOKUP($A79,table_rank_apm,2,0)/(VLOOKUP($A79,table_rank_apm,2,0)+VLOOKUP(U$70,table_rank_apm,2,0))*(U11+HLOOKUP($A79,table_h2h_apm,MATCH(U$70,$A$2:$A$32,0),0)),0)</f>
        <v>38.339142994989814</v>
      </c>
      <c r="V79">
        <f>IFERROR(VLOOKUP($A79,table_rank_apm,2,0)/(VLOOKUP($A79,table_rank_apm,2,0)+VLOOKUP(V$70,table_rank_apm,2,0))*(V11+HLOOKUP($A79,table_h2h_apm,MATCH(V$70,$A$2:$A$32,0),0)),0)</f>
        <v>26.011900067574302</v>
      </c>
      <c r="W79">
        <f>IFERROR(VLOOKUP($A79,table_rank_apm,2,0)/(VLOOKUP($A79,table_rank_apm,2,0)+VLOOKUP(W$70,table_rank_apm,2,0))*(W11+HLOOKUP($A79,table_h2h_apm,MATCH(W$70,$A$2:$A$32,0),0)),0)</f>
        <v>34.392299358688845</v>
      </c>
      <c r="X79">
        <f>IFERROR(VLOOKUP($A79,table_rank_apm,2,0)/(VLOOKUP($A79,table_rank_apm,2,0)+VLOOKUP(X$70,table_rank_apm,2,0))*(X11+HLOOKUP($A79,table_h2h_apm,MATCH(X$70,$A$2:$A$32,0),0)),0)</f>
        <v>37.482538786863003</v>
      </c>
      <c r="Y79">
        <f>IFERROR(VLOOKUP($A79,table_rank_apm,2,0)/(VLOOKUP($A79,table_rank_apm,2,0)+VLOOKUP(Y$70,table_rank_apm,2,0))*(Y11+HLOOKUP($A79,table_h2h_apm,MATCH(Y$70,$A$2:$A$32,0),0)),0)</f>
        <v>28.52132850841592</v>
      </c>
      <c r="Z79">
        <f>IFERROR(VLOOKUP($A79,table_rank_apm,2,0)/(VLOOKUP($A79,table_rank_apm,2,0)+VLOOKUP(Z$70,table_rank_apm,2,0))*(Z11+HLOOKUP($A79,table_h2h_apm,MATCH(Z$70,$A$2:$A$32,0),0)),0)</f>
        <v>24.127947205862121</v>
      </c>
      <c r="AA79">
        <f>IFERROR(VLOOKUP($A79,table_rank_apm,2,0)/(VLOOKUP($A79,table_rank_apm,2,0)+VLOOKUP(AA$70,table_rank_apm,2,0))*(AA11+HLOOKUP($A79,table_h2h_apm,MATCH(AA$70,$A$2:$A$32,0),0)),0)</f>
        <v>22.108999357143905</v>
      </c>
      <c r="AB79">
        <f>IFERROR(VLOOKUP($A79,table_rank_apm,2,0)/(VLOOKUP($A79,table_rank_apm,2,0)+VLOOKUP(AB$70,table_rank_apm,2,0))*(AB11+HLOOKUP($A79,table_h2h_apm,MATCH(AB$70,$A$2:$A$32,0),0)),0)</f>
        <v>31.706687644989003</v>
      </c>
      <c r="AC79">
        <f>IFERROR(VLOOKUP($A79,table_rank_apm,2,0)/(VLOOKUP($A79,table_rank_apm,2,0)+VLOOKUP(AC$70,table_rank_apm,2,0))*(AC11+HLOOKUP($A79,table_h2h_apm,MATCH(AC$70,$A$2:$A$32,0),0)),0)</f>
        <v>25.710210236153209</v>
      </c>
      <c r="AD79">
        <f>IFERROR(VLOOKUP($A79,table_rank_apm,2,0)/(VLOOKUP($A79,table_rank_apm,2,0)+VLOOKUP(AD$70,table_rank_apm,2,0))*(AD11+HLOOKUP($A79,table_h2h_apm,MATCH(AD$70,$A$2:$A$32,0),0)),0)</f>
        <v>27.927931253280921</v>
      </c>
      <c r="AE79">
        <f>IFERROR(VLOOKUP($A79,table_rank_apm,2,0)/(VLOOKUP($A79,table_rank_apm,2,0)+VLOOKUP(AE$70,table_rank_apm,2,0))*(AE11+HLOOKUP($A79,table_h2h_apm,MATCH(AE$70,$A$2:$A$32,0),0)),0)</f>
        <v>28.047708406271873</v>
      </c>
      <c r="AG79">
        <f>AG11</f>
        <v>-1.5899999999999999</v>
      </c>
      <c r="AH79">
        <f>ROUND(AVERAGE(B79:AE79),2)-30</f>
        <v>-1.5700000000000003</v>
      </c>
      <c r="AI79">
        <f>AG79-AH79</f>
        <v>-1.9999999999999574E-2</v>
      </c>
    </row>
    <row r="80" spans="1:35" x14ac:dyDescent="0.25">
      <c r="A80" t="s">
        <v>36</v>
      </c>
      <c r="B80">
        <f>IFERROR(VLOOKUP($A80,table_rank_apm,2,0)/(VLOOKUP($A80,table_rank_apm,2,0)+VLOOKUP(B$70,table_rank_apm,2,0))*(B12+HLOOKUP($A80,table_h2h_apm,MATCH(B$70,$A$2:$A$32,0),0)),0)</f>
        <v>35.21826277924103</v>
      </c>
      <c r="C80">
        <f>IFERROR(VLOOKUP($A80,table_rank_apm,2,0)/(VLOOKUP($A80,table_rank_apm,2,0)+VLOOKUP(C$70,table_rank_apm,2,0))*(C12+HLOOKUP($A80,table_h2h_apm,MATCH(C$70,$A$2:$A$32,0),0)),0)</f>
        <v>42.393266585133347</v>
      </c>
      <c r="D80">
        <f>IFERROR(VLOOKUP($A80,table_rank_apm,2,0)/(VLOOKUP($A80,table_rank_apm,2,0)+VLOOKUP(D$70,table_rank_apm,2,0))*(D12+HLOOKUP($A80,table_h2h_apm,MATCH(D$70,$A$2:$A$32,0),0)),0)</f>
        <v>40.817208848320952</v>
      </c>
      <c r="E80">
        <f>IFERROR(VLOOKUP($A80,table_rank_apm,2,0)/(VLOOKUP($A80,table_rank_apm,2,0)+VLOOKUP(E$70,table_rank_apm,2,0))*(E12+HLOOKUP($A80,table_h2h_apm,MATCH(E$70,$A$2:$A$32,0),0)),0)</f>
        <v>43.246274933718325</v>
      </c>
      <c r="F80">
        <f>IFERROR(VLOOKUP($A80,table_rank_apm,2,0)/(VLOOKUP($A80,table_rank_apm,2,0)+VLOOKUP(F$70,table_rank_apm,2,0))*(F12+HLOOKUP($A80,table_h2h_apm,MATCH(F$70,$A$2:$A$32,0),0)),0)</f>
        <v>37.55641950673467</v>
      </c>
      <c r="G80">
        <f>IFERROR(VLOOKUP($A80,table_rank_apm,2,0)/(VLOOKUP($A80,table_rank_apm,2,0)+VLOOKUP(G$70,table_rank_apm,2,0))*(G12+HLOOKUP($A80,table_h2h_apm,MATCH(G$70,$A$2:$A$32,0),0)),0)</f>
        <v>36.058868227867798</v>
      </c>
      <c r="H80">
        <f>IFERROR(VLOOKUP($A80,table_rank_apm,2,0)/(VLOOKUP($A80,table_rank_apm,2,0)+VLOOKUP(H$70,table_rank_apm,2,0))*(H12+HLOOKUP($A80,table_h2h_apm,MATCH(H$70,$A$2:$A$32,0),0)),0)</f>
        <v>36.755629736007961</v>
      </c>
      <c r="I80">
        <f>IFERROR(VLOOKUP($A80,table_rank_apm,2,0)/(VLOOKUP($A80,table_rank_apm,2,0)+VLOOKUP(I$70,table_rank_apm,2,0))*(I12+HLOOKUP($A80,table_h2h_apm,MATCH(I$70,$A$2:$A$32,0),0)),0)</f>
        <v>43.14841798252067</v>
      </c>
      <c r="J80">
        <f>IFERROR(VLOOKUP($A80,table_rank_apm,2,0)/(VLOOKUP($A80,table_rank_apm,2,0)+VLOOKUP(J$70,table_rank_apm,2,0))*(J12+HLOOKUP($A80,table_h2h_apm,MATCH(J$70,$A$2:$A$32,0),0)),0)</f>
        <v>41.612712162222813</v>
      </c>
      <c r="K80">
        <f>IFERROR(VLOOKUP($A80,table_rank_apm,2,0)/(VLOOKUP($A80,table_rank_apm,2,0)+VLOOKUP(K$70,table_rank_apm,2,0))*(K12+HLOOKUP($A80,table_h2h_apm,MATCH(K$70,$A$2:$A$32,0),0)),0)</f>
        <v>30</v>
      </c>
      <c r="L80">
        <f>IFERROR(VLOOKUP($A80,table_rank_apm,2,0)/(VLOOKUP($A80,table_rank_apm,2,0)+VLOOKUP(L$70,table_rank_apm,2,0))*(L12+HLOOKUP($A80,table_h2h_apm,MATCH(L$70,$A$2:$A$32,0),0)),0)</f>
        <v>35.895685151008379</v>
      </c>
      <c r="M80">
        <f>IFERROR(VLOOKUP($A80,table_rank_apm,2,0)/(VLOOKUP($A80,table_rank_apm,2,0)+VLOOKUP(M$70,table_rank_apm,2,0))*(M12+HLOOKUP($A80,table_h2h_apm,MATCH(M$70,$A$2:$A$32,0),0)),0)</f>
        <v>40.700640548364582</v>
      </c>
      <c r="N80">
        <f>IFERROR(VLOOKUP($A80,table_rank_apm,2,0)/(VLOOKUP($A80,table_rank_apm,2,0)+VLOOKUP(N$70,table_rank_apm,2,0))*(N12+HLOOKUP($A80,table_h2h_apm,MATCH(N$70,$A$2:$A$32,0),0)),0)</f>
        <v>34.046235569594842</v>
      </c>
      <c r="O80">
        <f>IFERROR(VLOOKUP($A80,table_rank_apm,2,0)/(VLOOKUP($A80,table_rank_apm,2,0)+VLOOKUP(O$70,table_rank_apm,2,0))*(O12+HLOOKUP($A80,table_h2h_apm,MATCH(O$70,$A$2:$A$32,0),0)),0)</f>
        <v>44.975222389442273</v>
      </c>
      <c r="P80">
        <f>IFERROR(VLOOKUP($A80,table_rank_apm,2,0)/(VLOOKUP($A80,table_rank_apm,2,0)+VLOOKUP(P$70,table_rank_apm,2,0))*(P12+HLOOKUP($A80,table_h2h_apm,MATCH(P$70,$A$2:$A$32,0),0)),0)</f>
        <v>37.141356386038666</v>
      </c>
      <c r="Q80">
        <f>IFERROR(VLOOKUP($A80,table_rank_apm,2,0)/(VLOOKUP($A80,table_rank_apm,2,0)+VLOOKUP(Q$70,table_rank_apm,2,0))*(Q12+HLOOKUP($A80,table_h2h_apm,MATCH(Q$70,$A$2:$A$32,0),0)),0)</f>
        <v>42.894233299674077</v>
      </c>
      <c r="R80">
        <f>IFERROR(VLOOKUP($A80,table_rank_apm,2,0)/(VLOOKUP($A80,table_rank_apm,2,0)+VLOOKUP(R$70,table_rank_apm,2,0))*(R12+HLOOKUP($A80,table_h2h_apm,MATCH(R$70,$A$2:$A$32,0),0)),0)</f>
        <v>40.759729911711219</v>
      </c>
      <c r="S80">
        <f>IFERROR(VLOOKUP($A80,table_rank_apm,2,0)/(VLOOKUP($A80,table_rank_apm,2,0)+VLOOKUP(S$70,table_rank_apm,2,0))*(S12+HLOOKUP($A80,table_h2h_apm,MATCH(S$70,$A$2:$A$32,0),0)),0)</f>
        <v>46.690412607432506</v>
      </c>
      <c r="T80">
        <f>IFERROR(VLOOKUP($A80,table_rank_apm,2,0)/(VLOOKUP($A80,table_rank_apm,2,0)+VLOOKUP(T$70,table_rank_apm,2,0))*(T12+HLOOKUP($A80,table_h2h_apm,MATCH(T$70,$A$2:$A$32,0),0)),0)</f>
        <v>39.718823559903583</v>
      </c>
      <c r="U80">
        <f>IFERROR(VLOOKUP($A80,table_rank_apm,2,0)/(VLOOKUP($A80,table_rank_apm,2,0)+VLOOKUP(U$70,table_rank_apm,2,0))*(U12+HLOOKUP($A80,table_h2h_apm,MATCH(U$70,$A$2:$A$32,0),0)),0)</f>
        <v>48.013591378284517</v>
      </c>
      <c r="V80">
        <f>IFERROR(VLOOKUP($A80,table_rank_apm,2,0)/(VLOOKUP($A80,table_rank_apm,2,0)+VLOOKUP(V$70,table_rank_apm,2,0))*(V12+HLOOKUP($A80,table_h2h_apm,MATCH(V$70,$A$2:$A$32,0),0)),0)</f>
        <v>38.038248499037685</v>
      </c>
      <c r="W80">
        <f>IFERROR(VLOOKUP($A80,table_rank_apm,2,0)/(VLOOKUP($A80,table_rank_apm,2,0)+VLOOKUP(W$70,table_rank_apm,2,0))*(W12+HLOOKUP($A80,table_h2h_apm,MATCH(W$70,$A$2:$A$32,0),0)),0)</f>
        <v>45.146594944282093</v>
      </c>
      <c r="X80">
        <f>IFERROR(VLOOKUP($A80,table_rank_apm,2,0)/(VLOOKUP($A80,table_rank_apm,2,0)+VLOOKUP(X$70,table_rank_apm,2,0))*(X12+HLOOKUP($A80,table_h2h_apm,MATCH(X$70,$A$2:$A$32,0),0)),0)</f>
        <v>47.413978371072687</v>
      </c>
      <c r="Y80">
        <f>IFERROR(VLOOKUP($A80,table_rank_apm,2,0)/(VLOOKUP($A80,table_rank_apm,2,0)+VLOOKUP(Y$70,table_rank_apm,2,0))*(Y12+HLOOKUP($A80,table_h2h_apm,MATCH(Y$70,$A$2:$A$32,0),0)),0)</f>
        <v>40.331152007556646</v>
      </c>
      <c r="Z80">
        <f>IFERROR(VLOOKUP($A80,table_rank_apm,2,0)/(VLOOKUP($A80,table_rank_apm,2,0)+VLOOKUP(Z$70,table_rank_apm,2,0))*(Z12+HLOOKUP($A80,table_h2h_apm,MATCH(Z$70,$A$2:$A$32,0),0)),0)</f>
        <v>36.211269739034471</v>
      </c>
      <c r="AA80">
        <f>IFERROR(VLOOKUP($A80,table_rank_apm,2,0)/(VLOOKUP($A80,table_rank_apm,2,0)+VLOOKUP(AA$70,table_rank_apm,2,0))*(AA12+HLOOKUP($A80,table_h2h_apm,MATCH(AA$70,$A$2:$A$32,0),0)),0)</f>
        <v>34.143603664150675</v>
      </c>
      <c r="AB80">
        <f>IFERROR(VLOOKUP($A80,table_rank_apm,2,0)/(VLOOKUP($A80,table_rank_apm,2,0)+VLOOKUP(AB$70,table_rank_apm,2,0))*(AB12+HLOOKUP($A80,table_h2h_apm,MATCH(AB$70,$A$2:$A$32,0),0)),0)</f>
        <v>43.032407763730298</v>
      </c>
      <c r="AC80">
        <f>IFERROR(VLOOKUP($A80,table_rank_apm,2,0)/(VLOOKUP($A80,table_rank_apm,2,0)+VLOOKUP(AC$70,table_rank_apm,2,0))*(AC12+HLOOKUP($A80,table_h2h_apm,MATCH(AC$70,$A$2:$A$32,0),0)),0)</f>
        <v>37.752005313435049</v>
      </c>
      <c r="AD80">
        <f>IFERROR(VLOOKUP($A80,table_rank_apm,2,0)/(VLOOKUP($A80,table_rank_apm,2,0)+VLOOKUP(AD$70,table_rank_apm,2,0))*(AD12+HLOOKUP($A80,table_h2h_apm,MATCH(AD$70,$A$2:$A$32,0),0)),0)</f>
        <v>39.802728488372566</v>
      </c>
      <c r="AE80">
        <f>IFERROR(VLOOKUP($A80,table_rank_apm,2,0)/(VLOOKUP($A80,table_rank_apm,2,0)+VLOOKUP(AE$70,table_rank_apm,2,0))*(AE12+HLOOKUP($A80,table_h2h_apm,MATCH(AE$70,$A$2:$A$32,0),0)),0)</f>
        <v>39.910059372237534</v>
      </c>
      <c r="AG80">
        <f>AG12</f>
        <v>9.93</v>
      </c>
      <c r="AH80">
        <f>ROUND(AVERAGE(B80:AE80),2)-30</f>
        <v>9.9799999999999969</v>
      </c>
      <c r="AI80">
        <f>AG80-AH80</f>
        <v>-4.9999999999997158E-2</v>
      </c>
    </row>
    <row r="81" spans="1:35" x14ac:dyDescent="0.25">
      <c r="A81" t="s">
        <v>16</v>
      </c>
      <c r="B81">
        <f>IFERROR(VLOOKUP($A81,table_rank_apm,2,0)/(VLOOKUP($A81,table_rank_apm,2,0)+VLOOKUP(B$70,table_rank_apm,2,0))*(B13+HLOOKUP($A81,table_h2h_apm,MATCH(B$70,$A$2:$A$32,0),0)),0)</f>
        <v>29.298601300010262</v>
      </c>
      <c r="C81">
        <f>IFERROR(VLOOKUP($A81,table_rank_apm,2,0)/(VLOOKUP($A81,table_rank_apm,2,0)+VLOOKUP(C$70,table_rank_apm,2,0))*(C13+HLOOKUP($A81,table_h2h_apm,MATCH(C$70,$A$2:$A$32,0),0)),0)</f>
        <v>37.071699715288254</v>
      </c>
      <c r="D81">
        <f>IFERROR(VLOOKUP($A81,table_rank_apm,2,0)/(VLOOKUP($A81,table_rank_apm,2,0)+VLOOKUP(D$70,table_rank_apm,2,0))*(D13+HLOOKUP($A81,table_h2h_apm,MATCH(D$70,$A$2:$A$32,0),0)),0)</f>
        <v>35.296864567807212</v>
      </c>
      <c r="E81">
        <f>IFERROR(VLOOKUP($A81,table_rank_apm,2,0)/(VLOOKUP($A81,table_rank_apm,2,0)+VLOOKUP(E$70,table_rank_apm,2,0))*(E13+HLOOKUP($A81,table_h2h_apm,MATCH(E$70,$A$2:$A$32,0),0)),0)</f>
        <v>38.049029727746024</v>
      </c>
      <c r="F81">
        <f>IFERROR(VLOOKUP($A81,table_rank_apm,2,0)/(VLOOKUP($A81,table_rank_apm,2,0)+VLOOKUP(F$70,table_rank_apm,2,0))*(F13+HLOOKUP($A81,table_h2h_apm,MATCH(F$70,$A$2:$A$32,0),0)),0)</f>
        <v>31.747222388677375</v>
      </c>
      <c r="G81">
        <f>IFERROR(VLOOKUP($A81,table_rank_apm,2,0)/(VLOOKUP($A81,table_rank_apm,2,0)+VLOOKUP(G$70,table_rank_apm,2,0))*(G13+HLOOKUP($A81,table_h2h_apm,MATCH(G$70,$A$2:$A$32,0),0)),0)</f>
        <v>30.169927534587536</v>
      </c>
      <c r="H81">
        <f>IFERROR(VLOOKUP($A81,table_rank_apm,2,0)/(VLOOKUP($A81,table_rank_apm,2,0)+VLOOKUP(H$70,table_rank_apm,2,0))*(H13+HLOOKUP($A81,table_h2h_apm,MATCH(H$70,$A$2:$A$32,0),0)),0)</f>
        <v>30.899763170128129</v>
      </c>
      <c r="I81">
        <f>IFERROR(VLOOKUP($A81,table_rank_apm,2,0)/(VLOOKUP($A81,table_rank_apm,2,0)+VLOOKUP(I$70,table_rank_apm,2,0))*(I13+HLOOKUP($A81,table_h2h_apm,MATCH(I$70,$A$2:$A$32,0),0)),0)</f>
        <v>37.936303712694681</v>
      </c>
      <c r="J81">
        <f>IFERROR(VLOOKUP($A81,table_rank_apm,2,0)/(VLOOKUP($A81,table_rank_apm,2,0)+VLOOKUP(J$70,table_rank_apm,2,0))*(J13+HLOOKUP($A81,table_h2h_apm,MATCH(J$70,$A$2:$A$32,0),0)),0)</f>
        <v>36.187741536149872</v>
      </c>
      <c r="K81">
        <f>IFERROR(VLOOKUP($A81,table_rank_apm,2,0)/(VLOOKUP($A81,table_rank_apm,2,0)+VLOOKUP(K$70,table_rank_apm,2,0))*(K13+HLOOKUP($A81,table_h2h_apm,MATCH(K$70,$A$2:$A$32,0),0)),0)</f>
        <v>24.104314848991621</v>
      </c>
      <c r="L81">
        <f>IFERROR(VLOOKUP($A81,table_rank_apm,2,0)/(VLOOKUP($A81,table_rank_apm,2,0)+VLOOKUP(L$70,table_rank_apm,2,0))*(L13+HLOOKUP($A81,table_h2h_apm,MATCH(L$70,$A$2:$A$32,0),0)),0)</f>
        <v>30</v>
      </c>
      <c r="M81">
        <f>IFERROR(VLOOKUP($A81,table_rank_apm,2,0)/(VLOOKUP($A81,table_rank_apm,2,0)+VLOOKUP(M$70,table_rank_apm,2,0))*(M13+HLOOKUP($A81,table_h2h_apm,MATCH(M$70,$A$2:$A$32,0),0)),0)</f>
        <v>35.167159545999347</v>
      </c>
      <c r="N81">
        <f>IFERROR(VLOOKUP($A81,table_rank_apm,2,0)/(VLOOKUP($A81,table_rank_apm,2,0)+VLOOKUP(N$70,table_rank_apm,2,0))*(N13+HLOOKUP($A81,table_h2h_apm,MATCH(N$70,$A$2:$A$32,0),0)),0)</f>
        <v>28.100194314820442</v>
      </c>
      <c r="O81">
        <f>IFERROR(VLOOKUP($A81,table_rank_apm,2,0)/(VLOOKUP($A81,table_rank_apm,2,0)+VLOOKUP(O$70,table_rank_apm,2,0))*(O13+HLOOKUP($A81,table_h2h_apm,MATCH(O$70,$A$2:$A$32,0),0)),0)</f>
        <v>40.067111928392848</v>
      </c>
      <c r="P81">
        <f>IFERROR(VLOOKUP($A81,table_rank_apm,2,0)/(VLOOKUP($A81,table_rank_apm,2,0)+VLOOKUP(P$70,table_rank_apm,2,0))*(P13+HLOOKUP($A81,table_h2h_apm,MATCH(P$70,$A$2:$A$32,0),0)),0)</f>
        <v>31.306805313757149</v>
      </c>
      <c r="Q81">
        <f>IFERROR(VLOOKUP($A81,table_rank_apm,2,0)/(VLOOKUP($A81,table_rank_apm,2,0)+VLOOKUP(Q$70,table_rank_apm,2,0))*(Q13+HLOOKUP($A81,table_h2h_apm,MATCH(Q$70,$A$2:$A$32,0),0)),0)</f>
        <v>37.644233999973991</v>
      </c>
      <c r="R81">
        <f>IFERROR(VLOOKUP($A81,table_rank_apm,2,0)/(VLOOKUP($A81,table_rank_apm,2,0)+VLOOKUP(R$70,table_rank_apm,2,0))*(R13+HLOOKUP($A81,table_h2h_apm,MATCH(R$70,$A$2:$A$32,0),0)),0)</f>
        <v>35.232881380613058</v>
      </c>
      <c r="S81">
        <f>IFERROR(VLOOKUP($A81,table_rank_apm,2,0)/(VLOOKUP($A81,table_rank_apm,2,0)+VLOOKUP(S$70,table_rank_apm,2,0))*(S13+HLOOKUP($A81,table_h2h_apm,MATCH(S$70,$A$2:$A$32,0),0)),0)</f>
        <v>42.119850167151021</v>
      </c>
      <c r="T81">
        <f>IFERROR(VLOOKUP($A81,table_rank_apm,2,0)/(VLOOKUP($A81,table_rank_apm,2,0)+VLOOKUP(T$70,table_rank_apm,2,0))*(T13+HLOOKUP($A81,table_h2h_apm,MATCH(T$70,$A$2:$A$32,0),0)),0)</f>
        <v>34.083091242656153</v>
      </c>
      <c r="U81">
        <f>IFERROR(VLOOKUP($A81,table_rank_apm,2,0)/(VLOOKUP($A81,table_rank_apm,2,0)+VLOOKUP(U$70,table_rank_apm,2,0))*(U13+HLOOKUP($A81,table_h2h_apm,MATCH(U$70,$A$2:$A$32,0),0)),0)</f>
        <v>43.73916534005189</v>
      </c>
      <c r="V81">
        <f>IFERROR(VLOOKUP($A81,table_rank_apm,2,0)/(VLOOKUP($A81,table_rank_apm,2,0)+VLOOKUP(V$70,table_rank_apm,2,0))*(V13+HLOOKUP($A81,table_h2h_apm,MATCH(V$70,$A$2:$A$32,0),0)),0)</f>
        <v>32.261654490195433</v>
      </c>
      <c r="W81">
        <f>IFERROR(VLOOKUP($A81,table_rank_apm,2,0)/(VLOOKUP($A81,table_rank_apm,2,0)+VLOOKUP(W$70,table_rank_apm,2,0))*(W13+HLOOKUP($A81,table_h2h_apm,MATCH(W$70,$A$2:$A$32,0),0)),0)</f>
        <v>40.26990778688068</v>
      </c>
      <c r="X81">
        <f>IFERROR(VLOOKUP($A81,table_rank_apm,2,0)/(VLOOKUP($A81,table_rank_apm,2,0)+VLOOKUP(X$70,table_rank_apm,2,0))*(X13+HLOOKUP($A81,table_h2h_apm,MATCH(X$70,$A$2:$A$32,0),0)),0)</f>
        <v>43.001428809123361</v>
      </c>
      <c r="Y81">
        <f>IFERROR(VLOOKUP($A81,table_rank_apm,2,0)/(VLOOKUP($A81,table_rank_apm,2,0)+VLOOKUP(Y$70,table_rank_apm,2,0))*(Y13+HLOOKUP($A81,table_h2h_apm,MATCH(Y$70,$A$2:$A$32,0),0)),0)</f>
        <v>34.757435385522257</v>
      </c>
      <c r="Z81">
        <f>IFERROR(VLOOKUP($A81,table_rank_apm,2,0)/(VLOOKUP($A81,table_rank_apm,2,0)+VLOOKUP(Z$70,table_rank_apm,2,0))*(Z13+HLOOKUP($A81,table_h2h_apm,MATCH(Z$70,$A$2:$A$32,0),0)),0)</f>
        <v>30.328969894479719</v>
      </c>
      <c r="AA81">
        <f>IFERROR(VLOOKUP($A81,table_rank_apm,2,0)/(VLOOKUP($A81,table_rank_apm,2,0)+VLOOKUP(AA$70,table_rank_apm,2,0))*(AA13+HLOOKUP($A81,table_h2h_apm,MATCH(AA$70,$A$2:$A$32,0),0)),0)</f>
        <v>28.19903351388794</v>
      </c>
      <c r="AB81">
        <f>IFERROR(VLOOKUP($A81,table_rank_apm,2,0)/(VLOOKUP($A81,table_rank_apm,2,0)+VLOOKUP(AB$70,table_rank_apm,2,0))*(AB13+HLOOKUP($A81,table_h2h_apm,MATCH(AB$70,$A$2:$A$32,0),0)),0)</f>
        <v>37.802870797788067</v>
      </c>
      <c r="AC81">
        <f>IFERROR(VLOOKUP($A81,table_rank_apm,2,0)/(VLOOKUP($A81,table_rank_apm,2,0)+VLOOKUP(AC$70,table_rank_apm,2,0))*(AC13+HLOOKUP($A81,table_h2h_apm,MATCH(AC$70,$A$2:$A$32,0),0)),0)</f>
        <v>31.955630061256478</v>
      </c>
      <c r="AD81">
        <f>IFERROR(VLOOKUP($A81,table_rank_apm,2,0)/(VLOOKUP($A81,table_rank_apm,2,0)+VLOOKUP(AD$70,table_rank_apm,2,0))*(AD13+HLOOKUP($A81,table_h2h_apm,MATCH(AD$70,$A$2:$A$32,0),0)),0)</f>
        <v>34.175152126544418</v>
      </c>
      <c r="AE81">
        <f>IFERROR(VLOOKUP($A81,table_rank_apm,2,0)/(VLOOKUP($A81,table_rank_apm,2,0)+VLOOKUP(AE$70,table_rank_apm,2,0))*(AE13+HLOOKUP($A81,table_h2h_apm,MATCH(AE$70,$A$2:$A$32,0),0)),0)</f>
        <v>34.293073849159555</v>
      </c>
      <c r="AG81">
        <f>AG13</f>
        <v>4.4600000000000009</v>
      </c>
      <c r="AH81">
        <f>ROUND(AVERAGE(B81:AE81),2)-30</f>
        <v>4.509999999999998</v>
      </c>
      <c r="AI81">
        <f>AG81-AH81</f>
        <v>-4.9999999999997158E-2</v>
      </c>
    </row>
    <row r="82" spans="1:35" x14ac:dyDescent="0.25">
      <c r="A82" t="s">
        <v>20</v>
      </c>
      <c r="B82">
        <f>IFERROR(VLOOKUP($A82,table_rank_apm,2,0)/(VLOOKUP($A82,table_rank_apm,2,0)+VLOOKUP(B$70,table_rank_apm,2,0))*(B14+HLOOKUP($A82,table_h2h_apm,MATCH(B$70,$A$2:$A$32,0),0)),0)</f>
        <v>24.154979256306643</v>
      </c>
      <c r="C82">
        <f>IFERROR(VLOOKUP($A82,table_rank_apm,2,0)/(VLOOKUP($A82,table_rank_apm,2,0)+VLOOKUP(C$70,table_rank_apm,2,0))*(C14+HLOOKUP($A82,table_h2h_apm,MATCH(C$70,$A$2:$A$32,0),0)),0)</f>
        <v>31.985138101143303</v>
      </c>
      <c r="D82">
        <f>IFERROR(VLOOKUP($A82,table_rank_apm,2,0)/(VLOOKUP($A82,table_rank_apm,2,0)+VLOOKUP(D$70,table_rank_apm,2,0))*(D14+HLOOKUP($A82,table_h2h_apm,MATCH(D$70,$A$2:$A$32,0),0)),0)</f>
        <v>30.13377317468267</v>
      </c>
      <c r="E82">
        <f>IFERROR(VLOOKUP($A82,table_rank_apm,2,0)/(VLOOKUP($A82,table_rank_apm,2,0)+VLOOKUP(E$70,table_rank_apm,2,0))*(E14+HLOOKUP($A82,table_h2h_apm,MATCH(E$70,$A$2:$A$32,0),0)),0)</f>
        <v>33.021499096352308</v>
      </c>
      <c r="F82">
        <f>IFERROR(VLOOKUP($A82,table_rank_apm,2,0)/(VLOOKUP($A82,table_rank_apm,2,0)+VLOOKUP(F$70,table_rank_apm,2,0))*(F14+HLOOKUP($A82,table_h2h_apm,MATCH(F$70,$A$2:$A$32,0),0)),0)</f>
        <v>26.545408775454543</v>
      </c>
      <c r="G82">
        <f>IFERROR(VLOOKUP($A82,table_rank_apm,2,0)/(VLOOKUP($A82,table_rank_apm,2,0)+VLOOKUP(G$70,table_rank_apm,2,0))*(G14+HLOOKUP($A82,table_h2h_apm,MATCH(G$70,$A$2:$A$32,0),0)),0)</f>
        <v>24.997887913127315</v>
      </c>
      <c r="H82">
        <f>IFERROR(VLOOKUP($A82,table_rank_apm,2,0)/(VLOOKUP($A82,table_rank_apm,2,0)+VLOOKUP(H$70,table_rank_apm,2,0))*(H14+HLOOKUP($A82,table_h2h_apm,MATCH(H$70,$A$2:$A$32,0),0)),0)</f>
        <v>25.710444639746225</v>
      </c>
      <c r="I82">
        <f>IFERROR(VLOOKUP($A82,table_rank_apm,2,0)/(VLOOKUP($A82,table_rank_apm,2,0)+VLOOKUP(I$70,table_rank_apm,2,0))*(I14+HLOOKUP($A82,table_h2h_apm,MATCH(I$70,$A$2:$A$32,0),0)),0)</f>
        <v>32.901342710923885</v>
      </c>
      <c r="J82">
        <f>IFERROR(VLOOKUP($A82,table_rank_apm,2,0)/(VLOOKUP($A82,table_rank_apm,2,0)+VLOOKUP(J$70,table_rank_apm,2,0))*(J14+HLOOKUP($A82,table_h2h_apm,MATCH(J$70,$A$2:$A$32,0),0)),0)</f>
        <v>31.058174275293048</v>
      </c>
      <c r="K82">
        <f>IFERROR(VLOOKUP($A82,table_rank_apm,2,0)/(VLOOKUP($A82,table_rank_apm,2,0)+VLOOKUP(K$70,table_rank_apm,2,0))*(K14+HLOOKUP($A82,table_h2h_apm,MATCH(K$70,$A$2:$A$32,0),0)),0)</f>
        <v>19.299359451635418</v>
      </c>
      <c r="L82">
        <f>IFERROR(VLOOKUP($A82,table_rank_apm,2,0)/(VLOOKUP($A82,table_rank_apm,2,0)+VLOOKUP(L$70,table_rank_apm,2,0))*(L14+HLOOKUP($A82,table_h2h_apm,MATCH(L$70,$A$2:$A$32,0),0)),0)</f>
        <v>24.83284045400065</v>
      </c>
      <c r="M82">
        <f>IFERROR(VLOOKUP($A82,table_rank_apm,2,0)/(VLOOKUP($A82,table_rank_apm,2,0)+VLOOKUP(M$70,table_rank_apm,2,0))*(M14+HLOOKUP($A82,table_h2h_apm,MATCH(M$70,$A$2:$A$32,0),0)),0)</f>
        <v>30</v>
      </c>
      <c r="N82">
        <f>IFERROR(VLOOKUP($A82,table_rank_apm,2,0)/(VLOOKUP($A82,table_rank_apm,2,0)+VLOOKUP(N$70,table_rank_apm,2,0))*(N14+HLOOKUP($A82,table_h2h_apm,MATCH(N$70,$A$2:$A$32,0),0)),0)</f>
        <v>23.009284822369189</v>
      </c>
      <c r="O82">
        <f>IFERROR(VLOOKUP($A82,table_rank_apm,2,0)/(VLOOKUP($A82,table_rank_apm,2,0)+VLOOKUP(O$70,table_rank_apm,2,0))*(O14+HLOOKUP($A82,table_h2h_apm,MATCH(O$70,$A$2:$A$32,0),0)),0)</f>
        <v>35.200533839823287</v>
      </c>
      <c r="P82">
        <f>IFERROR(VLOOKUP($A82,table_rank_apm,2,0)/(VLOOKUP($A82,table_rank_apm,2,0)+VLOOKUP(P$70,table_rank_apm,2,0))*(P14+HLOOKUP($A82,table_h2h_apm,MATCH(P$70,$A$2:$A$32,0),0)),0)</f>
        <v>26.110463563158646</v>
      </c>
      <c r="Q82">
        <f>IFERROR(VLOOKUP($A82,table_rank_apm,2,0)/(VLOOKUP($A82,table_rank_apm,2,0)+VLOOKUP(Q$70,table_rank_apm,2,0))*(Q14+HLOOKUP($A82,table_h2h_apm,MATCH(Q$70,$A$2:$A$32,0),0)),0)</f>
        <v>32.590777870301984</v>
      </c>
      <c r="R82">
        <f>IFERROR(VLOOKUP($A82,table_rank_apm,2,0)/(VLOOKUP($A82,table_rank_apm,2,0)+VLOOKUP(R$70,table_rank_apm,2,0))*(R14+HLOOKUP($A82,table_h2h_apm,MATCH(R$70,$A$2:$A$32,0),0)),0)</f>
        <v>30.06775750596265</v>
      </c>
      <c r="S82">
        <f>IFERROR(VLOOKUP($A82,table_rank_apm,2,0)/(VLOOKUP($A82,table_rank_apm,2,0)+VLOOKUP(S$70,table_rank_apm,2,0))*(S14+HLOOKUP($A82,table_h2h_apm,MATCH(S$70,$A$2:$A$32,0),0)),0)</f>
        <v>37.472665233304248</v>
      </c>
      <c r="T82">
        <f>IFERROR(VLOOKUP($A82,table_rank_apm,2,0)/(VLOOKUP($A82,table_rank_apm,2,0)+VLOOKUP(T$70,table_rank_apm,2,0))*(T14+HLOOKUP($A82,table_h2h_apm,MATCH(T$70,$A$2:$A$32,0),0)),0)</f>
        <v>28.889908709813874</v>
      </c>
      <c r="U82">
        <f>IFERROR(VLOOKUP($A82,table_rank_apm,2,0)/(VLOOKUP($A82,table_rank_apm,2,0)+VLOOKUP(U$70,table_rank_apm,2,0))*(U14+HLOOKUP($A82,table_h2h_apm,MATCH(U$70,$A$2:$A$32,0),0)),0)</f>
        <v>39.306073631747395</v>
      </c>
      <c r="V82">
        <f>IFERROR(VLOOKUP($A82,table_rank_apm,2,0)/(VLOOKUP($A82,table_rank_apm,2,0)+VLOOKUP(V$70,table_rank_apm,2,0))*(V14+HLOOKUP($A82,table_h2h_apm,MATCH(V$70,$A$2:$A$32,0),0)),0)</f>
        <v>27.056271182888626</v>
      </c>
      <c r="W82">
        <f>IFERROR(VLOOKUP($A82,table_rank_apm,2,0)/(VLOOKUP($A82,table_rank_apm,2,0)+VLOOKUP(W$70,table_rank_apm,2,0))*(W14+HLOOKUP($A82,table_h2h_apm,MATCH(W$70,$A$2:$A$32,0),0)),0)</f>
        <v>35.422470680794106</v>
      </c>
      <c r="X82">
        <f>IFERROR(VLOOKUP($A82,table_rank_apm,2,0)/(VLOOKUP($A82,table_rank_apm,2,0)+VLOOKUP(X$70,table_rank_apm,2,0))*(X14+HLOOKUP($A82,table_h2h_apm,MATCH(X$70,$A$2:$A$32,0),0)),0)</f>
        <v>38.466230644956283</v>
      </c>
      <c r="Y82">
        <f>IFERROR(VLOOKUP($A82,table_rank_apm,2,0)/(VLOOKUP($A82,table_rank_apm,2,0)+VLOOKUP(Y$70,table_rank_apm,2,0))*(Y14+HLOOKUP($A82,table_h2h_apm,MATCH(Y$70,$A$2:$A$32,0),0)),0)</f>
        <v>29.578770456427371</v>
      </c>
      <c r="Z82">
        <f>IFERROR(VLOOKUP($A82,table_rank_apm,2,0)/(VLOOKUP($A82,table_rank_apm,2,0)+VLOOKUP(Z$70,table_rank_apm,2,0))*(Z14+HLOOKUP($A82,table_h2h_apm,MATCH(Z$70,$A$2:$A$32,0),0)),0)</f>
        <v>25.15265511470988</v>
      </c>
      <c r="AA82">
        <f>IFERROR(VLOOKUP($A82,table_rank_apm,2,0)/(VLOOKUP($A82,table_rank_apm,2,0)+VLOOKUP(AA$70,table_rank_apm,2,0))*(AA14+HLOOKUP($A82,table_h2h_apm,MATCH(AA$70,$A$2:$A$32,0),0)),0)</f>
        <v>23.103186112877772</v>
      </c>
      <c r="AB82">
        <f>IFERROR(VLOOKUP($A82,table_rank_apm,2,0)/(VLOOKUP($A82,table_rank_apm,2,0)+VLOOKUP(AB$70,table_rank_apm,2,0))*(AB14+HLOOKUP($A82,table_h2h_apm,MATCH(AB$70,$A$2:$A$32,0),0)),0)</f>
        <v>32.759324957763397</v>
      </c>
      <c r="AC82">
        <f>IFERROR(VLOOKUP($A82,table_rank_apm,2,0)/(VLOOKUP($A82,table_rank_apm,2,0)+VLOOKUP(AC$70,table_rank_apm,2,0))*(AC14+HLOOKUP($A82,table_h2h_apm,MATCH(AC$70,$A$2:$A$32,0),0)),0)</f>
        <v>26.752002531853055</v>
      </c>
      <c r="AD82">
        <f>IFERROR(VLOOKUP($A82,table_rank_apm,2,0)/(VLOOKUP($A82,table_rank_apm,2,0)+VLOOKUP(AD$70,table_rank_apm,2,0))*(AD14+HLOOKUP($A82,table_h2h_apm,MATCH(AD$70,$A$2:$A$32,0),0)),0)</f>
        <v>28.983629412846224</v>
      </c>
      <c r="AE82">
        <f>IFERROR(VLOOKUP($A82,table_rank_apm,2,0)/(VLOOKUP($A82,table_rank_apm,2,0)+VLOOKUP(AE$70,table_rank_apm,2,0))*(AE14+HLOOKUP($A82,table_h2h_apm,MATCH(AE$70,$A$2:$A$32,0),0)),0)</f>
        <v>29.10382559812065</v>
      </c>
      <c r="AG82">
        <f>AG14</f>
        <v>-0.5</v>
      </c>
      <c r="AH82">
        <f>ROUND(AVERAGE(B82:AE82),2)-30</f>
        <v>-0.53999999999999915</v>
      </c>
      <c r="AI82">
        <f>AG82-AH82</f>
        <v>3.9999999999999147E-2</v>
      </c>
    </row>
    <row r="83" spans="1:35" x14ac:dyDescent="0.25">
      <c r="A83" t="s">
        <v>41</v>
      </c>
      <c r="B83">
        <f>IFERROR(VLOOKUP($A83,table_rank_apm,2,0)/(VLOOKUP($A83,table_rank_apm,2,0)+VLOOKUP(B$70,table_rank_apm,2,0))*(B15+HLOOKUP($A83,table_h2h_apm,MATCH(B$70,$A$2:$A$32,0),0)),0)</f>
        <v>31.200183952529862</v>
      </c>
      <c r="C83">
        <f>IFERROR(VLOOKUP($A83,table_rank_apm,2,0)/(VLOOKUP($A83,table_rank_apm,2,0)+VLOOKUP(C$70,table_rank_apm,2,0))*(C15+HLOOKUP($A83,table_h2h_apm,MATCH(C$70,$A$2:$A$32,0),0)),0)</f>
        <v>38.839551954217868</v>
      </c>
      <c r="D83">
        <f>IFERROR(VLOOKUP($A83,table_rank_apm,2,0)/(VLOOKUP($A83,table_rank_apm,2,0)+VLOOKUP(D$70,table_rank_apm,2,0))*(D15+HLOOKUP($A83,table_h2h_apm,MATCH(D$70,$A$2:$A$32,0),0)),0)</f>
        <v>37.11709313770578</v>
      </c>
      <c r="E83">
        <f>IFERROR(VLOOKUP($A83,table_rank_apm,2,0)/(VLOOKUP($A83,table_rank_apm,2,0)+VLOOKUP(E$70,table_rank_apm,2,0))*(E15+HLOOKUP($A83,table_h2h_apm,MATCH(E$70,$A$2:$A$32,0),0)),0)</f>
        <v>39.782622221835624</v>
      </c>
      <c r="F83">
        <f>IFERROR(VLOOKUP($A83,table_rank_apm,2,0)/(VLOOKUP($A83,table_rank_apm,2,0)+VLOOKUP(F$70,table_rank_apm,2,0))*(F15+HLOOKUP($A83,table_h2h_apm,MATCH(F$70,$A$2:$A$32,0),0)),0)</f>
        <v>33.633626520302521</v>
      </c>
      <c r="G83">
        <f>IFERROR(VLOOKUP($A83,table_rank_apm,2,0)/(VLOOKUP($A83,table_rank_apm,2,0)+VLOOKUP(G$70,table_rank_apm,2,0))*(G15+HLOOKUP($A83,table_h2h_apm,MATCH(G$70,$A$2:$A$32,0),0)),0)</f>
        <v>32.068991074286522</v>
      </c>
      <c r="H83">
        <f>IFERROR(VLOOKUP($A83,table_rank_apm,2,0)/(VLOOKUP($A83,table_rank_apm,2,0)+VLOOKUP(H$70,table_rank_apm,2,0))*(H15+HLOOKUP($A83,table_h2h_apm,MATCH(H$70,$A$2:$A$32,0),0)),0)</f>
        <v>32.794261697963819</v>
      </c>
      <c r="I83">
        <f>IFERROR(VLOOKUP($A83,table_rank_apm,2,0)/(VLOOKUP($A83,table_rank_apm,2,0)+VLOOKUP(I$70,table_rank_apm,2,0))*(I15+HLOOKUP($A83,table_h2h_apm,MATCH(I$70,$A$2:$A$32,0),0)),0)</f>
        <v>39.674043004821193</v>
      </c>
      <c r="J83">
        <f>IFERROR(VLOOKUP($A83,table_rank_apm,2,0)/(VLOOKUP($A83,table_rank_apm,2,0)+VLOOKUP(J$70,table_rank_apm,2,0))*(J15+HLOOKUP($A83,table_h2h_apm,MATCH(J$70,$A$2:$A$32,0),0)),0)</f>
        <v>37.983272321269951</v>
      </c>
      <c r="K83">
        <f>IFERROR(VLOOKUP($A83,table_rank_apm,2,0)/(VLOOKUP($A83,table_rank_apm,2,0)+VLOOKUP(K$70,table_rank_apm,2,0))*(K15+HLOOKUP($A83,table_h2h_apm,MATCH(K$70,$A$2:$A$32,0),0)),0)</f>
        <v>25.953764430405162</v>
      </c>
      <c r="L83">
        <f>IFERROR(VLOOKUP($A83,table_rank_apm,2,0)/(VLOOKUP($A83,table_rank_apm,2,0)+VLOOKUP(L$70,table_rank_apm,2,0))*(L15+HLOOKUP($A83,table_h2h_apm,MATCH(L$70,$A$2:$A$32,0),0)),0)</f>
        <v>31.899805685179562</v>
      </c>
      <c r="M83">
        <f>IFERROR(VLOOKUP($A83,table_rank_apm,2,0)/(VLOOKUP($A83,table_rank_apm,2,0)+VLOOKUP(M$70,table_rank_apm,2,0))*(M15+HLOOKUP($A83,table_h2h_apm,MATCH(M$70,$A$2:$A$32,0),0)),0)</f>
        <v>36.990715177630804</v>
      </c>
      <c r="N83">
        <f>IFERROR(VLOOKUP($A83,table_rank_apm,2,0)/(VLOOKUP($A83,table_rank_apm,2,0)+VLOOKUP(N$70,table_rank_apm,2,0))*(N15+HLOOKUP($A83,table_h2h_apm,MATCH(N$70,$A$2:$A$32,0),0)),0)</f>
        <v>30</v>
      </c>
      <c r="O83">
        <f>IFERROR(VLOOKUP($A83,table_rank_apm,2,0)/(VLOOKUP($A83,table_rank_apm,2,0)+VLOOKUP(O$70,table_rank_apm,2,0))*(O15+HLOOKUP($A83,table_h2h_apm,MATCH(O$70,$A$2:$A$32,0),0)),0)</f>
        <v>41.717904889427693</v>
      </c>
      <c r="P83">
        <f>IFERROR(VLOOKUP($A83,table_rank_apm,2,0)/(VLOOKUP($A83,table_rank_apm,2,0)+VLOOKUP(P$70,table_rank_apm,2,0))*(P15+HLOOKUP($A83,table_h2h_apm,MATCH(P$70,$A$2:$A$32,0),0)),0)</f>
        <v>33.197789802800607</v>
      </c>
      <c r="Q83">
        <f>IFERROR(VLOOKUP($A83,table_rank_apm,2,0)/(VLOOKUP($A83,table_rank_apm,2,0)+VLOOKUP(Q$70,table_rank_apm,2,0))*(Q15+HLOOKUP($A83,table_h2h_apm,MATCH(Q$70,$A$2:$A$32,0),0)),0)</f>
        <v>39.392480950977898</v>
      </c>
      <c r="R83">
        <f>IFERROR(VLOOKUP($A83,table_rank_apm,2,0)/(VLOOKUP($A83,table_rank_apm,2,0)+VLOOKUP(R$70,table_rank_apm,2,0))*(R15+HLOOKUP($A83,table_h2h_apm,MATCH(R$70,$A$2:$A$32,0),0)),0)</f>
        <v>37.054759736694152</v>
      </c>
      <c r="S83">
        <f>IFERROR(VLOOKUP($A83,table_rank_apm,2,0)/(VLOOKUP($A83,table_rank_apm,2,0)+VLOOKUP(S$70,table_rank_apm,2,0))*(S15+HLOOKUP($A83,table_h2h_apm,MATCH(S$70,$A$2:$A$32,0),0)),0)</f>
        <v>43.669928054485204</v>
      </c>
      <c r="T83">
        <f>IFERROR(VLOOKUP($A83,table_rank_apm,2,0)/(VLOOKUP($A83,table_rank_apm,2,0)+VLOOKUP(T$70,table_rank_apm,2,0))*(T15+HLOOKUP($A83,table_h2h_apm,MATCH(T$70,$A$2:$A$32,0),0)),0)</f>
        <v>35.931771124620369</v>
      </c>
      <c r="U83">
        <f>IFERROR(VLOOKUP($A83,table_rank_apm,2,0)/(VLOOKUP($A83,table_rank_apm,2,0)+VLOOKUP(U$70,table_rank_apm,2,0))*(U15+HLOOKUP($A83,table_h2h_apm,MATCH(U$70,$A$2:$A$32,0),0)),0)</f>
        <v>45.198193943023995</v>
      </c>
      <c r="V83">
        <f>IFERROR(VLOOKUP($A83,table_rank_apm,2,0)/(VLOOKUP($A83,table_rank_apm,2,0)+VLOOKUP(V$70,table_rank_apm,2,0))*(V15+HLOOKUP($A83,table_h2h_apm,MATCH(V$70,$A$2:$A$32,0),0)),0)</f>
        <v>34.141687281429789</v>
      </c>
      <c r="W83">
        <f>IFERROR(VLOOKUP($A83,table_rank_apm,2,0)/(VLOOKUP($A83,table_rank_apm,2,0)+VLOOKUP(W$70,table_rank_apm,2,0))*(W15+HLOOKUP($A83,table_h2h_apm,MATCH(W$70,$A$2:$A$32,0),0)),0)</f>
        <v>41.911487909702991</v>
      </c>
      <c r="X83">
        <f>IFERROR(VLOOKUP($A83,table_rank_apm,2,0)/(VLOOKUP($A83,table_rank_apm,2,0)+VLOOKUP(X$70,table_rank_apm,2,0))*(X15+HLOOKUP($A83,table_h2h_apm,MATCH(X$70,$A$2:$A$32,0),0)),0)</f>
        <v>44.503199213742917</v>
      </c>
      <c r="Y83">
        <f>IFERROR(VLOOKUP($A83,table_rank_apm,2,0)/(VLOOKUP($A83,table_rank_apm,2,0)+VLOOKUP(Y$70,table_rank_apm,2,0))*(Y15+HLOOKUP($A83,table_h2h_apm,MATCH(Y$70,$A$2:$A$32,0),0)),0)</f>
        <v>36.591050788875009</v>
      </c>
      <c r="Z83">
        <f>IFERROR(VLOOKUP($A83,table_rank_apm,2,0)/(VLOOKUP($A83,table_rank_apm,2,0)+VLOOKUP(Z$70,table_rank_apm,2,0))*(Z15+HLOOKUP($A83,table_h2h_apm,MATCH(Z$70,$A$2:$A$32,0),0)),0)</f>
        <v>32.227228945167873</v>
      </c>
      <c r="AA83">
        <f>IFERROR(VLOOKUP($A83,table_rank_apm,2,0)/(VLOOKUP($A83,table_rank_apm,2,0)+VLOOKUP(AA$70,table_rank_apm,2,0))*(AA15+HLOOKUP($A83,table_h2h_apm,MATCH(AA$70,$A$2:$A$32,0),0)),0)</f>
        <v>30.099216385189187</v>
      </c>
      <c r="AB83">
        <f>IFERROR(VLOOKUP($A83,table_rank_apm,2,0)/(VLOOKUP($A83,table_rank_apm,2,0)+VLOOKUP(AB$70,table_rank_apm,2,0))*(AB15+HLOOKUP($A83,table_h2h_apm,MATCH(AB$70,$A$2:$A$32,0),0)),0)</f>
        <v>39.545452921657926</v>
      </c>
      <c r="AC83">
        <f>IFERROR(VLOOKUP($A83,table_rank_apm,2,0)/(VLOOKUP($A83,table_rank_apm,2,0)+VLOOKUP(AC$70,table_rank_apm,2,0))*(AC15+HLOOKUP($A83,table_h2h_apm,MATCH(AC$70,$A$2:$A$32,0),0)),0)</f>
        <v>33.839585438138492</v>
      </c>
      <c r="AD83">
        <f>IFERROR(VLOOKUP($A83,table_rank_apm,2,0)/(VLOOKUP($A83,table_rank_apm,2,0)+VLOOKUP(AD$70,table_rank_apm,2,0))*(AD15+HLOOKUP($A83,table_h2h_apm,MATCH(AD$70,$A$2:$A$32,0),0)),0)</f>
        <v>36.021885080115702</v>
      </c>
      <c r="AE83">
        <f>IFERROR(VLOOKUP($A83,table_rank_apm,2,0)/(VLOOKUP($A83,table_rank_apm,2,0)+VLOOKUP(AE$70,table_rank_apm,2,0))*(AE15+HLOOKUP($A83,table_h2h_apm,MATCH(AE$70,$A$2:$A$32,0),0)),0)</f>
        <v>36.137262258283783</v>
      </c>
      <c r="AG83">
        <f>AG15</f>
        <v>6.6099999999999994</v>
      </c>
      <c r="AH83">
        <f>ROUND(AVERAGE(B83:AE83),2)-30</f>
        <v>6.2999999999999972</v>
      </c>
      <c r="AI83">
        <f>AG83-AH83</f>
        <v>0.31000000000000227</v>
      </c>
    </row>
    <row r="84" spans="1:35" x14ac:dyDescent="0.25">
      <c r="A84" t="s">
        <v>17</v>
      </c>
      <c r="B84">
        <f>IFERROR(VLOOKUP($A84,table_rank_apm,2,0)/(VLOOKUP($A84,table_rank_apm,2,0)+VLOOKUP(B$70,table_rank_apm,2,0))*(B16+HLOOKUP($A84,table_h2h_apm,MATCH(B$70,$A$2:$A$32,0),0)),0)</f>
        <v>19.315317346015654</v>
      </c>
      <c r="C84">
        <f>IFERROR(VLOOKUP($A84,table_rank_apm,2,0)/(VLOOKUP($A84,table_rank_apm,2,0)+VLOOKUP(C$70,table_rank_apm,2,0))*(C16+HLOOKUP($A84,table_h2h_apm,MATCH(C$70,$A$2:$A$32,0),0)),0)</f>
        <v>26.747292899556985</v>
      </c>
      <c r="D84">
        <f>IFERROR(VLOOKUP($A84,table_rank_apm,2,0)/(VLOOKUP($A84,table_rank_apm,2,0)+VLOOKUP(D$70,table_rank_apm,2,0))*(D16+HLOOKUP($A84,table_h2h_apm,MATCH(D$70,$A$2:$A$32,0),0)),0)</f>
        <v>24.929319744535224</v>
      </c>
      <c r="E84">
        <f>IFERROR(VLOOKUP($A84,table_rank_apm,2,0)/(VLOOKUP($A84,table_rank_apm,2,0)+VLOOKUP(E$70,table_rank_apm,2,0))*(E16+HLOOKUP($A84,table_h2h_apm,MATCH(E$70,$A$2:$A$32,0),0)),0)</f>
        <v>27.782244707173135</v>
      </c>
      <c r="F84">
        <f>IFERROR(VLOOKUP($A84,table_rank_apm,2,0)/(VLOOKUP($A84,table_rank_apm,2,0)+VLOOKUP(F$70,table_rank_apm,2,0))*(F16+HLOOKUP($A84,table_h2h_apm,MATCH(F$70,$A$2:$A$32,0),0)),0)</f>
        <v>21.514266382299809</v>
      </c>
      <c r="G84">
        <f>IFERROR(VLOOKUP($A84,table_rank_apm,2,0)/(VLOOKUP($A84,table_rank_apm,2,0)+VLOOKUP(G$70,table_rank_apm,2,0))*(G16+HLOOKUP($A84,table_h2h_apm,MATCH(G$70,$A$2:$A$32,0),0)),0)</f>
        <v>20.083967658025831</v>
      </c>
      <c r="H84">
        <f>IFERROR(VLOOKUP($A84,table_rank_apm,2,0)/(VLOOKUP($A84,table_rank_apm,2,0)+VLOOKUP(H$70,table_rank_apm,2,0))*(H16+HLOOKUP($A84,table_h2h_apm,MATCH(H$70,$A$2:$A$32,0),0)),0)</f>
        <v>20.739448768120692</v>
      </c>
      <c r="I84">
        <f>IFERROR(VLOOKUP($A84,table_rank_apm,2,0)/(VLOOKUP($A84,table_rank_apm,2,0)+VLOOKUP(I$70,table_rank_apm,2,0))*(I16+HLOOKUP($A84,table_h2h_apm,MATCH(I$70,$A$2:$A$32,0),0)),0)</f>
        <v>27.661605608718364</v>
      </c>
      <c r="J84">
        <f>IFERROR(VLOOKUP($A84,table_rank_apm,2,0)/(VLOOKUP($A84,table_rank_apm,2,0)+VLOOKUP(J$70,table_rank_apm,2,0))*(J16+HLOOKUP($A84,table_h2h_apm,MATCH(J$70,$A$2:$A$32,0),0)),0)</f>
        <v>25.832156055834922</v>
      </c>
      <c r="K84">
        <f>IFERROR(VLOOKUP($A84,table_rank_apm,2,0)/(VLOOKUP($A84,table_rank_apm,2,0)+VLOOKUP(K$70,table_rank_apm,2,0))*(K16+HLOOKUP($A84,table_h2h_apm,MATCH(K$70,$A$2:$A$32,0),0)),0)</f>
        <v>15.024777610557729</v>
      </c>
      <c r="L84">
        <f>IFERROR(VLOOKUP($A84,table_rank_apm,2,0)/(VLOOKUP($A84,table_rank_apm,2,0)+VLOOKUP(L$70,table_rank_apm,2,0))*(L16+HLOOKUP($A84,table_h2h_apm,MATCH(L$70,$A$2:$A$32,0),0)),0)</f>
        <v>19.932888071607149</v>
      </c>
      <c r="M84">
        <f>IFERROR(VLOOKUP($A84,table_rank_apm,2,0)/(VLOOKUP($A84,table_rank_apm,2,0)+VLOOKUP(M$70,table_rank_apm,2,0))*(M16+HLOOKUP($A84,table_h2h_apm,MATCH(M$70,$A$2:$A$32,0),0)),0)</f>
        <v>24.799466160176721</v>
      </c>
      <c r="N84">
        <f>IFERROR(VLOOKUP($A84,table_rank_apm,2,0)/(VLOOKUP($A84,table_rank_apm,2,0)+VLOOKUP(N$70,table_rank_apm,2,0))*(N16+HLOOKUP($A84,table_h2h_apm,MATCH(N$70,$A$2:$A$32,0),0)),0)</f>
        <v>18.28209511057231</v>
      </c>
      <c r="O84">
        <f>IFERROR(VLOOKUP($A84,table_rank_apm,2,0)/(VLOOKUP($A84,table_rank_apm,2,0)+VLOOKUP(O$70,table_rank_apm,2,0))*(O16+HLOOKUP($A84,table_h2h_apm,MATCH(O$70,$A$2:$A$32,0),0)),0)</f>
        <v>30</v>
      </c>
      <c r="P84">
        <f>IFERROR(VLOOKUP($A84,table_rank_apm,2,0)/(VLOOKUP($A84,table_rank_apm,2,0)+VLOOKUP(P$70,table_rank_apm,2,0))*(P16+HLOOKUP($A84,table_h2h_apm,MATCH(P$70,$A$2:$A$32,0),0)),0)</f>
        <v>21.10973995620585</v>
      </c>
      <c r="Q84">
        <f>IFERROR(VLOOKUP($A84,table_rank_apm,2,0)/(VLOOKUP($A84,table_rank_apm,2,0)+VLOOKUP(Q$70,table_rank_apm,2,0))*(Q16+HLOOKUP($A84,table_h2h_apm,MATCH(Q$70,$A$2:$A$32,0),0)),0)</f>
        <v>27.350580967659933</v>
      </c>
      <c r="R84">
        <f>IFERROR(VLOOKUP($A84,table_rank_apm,2,0)/(VLOOKUP($A84,table_rank_apm,2,0)+VLOOKUP(R$70,table_rank_apm,2,0))*(R16+HLOOKUP($A84,table_h2h_apm,MATCH(R$70,$A$2:$A$32,0),0)),0)</f>
        <v>24.865213253338837</v>
      </c>
      <c r="S84">
        <f>IFERROR(VLOOKUP($A84,table_rank_apm,2,0)/(VLOOKUP($A84,table_rank_apm,2,0)+VLOOKUP(S$70,table_rank_apm,2,0))*(S16+HLOOKUP($A84,table_h2h_apm,MATCH(S$70,$A$2:$A$32,0),0)),0)</f>
        <v>32.374669210021217</v>
      </c>
      <c r="T84">
        <f>IFERROR(VLOOKUP($A84,table_rank_apm,2,0)/(VLOOKUP($A84,table_rank_apm,2,0)+VLOOKUP(T$70,table_rank_apm,2,0))*(T16+HLOOKUP($A84,table_h2h_apm,MATCH(T$70,$A$2:$A$32,0),0)),0)</f>
        <v>23.729596493949927</v>
      </c>
      <c r="U84">
        <f>IFERROR(VLOOKUP($A84,table_rank_apm,2,0)/(VLOOKUP($A84,table_rank_apm,2,0)+VLOOKUP(U$70,table_rank_apm,2,0))*(U16+HLOOKUP($A84,table_h2h_apm,MATCH(U$70,$A$2:$A$32,0),0)),0)</f>
        <v>34.338857265511017</v>
      </c>
      <c r="V84">
        <f>IFERROR(VLOOKUP($A84,table_rank_apm,2,0)/(VLOOKUP($A84,table_rank_apm,2,0)+VLOOKUP(V$70,table_rank_apm,2,0))*(V16+HLOOKUP($A84,table_h2h_apm,MATCH(V$70,$A$2:$A$32,0),0)),0)</f>
        <v>21.991953863751867</v>
      </c>
      <c r="W84">
        <f>IFERROR(VLOOKUP($A84,table_rank_apm,2,0)/(VLOOKUP($A84,table_rank_apm,2,0)+VLOOKUP(W$70,table_rank_apm,2,0))*(W16+HLOOKUP($A84,table_h2h_apm,MATCH(W$70,$A$2:$A$32,0),0)),0)</f>
        <v>30.22911573505845</v>
      </c>
      <c r="X84">
        <f>IFERROR(VLOOKUP($A84,table_rank_apm,2,0)/(VLOOKUP($A84,table_rank_apm,2,0)+VLOOKUP(X$70,table_rank_apm,2,0))*(X16+HLOOKUP($A84,table_h2h_apm,MATCH(X$70,$A$2:$A$32,0),0)),0)</f>
        <v>33.433675727765603</v>
      </c>
      <c r="Y84">
        <f>IFERROR(VLOOKUP($A84,table_rank_apm,2,0)/(VLOOKUP($A84,table_rank_apm,2,0)+VLOOKUP(Y$70,table_rank_apm,2,0))*(Y16+HLOOKUP($A84,table_h2h_apm,MATCH(Y$70,$A$2:$A$32,0),0)),0)</f>
        <v>24.391886879191116</v>
      </c>
      <c r="Z84">
        <f>IFERROR(VLOOKUP($A84,table_rank_apm,2,0)/(VLOOKUP($A84,table_rank_apm,2,0)+VLOOKUP(Z$70,table_rank_apm,2,0))*(Z16+HLOOKUP($A84,table_h2h_apm,MATCH(Z$70,$A$2:$A$32,0),0)),0)</f>
        <v>20.225891671974651</v>
      </c>
      <c r="AA84">
        <f>IFERROR(VLOOKUP($A84,table_rank_apm,2,0)/(VLOOKUP($A84,table_rank_apm,2,0)+VLOOKUP(AA$70,table_rank_apm,2,0))*(AA16+HLOOKUP($A84,table_h2h_apm,MATCH(AA$70,$A$2:$A$32,0),0)),0)</f>
        <v>18.366283213398397</v>
      </c>
      <c r="AB84">
        <f>IFERROR(VLOOKUP($A84,table_rank_apm,2,0)/(VLOOKUP($A84,table_rank_apm,2,0)+VLOOKUP(AB$70,table_rank_apm,2,0))*(AB16+HLOOKUP($A84,table_h2h_apm,MATCH(AB$70,$A$2:$A$32,0),0)),0)</f>
        <v>27.519236829883194</v>
      </c>
      <c r="AC84">
        <f>IFERROR(VLOOKUP($A84,table_rank_apm,2,0)/(VLOOKUP($A84,table_rank_apm,2,0)+VLOOKUP(AC$70,table_rank_apm,2,0))*(AC16+HLOOKUP($A84,table_h2h_apm,MATCH(AC$70,$A$2:$A$32,0),0)),0)</f>
        <v>21.707110750053772</v>
      </c>
      <c r="AD84">
        <f>IFERROR(VLOOKUP($A84,table_rank_apm,2,0)/(VLOOKUP($A84,table_rank_apm,2,0)+VLOOKUP(AD$70,table_rank_apm,2,0))*(AD16+HLOOKUP($A84,table_h2h_apm,MATCH(AD$70,$A$2:$A$32,0),0)),0)</f>
        <v>23.819394063144735</v>
      </c>
      <c r="AE84">
        <f>IFERROR(VLOOKUP($A84,table_rank_apm,2,0)/(VLOOKUP($A84,table_rank_apm,2,0)+VLOOKUP(AE$70,table_rank_apm,2,0))*(AE16+HLOOKUP($A84,table_h2h_apm,MATCH(AE$70,$A$2:$A$32,0),0)),0)</f>
        <v>23.934700475878014</v>
      </c>
      <c r="AG84">
        <f>AG16</f>
        <v>-5.5399999999999991</v>
      </c>
      <c r="AH84">
        <f>ROUND(AVERAGE(B84:AE84),2)-30</f>
        <v>-5.6000000000000014</v>
      </c>
      <c r="AI84">
        <f>AG84-AH84</f>
        <v>6.0000000000002274E-2</v>
      </c>
    </row>
    <row r="85" spans="1:35" x14ac:dyDescent="0.25">
      <c r="A85" t="s">
        <v>28</v>
      </c>
      <c r="B85">
        <f>IFERROR(VLOOKUP($A85,table_rank_apm,2,0)/(VLOOKUP($A85,table_rank_apm,2,0)+VLOOKUP(B$70,table_rank_apm,2,0))*(B17+HLOOKUP($A85,table_h2h_apm,MATCH(B$70,$A$2:$A$32,0),0)),0)</f>
        <v>27.993839130805391</v>
      </c>
      <c r="C85">
        <f>IFERROR(VLOOKUP($A85,table_rank_apm,2,0)/(VLOOKUP($A85,table_rank_apm,2,0)+VLOOKUP(C$70,table_rank_apm,2,0))*(C17+HLOOKUP($A85,table_h2h_apm,MATCH(C$70,$A$2:$A$32,0),0)),0)</f>
        <v>35.824703327483824</v>
      </c>
      <c r="D85">
        <f>IFERROR(VLOOKUP($A85,table_rank_apm,2,0)/(VLOOKUP($A85,table_rank_apm,2,0)+VLOOKUP(D$70,table_rank_apm,2,0))*(D17+HLOOKUP($A85,table_h2h_apm,MATCH(D$70,$A$2:$A$32,0),0)),0)</f>
        <v>34.020984965574542</v>
      </c>
      <c r="E85">
        <f>IFERROR(VLOOKUP($A85,table_rank_apm,2,0)/(VLOOKUP($A85,table_rank_apm,2,0)+VLOOKUP(E$70,table_rank_apm,2,0))*(E17+HLOOKUP($A85,table_h2h_apm,MATCH(E$70,$A$2:$A$32,0),0)),0)</f>
        <v>36.821954221288721</v>
      </c>
      <c r="F85">
        <f>IFERROR(VLOOKUP($A85,table_rank_apm,2,0)/(VLOOKUP($A85,table_rank_apm,2,0)+VLOOKUP(F$70,table_rank_apm,2,0))*(F17+HLOOKUP($A85,table_h2h_apm,MATCH(F$70,$A$2:$A$32,0),0)),0)</f>
        <v>30.441537244854082</v>
      </c>
      <c r="G85">
        <f>IFERROR(VLOOKUP($A85,table_rank_apm,2,0)/(VLOOKUP($A85,table_rank_apm,2,0)+VLOOKUP(G$70,table_rank_apm,2,0))*(G17+HLOOKUP($A85,table_h2h_apm,MATCH(G$70,$A$2:$A$32,0),0)),0)</f>
        <v>28.862841643172253</v>
      </c>
      <c r="H85">
        <f>IFERROR(VLOOKUP($A85,table_rank_apm,2,0)/(VLOOKUP($A85,table_rank_apm,2,0)+VLOOKUP(H$70,table_rank_apm,2,0))*(H17+HLOOKUP($A85,table_h2h_apm,MATCH(H$70,$A$2:$A$32,0),0)),0)</f>
        <v>29.592425375842474</v>
      </c>
      <c r="I85">
        <f>IFERROR(VLOOKUP($A85,table_rank_apm,2,0)/(VLOOKUP($A85,table_rank_apm,2,0)+VLOOKUP(I$70,table_rank_apm,2,0))*(I17+HLOOKUP($A85,table_h2h_apm,MATCH(I$70,$A$2:$A$32,0),0)),0)</f>
        <v>36.706784430713533</v>
      </c>
      <c r="J85">
        <f>IFERROR(VLOOKUP($A85,table_rank_apm,2,0)/(VLOOKUP($A85,table_rank_apm,2,0)+VLOOKUP(J$70,table_rank_apm,2,0))*(J17+HLOOKUP($A85,table_h2h_apm,MATCH(J$70,$A$2:$A$32,0),0)),0)</f>
        <v>34.92518724313102</v>
      </c>
      <c r="K85">
        <f>IFERROR(VLOOKUP($A85,table_rank_apm,2,0)/(VLOOKUP($A85,table_rank_apm,2,0)+VLOOKUP(K$70,table_rank_apm,2,0))*(K17+HLOOKUP($A85,table_h2h_apm,MATCH(K$70,$A$2:$A$32,0),0)),0)</f>
        <v>22.858643613961338</v>
      </c>
      <c r="L85">
        <f>IFERROR(VLOOKUP($A85,table_rank_apm,2,0)/(VLOOKUP($A85,table_rank_apm,2,0)+VLOOKUP(L$70,table_rank_apm,2,0))*(L17+HLOOKUP($A85,table_h2h_apm,MATCH(L$70,$A$2:$A$32,0),0)),0)</f>
        <v>28.693194686242851</v>
      </c>
      <c r="M85">
        <f>IFERROR(VLOOKUP($A85,table_rank_apm,2,0)/(VLOOKUP($A85,table_rank_apm,2,0)+VLOOKUP(M$70,table_rank_apm,2,0))*(M17+HLOOKUP($A85,table_h2h_apm,MATCH(M$70,$A$2:$A$32,0),0)),0)</f>
        <v>33.889536436841354</v>
      </c>
      <c r="N85">
        <f>IFERROR(VLOOKUP($A85,table_rank_apm,2,0)/(VLOOKUP($A85,table_rank_apm,2,0)+VLOOKUP(N$70,table_rank_apm,2,0))*(N17+HLOOKUP($A85,table_h2h_apm,MATCH(N$70,$A$2:$A$32,0),0)),0)</f>
        <v>26.802210197199393</v>
      </c>
      <c r="O85">
        <f>IFERROR(VLOOKUP($A85,table_rank_apm,2,0)/(VLOOKUP($A85,table_rank_apm,2,0)+VLOOKUP(O$70,table_rank_apm,2,0))*(O17+HLOOKUP($A85,table_h2h_apm,MATCH(O$70,$A$2:$A$32,0),0)),0)</f>
        <v>38.89026004379415</v>
      </c>
      <c r="P85">
        <f>IFERROR(VLOOKUP($A85,table_rank_apm,2,0)/(VLOOKUP($A85,table_rank_apm,2,0)+VLOOKUP(P$70,table_rank_apm,2,0))*(P17+HLOOKUP($A85,table_h2h_apm,MATCH(P$70,$A$2:$A$32,0),0)),0)</f>
        <v>30</v>
      </c>
      <c r="Q85">
        <f>IFERROR(VLOOKUP($A85,table_rank_apm,2,0)/(VLOOKUP($A85,table_rank_apm,2,0)+VLOOKUP(Q$70,table_rank_apm,2,0))*(Q17+HLOOKUP($A85,table_h2h_apm,MATCH(Q$70,$A$2:$A$32,0),0)),0)</f>
        <v>36.408560327909981</v>
      </c>
      <c r="R85">
        <f>IFERROR(VLOOKUP($A85,table_rank_apm,2,0)/(VLOOKUP($A85,table_rank_apm,2,0)+VLOOKUP(R$70,table_rank_apm,2,0))*(R17+HLOOKUP($A85,table_h2h_apm,MATCH(R$70,$A$2:$A$32,0),0)),0)</f>
        <v>33.956135475176886</v>
      </c>
      <c r="S85">
        <f>IFERROR(VLOOKUP($A85,table_rank_apm,2,0)/(VLOOKUP($A85,table_rank_apm,2,0)+VLOOKUP(S$70,table_rank_apm,2,0))*(S17+HLOOKUP($A85,table_h2h_apm,MATCH(S$70,$A$2:$A$32,0),0)),0)</f>
        <v>41.0067425433094</v>
      </c>
      <c r="T85">
        <f>IFERROR(VLOOKUP($A85,table_rank_apm,2,0)/(VLOOKUP($A85,table_rank_apm,2,0)+VLOOKUP(T$70,table_rank_apm,2,0))*(T17+HLOOKUP($A85,table_h2h_apm,MATCH(T$70,$A$2:$A$32,0),0)),0)</f>
        <v>32.792843785301599</v>
      </c>
      <c r="U85">
        <f>IFERROR(VLOOKUP($A85,table_rank_apm,2,0)/(VLOOKUP($A85,table_rank_apm,2,0)+VLOOKUP(U$70,table_rank_apm,2,0))*(U17+HLOOKUP($A85,table_h2h_apm,MATCH(U$70,$A$2:$A$32,0),0)),0)</f>
        <v>42.685426019611626</v>
      </c>
      <c r="V85">
        <f>IFERROR(VLOOKUP($A85,table_rank_apm,2,0)/(VLOOKUP($A85,table_rank_apm,2,0)+VLOOKUP(V$70,table_rank_apm,2,0))*(V17+HLOOKUP($A85,table_h2h_apm,MATCH(V$70,$A$2:$A$32,0),0)),0)</f>
        <v>30.95799517095471</v>
      </c>
      <c r="W85">
        <f>IFERROR(VLOOKUP($A85,table_rank_apm,2,0)/(VLOOKUP($A85,table_rank_apm,2,0)+VLOOKUP(W$70,table_rank_apm,2,0))*(W17+HLOOKUP($A85,table_h2h_apm,MATCH(W$70,$A$2:$A$32,0),0)),0)</f>
        <v>39.098783225980938</v>
      </c>
      <c r="X85">
        <f>IFERROR(VLOOKUP($A85,table_rank_apm,2,0)/(VLOOKUP($A85,table_rank_apm,2,0)+VLOOKUP(X$70,table_rank_apm,2,0))*(X17+HLOOKUP($A85,table_h2h_apm,MATCH(X$70,$A$2:$A$32,0),0)),0)</f>
        <v>41.919644345885139</v>
      </c>
      <c r="Y85">
        <f>IFERROR(VLOOKUP($A85,table_rank_apm,2,0)/(VLOOKUP($A85,table_rank_apm,2,0)+VLOOKUP(Y$70,table_rank_apm,2,0))*(Y17+HLOOKUP($A85,table_h2h_apm,MATCH(Y$70,$A$2:$A$32,0),0)),0)</f>
        <v>33.474632220542311</v>
      </c>
      <c r="Z85">
        <f>IFERROR(VLOOKUP($A85,table_rank_apm,2,0)/(VLOOKUP($A85,table_rank_apm,2,0)+VLOOKUP(Z$70,table_rank_apm,2,0))*(Z17+HLOOKUP($A85,table_h2h_apm,MATCH(Z$70,$A$2:$A$32,0),0)),0)</f>
        <v>29.021697278550718</v>
      </c>
      <c r="AA85">
        <f>IFERROR(VLOOKUP($A85,table_rank_apm,2,0)/(VLOOKUP($A85,table_rank_apm,2,0)+VLOOKUP(AA$70,table_rank_apm,2,0))*(AA17+HLOOKUP($A85,table_h2h_apm,MATCH(AA$70,$A$2:$A$32,0),0)),0)</f>
        <v>26.900333870365394</v>
      </c>
      <c r="AB85">
        <f>IFERROR(VLOOKUP($A85,table_rank_apm,2,0)/(VLOOKUP($A85,table_rank_apm,2,0)+VLOOKUP(AB$70,table_rank_apm,2,0))*(AB17+HLOOKUP($A85,table_h2h_apm,MATCH(AB$70,$A$2:$A$32,0),0)),0)</f>
        <v>36.570508122013152</v>
      </c>
      <c r="AC85">
        <f>IFERROR(VLOOKUP($A85,table_rank_apm,2,0)/(VLOOKUP($A85,table_rank_apm,2,0)+VLOOKUP(AC$70,table_rank_apm,2,0))*(AC17+HLOOKUP($A85,table_h2h_apm,MATCH(AC$70,$A$2:$A$32,0),0)),0)</f>
        <v>30.65067238796</v>
      </c>
      <c r="AD85">
        <f>IFERROR(VLOOKUP($A85,table_rank_apm,2,0)/(VLOOKUP($A85,table_rank_apm,2,0)+VLOOKUP(AD$70,table_rank_apm,2,0))*(AD17+HLOOKUP($A85,table_h2h_apm,MATCH(AD$70,$A$2:$A$32,0),0)),0)</f>
        <v>32.885841782844516</v>
      </c>
      <c r="AE85">
        <f>IFERROR(VLOOKUP($A85,table_rank_apm,2,0)/(VLOOKUP($A85,table_rank_apm,2,0)+VLOOKUP(AE$70,table_rank_apm,2,0))*(AE17+HLOOKUP($A85,table_h2h_apm,MATCH(AE$70,$A$2:$A$32,0),0)),0)</f>
        <v>33.005000411538752</v>
      </c>
      <c r="AG85">
        <f>AG17</f>
        <v>3.259999999999998</v>
      </c>
      <c r="AH85">
        <f>ROUND(AVERAGE(B85:AE85),2)-30</f>
        <v>3.259999999999998</v>
      </c>
      <c r="AI85">
        <f>AG85-AH85</f>
        <v>0</v>
      </c>
    </row>
    <row r="86" spans="1:35" x14ac:dyDescent="0.25">
      <c r="A86" t="s">
        <v>24</v>
      </c>
      <c r="B86">
        <f>IFERROR(VLOOKUP($A86,table_rank_apm,2,0)/(VLOOKUP($A86,table_rank_apm,2,0)+VLOOKUP(B$70,table_rank_apm,2,0))*(B18+HLOOKUP($A86,table_h2h_apm,MATCH(B$70,$A$2:$A$32,0),0)),0)</f>
        <v>21.703791096152216</v>
      </c>
      <c r="C86">
        <f>IFERROR(VLOOKUP($A86,table_rank_apm,2,0)/(VLOOKUP($A86,table_rank_apm,2,0)+VLOOKUP(C$70,table_rank_apm,2,0))*(C18+HLOOKUP($A86,table_h2h_apm,MATCH(C$70,$A$2:$A$32,0),0)),0)</f>
        <v>29.390879409969433</v>
      </c>
      <c r="D86">
        <f>IFERROR(VLOOKUP($A86,table_rank_apm,2,0)/(VLOOKUP($A86,table_rank_apm,2,0)+VLOOKUP(D$70,table_rank_apm,2,0))*(D18+HLOOKUP($A86,table_h2h_apm,MATCH(D$70,$A$2:$A$32,0),0)),0)</f>
        <v>27.542048784016533</v>
      </c>
      <c r="E86">
        <f>IFERROR(VLOOKUP($A86,table_rank_apm,2,0)/(VLOOKUP($A86,table_rank_apm,2,0)+VLOOKUP(E$70,table_rank_apm,2,0))*(E18+HLOOKUP($A86,table_h2h_apm,MATCH(E$70,$A$2:$A$32,0),0)),0)</f>
        <v>30.434500430165013</v>
      </c>
      <c r="F86">
        <f>IFERROR(VLOOKUP($A86,table_rank_apm,2,0)/(VLOOKUP($A86,table_rank_apm,2,0)+VLOOKUP(F$70,table_rank_apm,2,0))*(F18+HLOOKUP($A86,table_h2h_apm,MATCH(F$70,$A$2:$A$32,0),0)),0)</f>
        <v>24.014157307331505</v>
      </c>
      <c r="G86">
        <f>IFERROR(VLOOKUP($A86,table_rank_apm,2,0)/(VLOOKUP($A86,table_rank_apm,2,0)+VLOOKUP(G$70,table_rank_apm,2,0))*(G18+HLOOKUP($A86,table_h2h_apm,MATCH(G$70,$A$2:$A$32,0),0)),0)</f>
        <v>22.514890310417815</v>
      </c>
      <c r="H86">
        <f>IFERROR(VLOOKUP($A86,table_rank_apm,2,0)/(VLOOKUP($A86,table_rank_apm,2,0)+VLOOKUP(H$70,table_rank_apm,2,0))*(H18+HLOOKUP($A86,table_h2h_apm,MATCH(H$70,$A$2:$A$32,0),0)),0)</f>
        <v>23.203589489077384</v>
      </c>
      <c r="I86">
        <f>IFERROR(VLOOKUP($A86,table_rank_apm,2,0)/(VLOOKUP($A86,table_rank_apm,2,0)+VLOOKUP(I$70,table_rank_apm,2,0))*(I18+HLOOKUP($A86,table_h2h_apm,MATCH(I$70,$A$2:$A$32,0),0)),0)</f>
        <v>30.313180501373182</v>
      </c>
      <c r="J86">
        <f>IFERROR(VLOOKUP($A86,table_rank_apm,2,0)/(VLOOKUP($A86,table_rank_apm,2,0)+VLOOKUP(J$70,table_rank_apm,2,0))*(J18+HLOOKUP($A86,table_h2h_apm,MATCH(J$70,$A$2:$A$32,0),0)),0)</f>
        <v>28.462713669420992</v>
      </c>
      <c r="K86">
        <f>IFERROR(VLOOKUP($A86,table_rank_apm,2,0)/(VLOOKUP($A86,table_rank_apm,2,0)+VLOOKUP(K$70,table_rank_apm,2,0))*(K18+HLOOKUP($A86,table_h2h_apm,MATCH(K$70,$A$2:$A$32,0),0)),0)</f>
        <v>17.105766700325926</v>
      </c>
      <c r="L86">
        <f>IFERROR(VLOOKUP($A86,table_rank_apm,2,0)/(VLOOKUP($A86,table_rank_apm,2,0)+VLOOKUP(L$70,table_rank_apm,2,0))*(L18+HLOOKUP($A86,table_h2h_apm,MATCH(L$70,$A$2:$A$32,0),0)),0)</f>
        <v>22.355766000026001</v>
      </c>
      <c r="M86">
        <f>IFERROR(VLOOKUP($A86,table_rank_apm,2,0)/(VLOOKUP($A86,table_rank_apm,2,0)+VLOOKUP(M$70,table_rank_apm,2,0))*(M18+HLOOKUP($A86,table_h2h_apm,MATCH(M$70,$A$2:$A$32,0),0)),0)</f>
        <v>27.409222129698016</v>
      </c>
      <c r="N86">
        <f>IFERROR(VLOOKUP($A86,table_rank_apm,2,0)/(VLOOKUP($A86,table_rank_apm,2,0)+VLOOKUP(N$70,table_rank_apm,2,0))*(N18+HLOOKUP($A86,table_h2h_apm,MATCH(N$70,$A$2:$A$32,0),0)),0)</f>
        <v>20.607519049022105</v>
      </c>
      <c r="O86">
        <f>IFERROR(VLOOKUP($A86,table_rank_apm,2,0)/(VLOOKUP($A86,table_rank_apm,2,0)+VLOOKUP(O$70,table_rank_apm,2,0))*(O18+HLOOKUP($A86,table_h2h_apm,MATCH(O$70,$A$2:$A$32,0),0)),0)</f>
        <v>32.649419032340077</v>
      </c>
      <c r="P86">
        <f>IFERROR(VLOOKUP($A86,table_rank_apm,2,0)/(VLOOKUP($A86,table_rank_apm,2,0)+VLOOKUP(P$70,table_rank_apm,2,0))*(P18+HLOOKUP($A86,table_h2h_apm,MATCH(P$70,$A$2:$A$32,0),0)),0)</f>
        <v>23.591439672090022</v>
      </c>
      <c r="Q86">
        <f>IFERROR(VLOOKUP($A86,table_rank_apm,2,0)/(VLOOKUP($A86,table_rank_apm,2,0)+VLOOKUP(Q$70,table_rank_apm,2,0))*(Q18+HLOOKUP($A86,table_h2h_apm,MATCH(Q$70,$A$2:$A$32,0),0)),0)</f>
        <v>30</v>
      </c>
      <c r="R86">
        <f>IFERROR(VLOOKUP($A86,table_rank_apm,2,0)/(VLOOKUP($A86,table_rank_apm,2,0)+VLOOKUP(R$70,table_rank_apm,2,0))*(R18+HLOOKUP($A86,table_h2h_apm,MATCH(R$70,$A$2:$A$32,0),0)),0)</f>
        <v>27.476487425522802</v>
      </c>
      <c r="S86">
        <f>IFERROR(VLOOKUP($A86,table_rank_apm,2,0)/(VLOOKUP($A86,table_rank_apm,2,0)+VLOOKUP(S$70,table_rank_apm,2,0))*(S18+HLOOKUP($A86,table_h2h_apm,MATCH(S$70,$A$2:$A$32,0),0)),0)</f>
        <v>34.989210920609494</v>
      </c>
      <c r="T86">
        <f>IFERROR(VLOOKUP($A86,table_rank_apm,2,0)/(VLOOKUP($A86,table_rank_apm,2,0)+VLOOKUP(T$70,table_rank_apm,2,0))*(T18+HLOOKUP($A86,table_h2h_apm,MATCH(T$70,$A$2:$A$32,0),0)),0)</f>
        <v>26.310919500984845</v>
      </c>
      <c r="U86">
        <f>IFERROR(VLOOKUP($A86,table_rank_apm,2,0)/(VLOOKUP($A86,table_rank_apm,2,0)+VLOOKUP(U$70,table_rank_apm,2,0))*(U18+HLOOKUP($A86,table_h2h_apm,MATCH(U$70,$A$2:$A$32,0),0)),0)</f>
        <v>36.900142684247797</v>
      </c>
      <c r="V86">
        <f>IFERROR(VLOOKUP($A86,table_rank_apm,2,0)/(VLOOKUP($A86,table_rank_apm,2,0)+VLOOKUP(V$70,table_rank_apm,2,0))*(V18+HLOOKUP($A86,table_h2h_apm,MATCH(V$70,$A$2:$A$32,0),0)),0)</f>
        <v>24.51199831855266</v>
      </c>
      <c r="W86">
        <f>IFERROR(VLOOKUP($A86,table_rank_apm,2,0)/(VLOOKUP($A86,table_rank_apm,2,0)+VLOOKUP(W$70,table_rank_apm,2,0))*(W18+HLOOKUP($A86,table_h2h_apm,MATCH(W$70,$A$2:$A$32,0),0)),0)</f>
        <v>32.876594588763432</v>
      </c>
      <c r="X86">
        <f>IFERROR(VLOOKUP($A86,table_rank_apm,2,0)/(VLOOKUP($A86,table_rank_apm,2,0)+VLOOKUP(X$70,table_rank_apm,2,0))*(X18+HLOOKUP($A86,table_h2h_apm,MATCH(X$70,$A$2:$A$32,0),0)),0)</f>
        <v>36.022221835170818</v>
      </c>
      <c r="Y86">
        <f>IFERROR(VLOOKUP($A86,table_rank_apm,2,0)/(VLOOKUP($A86,table_rank_apm,2,0)+VLOOKUP(Y$70,table_rank_apm,2,0))*(Y18+HLOOKUP($A86,table_h2h_apm,MATCH(Y$70,$A$2:$A$32,0),0)),0)</f>
        <v>26.99164042994764</v>
      </c>
      <c r="Z86">
        <f>IFERROR(VLOOKUP($A86,table_rank_apm,2,0)/(VLOOKUP($A86,table_rank_apm,2,0)+VLOOKUP(Z$70,table_rank_apm,2,0))*(Z18+HLOOKUP($A86,table_h2h_apm,MATCH(Z$70,$A$2:$A$32,0),0)),0)</f>
        <v>22.664238776296134</v>
      </c>
      <c r="AA86">
        <f>IFERROR(VLOOKUP($A86,table_rank_apm,2,0)/(VLOOKUP($A86,table_rank_apm,2,0)+VLOOKUP(AA$70,table_rank_apm,2,0))*(AA18+HLOOKUP($A86,table_h2h_apm,MATCH(AA$70,$A$2:$A$32,0),0)),0)</f>
        <v>20.697102925074645</v>
      </c>
      <c r="AB86">
        <f>IFERROR(VLOOKUP($A86,table_rank_apm,2,0)/(VLOOKUP($A86,table_rank_apm,2,0)+VLOOKUP(AB$70,table_rank_apm,2,0))*(AB18+HLOOKUP($A86,table_h2h_apm,MATCH(AB$70,$A$2:$A$32,0),0)),0)</f>
        <v>30.169896594619424</v>
      </c>
      <c r="AC86">
        <f>IFERROR(VLOOKUP($A86,table_rank_apm,2,0)/(VLOOKUP($A86,table_rank_apm,2,0)+VLOOKUP(AC$70,table_rank_apm,2,0))*(AC18+HLOOKUP($A86,table_h2h_apm,MATCH(AC$70,$A$2:$A$32,0),0)),0)</f>
        <v>24.215310479938331</v>
      </c>
      <c r="AD86">
        <f>IFERROR(VLOOKUP($A86,table_rank_apm,2,0)/(VLOOKUP($A86,table_rank_apm,2,0)+VLOOKUP(AD$70,table_rank_apm,2,0))*(AD18+HLOOKUP($A86,table_h2h_apm,MATCH(AD$70,$A$2:$A$32,0),0)),0)</f>
        <v>26.403374431444504</v>
      </c>
      <c r="AE86">
        <f>IFERROR(VLOOKUP($A86,table_rank_apm,2,0)/(VLOOKUP($A86,table_rank_apm,2,0)+VLOOKUP(AE$70,table_rank_apm,2,0))*(AE18+HLOOKUP($A86,table_h2h_apm,MATCH(AE$70,$A$2:$A$32,0),0)),0)</f>
        <v>26.522020099827312</v>
      </c>
      <c r="AG86">
        <f>AG18</f>
        <v>-3.1000000000000014</v>
      </c>
      <c r="AH86">
        <f>ROUND(AVERAGE(B86:AE86),2)-30</f>
        <v>-3.0599999999999987</v>
      </c>
      <c r="AI86">
        <f>AG86-AH86</f>
        <v>-4.00000000000027E-2</v>
      </c>
    </row>
    <row r="87" spans="1:35" x14ac:dyDescent="0.25">
      <c r="A87" t="s">
        <v>19</v>
      </c>
      <c r="B87">
        <f>IFERROR(VLOOKUP($A87,table_rank_apm,2,0)/(VLOOKUP($A87,table_rank_apm,2,0)+VLOOKUP(B$70,table_rank_apm,2,0))*(B19+HLOOKUP($A87,table_h2h_apm,MATCH(B$70,$A$2:$A$32,0),0)),0)</f>
        <v>24.089822517561444</v>
      </c>
      <c r="C87">
        <f>IFERROR(VLOOKUP($A87,table_rank_apm,2,0)/(VLOOKUP($A87,table_rank_apm,2,0)+VLOOKUP(C$70,table_rank_apm,2,0))*(C19+HLOOKUP($A87,table_h2h_apm,MATCH(C$70,$A$2:$A$32,0),0)),0)</f>
        <v>31.917667196949797</v>
      </c>
      <c r="D87">
        <f>IFERROR(VLOOKUP($A87,table_rank_apm,2,0)/(VLOOKUP($A87,table_rank_apm,2,0)+VLOOKUP(D$70,table_rank_apm,2,0))*(D19+HLOOKUP($A87,table_h2h_apm,MATCH(D$70,$A$2:$A$32,0),0)),0)</f>
        <v>30.066016333587882</v>
      </c>
      <c r="E87">
        <f>IFERROR(VLOOKUP($A87,table_rank_apm,2,0)/(VLOOKUP($A87,table_rank_apm,2,0)+VLOOKUP(E$70,table_rank_apm,2,0))*(E19+HLOOKUP($A87,table_h2h_apm,MATCH(E$70,$A$2:$A$32,0),0)),0)</f>
        <v>32.954413651356838</v>
      </c>
      <c r="F87">
        <f>IFERROR(VLOOKUP($A87,table_rank_apm,2,0)/(VLOOKUP($A87,table_rank_apm,2,0)+VLOOKUP(F$70,table_rank_apm,2,0))*(F19+HLOOKUP($A87,table_h2h_apm,MATCH(F$70,$A$2:$A$32,0),0)),0)</f>
        <v>26.47856713347683</v>
      </c>
      <c r="G87">
        <f>IFERROR(VLOOKUP($A87,table_rank_apm,2,0)/(VLOOKUP($A87,table_rank_apm,2,0)+VLOOKUP(G$70,table_rank_apm,2,0))*(G19+HLOOKUP($A87,table_h2h_apm,MATCH(G$70,$A$2:$A$32,0),0)),0)</f>
        <v>24.932038948587312</v>
      </c>
      <c r="H87">
        <f>IFERROR(VLOOKUP($A87,table_rank_apm,2,0)/(VLOOKUP($A87,table_rank_apm,2,0)+VLOOKUP(H$70,table_rank_apm,2,0))*(H19+HLOOKUP($A87,table_h2h_apm,MATCH(H$70,$A$2:$A$32,0),0)),0)</f>
        <v>25.644093847408957</v>
      </c>
      <c r="I87">
        <f>IFERROR(VLOOKUP($A87,table_rank_apm,2,0)/(VLOOKUP($A87,table_rank_apm,2,0)+VLOOKUP(I$70,table_rank_apm,2,0))*(I19+HLOOKUP($A87,table_h2h_apm,MATCH(I$70,$A$2:$A$32,0),0)),0)</f>
        <v>32.834204282552029</v>
      </c>
      <c r="J87">
        <f>IFERROR(VLOOKUP($A87,table_rank_apm,2,0)/(VLOOKUP($A87,table_rank_apm,2,0)+VLOOKUP(J$70,table_rank_apm,2,0))*(J19+HLOOKUP($A87,table_h2h_apm,MATCH(J$70,$A$2:$A$32,0),0)),0)</f>
        <v>30.990495677993742</v>
      </c>
      <c r="K87">
        <f>IFERROR(VLOOKUP($A87,table_rank_apm,2,0)/(VLOOKUP($A87,table_rank_apm,2,0)+VLOOKUP(K$70,table_rank_apm,2,0))*(K19+HLOOKUP($A87,table_h2h_apm,MATCH(K$70,$A$2:$A$32,0),0)),0)</f>
        <v>19.240270088288781</v>
      </c>
      <c r="L87">
        <f>IFERROR(VLOOKUP($A87,table_rank_apm,2,0)/(VLOOKUP($A87,table_rank_apm,2,0)+VLOOKUP(L$70,table_rank_apm,2,0))*(L19+HLOOKUP($A87,table_h2h_apm,MATCH(L$70,$A$2:$A$32,0),0)),0)</f>
        <v>24.767118619386942</v>
      </c>
      <c r="M87">
        <f>IFERROR(VLOOKUP($A87,table_rank_apm,2,0)/(VLOOKUP($A87,table_rank_apm,2,0)+VLOOKUP(M$70,table_rank_apm,2,0))*(M19+HLOOKUP($A87,table_h2h_apm,MATCH(M$70,$A$2:$A$32,0),0)),0)</f>
        <v>29.932242494037354</v>
      </c>
      <c r="N87">
        <f>IFERROR(VLOOKUP($A87,table_rank_apm,2,0)/(VLOOKUP($A87,table_rank_apm,2,0)+VLOOKUP(N$70,table_rank_apm,2,0))*(N19+HLOOKUP($A87,table_h2h_apm,MATCH(N$70,$A$2:$A$32,0),0)),0)</f>
        <v>22.945240263305845</v>
      </c>
      <c r="O87">
        <f>IFERROR(VLOOKUP($A87,table_rank_apm,2,0)/(VLOOKUP($A87,table_rank_apm,2,0)+VLOOKUP(O$70,table_rank_apm,2,0))*(O19+HLOOKUP($A87,table_h2h_apm,MATCH(O$70,$A$2:$A$32,0),0)),0)</f>
        <v>35.134786746661163</v>
      </c>
      <c r="P87">
        <f>IFERROR(VLOOKUP($A87,table_rank_apm,2,0)/(VLOOKUP($A87,table_rank_apm,2,0)+VLOOKUP(P$70,table_rank_apm,2,0))*(P19+HLOOKUP($A87,table_h2h_apm,MATCH(P$70,$A$2:$A$32,0),0)),0)</f>
        <v>26.043864524823114</v>
      </c>
      <c r="Q87">
        <f>IFERROR(VLOOKUP($A87,table_rank_apm,2,0)/(VLOOKUP($A87,table_rank_apm,2,0)+VLOOKUP(Q$70,table_rank_apm,2,0))*(Q19+HLOOKUP($A87,table_h2h_apm,MATCH(Q$70,$A$2:$A$32,0),0)),0)</f>
        <v>32.523512574477195</v>
      </c>
      <c r="R87">
        <f>IFERROR(VLOOKUP($A87,table_rank_apm,2,0)/(VLOOKUP($A87,table_rank_apm,2,0)+VLOOKUP(R$70,table_rank_apm,2,0))*(R19+HLOOKUP($A87,table_h2h_apm,MATCH(R$70,$A$2:$A$32,0),0)),0)</f>
        <v>30</v>
      </c>
      <c r="S87">
        <f>IFERROR(VLOOKUP($A87,table_rank_apm,2,0)/(VLOOKUP($A87,table_rank_apm,2,0)+VLOOKUP(S$70,table_rank_apm,2,0))*(S19+HLOOKUP($A87,table_h2h_apm,MATCH(S$70,$A$2:$A$32,0),0)),0)</f>
        <v>37.409075984244737</v>
      </c>
      <c r="T87">
        <f>IFERROR(VLOOKUP($A87,table_rank_apm,2,0)/(VLOOKUP($A87,table_rank_apm,2,0)+VLOOKUP(T$70,table_rank_apm,2,0))*(T19+HLOOKUP($A87,table_h2h_apm,MATCH(T$70,$A$2:$A$32,0),0)),0)</f>
        <v>28.82224963370631</v>
      </c>
      <c r="U87">
        <f>IFERROR(VLOOKUP($A87,table_rank_apm,2,0)/(VLOOKUP($A87,table_rank_apm,2,0)+VLOOKUP(U$70,table_rank_apm,2,0))*(U19+HLOOKUP($A87,table_h2h_apm,MATCH(U$70,$A$2:$A$32,0),0)),0)</f>
        <v>39.244793195737849</v>
      </c>
      <c r="V87">
        <f>IFERROR(VLOOKUP($A87,table_rank_apm,2,0)/(VLOOKUP($A87,table_rank_apm,2,0)+VLOOKUP(V$70,table_rank_apm,2,0))*(V19+HLOOKUP($A87,table_h2h_apm,MATCH(V$70,$A$2:$A$32,0),0)),0)</f>
        <v>26.9891809404096</v>
      </c>
      <c r="W87">
        <f>IFERROR(VLOOKUP($A87,table_rank_apm,2,0)/(VLOOKUP($A87,table_rank_apm,2,0)+VLOOKUP(W$70,table_rank_apm,2,0))*(W19+HLOOKUP($A87,table_h2h_apm,MATCH(W$70,$A$2:$A$32,0),0)),0)</f>
        <v>35.356900058387595</v>
      </c>
      <c r="X87">
        <f>IFERROR(VLOOKUP($A87,table_rank_apm,2,0)/(VLOOKUP($A87,table_rank_apm,2,0)+VLOOKUP(X$70,table_rank_apm,2,0))*(X19+HLOOKUP($A87,table_h2h_apm,MATCH(X$70,$A$2:$A$32,0),0)),0)</f>
        <v>38.403829652926518</v>
      </c>
      <c r="Y87">
        <f>IFERROR(VLOOKUP($A87,table_rank_apm,2,0)/(VLOOKUP($A87,table_rank_apm,2,0)+VLOOKUP(Y$70,table_rank_apm,2,0))*(Y19+HLOOKUP($A87,table_h2h_apm,MATCH(Y$70,$A$2:$A$32,0),0)),0)</f>
        <v>29.511028457090667</v>
      </c>
      <c r="Z87">
        <f>IFERROR(VLOOKUP($A87,table_rank_apm,2,0)/(VLOOKUP($A87,table_rank_apm,2,0)+VLOOKUP(Z$70,table_rank_apm,2,0))*(Z19+HLOOKUP($A87,table_h2h_apm,MATCH(Z$70,$A$2:$A$32,0),0)),0)</f>
        <v>25.086690660938793</v>
      </c>
      <c r="AA87">
        <f>IFERROR(VLOOKUP($A87,table_rank_apm,2,0)/(VLOOKUP($A87,table_rank_apm,2,0)+VLOOKUP(AA$70,table_rank_apm,2,0))*(AA19+HLOOKUP($A87,table_h2h_apm,MATCH(AA$70,$A$2:$A$32,0),0)),0)</f>
        <v>23.039042974857932</v>
      </c>
      <c r="AB87">
        <f>IFERROR(VLOOKUP($A87,table_rank_apm,2,0)/(VLOOKUP($A87,table_rank_apm,2,0)+VLOOKUP(AB$70,table_rank_apm,2,0))*(AB19+HLOOKUP($A87,table_h2h_apm,MATCH(AB$70,$A$2:$A$32,0),0)),0)</f>
        <v>32.69212671114451</v>
      </c>
      <c r="AC87">
        <f>IFERROR(VLOOKUP($A87,table_rank_apm,2,0)/(VLOOKUP($A87,table_rank_apm,2,0)+VLOOKUP(AC$70,table_rank_apm,2,0))*(AC19+HLOOKUP($A87,table_h2h_apm,MATCH(AC$70,$A$2:$A$32,0),0)),0)</f>
        <v>26.685055626320271</v>
      </c>
      <c r="AD87">
        <f>IFERROR(VLOOKUP($A87,table_rank_apm,2,0)/(VLOOKUP($A87,table_rank_apm,2,0)+VLOOKUP(AD$70,table_rank_apm,2,0))*(AD19+HLOOKUP($A87,table_h2h_apm,MATCH(AD$70,$A$2:$A$32,0),0)),0)</f>
        <v>28.91595485649562</v>
      </c>
      <c r="AE87">
        <f>IFERROR(VLOOKUP($A87,table_rank_apm,2,0)/(VLOOKUP($A87,table_rank_apm,2,0)+VLOOKUP(AE$70,table_rank_apm,2,0))*(AE19+HLOOKUP($A87,table_h2h_apm,MATCH(AE$70,$A$2:$A$32,0),0)),0)</f>
        <v>29.036133123766046</v>
      </c>
      <c r="AG87">
        <f>AG19</f>
        <v>-0.57999999999999829</v>
      </c>
      <c r="AH87">
        <f>ROUND(AVERAGE(B87:AE87),2)-30</f>
        <v>-0.60999999999999943</v>
      </c>
      <c r="AI87">
        <f>AG87-AH87</f>
        <v>3.0000000000001137E-2</v>
      </c>
    </row>
    <row r="88" spans="1:35" x14ac:dyDescent="0.25">
      <c r="A88" t="s">
        <v>29</v>
      </c>
      <c r="B88">
        <f>IFERROR(VLOOKUP($A88,table_rank_apm,2,0)/(VLOOKUP($A88,table_rank_apm,2,0)+VLOOKUP(B$70,table_rank_apm,2,0))*(B20+HLOOKUP($A88,table_h2h_apm,MATCH(B$70,$A$2:$A$32,0),0)),0)</f>
        <v>17.298719625183956</v>
      </c>
      <c r="C88">
        <f>IFERROR(VLOOKUP($A88,table_rank_apm,2,0)/(VLOOKUP($A88,table_rank_apm,2,0)+VLOOKUP(C$70,table_rank_apm,2,0))*(C20+HLOOKUP($A88,table_h2h_apm,MATCH(C$70,$A$2:$A$32,0),0)),0)</f>
        <v>24.420508764233571</v>
      </c>
      <c r="D88">
        <f>IFERROR(VLOOKUP($A88,table_rank_apm,2,0)/(VLOOKUP($A88,table_rank_apm,2,0)+VLOOKUP(D$70,table_rank_apm,2,0))*(D20+HLOOKUP($A88,table_h2h_apm,MATCH(D$70,$A$2:$A$32,0),0)),0)</f>
        <v>22.652947470936123</v>
      </c>
      <c r="E88">
        <f>IFERROR(VLOOKUP($A88,table_rank_apm,2,0)/(VLOOKUP($A88,table_rank_apm,2,0)+VLOOKUP(E$70,table_rank_apm,2,0))*(E20+HLOOKUP($A88,table_h2h_apm,MATCH(E$70,$A$2:$A$32,0),0)),0)</f>
        <v>25.43429216879343</v>
      </c>
      <c r="F88">
        <f>IFERROR(VLOOKUP($A88,table_rank_apm,2,0)/(VLOOKUP($A88,table_rank_apm,2,0)+VLOOKUP(F$70,table_rank_apm,2,0))*(F20+HLOOKUP($A88,table_h2h_apm,MATCH(F$70,$A$2:$A$32,0),0)),0)</f>
        <v>19.377434182479643</v>
      </c>
      <c r="G88">
        <f>IFERROR(VLOOKUP($A88,table_rank_apm,2,0)/(VLOOKUP($A88,table_rank_apm,2,0)+VLOOKUP(G$70,table_rank_apm,2,0))*(G20+HLOOKUP($A88,table_h2h_apm,MATCH(G$70,$A$2:$A$32,0),0)),0)</f>
        <v>18.022669292126093</v>
      </c>
      <c r="H88">
        <f>IFERROR(VLOOKUP($A88,table_rank_apm,2,0)/(VLOOKUP($A88,table_rank_apm,2,0)+VLOOKUP(H$70,table_rank_apm,2,0))*(H20+HLOOKUP($A88,table_h2h_apm,MATCH(H$70,$A$2:$A$32,0),0)),0)</f>
        <v>18.642295549575717</v>
      </c>
      <c r="I88">
        <f>IFERROR(VLOOKUP($A88,table_rank_apm,2,0)/(VLOOKUP($A88,table_rank_apm,2,0)+VLOOKUP(I$70,table_rank_apm,2,0))*(I20+HLOOKUP($A88,table_h2h_apm,MATCH(I$70,$A$2:$A$32,0),0)),0)</f>
        <v>25.315837231021778</v>
      </c>
      <c r="J88">
        <f>IFERROR(VLOOKUP($A88,table_rank_apm,2,0)/(VLOOKUP($A88,table_rank_apm,2,0)+VLOOKUP(J$70,table_rank_apm,2,0))*(J20+HLOOKUP($A88,table_h2h_apm,MATCH(J$70,$A$2:$A$32,0),0)),0)</f>
        <v>23.528651906217053</v>
      </c>
      <c r="K88">
        <f>IFERROR(VLOOKUP($A88,table_rank_apm,2,0)/(VLOOKUP($A88,table_rank_apm,2,0)+VLOOKUP(K$70,table_rank_apm,2,0))*(K20+HLOOKUP($A88,table_h2h_apm,MATCH(K$70,$A$2:$A$32,0),0)),0)</f>
        <v>13.309587392567492</v>
      </c>
      <c r="L88">
        <f>IFERROR(VLOOKUP($A88,table_rank_apm,2,0)/(VLOOKUP($A88,table_rank_apm,2,0)+VLOOKUP(L$70,table_rank_apm,2,0))*(L20+HLOOKUP($A88,table_h2h_apm,MATCH(L$70,$A$2:$A$32,0),0)),0)</f>
        <v>17.880149832848975</v>
      </c>
      <c r="M88">
        <f>IFERROR(VLOOKUP($A88,table_rank_apm,2,0)/(VLOOKUP($A88,table_rank_apm,2,0)+VLOOKUP(M$70,table_rank_apm,2,0))*(M20+HLOOKUP($A88,table_h2h_apm,MATCH(M$70,$A$2:$A$32,0),0)),0)</f>
        <v>22.527334766695756</v>
      </c>
      <c r="N88">
        <f>IFERROR(VLOOKUP($A88,table_rank_apm,2,0)/(VLOOKUP($A88,table_rank_apm,2,0)+VLOOKUP(N$70,table_rank_apm,2,0))*(N20+HLOOKUP($A88,table_h2h_apm,MATCH(N$70,$A$2:$A$32,0),0)),0)</f>
        <v>16.330071945514788</v>
      </c>
      <c r="O88">
        <f>IFERROR(VLOOKUP($A88,table_rank_apm,2,0)/(VLOOKUP($A88,table_rank_apm,2,0)+VLOOKUP(O$70,table_rank_apm,2,0))*(O20+HLOOKUP($A88,table_h2h_apm,MATCH(O$70,$A$2:$A$32,0),0)),0)</f>
        <v>27.625330789978786</v>
      </c>
      <c r="P88">
        <f>IFERROR(VLOOKUP($A88,table_rank_apm,2,0)/(VLOOKUP($A88,table_rank_apm,2,0)+VLOOKUP(P$70,table_rank_apm,2,0))*(P20+HLOOKUP($A88,table_h2h_apm,MATCH(P$70,$A$2:$A$32,0),0)),0)</f>
        <v>18.993257456690596</v>
      </c>
      <c r="Q88">
        <f>IFERROR(VLOOKUP($A88,table_rank_apm,2,0)/(VLOOKUP($A88,table_rank_apm,2,0)+VLOOKUP(Q$70,table_rank_apm,2,0))*(Q20+HLOOKUP($A88,table_h2h_apm,MATCH(Q$70,$A$2:$A$32,0),0)),0)</f>
        <v>25.010789079390506</v>
      </c>
      <c r="R88">
        <f>IFERROR(VLOOKUP($A88,table_rank_apm,2,0)/(VLOOKUP($A88,table_rank_apm,2,0)+VLOOKUP(R$70,table_rank_apm,2,0))*(R20+HLOOKUP($A88,table_h2h_apm,MATCH(R$70,$A$2:$A$32,0),0)),0)</f>
        <v>22.590924015755256</v>
      </c>
      <c r="S88">
        <f>IFERROR(VLOOKUP($A88,table_rank_apm,2,0)/(VLOOKUP($A88,table_rank_apm,2,0)+VLOOKUP(S$70,table_rank_apm,2,0))*(S20+HLOOKUP($A88,table_h2h_apm,MATCH(S$70,$A$2:$A$32,0),0)),0)</f>
        <v>30</v>
      </c>
      <c r="T88">
        <f>IFERROR(VLOOKUP($A88,table_rank_apm,2,0)/(VLOOKUP($A88,table_rank_apm,2,0)+VLOOKUP(T$70,table_rank_apm,2,0))*(T20+HLOOKUP($A88,table_h2h_apm,MATCH(T$70,$A$2:$A$32,0),0)),0)</f>
        <v>21.495628650782212</v>
      </c>
      <c r="U88">
        <f>IFERROR(VLOOKUP($A88,table_rank_apm,2,0)/(VLOOKUP($A88,table_rank_apm,2,0)+VLOOKUP(U$70,table_rank_apm,2,0))*(U20+HLOOKUP($A88,table_h2h_apm,MATCH(U$70,$A$2:$A$32,0),0)),0)</f>
        <v>31.986934818110335</v>
      </c>
      <c r="V88">
        <f>IFERROR(VLOOKUP($A88,table_rank_apm,2,0)/(VLOOKUP($A88,table_rank_apm,2,0)+VLOOKUP(V$70,table_rank_apm,2,0))*(V20+HLOOKUP($A88,table_h2h_apm,MATCH(V$70,$A$2:$A$32,0),0)),0)</f>
        <v>19.832125742751963</v>
      </c>
      <c r="W88">
        <f>IFERROR(VLOOKUP($A88,table_rank_apm,2,0)/(VLOOKUP($A88,table_rank_apm,2,0)+VLOOKUP(W$70,table_rank_apm,2,0))*(W20+HLOOKUP($A88,table_h2h_apm,MATCH(W$70,$A$2:$A$32,0),0)),0)</f>
        <v>27.85314869598</v>
      </c>
      <c r="X88">
        <f>IFERROR(VLOOKUP($A88,table_rank_apm,2,0)/(VLOOKUP($A88,table_rank_apm,2,0)+VLOOKUP(X$70,table_rank_apm,2,0))*(X20+HLOOKUP($A88,table_h2h_apm,MATCH(X$70,$A$2:$A$32,0),0)),0)</f>
        <v>31.06868865172278</v>
      </c>
      <c r="Y88">
        <f>IFERROR(VLOOKUP($A88,table_rank_apm,2,0)/(VLOOKUP($A88,table_rank_apm,2,0)+VLOOKUP(Y$70,table_rank_apm,2,0))*(Y20+HLOOKUP($A88,table_h2h_apm,MATCH(Y$70,$A$2:$A$32,0),0)),0)</f>
        <v>22.133617523192076</v>
      </c>
      <c r="Z88">
        <f>IFERROR(VLOOKUP($A88,table_rank_apm,2,0)/(VLOOKUP($A88,table_rank_apm,2,0)+VLOOKUP(Z$70,table_rank_apm,2,0))*(Z20+HLOOKUP($A88,table_h2h_apm,MATCH(Z$70,$A$2:$A$32,0),0)),0)</f>
        <v>18.156652833096398</v>
      </c>
      <c r="AA88">
        <f>IFERROR(VLOOKUP($A88,table_rank_apm,2,0)/(VLOOKUP($A88,table_rank_apm,2,0)+VLOOKUP(AA$70,table_rank_apm,2,0))*(AA20+HLOOKUP($A88,table_h2h_apm,MATCH(AA$70,$A$2:$A$32,0),0)),0)</f>
        <v>16.408806691618476</v>
      </c>
      <c r="AB88">
        <f>IFERROR(VLOOKUP($A88,table_rank_apm,2,0)/(VLOOKUP($A88,table_rank_apm,2,0)+VLOOKUP(AB$70,table_rank_apm,2,0))*(AB20+HLOOKUP($A88,table_h2h_apm,MATCH(AB$70,$A$2:$A$32,0),0)),0)</f>
        <v>25.176142404424613</v>
      </c>
      <c r="AC88">
        <f>IFERROR(VLOOKUP($A88,table_rank_apm,2,0)/(VLOOKUP($A88,table_rank_apm,2,0)+VLOOKUP(AC$70,table_rank_apm,2,0))*(AC20+HLOOKUP($A88,table_h2h_apm,MATCH(AC$70,$A$2:$A$32,0),0)),0)</f>
        <v>19.560860000063002</v>
      </c>
      <c r="AD88">
        <f>IFERROR(VLOOKUP($A88,table_rank_apm,2,0)/(VLOOKUP($A88,table_rank_apm,2,0)+VLOOKUP(AD$70,table_rank_apm,2,0))*(AD20+HLOOKUP($A88,table_h2h_apm,MATCH(AD$70,$A$2:$A$32,0),0)),0)</f>
        <v>21.582002696800917</v>
      </c>
      <c r="AE88">
        <f>IFERROR(VLOOKUP($A88,table_rank_apm,2,0)/(VLOOKUP($A88,table_rank_apm,2,0)+VLOOKUP(AE$70,table_rank_apm,2,0))*(AE20+HLOOKUP($A88,table_h2h_apm,MATCH(AE$70,$A$2:$A$32,0),0)),0)</f>
        <v>21.69297214037827</v>
      </c>
      <c r="AG88">
        <f>AG20</f>
        <v>-7.73</v>
      </c>
      <c r="AH88">
        <f>ROUND(AVERAGE(B88:AE88),2)-30</f>
        <v>-7.8000000000000007</v>
      </c>
      <c r="AI88">
        <f>AG88-AH88</f>
        <v>7.0000000000000284E-2</v>
      </c>
    </row>
    <row r="89" spans="1:35" x14ac:dyDescent="0.25">
      <c r="A89" t="s">
        <v>12</v>
      </c>
      <c r="B89">
        <f>IFERROR(VLOOKUP($A89,table_rank_apm,2,0)/(VLOOKUP($A89,table_rank_apm,2,0)+VLOOKUP(B$70,table_rank_apm,2,0))*(B21+HLOOKUP($A89,table_h2h_apm,MATCH(B$70,$A$2:$A$32,0),0)),0)</f>
        <v>25.230686410054751</v>
      </c>
      <c r="C89">
        <f>IFERROR(VLOOKUP($A89,table_rank_apm,2,0)/(VLOOKUP($A89,table_rank_apm,2,0)+VLOOKUP(C$70,table_rank_apm,2,0))*(C21+HLOOKUP($A89,table_h2h_apm,MATCH(C$70,$A$2:$A$32,0),0)),0)</f>
        <v>33.087669115085959</v>
      </c>
      <c r="D89">
        <f>IFERROR(VLOOKUP($A89,table_rank_apm,2,0)/(VLOOKUP($A89,table_rank_apm,2,0)+VLOOKUP(D$70,table_rank_apm,2,0))*(D21+HLOOKUP($A89,table_h2h_apm,MATCH(D$70,$A$2:$A$32,0),0)),0)</f>
        <v>31.243659260488229</v>
      </c>
      <c r="E89">
        <f>IFERROR(VLOOKUP($A89,table_rank_apm,2,0)/(VLOOKUP($A89,table_rank_apm,2,0)+VLOOKUP(E$70,table_rank_apm,2,0))*(E21+HLOOKUP($A89,table_h2h_apm,MATCH(E$70,$A$2:$A$32,0),0)),0)</f>
        <v>34.116249855880071</v>
      </c>
      <c r="F89">
        <f>IFERROR(VLOOKUP($A89,table_rank_apm,2,0)/(VLOOKUP($A89,table_rank_apm,2,0)+VLOOKUP(F$70,table_rank_apm,2,0))*(F21+HLOOKUP($A89,table_h2h_apm,MATCH(F$70,$A$2:$A$32,0),0)),0)</f>
        <v>27.64546737168688</v>
      </c>
      <c r="G89">
        <f>IFERROR(VLOOKUP($A89,table_rank_apm,2,0)/(VLOOKUP($A89,table_rank_apm,2,0)+VLOOKUP(G$70,table_rank_apm,2,0))*(G21+HLOOKUP($A89,table_h2h_apm,MATCH(G$70,$A$2:$A$32,0),0)),0)</f>
        <v>26.083817221218052</v>
      </c>
      <c r="H89">
        <f>IFERROR(VLOOKUP($A89,table_rank_apm,2,0)/(VLOOKUP($A89,table_rank_apm,2,0)+VLOOKUP(H$70,table_rank_apm,2,0))*(H21+HLOOKUP($A89,table_h2h_apm,MATCH(H$70,$A$2:$A$32,0),0)),0)</f>
        <v>26.803624268033495</v>
      </c>
      <c r="I89">
        <f>IFERROR(VLOOKUP($A89,table_rank_apm,2,0)/(VLOOKUP($A89,table_rank_apm,2,0)+VLOOKUP(I$70,table_rank_apm,2,0))*(I21+HLOOKUP($A89,table_h2h_apm,MATCH(I$70,$A$2:$A$32,0),0)),0)</f>
        <v>33.997129804559052</v>
      </c>
      <c r="J89">
        <f>IFERROR(VLOOKUP($A89,table_rank_apm,2,0)/(VLOOKUP($A89,table_rank_apm,2,0)+VLOOKUP(J$70,table_rank_apm,2,0))*(J21+HLOOKUP($A89,table_h2h_apm,MATCH(J$70,$A$2:$A$32,0),0)),0)</f>
        <v>32.165439258108037</v>
      </c>
      <c r="K89">
        <f>IFERROR(VLOOKUP($A89,table_rank_apm,2,0)/(VLOOKUP($A89,table_rank_apm,2,0)+VLOOKUP(K$70,table_rank_apm,2,0))*(K21+HLOOKUP($A89,table_h2h_apm,MATCH(K$70,$A$2:$A$32,0),0)),0)</f>
        <v>20.281176440096417</v>
      </c>
      <c r="L89">
        <f>IFERROR(VLOOKUP($A89,table_rank_apm,2,0)/(VLOOKUP($A89,table_rank_apm,2,0)+VLOOKUP(L$70,table_rank_apm,2,0))*(L21+HLOOKUP($A89,table_h2h_apm,MATCH(L$70,$A$2:$A$32,0),0)),0)</f>
        <v>25.916908757343847</v>
      </c>
      <c r="M89">
        <f>IFERROR(VLOOKUP($A89,table_rank_apm,2,0)/(VLOOKUP($A89,table_rank_apm,2,0)+VLOOKUP(M$70,table_rank_apm,2,0))*(M21+HLOOKUP($A89,table_h2h_apm,MATCH(M$70,$A$2:$A$32,0),0)),0)</f>
        <v>31.110091290186123</v>
      </c>
      <c r="N89">
        <f>IFERROR(VLOOKUP($A89,table_rank_apm,2,0)/(VLOOKUP($A89,table_rank_apm,2,0)+VLOOKUP(N$70,table_rank_apm,2,0))*(N21+HLOOKUP($A89,table_h2h_apm,MATCH(N$70,$A$2:$A$32,0),0)),0)</f>
        <v>24.068228875379624</v>
      </c>
      <c r="O89">
        <f>IFERROR(VLOOKUP($A89,table_rank_apm,2,0)/(VLOOKUP($A89,table_rank_apm,2,0)+VLOOKUP(O$70,table_rank_apm,2,0))*(O21+HLOOKUP($A89,table_h2h_apm,MATCH(O$70,$A$2:$A$32,0),0)),0)</f>
        <v>36.270403506050066</v>
      </c>
      <c r="P89">
        <f>IFERROR(VLOOKUP($A89,table_rank_apm,2,0)/(VLOOKUP($A89,table_rank_apm,2,0)+VLOOKUP(P$70,table_rank_apm,2,0))*(P21+HLOOKUP($A89,table_h2h_apm,MATCH(P$70,$A$2:$A$32,0),0)),0)</f>
        <v>27.207156214698401</v>
      </c>
      <c r="Q89">
        <f>IFERROR(VLOOKUP($A89,table_rank_apm,2,0)/(VLOOKUP($A89,table_rank_apm,2,0)+VLOOKUP(Q$70,table_rank_apm,2,0))*(Q21+HLOOKUP($A89,table_h2h_apm,MATCH(Q$70,$A$2:$A$32,0),0)),0)</f>
        <v>33.689080499015162</v>
      </c>
      <c r="R89">
        <f>IFERROR(VLOOKUP($A89,table_rank_apm,2,0)/(VLOOKUP($A89,table_rank_apm,2,0)+VLOOKUP(R$70,table_rank_apm,2,0))*(R21+HLOOKUP($A89,table_h2h_apm,MATCH(R$70,$A$2:$A$32,0),0)),0)</f>
        <v>31.177750366293683</v>
      </c>
      <c r="S89">
        <f>IFERROR(VLOOKUP($A89,table_rank_apm,2,0)/(VLOOKUP($A89,table_rank_apm,2,0)+VLOOKUP(S$70,table_rank_apm,2,0))*(S21+HLOOKUP($A89,table_h2h_apm,MATCH(S$70,$A$2:$A$32,0),0)),0)</f>
        <v>38.504371349217784</v>
      </c>
      <c r="T89">
        <f>IFERROR(VLOOKUP($A89,table_rank_apm,2,0)/(VLOOKUP($A89,table_rank_apm,2,0)+VLOOKUP(T$70,table_rank_apm,2,0))*(T21+HLOOKUP($A89,table_h2h_apm,MATCH(T$70,$A$2:$A$32,0),0)),0)</f>
        <v>30</v>
      </c>
      <c r="U89">
        <f>IFERROR(VLOOKUP($A89,table_rank_apm,2,0)/(VLOOKUP($A89,table_rank_apm,2,0)+VLOOKUP(U$70,table_rank_apm,2,0))*(U21+HLOOKUP($A89,table_h2h_apm,MATCH(U$70,$A$2:$A$32,0),0)),0)</f>
        <v>40.297960454688358</v>
      </c>
      <c r="V89">
        <f>IFERROR(VLOOKUP($A89,table_rank_apm,2,0)/(VLOOKUP($A89,table_rank_apm,2,0)+VLOOKUP(V$70,table_rank_apm,2,0))*(V21+HLOOKUP($A89,table_h2h_apm,MATCH(V$70,$A$2:$A$32,0),0)),0)</f>
        <v>28.159680461523525</v>
      </c>
      <c r="W89">
        <f>IFERROR(VLOOKUP($A89,table_rank_apm,2,0)/(VLOOKUP($A89,table_rank_apm,2,0)+VLOOKUP(W$70,table_rank_apm,2,0))*(W21+HLOOKUP($A89,table_h2h_apm,MATCH(W$70,$A$2:$A$32,0),0)),0)</f>
        <v>36.489160751643006</v>
      </c>
      <c r="X89">
        <f>IFERROR(VLOOKUP($A89,table_rank_apm,2,0)/(VLOOKUP($A89,table_rank_apm,2,0)+VLOOKUP(X$70,table_rank_apm,2,0))*(X21+HLOOKUP($A89,table_h2h_apm,MATCH(X$70,$A$2:$A$32,0),0)),0)</f>
        <v>39.477354253719085</v>
      </c>
      <c r="Y89">
        <f>IFERROR(VLOOKUP($A89,table_rank_apm,2,0)/(VLOOKUP($A89,table_rank_apm,2,0)+VLOOKUP(Y$70,table_rank_apm,2,0))*(Y21+HLOOKUP($A89,table_h2h_apm,MATCH(Y$70,$A$2:$A$32,0),0)),0)</f>
        <v>30.689219837095784</v>
      </c>
      <c r="Z89">
        <f>IFERROR(VLOOKUP($A89,table_rank_apm,2,0)/(VLOOKUP($A89,table_rank_apm,2,0)+VLOOKUP(Z$70,table_rank_apm,2,0))*(Z21+HLOOKUP($A89,table_h2h_apm,MATCH(Z$70,$A$2:$A$32,0),0)),0)</f>
        <v>26.240267400910835</v>
      </c>
      <c r="AA89">
        <f>IFERROR(VLOOKUP($A89,table_rank_apm,2,0)/(VLOOKUP($A89,table_rank_apm,2,0)+VLOOKUP(AA$70,table_rank_apm,2,0))*(AA21+HLOOKUP($A89,table_h2h_apm,MATCH(AA$70,$A$2:$A$32,0),0)),0)</f>
        <v>24.163628734907704</v>
      </c>
      <c r="AB89">
        <f>IFERROR(VLOOKUP($A89,table_rank_apm,2,0)/(VLOOKUP($A89,table_rank_apm,2,0)+VLOOKUP(AB$70,table_rank_apm,2,0))*(AB21+HLOOKUP($A89,table_h2h_apm,MATCH(AB$70,$A$2:$A$32,0),0)),0)</f>
        <v>33.856291562703582</v>
      </c>
      <c r="AC89">
        <f>IFERROR(VLOOKUP($A89,table_rank_apm,2,0)/(VLOOKUP($A89,table_rank_apm,2,0)+VLOOKUP(AC$70,table_rank_apm,2,0))*(AC21+HLOOKUP($A89,table_h2h_apm,MATCH(AC$70,$A$2:$A$32,0),0)),0)</f>
        <v>27.853494506757841</v>
      </c>
      <c r="AD89">
        <f>IFERROR(VLOOKUP($A89,table_rank_apm,2,0)/(VLOOKUP($A89,table_rank_apm,2,0)+VLOOKUP(AD$70,table_rank_apm,2,0))*(AD21+HLOOKUP($A89,table_h2h_apm,MATCH(AD$70,$A$2:$A$32,0),0)),0)</f>
        <v>30.093838341293576</v>
      </c>
      <c r="AE89">
        <f>IFERROR(VLOOKUP($A89,table_rank_apm,2,0)/(VLOOKUP($A89,table_rank_apm,2,0)+VLOOKUP(AE$70,table_rank_apm,2,0))*(AE21+HLOOKUP($A89,table_h2h_apm,MATCH(AE$70,$A$2:$A$32,0),0)),0)</f>
        <v>30.214153607850889</v>
      </c>
      <c r="AG89">
        <f>AG21</f>
        <v>0.53999999999999915</v>
      </c>
      <c r="AH89">
        <f>ROUND(AVERAGE(B89:AE89),2)-30</f>
        <v>0.53999999999999915</v>
      </c>
      <c r="AI89">
        <f>AG89-AH89</f>
        <v>0</v>
      </c>
    </row>
    <row r="90" spans="1:35" x14ac:dyDescent="0.25">
      <c r="A90" t="s">
        <v>31</v>
      </c>
      <c r="B90">
        <f>IFERROR(VLOOKUP($A90,table_rank_apm,2,0)/(VLOOKUP($A90,table_rank_apm,2,0)+VLOOKUP(B$70,table_rank_apm,2,0))*(B22+HLOOKUP($A90,table_h2h_apm,MATCH(B$70,$A$2:$A$32,0),0)),0)</f>
        <v>15.712418378160327</v>
      </c>
      <c r="C90">
        <f>IFERROR(VLOOKUP($A90,table_rank_apm,2,0)/(VLOOKUP($A90,table_rank_apm,2,0)+VLOOKUP(C$70,table_rank_apm,2,0))*(C22+HLOOKUP($A90,table_h2h_apm,MATCH(C$70,$A$2:$A$32,0),0)),0)</f>
        <v>22.525642134604876</v>
      </c>
      <c r="D90">
        <f>IFERROR(VLOOKUP($A90,table_rank_apm,2,0)/(VLOOKUP($A90,table_rank_apm,2,0)+VLOOKUP(D$70,table_rank_apm,2,0))*(D22+HLOOKUP($A90,table_h2h_apm,MATCH(D$70,$A$2:$A$32,0),0)),0)</f>
        <v>20.814994608611713</v>
      </c>
      <c r="E90">
        <f>IFERROR(VLOOKUP($A90,table_rank_apm,2,0)/(VLOOKUP($A90,table_rank_apm,2,0)+VLOOKUP(E$70,table_rank_apm,2,0))*(E22+HLOOKUP($A90,table_h2h_apm,MATCH(E$70,$A$2:$A$32,0),0)),0)</f>
        <v>23.512747157221142</v>
      </c>
      <c r="F90">
        <f>IFERROR(VLOOKUP($A90,table_rank_apm,2,0)/(VLOOKUP($A90,table_rank_apm,2,0)+VLOOKUP(F$70,table_rank_apm,2,0))*(F22+HLOOKUP($A90,table_h2h_apm,MATCH(F$70,$A$2:$A$32,0),0)),0)</f>
        <v>17.679435037200431</v>
      </c>
      <c r="G90">
        <f>IFERROR(VLOOKUP($A90,table_rank_apm,2,0)/(VLOOKUP($A90,table_rank_apm,2,0)+VLOOKUP(G$70,table_rank_apm,2,0))*(G22+HLOOKUP($A90,table_h2h_apm,MATCH(G$70,$A$2:$A$32,0),0)),0)</f>
        <v>16.395471101912921</v>
      </c>
      <c r="H90">
        <f>IFERROR(VLOOKUP($A90,table_rank_apm,2,0)/(VLOOKUP($A90,table_rank_apm,2,0)+VLOOKUP(H$70,table_rank_apm,2,0))*(H22+HLOOKUP($A90,table_h2h_apm,MATCH(H$70,$A$2:$A$32,0),0)),0)</f>
        <v>16.981785494383693</v>
      </c>
      <c r="I90">
        <f>IFERROR(VLOOKUP($A90,table_rank_apm,2,0)/(VLOOKUP($A90,table_rank_apm,2,0)+VLOOKUP(I$70,table_rank_apm,2,0))*(I22+HLOOKUP($A90,table_h2h_apm,MATCH(I$70,$A$2:$A$32,0),0)),0)</f>
        <v>23.397183794066596</v>
      </c>
      <c r="J90">
        <f>IFERROR(VLOOKUP($A90,table_rank_apm,2,0)/(VLOOKUP($A90,table_rank_apm,2,0)+VLOOKUP(J$70,table_rank_apm,2,0))*(J22+HLOOKUP($A90,table_h2h_apm,MATCH(J$70,$A$2:$A$32,0),0)),0)</f>
        <v>21.660857005010179</v>
      </c>
      <c r="K90">
        <f>IFERROR(VLOOKUP($A90,table_rank_apm,2,0)/(VLOOKUP($A90,table_rank_apm,2,0)+VLOOKUP(K$70,table_rank_apm,2,0))*(K22+HLOOKUP($A90,table_h2h_apm,MATCH(K$70,$A$2:$A$32,0),0)),0)</f>
        <v>11.986408621715489</v>
      </c>
      <c r="L90">
        <f>IFERROR(VLOOKUP($A90,table_rank_apm,2,0)/(VLOOKUP($A90,table_rank_apm,2,0)+VLOOKUP(L$70,table_rank_apm,2,0))*(L22+HLOOKUP($A90,table_h2h_apm,MATCH(L$70,$A$2:$A$32,0),0)),0)</f>
        <v>16.26083465994811</v>
      </c>
      <c r="M90">
        <f>IFERROR(VLOOKUP($A90,table_rank_apm,2,0)/(VLOOKUP($A90,table_rank_apm,2,0)+VLOOKUP(M$70,table_rank_apm,2,0))*(M22+HLOOKUP($A90,table_h2h_apm,MATCH(M$70,$A$2:$A$32,0),0)),0)</f>
        <v>20.693926368252605</v>
      </c>
      <c r="N90">
        <f>IFERROR(VLOOKUP($A90,table_rank_apm,2,0)/(VLOOKUP($A90,table_rank_apm,2,0)+VLOOKUP(N$70,table_rank_apm,2,0))*(N22+HLOOKUP($A90,table_h2h_apm,MATCH(N$70,$A$2:$A$32,0),0)),0)</f>
        <v>14.801806056976012</v>
      </c>
      <c r="O90">
        <f>IFERROR(VLOOKUP($A90,table_rank_apm,2,0)/(VLOOKUP($A90,table_rank_apm,2,0)+VLOOKUP(O$70,table_rank_apm,2,0))*(O22+HLOOKUP($A90,table_h2h_apm,MATCH(O$70,$A$2:$A$32,0),0)),0)</f>
        <v>25.661142734488983</v>
      </c>
      <c r="P90">
        <f>IFERROR(VLOOKUP($A90,table_rank_apm,2,0)/(VLOOKUP($A90,table_rank_apm,2,0)+VLOOKUP(P$70,table_rank_apm,2,0))*(P22+HLOOKUP($A90,table_h2h_apm,MATCH(P$70,$A$2:$A$32,0),0)),0)</f>
        <v>17.314573980388374</v>
      </c>
      <c r="Q90">
        <f>IFERROR(VLOOKUP($A90,table_rank_apm,2,0)/(VLOOKUP($A90,table_rank_apm,2,0)+VLOOKUP(Q$70,table_rank_apm,2,0))*(Q22+HLOOKUP($A90,table_h2h_apm,MATCH(Q$70,$A$2:$A$32,0),0)),0)</f>
        <v>23.0998573157522</v>
      </c>
      <c r="R90">
        <f>IFERROR(VLOOKUP($A90,table_rank_apm,2,0)/(VLOOKUP($A90,table_rank_apm,2,0)+VLOOKUP(R$70,table_rank_apm,2,0))*(R22+HLOOKUP($A90,table_h2h_apm,MATCH(R$70,$A$2:$A$32,0),0)),0)</f>
        <v>20.755206804262155</v>
      </c>
      <c r="S90">
        <f>IFERROR(VLOOKUP($A90,table_rank_apm,2,0)/(VLOOKUP($A90,table_rank_apm,2,0)+VLOOKUP(S$70,table_rank_apm,2,0))*(S22+HLOOKUP($A90,table_h2h_apm,MATCH(S$70,$A$2:$A$32,0),0)),0)</f>
        <v>28.013065181889658</v>
      </c>
      <c r="T90">
        <f>IFERROR(VLOOKUP($A90,table_rank_apm,2,0)/(VLOOKUP($A90,table_rank_apm,2,0)+VLOOKUP(T$70,table_rank_apm,2,0))*(T22+HLOOKUP($A90,table_h2h_apm,MATCH(T$70,$A$2:$A$32,0),0)),0)</f>
        <v>19.702039545311642</v>
      </c>
      <c r="U90">
        <f>IFERROR(VLOOKUP($A90,table_rank_apm,2,0)/(VLOOKUP($A90,table_rank_apm,2,0)+VLOOKUP(U$70,table_rank_apm,2,0))*(U22+HLOOKUP($A90,table_h2h_apm,MATCH(U$70,$A$2:$A$32,0),0)),0)</f>
        <v>30</v>
      </c>
      <c r="V90">
        <f>IFERROR(VLOOKUP($A90,table_rank_apm,2,0)/(VLOOKUP($A90,table_rank_apm,2,0)+VLOOKUP(V$70,table_rank_apm,2,0))*(V22+HLOOKUP($A90,table_h2h_apm,MATCH(V$70,$A$2:$A$32,0),0)),0)</f>
        <v>18.112047758654729</v>
      </c>
      <c r="W90">
        <f>IFERROR(VLOOKUP($A90,table_rank_apm,2,0)/(VLOOKUP($A90,table_rank_apm,2,0)+VLOOKUP(W$70,table_rank_apm,2,0))*(W22+HLOOKUP($A90,table_h2h_apm,MATCH(W$70,$A$2:$A$32,0),0)),0)</f>
        <v>25.885714009943623</v>
      </c>
      <c r="X90">
        <f>IFERROR(VLOOKUP($A90,table_rank_apm,2,0)/(VLOOKUP($A90,table_rank_apm,2,0)+VLOOKUP(X$70,table_rank_apm,2,0))*(X22+HLOOKUP($A90,table_h2h_apm,MATCH(X$70,$A$2:$A$32,0),0)),0)</f>
        <v>29.079582246300422</v>
      </c>
      <c r="Y90">
        <f>IFERROR(VLOOKUP($A90,table_rank_apm,2,0)/(VLOOKUP($A90,table_rank_apm,2,0)+VLOOKUP(Y$70,table_rank_apm,2,0))*(Y22+HLOOKUP($A90,table_h2h_apm,MATCH(Y$70,$A$2:$A$32,0),0)),0)</f>
        <v>20.314880825574136</v>
      </c>
      <c r="Z90">
        <f>IFERROR(VLOOKUP($A90,table_rank_apm,2,0)/(VLOOKUP($A90,table_rank_apm,2,0)+VLOOKUP(Z$70,table_rank_apm,2,0))*(Z22+HLOOKUP($A90,table_h2h_apm,MATCH(Z$70,$A$2:$A$32,0),0)),0)</f>
        <v>16.522119059066366</v>
      </c>
      <c r="AA90">
        <f>IFERROR(VLOOKUP($A90,table_rank_apm,2,0)/(VLOOKUP($A90,table_rank_apm,2,0)+VLOOKUP(AA$70,table_rank_apm,2,0))*(AA22+HLOOKUP($A90,table_h2h_apm,MATCH(AA$70,$A$2:$A$32,0),0)),0)</f>
        <v>14.875682322366433</v>
      </c>
      <c r="AB90">
        <f>IFERROR(VLOOKUP($A90,table_rank_apm,2,0)/(VLOOKUP($A90,table_rank_apm,2,0)+VLOOKUP(AB$70,table_rank_apm,2,0))*(AB22+HLOOKUP($A90,table_h2h_apm,MATCH(AB$70,$A$2:$A$32,0),0)),0)</f>
        <v>23.260975876608391</v>
      </c>
      <c r="AC90">
        <f>IFERROR(VLOOKUP($A90,table_rank_apm,2,0)/(VLOOKUP($A90,table_rank_apm,2,0)+VLOOKUP(AC$70,table_rank_apm,2,0))*(AC22+HLOOKUP($A90,table_h2h_apm,MATCH(AC$70,$A$2:$A$32,0),0)),0)</f>
        <v>17.853851933150501</v>
      </c>
      <c r="AD90">
        <f>IFERROR(VLOOKUP($A90,table_rank_apm,2,0)/(VLOOKUP($A90,table_rank_apm,2,0)+VLOOKUP(AD$70,table_rank_apm,2,0))*(AD22+HLOOKUP($A90,table_h2h_apm,MATCH(AD$70,$A$2:$A$32,0),0)),0)</f>
        <v>19.784909790705896</v>
      </c>
      <c r="AE90">
        <f>IFERROR(VLOOKUP($A90,table_rank_apm,2,0)/(VLOOKUP($A90,table_rank_apm,2,0)+VLOOKUP(AE$70,table_rank_apm,2,0))*(AE22+HLOOKUP($A90,table_h2h_apm,MATCH(AE$70,$A$2:$A$32,0),0)),0)</f>
        <v>19.891423260874411</v>
      </c>
      <c r="AG90">
        <f>AG22</f>
        <v>-9.5599999999999987</v>
      </c>
      <c r="AH90">
        <f>ROUND(AVERAGE(B90:AE90),2)-30</f>
        <v>-9.5799999999999983</v>
      </c>
      <c r="AI90">
        <f>AG90-AH90</f>
        <v>1.9999999999999574E-2</v>
      </c>
    </row>
    <row r="91" spans="1:35" x14ac:dyDescent="0.25">
      <c r="A91" t="s">
        <v>38</v>
      </c>
      <c r="B91">
        <f>IFERROR(VLOOKUP($A91,table_rank_apm,2,0)/(VLOOKUP($A91,table_rank_apm,2,0)+VLOOKUP(B$70,table_rank_apm,2,0))*(B23+HLOOKUP($A91,table_h2h_apm,MATCH(B$70,$A$2:$A$32,0),0)),0)</f>
        <v>27.042160237443536</v>
      </c>
      <c r="C91">
        <f>IFERROR(VLOOKUP($A91,table_rank_apm,2,0)/(VLOOKUP($A91,table_rank_apm,2,0)+VLOOKUP(C$70,table_rank_apm,2,0))*(C23+HLOOKUP($A91,table_h2h_apm,MATCH(C$70,$A$2:$A$32,0),0)),0)</f>
        <v>34.897070196663456</v>
      </c>
      <c r="D91">
        <f>IFERROR(VLOOKUP($A91,table_rank_apm,2,0)/(VLOOKUP($A91,table_rank_apm,2,0)+VLOOKUP(D$70,table_rank_apm,2,0))*(D23+HLOOKUP($A91,table_h2h_apm,MATCH(D$70,$A$2:$A$32,0),0)),0)</f>
        <v>33.076156030150301</v>
      </c>
      <c r="E91">
        <f>IFERROR(VLOOKUP($A91,table_rank_apm,2,0)/(VLOOKUP($A91,table_rank_apm,2,0)+VLOOKUP(E$70,table_rank_apm,2,0))*(E23+HLOOKUP($A91,table_h2h_apm,MATCH(E$70,$A$2:$A$32,0),0)),0)</f>
        <v>35.906851978889698</v>
      </c>
      <c r="F91">
        <f>IFERROR(VLOOKUP($A91,table_rank_apm,2,0)/(VLOOKUP($A91,table_rank_apm,2,0)+VLOOKUP(F$70,table_rank_apm,2,0))*(F23+HLOOKUP($A91,table_h2h_apm,MATCH(F$70,$A$2:$A$32,0),0)),0)</f>
        <v>29.483299229963748</v>
      </c>
      <c r="G91">
        <f>IFERROR(VLOOKUP($A91,table_rank_apm,2,0)/(VLOOKUP($A91,table_rank_apm,2,0)+VLOOKUP(G$70,table_rank_apm,2,0))*(G23+HLOOKUP($A91,table_h2h_apm,MATCH(G$70,$A$2:$A$32,0),0)),0)</f>
        <v>27.907379455028085</v>
      </c>
      <c r="H91">
        <f>IFERROR(VLOOKUP($A91,table_rank_apm,2,0)/(VLOOKUP($A91,table_rank_apm,2,0)+VLOOKUP(H$70,table_rank_apm,2,0))*(H23+HLOOKUP($A91,table_h2h_apm,MATCH(H$70,$A$2:$A$32,0),0)),0)</f>
        <v>28.635022384534473</v>
      </c>
      <c r="I91">
        <f>IFERROR(VLOOKUP($A91,table_rank_apm,2,0)/(VLOOKUP($A91,table_rank_apm,2,0)+VLOOKUP(I$70,table_rank_apm,2,0))*(I23+HLOOKUP($A91,table_h2h_apm,MATCH(I$70,$A$2:$A$32,0),0)),0)</f>
        <v>35.790124748660645</v>
      </c>
      <c r="J91">
        <f>IFERROR(VLOOKUP($A91,table_rank_apm,2,0)/(VLOOKUP($A91,table_rank_apm,2,0)+VLOOKUP(J$70,table_rank_apm,2,0))*(J23+HLOOKUP($A91,table_h2h_apm,MATCH(J$70,$A$2:$A$32,0),0)),0)</f>
        <v>33.988099932425698</v>
      </c>
      <c r="K91">
        <f>IFERROR(VLOOKUP($A91,table_rank_apm,2,0)/(VLOOKUP($A91,table_rank_apm,2,0)+VLOOKUP(K$70,table_rank_apm,2,0))*(K23+HLOOKUP($A91,table_h2h_apm,MATCH(K$70,$A$2:$A$32,0),0)),0)</f>
        <v>21.961751500962311</v>
      </c>
      <c r="L91">
        <f>IFERROR(VLOOKUP($A91,table_rank_apm,2,0)/(VLOOKUP($A91,table_rank_apm,2,0)+VLOOKUP(L$70,table_rank_apm,2,0))*(L23+HLOOKUP($A91,table_h2h_apm,MATCH(L$70,$A$2:$A$32,0),0)),0)</f>
        <v>27.738345509804571</v>
      </c>
      <c r="M91">
        <f>IFERROR(VLOOKUP($A91,table_rank_apm,2,0)/(VLOOKUP($A91,table_rank_apm,2,0)+VLOOKUP(M$70,table_rank_apm,2,0))*(M23+HLOOKUP($A91,table_h2h_apm,MATCH(M$70,$A$2:$A$32,0),0)),0)</f>
        <v>32.943728817111371</v>
      </c>
      <c r="N91">
        <f>IFERROR(VLOOKUP($A91,table_rank_apm,2,0)/(VLOOKUP($A91,table_rank_apm,2,0)+VLOOKUP(N$70,table_rank_apm,2,0))*(N23+HLOOKUP($A91,table_h2h_apm,MATCH(N$70,$A$2:$A$32,0),0)),0)</f>
        <v>25.858312718570208</v>
      </c>
      <c r="O91">
        <f>IFERROR(VLOOKUP($A91,table_rank_apm,2,0)/(VLOOKUP($A91,table_rank_apm,2,0)+VLOOKUP(O$70,table_rank_apm,2,0))*(O23+HLOOKUP($A91,table_h2h_apm,MATCH(O$70,$A$2:$A$32,0),0)),0)</f>
        <v>38.008046136248133</v>
      </c>
      <c r="P91">
        <f>IFERROR(VLOOKUP($A91,table_rank_apm,2,0)/(VLOOKUP($A91,table_rank_apm,2,0)+VLOOKUP(P$70,table_rank_apm,2,0))*(P23+HLOOKUP($A91,table_h2h_apm,MATCH(P$70,$A$2:$A$32,0),0)),0)</f>
        <v>29.04200482904529</v>
      </c>
      <c r="Q91">
        <f>IFERROR(VLOOKUP($A91,table_rank_apm,2,0)/(VLOOKUP($A91,table_rank_apm,2,0)+VLOOKUP(Q$70,table_rank_apm,2,0))*(Q23+HLOOKUP($A91,table_h2h_apm,MATCH(Q$70,$A$2:$A$32,0),0)),0)</f>
        <v>35.488001681447344</v>
      </c>
      <c r="R91">
        <f>IFERROR(VLOOKUP($A91,table_rank_apm,2,0)/(VLOOKUP($A91,table_rank_apm,2,0)+VLOOKUP(R$70,table_rank_apm,2,0))*(R23+HLOOKUP($A91,table_h2h_apm,MATCH(R$70,$A$2:$A$32,0),0)),0)</f>
        <v>33.010819059590389</v>
      </c>
      <c r="S91">
        <f>IFERROR(VLOOKUP($A91,table_rank_apm,2,0)/(VLOOKUP($A91,table_rank_apm,2,0)+VLOOKUP(S$70,table_rank_apm,2,0))*(S23+HLOOKUP($A91,table_h2h_apm,MATCH(S$70,$A$2:$A$32,0),0)),0)</f>
        <v>40.167874257248037</v>
      </c>
      <c r="T91">
        <f>IFERROR(VLOOKUP($A91,table_rank_apm,2,0)/(VLOOKUP($A91,table_rank_apm,2,0)+VLOOKUP(T$70,table_rank_apm,2,0))*(T23+HLOOKUP($A91,table_h2h_apm,MATCH(T$70,$A$2:$A$32,0),0)),0)</f>
        <v>31.840319538476475</v>
      </c>
      <c r="U91">
        <f>IFERROR(VLOOKUP($A91,table_rank_apm,2,0)/(VLOOKUP($A91,table_rank_apm,2,0)+VLOOKUP(U$70,table_rank_apm,2,0))*(U23+HLOOKUP($A91,table_h2h_apm,MATCH(U$70,$A$2:$A$32,0),0)),0)</f>
        <v>41.887952241345275</v>
      </c>
      <c r="V91">
        <f>IFERROR(VLOOKUP($A91,table_rank_apm,2,0)/(VLOOKUP($A91,table_rank_apm,2,0)+VLOOKUP(V$70,table_rank_apm,2,0))*(V23+HLOOKUP($A91,table_h2h_apm,MATCH(V$70,$A$2:$A$32,0),0)),0)</f>
        <v>30</v>
      </c>
      <c r="W91">
        <f>IFERROR(VLOOKUP($A91,table_rank_apm,2,0)/(VLOOKUP($A91,table_rank_apm,2,0)+VLOOKUP(W$70,table_rank_apm,2,0))*(W23+HLOOKUP($A91,table_h2h_apm,MATCH(W$70,$A$2:$A$32,0),0)),0)</f>
        <v>38.220403488432979</v>
      </c>
      <c r="X91">
        <f>IFERROR(VLOOKUP($A91,table_rank_apm,2,0)/(VLOOKUP($A91,table_rank_apm,2,0)+VLOOKUP(X$70,table_rank_apm,2,0))*(X23+HLOOKUP($A91,table_h2h_apm,MATCH(X$70,$A$2:$A$32,0),0)),0)</f>
        <v>41.102514945137045</v>
      </c>
      <c r="Y91">
        <f>IFERROR(VLOOKUP($A91,table_rank_apm,2,0)/(VLOOKUP($A91,table_rank_apm,2,0)+VLOOKUP(Y$70,table_rank_apm,2,0))*(Y23+HLOOKUP($A91,table_h2h_apm,MATCH(Y$70,$A$2:$A$32,0),0)),0)</f>
        <v>32.525979471354361</v>
      </c>
      <c r="Z91">
        <f>IFERROR(VLOOKUP($A91,table_rank_apm,2,0)/(VLOOKUP($A91,table_rank_apm,2,0)+VLOOKUP(Z$70,table_rank_apm,2,0))*(Z23+HLOOKUP($A91,table_h2h_apm,MATCH(Z$70,$A$2:$A$32,0),0)),0)</f>
        <v>28.065716361575625</v>
      </c>
      <c r="AA91">
        <f>IFERROR(VLOOKUP($A91,table_rank_apm,2,0)/(VLOOKUP($A91,table_rank_apm,2,0)+VLOOKUP(AA$70,table_rank_apm,2,0))*(AA23+HLOOKUP($A91,table_h2h_apm,MATCH(AA$70,$A$2:$A$32,0),0)),0)</f>
        <v>25.955682543720133</v>
      </c>
      <c r="AB91">
        <f>IFERROR(VLOOKUP($A91,table_rank_apm,2,0)/(VLOOKUP($A91,table_rank_apm,2,0)+VLOOKUP(AB$70,table_rank_apm,2,0))*(AB23+HLOOKUP($A91,table_h2h_apm,MATCH(AB$70,$A$2:$A$32,0),0)),0)</f>
        <v>35.652042804956366</v>
      </c>
      <c r="AC91">
        <f>IFERROR(VLOOKUP($A91,table_rank_apm,2,0)/(VLOOKUP($A91,table_rank_apm,2,0)+VLOOKUP(AC$70,table_rank_apm,2,0))*(AC23+HLOOKUP($A91,table_h2h_apm,MATCH(AC$70,$A$2:$A$32,0),0)),0)</f>
        <v>29.692464217378646</v>
      </c>
      <c r="AD91">
        <f>IFERROR(VLOOKUP($A91,table_rank_apm,2,0)/(VLOOKUP($A91,table_rank_apm,2,0)+VLOOKUP(AD$70,table_rank_apm,2,0))*(AD23+HLOOKUP($A91,table_h2h_apm,MATCH(AD$70,$A$2:$A$32,0),0)),0)</f>
        <v>31.933786823609232</v>
      </c>
      <c r="AE91">
        <f>IFERROR(VLOOKUP($A91,table_rank_apm,2,0)/(VLOOKUP($A91,table_rank_apm,2,0)+VLOOKUP(AE$70,table_rank_apm,2,0))*(AE23+HLOOKUP($A91,table_h2h_apm,MATCH(AE$70,$A$2:$A$32,0),0)),0)</f>
        <v>32.053573883884958</v>
      </c>
      <c r="AG91">
        <f>AG23</f>
        <v>2.3500000000000014</v>
      </c>
      <c r="AH91">
        <f>ROUND(AVERAGE(B91:AE91),2)-30</f>
        <v>2.3299999999999983</v>
      </c>
      <c r="AI91">
        <f>AG91-AH91</f>
        <v>2.0000000000003126E-2</v>
      </c>
    </row>
    <row r="92" spans="1:35" x14ac:dyDescent="0.25">
      <c r="A92" t="s">
        <v>13</v>
      </c>
      <c r="B92">
        <f>IFERROR(VLOOKUP($A92,table_rank_apm,2,0)/(VLOOKUP($A92,table_rank_apm,2,0)+VLOOKUP(B$70,table_rank_apm,2,0))*(B24+HLOOKUP($A92,table_h2h_apm,MATCH(B$70,$A$2:$A$32,0),0)),0)</f>
        <v>19.115806965757365</v>
      </c>
      <c r="C92">
        <f>IFERROR(VLOOKUP($A92,table_rank_apm,2,0)/(VLOOKUP($A92,table_rank_apm,2,0)+VLOOKUP(C$70,table_rank_apm,2,0))*(C24+HLOOKUP($A92,table_h2h_apm,MATCH(C$70,$A$2:$A$32,0),0)),0)</f>
        <v>26.521057907825561</v>
      </c>
      <c r="D92">
        <f>IFERROR(VLOOKUP($A92,table_rank_apm,2,0)/(VLOOKUP($A92,table_rank_apm,2,0)+VLOOKUP(D$70,table_rank_apm,2,0))*(D24+HLOOKUP($A92,table_h2h_apm,MATCH(D$70,$A$2:$A$32,0),0)),0)</f>
        <v>24.707036476337251</v>
      </c>
      <c r="E92">
        <f>IFERROR(VLOOKUP($A92,table_rank_apm,2,0)/(VLOOKUP($A92,table_rank_apm,2,0)+VLOOKUP(E$70,table_rank_apm,2,0))*(E24+HLOOKUP($A92,table_h2h_apm,MATCH(E$70,$A$2:$A$32,0),0)),0)</f>
        <v>27.554509648780147</v>
      </c>
      <c r="F92">
        <f>IFERROR(VLOOKUP($A92,table_rank_apm,2,0)/(VLOOKUP($A92,table_rank_apm,2,0)+VLOOKUP(F$70,table_rank_apm,2,0))*(F24+HLOOKUP($A92,table_h2h_apm,MATCH(F$70,$A$2:$A$32,0),0)),0)</f>
        <v>21.303936223313112</v>
      </c>
      <c r="G92">
        <f>IFERROR(VLOOKUP($A92,table_rank_apm,2,0)/(VLOOKUP($A92,table_rank_apm,2,0)+VLOOKUP(G$70,table_rank_apm,2,0))*(G24+HLOOKUP($A92,table_h2h_apm,MATCH(G$70,$A$2:$A$32,0),0)),0)</f>
        <v>19.880397387236258</v>
      </c>
      <c r="H92">
        <f>IFERROR(VLOOKUP($A92,table_rank_apm,2,0)/(VLOOKUP($A92,table_rank_apm,2,0)+VLOOKUP(H$70,table_rank_apm,2,0))*(H24+HLOOKUP($A92,table_h2h_apm,MATCH(H$70,$A$2:$A$32,0),0)),0)</f>
        <v>20.53265217934484</v>
      </c>
      <c r="I92">
        <f>IFERROR(VLOOKUP($A92,table_rank_apm,2,0)/(VLOOKUP($A92,table_rank_apm,2,0)+VLOOKUP(I$70,table_rank_apm,2,0))*(I24+HLOOKUP($A92,table_h2h_apm,MATCH(I$70,$A$2:$A$32,0),0)),0)</f>
        <v>27.434017383011081</v>
      </c>
      <c r="J92">
        <f>IFERROR(VLOOKUP($A92,table_rank_apm,2,0)/(VLOOKUP($A92,table_rank_apm,2,0)+VLOOKUP(J$70,table_rank_apm,2,0))*(J24+HLOOKUP($A92,table_h2h_apm,MATCH(J$70,$A$2:$A$32,0),0)),0)</f>
        <v>25.607700641311151</v>
      </c>
      <c r="K92">
        <f>IFERROR(VLOOKUP($A92,table_rank_apm,2,0)/(VLOOKUP($A92,table_rank_apm,2,0)+VLOOKUP(K$70,table_rank_apm,2,0))*(K24+HLOOKUP($A92,table_h2h_apm,MATCH(K$70,$A$2:$A$32,0),0)),0)</f>
        <v>14.853405055717911</v>
      </c>
      <c r="L92">
        <f>IFERROR(VLOOKUP($A92,table_rank_apm,2,0)/(VLOOKUP($A92,table_rank_apm,2,0)+VLOOKUP(L$70,table_rank_apm,2,0))*(L24+HLOOKUP($A92,table_h2h_apm,MATCH(L$70,$A$2:$A$32,0),0)),0)</f>
        <v>19.730092213119317</v>
      </c>
      <c r="M92">
        <f>IFERROR(VLOOKUP($A92,table_rank_apm,2,0)/(VLOOKUP($A92,table_rank_apm,2,0)+VLOOKUP(M$70,table_rank_apm,2,0))*(M24+HLOOKUP($A92,table_h2h_apm,MATCH(M$70,$A$2:$A$32,0),0)),0)</f>
        <v>24.577529319205887</v>
      </c>
      <c r="N92">
        <f>IFERROR(VLOOKUP($A92,table_rank_apm,2,0)/(VLOOKUP($A92,table_rank_apm,2,0)+VLOOKUP(N$70,table_rank_apm,2,0))*(N24+HLOOKUP($A92,table_h2h_apm,MATCH(N$70,$A$2:$A$32,0),0)),0)</f>
        <v>18.088512090297009</v>
      </c>
      <c r="O92">
        <f>IFERROR(VLOOKUP($A92,table_rank_apm,2,0)/(VLOOKUP($A92,table_rank_apm,2,0)+VLOOKUP(O$70,table_rank_apm,2,0))*(O24+HLOOKUP($A92,table_h2h_apm,MATCH(O$70,$A$2:$A$32,0),0)),0)</f>
        <v>29.77088426494155</v>
      </c>
      <c r="P92">
        <f>IFERROR(VLOOKUP($A92,table_rank_apm,2,0)/(VLOOKUP($A92,table_rank_apm,2,0)+VLOOKUP(P$70,table_rank_apm,2,0))*(P24+HLOOKUP($A92,table_h2h_apm,MATCH(P$70,$A$2:$A$32,0),0)),0)</f>
        <v>20.901216774019066</v>
      </c>
      <c r="Q92">
        <f>IFERROR(VLOOKUP($A92,table_rank_apm,2,0)/(VLOOKUP($A92,table_rank_apm,2,0)+VLOOKUP(Q$70,table_rank_apm,2,0))*(Q24+HLOOKUP($A92,table_h2h_apm,MATCH(Q$70,$A$2:$A$32,0),0)),0)</f>
        <v>27.123405411236565</v>
      </c>
      <c r="R92">
        <f>IFERROR(VLOOKUP($A92,table_rank_apm,2,0)/(VLOOKUP($A92,table_rank_apm,2,0)+VLOOKUP(R$70,table_rank_apm,2,0))*(R24+HLOOKUP($A92,table_h2h_apm,MATCH(R$70,$A$2:$A$32,0),0)),0)</f>
        <v>24.643099941612398</v>
      </c>
      <c r="S92">
        <f>IFERROR(VLOOKUP($A92,table_rank_apm,2,0)/(VLOOKUP($A92,table_rank_apm,2,0)+VLOOKUP(S$70,table_rank_apm,2,0))*(S24+HLOOKUP($A92,table_h2h_apm,MATCH(S$70,$A$2:$A$32,0),0)),0)</f>
        <v>32.146851304020004</v>
      </c>
      <c r="T92">
        <f>IFERROR(VLOOKUP($A92,table_rank_apm,2,0)/(VLOOKUP($A92,table_rank_apm,2,0)+VLOOKUP(T$70,table_rank_apm,2,0))*(T24+HLOOKUP($A92,table_h2h_apm,MATCH(T$70,$A$2:$A$32,0),0)),0)</f>
        <v>23.510839248356991</v>
      </c>
      <c r="U92">
        <f>IFERROR(VLOOKUP($A92,table_rank_apm,2,0)/(VLOOKUP($A92,table_rank_apm,2,0)+VLOOKUP(U$70,table_rank_apm,2,0))*(U24+HLOOKUP($A92,table_h2h_apm,MATCH(U$70,$A$2:$A$32,0),0)),0)</f>
        <v>34.114285990056374</v>
      </c>
      <c r="V92">
        <f>IFERROR(VLOOKUP($A92,table_rank_apm,2,0)/(VLOOKUP($A92,table_rank_apm,2,0)+VLOOKUP(V$70,table_rank_apm,2,0))*(V24+HLOOKUP($A92,table_h2h_apm,MATCH(V$70,$A$2:$A$32,0),0)),0)</f>
        <v>21.779596511567025</v>
      </c>
      <c r="W92">
        <f>IFERROR(VLOOKUP($A92,table_rank_apm,2,0)/(VLOOKUP($A92,table_rank_apm,2,0)+VLOOKUP(W$70,table_rank_apm,2,0))*(W24+HLOOKUP($A92,table_h2h_apm,MATCH(W$70,$A$2:$A$32,0),0)),0)</f>
        <v>30</v>
      </c>
      <c r="X92">
        <f>IFERROR(VLOOKUP($A92,table_rank_apm,2,0)/(VLOOKUP($A92,table_rank_apm,2,0)+VLOOKUP(X$70,table_rank_apm,2,0))*(X24+HLOOKUP($A92,table_h2h_apm,MATCH(X$70,$A$2:$A$32,0),0)),0)</f>
        <v>33.207363617449111</v>
      </c>
      <c r="Y92">
        <f>IFERROR(VLOOKUP($A92,table_rank_apm,2,0)/(VLOOKUP($A92,table_rank_apm,2,0)+VLOOKUP(Y$70,table_rank_apm,2,0))*(Y24+HLOOKUP($A92,table_h2h_apm,MATCH(Y$70,$A$2:$A$32,0),0)),0)</f>
        <v>24.17109292554262</v>
      </c>
      <c r="Z92">
        <f>IFERROR(VLOOKUP($A92,table_rank_apm,2,0)/(VLOOKUP($A92,table_rank_apm,2,0)+VLOOKUP(Z$70,table_rank_apm,2,0))*(Z24+HLOOKUP($A92,table_h2h_apm,MATCH(Z$70,$A$2:$A$32,0),0)),0)</f>
        <v>20.02160442485911</v>
      </c>
      <c r="AA92">
        <f>IFERROR(VLOOKUP($A92,table_rank_apm,2,0)/(VLOOKUP($A92,table_rank_apm,2,0)+VLOOKUP(AA$70,table_rank_apm,2,0))*(AA24+HLOOKUP($A92,table_h2h_apm,MATCH(AA$70,$A$2:$A$32,0),0)),0)</f>
        <v>18.172197061886241</v>
      </c>
      <c r="AB92">
        <f>IFERROR(VLOOKUP($A92,table_rank_apm,2,0)/(VLOOKUP($A92,table_rank_apm,2,0)+VLOOKUP(AB$70,table_rank_apm,2,0))*(AB24+HLOOKUP($A92,table_h2h_apm,MATCH(AB$70,$A$2:$A$32,0),0)),0)</f>
        <v>27.291831399217141</v>
      </c>
      <c r="AC92">
        <f>IFERROR(VLOOKUP($A92,table_rank_apm,2,0)/(VLOOKUP($A92,table_rank_apm,2,0)+VLOOKUP(AC$70,table_rank_apm,2,0))*(AC24+HLOOKUP($A92,table_h2h_apm,MATCH(AC$70,$A$2:$A$32,0),0)),0)</f>
        <v>21.495948309858399</v>
      </c>
      <c r="AD92">
        <f>IFERROR(VLOOKUP($A92,table_rank_apm,2,0)/(VLOOKUP($A92,table_rank_apm,2,0)+VLOOKUP(AD$70,table_rank_apm,2,0))*(AD24+HLOOKUP($A92,table_h2h_apm,MATCH(AD$70,$A$2:$A$32,0),0)),0)</f>
        <v>23.600347641172128</v>
      </c>
      <c r="AE92">
        <f>IFERROR(VLOOKUP($A92,table_rank_apm,2,0)/(VLOOKUP($A92,table_rank_apm,2,0)+VLOOKUP(AE$70,table_rank_apm,2,0))*(AE24+HLOOKUP($A92,table_h2h_apm,MATCH(AE$70,$A$2:$A$32,0),0)),0)</f>
        <v>23.71528872299918</v>
      </c>
      <c r="AG92">
        <f>AG24</f>
        <v>-5.7600000000000016</v>
      </c>
      <c r="AH92">
        <f>ROUND(AVERAGE(B92:AE92),2)-30</f>
        <v>-5.8099999999999987</v>
      </c>
      <c r="AI92">
        <f>AG92-AH92</f>
        <v>4.9999999999997158E-2</v>
      </c>
    </row>
    <row r="93" spans="1:35" x14ac:dyDescent="0.25">
      <c r="A93" t="s">
        <v>21</v>
      </c>
      <c r="B93">
        <f>IFERROR(VLOOKUP($A93,table_rank_apm,2,0)/(VLOOKUP($A93,table_rank_apm,2,0)+VLOOKUP(B$70,table_rank_apm,2,0))*(B25+HLOOKUP($A93,table_h2h_apm,MATCH(B$70,$A$2:$A$32,0),0)),0)</f>
        <v>16.434622700641114</v>
      </c>
      <c r="C93">
        <f>IFERROR(VLOOKUP($A93,table_rank_apm,2,0)/(VLOOKUP($A93,table_rank_apm,2,0)+VLOOKUP(C$70,table_rank_apm,2,0))*(C25+HLOOKUP($A93,table_h2h_apm,MATCH(C$70,$A$2:$A$32,0),0)),0)</f>
        <v>23.395576173950666</v>
      </c>
      <c r="D93">
        <f>IFERROR(VLOOKUP($A93,table_rank_apm,2,0)/(VLOOKUP($A93,table_rank_apm,2,0)+VLOOKUP(D$70,table_rank_apm,2,0))*(D25+HLOOKUP($A93,table_h2h_apm,MATCH(D$70,$A$2:$A$32,0),0)),0)</f>
        <v>21.65704380416177</v>
      </c>
      <c r="E93">
        <f>IFERROR(VLOOKUP($A93,table_rank_apm,2,0)/(VLOOKUP($A93,table_rank_apm,2,0)+VLOOKUP(E$70,table_rank_apm,2,0))*(E25+HLOOKUP($A93,table_h2h_apm,MATCH(E$70,$A$2:$A$32,0),0)),0)</f>
        <v>24.395985495815509</v>
      </c>
      <c r="F93">
        <f>IFERROR(VLOOKUP($A93,table_rank_apm,2,0)/(VLOOKUP($A93,table_rank_apm,2,0)+VLOOKUP(F$70,table_rank_apm,2,0))*(F25+HLOOKUP($A93,table_h2h_apm,MATCH(F$70,$A$2:$A$32,0),0)),0)</f>
        <v>18.454377086175775</v>
      </c>
      <c r="G93">
        <f>IFERROR(VLOOKUP($A93,table_rank_apm,2,0)/(VLOOKUP($A93,table_rank_apm,2,0)+VLOOKUP(G$70,table_rank_apm,2,0))*(G25+HLOOKUP($A93,table_h2h_apm,MATCH(G$70,$A$2:$A$32,0),0)),0)</f>
        <v>17.136922718571412</v>
      </c>
      <c r="H93">
        <f>IFERROR(VLOOKUP($A93,table_rank_apm,2,0)/(VLOOKUP($A93,table_rank_apm,2,0)+VLOOKUP(H$70,table_rank_apm,2,0))*(H25+HLOOKUP($A93,table_h2h_apm,MATCH(H$70,$A$2:$A$32,0),0)),0)</f>
        <v>17.738965339832653</v>
      </c>
      <c r="I93">
        <f>IFERROR(VLOOKUP($A93,table_rank_apm,2,0)/(VLOOKUP($A93,table_rank_apm,2,0)+VLOOKUP(I$70,table_rank_apm,2,0))*(I25+HLOOKUP($A93,table_h2h_apm,MATCH(I$70,$A$2:$A$32,0),0)),0)</f>
        <v>24.278969659423087</v>
      </c>
      <c r="J93">
        <f>IFERROR(VLOOKUP($A93,table_rank_apm,2,0)/(VLOOKUP($A93,table_rank_apm,2,0)+VLOOKUP(J$70,table_rank_apm,2,0))*(J25+HLOOKUP($A93,table_h2h_apm,MATCH(J$70,$A$2:$A$32,0),0)),0)</f>
        <v>22.517461213136997</v>
      </c>
      <c r="K93">
        <f>IFERROR(VLOOKUP($A93,table_rank_apm,2,0)/(VLOOKUP($A93,table_rank_apm,2,0)+VLOOKUP(K$70,table_rank_apm,2,0))*(K25+HLOOKUP($A93,table_h2h_apm,MATCH(K$70,$A$2:$A$32,0),0)),0)</f>
        <v>12.586021628927316</v>
      </c>
      <c r="L93">
        <f>IFERROR(VLOOKUP($A93,table_rank_apm,2,0)/(VLOOKUP($A93,table_rank_apm,2,0)+VLOOKUP(L$70,table_rank_apm,2,0))*(L25+HLOOKUP($A93,table_h2h_apm,MATCH(L$70,$A$2:$A$32,0),0)),0)</f>
        <v>16.998571190876635</v>
      </c>
      <c r="M93">
        <f>IFERROR(VLOOKUP($A93,table_rank_apm,2,0)/(VLOOKUP($A93,table_rank_apm,2,0)+VLOOKUP(M$70,table_rank_apm,2,0))*(M25+HLOOKUP($A93,table_h2h_apm,MATCH(M$70,$A$2:$A$32,0),0)),0)</f>
        <v>21.533769355043717</v>
      </c>
      <c r="N93">
        <f>IFERROR(VLOOKUP($A93,table_rank_apm,2,0)/(VLOOKUP($A93,table_rank_apm,2,0)+VLOOKUP(N$70,table_rank_apm,2,0))*(N25+HLOOKUP($A93,table_h2h_apm,MATCH(N$70,$A$2:$A$32,0),0)),0)</f>
        <v>15.496800786257086</v>
      </c>
      <c r="O93">
        <f>IFERROR(VLOOKUP($A93,table_rank_apm,2,0)/(VLOOKUP($A93,table_rank_apm,2,0)+VLOOKUP(O$70,table_rank_apm,2,0))*(O25+HLOOKUP($A93,table_h2h_apm,MATCH(O$70,$A$2:$A$32,0),0)),0)</f>
        <v>26.566324272234397</v>
      </c>
      <c r="P93">
        <f>IFERROR(VLOOKUP($A93,table_rank_apm,2,0)/(VLOOKUP($A93,table_rank_apm,2,0)+VLOOKUP(P$70,table_rank_apm,2,0))*(P25+HLOOKUP($A93,table_h2h_apm,MATCH(P$70,$A$2:$A$32,0),0)),0)</f>
        <v>18.080355654114857</v>
      </c>
      <c r="Q93">
        <f>IFERROR(VLOOKUP($A93,table_rank_apm,2,0)/(VLOOKUP($A93,table_rank_apm,2,0)+VLOOKUP(Q$70,table_rank_apm,2,0))*(Q25+HLOOKUP($A93,table_h2h_apm,MATCH(Q$70,$A$2:$A$32,0),0)),0)</f>
        <v>23.977778164829179</v>
      </c>
      <c r="R93">
        <f>IFERROR(VLOOKUP($A93,table_rank_apm,2,0)/(VLOOKUP($A93,table_rank_apm,2,0)+VLOOKUP(R$70,table_rank_apm,2,0))*(R25+HLOOKUP($A93,table_h2h_apm,MATCH(R$70,$A$2:$A$32,0),0)),0)</f>
        <v>21.596170347073478</v>
      </c>
      <c r="S93">
        <f>IFERROR(VLOOKUP($A93,table_rank_apm,2,0)/(VLOOKUP($A93,table_rank_apm,2,0)+VLOOKUP(S$70,table_rank_apm,2,0))*(S25+HLOOKUP($A93,table_h2h_apm,MATCH(S$70,$A$2:$A$32,0),0)),0)</f>
        <v>28.931311348277212</v>
      </c>
      <c r="T93">
        <f>IFERROR(VLOOKUP($A93,table_rank_apm,2,0)/(VLOOKUP($A93,table_rank_apm,2,0)+VLOOKUP(T$70,table_rank_apm,2,0))*(T25+HLOOKUP($A93,table_h2h_apm,MATCH(T$70,$A$2:$A$32,0),0)),0)</f>
        <v>20.522645746280922</v>
      </c>
      <c r="U93">
        <f>IFERROR(VLOOKUP($A93,table_rank_apm,2,0)/(VLOOKUP($A93,table_rank_apm,2,0)+VLOOKUP(U$70,table_rank_apm,2,0))*(U25+HLOOKUP($A93,table_h2h_apm,MATCH(U$70,$A$2:$A$32,0),0)),0)</f>
        <v>30.920417753699578</v>
      </c>
      <c r="V93">
        <f>IFERROR(VLOOKUP($A93,table_rank_apm,2,0)/(VLOOKUP($A93,table_rank_apm,2,0)+VLOOKUP(V$70,table_rank_apm,2,0))*(V25+HLOOKUP($A93,table_h2h_apm,MATCH(V$70,$A$2:$A$32,0),0)),0)</f>
        <v>18.897485054862955</v>
      </c>
      <c r="W93">
        <f>IFERROR(VLOOKUP($A93,table_rank_apm,2,0)/(VLOOKUP($A93,table_rank_apm,2,0)+VLOOKUP(W$70,table_rank_apm,2,0))*(W25+HLOOKUP($A93,table_h2h_apm,MATCH(W$70,$A$2:$A$32,0),0)),0)</f>
        <v>26.792636382550889</v>
      </c>
      <c r="X93">
        <f>IFERROR(VLOOKUP($A93,table_rank_apm,2,0)/(VLOOKUP($A93,table_rank_apm,2,0)+VLOOKUP(X$70,table_rank_apm,2,0))*(X25+HLOOKUP($A93,table_h2h_apm,MATCH(X$70,$A$2:$A$32,0),0)),0)</f>
        <v>30</v>
      </c>
      <c r="Y93">
        <f>IFERROR(VLOOKUP($A93,table_rank_apm,2,0)/(VLOOKUP($A93,table_rank_apm,2,0)+VLOOKUP(Y$70,table_rank_apm,2,0))*(Y25+HLOOKUP($A93,table_h2h_apm,MATCH(Y$70,$A$2:$A$32,0),0)),0)</f>
        <v>21.147617147088614</v>
      </c>
      <c r="Z93">
        <f>IFERROR(VLOOKUP($A93,table_rank_apm,2,0)/(VLOOKUP($A93,table_rank_apm,2,0)+VLOOKUP(Z$70,table_rank_apm,2,0))*(Z25+HLOOKUP($A93,table_h2h_apm,MATCH(Z$70,$A$2:$A$32,0),0)),0)</f>
        <v>17.267030069789122</v>
      </c>
      <c r="AA93">
        <f>IFERROR(VLOOKUP($A93,table_rank_apm,2,0)/(VLOOKUP($A93,table_rank_apm,2,0)+VLOOKUP(AA$70,table_rank_apm,2,0))*(AA25+HLOOKUP($A93,table_h2h_apm,MATCH(AA$70,$A$2:$A$32,0),0)),0)</f>
        <v>15.572950643889158</v>
      </c>
      <c r="AB93">
        <f>IFERROR(VLOOKUP($A93,table_rank_apm,2,0)/(VLOOKUP($A93,table_rank_apm,2,0)+VLOOKUP(AB$70,table_rank_apm,2,0))*(AB25+HLOOKUP($A93,table_h2h_apm,MATCH(AB$70,$A$2:$A$32,0),0)),0)</f>
        <v>24.14101403647404</v>
      </c>
      <c r="AC93">
        <f>IFERROR(VLOOKUP($A93,table_rank_apm,2,0)/(VLOOKUP($A93,table_rank_apm,2,0)+VLOOKUP(AC$70,table_rank_apm,2,0))*(AC25+HLOOKUP($A93,table_h2h_apm,MATCH(AC$70,$A$2:$A$32,0),0)),0)</f>
        <v>18.633073127276216</v>
      </c>
      <c r="AD93">
        <f>IFERROR(VLOOKUP($A93,table_rank_apm,2,0)/(VLOOKUP($A93,table_rank_apm,2,0)+VLOOKUP(AD$70,table_rank_apm,2,0))*(AD25+HLOOKUP($A93,table_h2h_apm,MATCH(AD$70,$A$2:$A$32,0),0)),0)</f>
        <v>20.6072025509106</v>
      </c>
      <c r="AE93">
        <f>IFERROR(VLOOKUP($A93,table_rank_apm,2,0)/(VLOOKUP($A93,table_rank_apm,2,0)+VLOOKUP(AE$70,table_rank_apm,2,0))*(AE25+HLOOKUP($A93,table_h2h_apm,MATCH(AE$70,$A$2:$A$32,0),0)),0)</f>
        <v>20.715862493387618</v>
      </c>
      <c r="AG93">
        <f>AG25</f>
        <v>-8.9400000000000013</v>
      </c>
      <c r="AH93">
        <f>ROUND(AVERAGE(B93:AE93),2)-30</f>
        <v>-8.77</v>
      </c>
      <c r="AI93">
        <f>AG93-AH93</f>
        <v>-0.17000000000000171</v>
      </c>
    </row>
    <row r="94" spans="1:35" x14ac:dyDescent="0.25">
      <c r="A94" t="s">
        <v>35</v>
      </c>
      <c r="B94">
        <f>IFERROR(VLOOKUP($A94,table_rank_apm,2,0)/(VLOOKUP($A94,table_rank_apm,2,0)+VLOOKUP(B$70,table_rank_apm,2,0))*(B26+HLOOKUP($A94,table_h2h_apm,MATCH(B$70,$A$2:$A$32,0),0)),0)</f>
        <v>24.561330440530966</v>
      </c>
      <c r="C94">
        <f>IFERROR(VLOOKUP($A94,table_rank_apm,2,0)/(VLOOKUP($A94,table_rank_apm,2,0)+VLOOKUP(C$70,table_rank_apm,2,0))*(C26+HLOOKUP($A94,table_h2h_apm,MATCH(C$70,$A$2:$A$32,0),0)),0)</f>
        <v>32.404133940321429</v>
      </c>
      <c r="D94">
        <f>IFERROR(VLOOKUP($A94,table_rank_apm,2,0)/(VLOOKUP($A94,table_rank_apm,2,0)+VLOOKUP(D$70,table_rank_apm,2,0))*(D26+HLOOKUP($A94,table_h2h_apm,MATCH(D$70,$A$2:$A$32,0),0)),0)</f>
        <v>30.554967971579064</v>
      </c>
      <c r="E94">
        <f>IFERROR(VLOOKUP($A94,table_rank_apm,2,0)/(VLOOKUP($A94,table_rank_apm,2,0)+VLOOKUP(E$70,table_rank_apm,2,0))*(E26+HLOOKUP($A94,table_h2h_apm,MATCH(E$70,$A$2:$A$32,0),0)),0)</f>
        <v>33.437866943390674</v>
      </c>
      <c r="F94">
        <f>IFERROR(VLOOKUP($A94,table_rank_apm,2,0)/(VLOOKUP($A94,table_rank_apm,2,0)+VLOOKUP(F$70,table_rank_apm,2,0))*(F26+HLOOKUP($A94,table_h2h_apm,MATCH(F$70,$A$2:$A$32,0),0)),0)</f>
        <v>26.961725848720299</v>
      </c>
      <c r="G94">
        <f>IFERROR(VLOOKUP($A94,table_rank_apm,2,0)/(VLOOKUP($A94,table_rank_apm,2,0)+VLOOKUP(G$70,table_rank_apm,2,0))*(G26+HLOOKUP($A94,table_h2h_apm,MATCH(G$70,$A$2:$A$32,0),0)),0)</f>
        <v>25.408367744645602</v>
      </c>
      <c r="H94">
        <f>IFERROR(VLOOKUP($A94,table_rank_apm,2,0)/(VLOOKUP($A94,table_rank_apm,2,0)+VLOOKUP(H$70,table_rank_apm,2,0))*(H26+HLOOKUP($A94,table_h2h_apm,MATCH(H$70,$A$2:$A$32,0),0)),0)</f>
        <v>26.123892305168653</v>
      </c>
      <c r="I94">
        <f>IFERROR(VLOOKUP($A94,table_rank_apm,2,0)/(VLOOKUP($A94,table_rank_apm,2,0)+VLOOKUP(I$70,table_rank_apm,2,0))*(I26+HLOOKUP($A94,table_h2h_apm,MATCH(I$70,$A$2:$A$32,0),0)),0)</f>
        <v>33.318066573494626</v>
      </c>
      <c r="J94">
        <f>IFERROR(VLOOKUP($A94,table_rank_apm,2,0)/(VLOOKUP($A94,table_rank_apm,2,0)+VLOOKUP(J$70,table_rank_apm,2,0))*(J26+HLOOKUP($A94,table_h2h_apm,MATCH(J$70,$A$2:$A$32,0),0)),0)</f>
        <v>31.47867149158408</v>
      </c>
      <c r="K94">
        <f>IFERROR(VLOOKUP($A94,table_rank_apm,2,0)/(VLOOKUP($A94,table_rank_apm,2,0)+VLOOKUP(K$70,table_rank_apm,2,0))*(K26+HLOOKUP($A94,table_h2h_apm,MATCH(K$70,$A$2:$A$32,0),0)),0)</f>
        <v>19.668847992443357</v>
      </c>
      <c r="L94">
        <f>IFERROR(VLOOKUP($A94,table_rank_apm,2,0)/(VLOOKUP($A94,table_rank_apm,2,0)+VLOOKUP(L$70,table_rank_apm,2,0))*(L26+HLOOKUP($A94,table_h2h_apm,MATCH(L$70,$A$2:$A$32,0),0)),0)</f>
        <v>25.242564614477747</v>
      </c>
      <c r="M94">
        <f>IFERROR(VLOOKUP($A94,table_rank_apm,2,0)/(VLOOKUP($A94,table_rank_apm,2,0)+VLOOKUP(M$70,table_rank_apm,2,0))*(M26+HLOOKUP($A94,table_h2h_apm,MATCH(M$70,$A$2:$A$32,0),0)),0)</f>
        <v>30.421229543572629</v>
      </c>
      <c r="N94">
        <f>IFERROR(VLOOKUP($A94,table_rank_apm,2,0)/(VLOOKUP($A94,table_rank_apm,2,0)+VLOOKUP(N$70,table_rank_apm,2,0))*(N26+HLOOKUP($A94,table_h2h_apm,MATCH(N$70,$A$2:$A$32,0),0)),0)</f>
        <v>23.408949211125002</v>
      </c>
      <c r="O94">
        <f>IFERROR(VLOOKUP($A94,table_rank_apm,2,0)/(VLOOKUP($A94,table_rank_apm,2,0)+VLOOKUP(O$70,table_rank_apm,2,0))*(O26+HLOOKUP($A94,table_h2h_apm,MATCH(O$70,$A$2:$A$32,0),0)),0)</f>
        <v>35.608113120808888</v>
      </c>
      <c r="P94">
        <f>IFERROR(VLOOKUP($A94,table_rank_apm,2,0)/(VLOOKUP($A94,table_rank_apm,2,0)+VLOOKUP(P$70,table_rank_apm,2,0))*(P26+HLOOKUP($A94,table_h2h_apm,MATCH(P$70,$A$2:$A$32,0),0)),0)</f>
        <v>26.525367779457692</v>
      </c>
      <c r="Q94">
        <f>IFERROR(VLOOKUP($A94,table_rank_apm,2,0)/(VLOOKUP($A94,table_rank_apm,2,0)+VLOOKUP(Q$70,table_rank_apm,2,0))*(Q26+HLOOKUP($A94,table_h2h_apm,MATCH(Q$70,$A$2:$A$32,0),0)),0)</f>
        <v>33.008359570052356</v>
      </c>
      <c r="R94">
        <f>IFERROR(VLOOKUP($A94,table_rank_apm,2,0)/(VLOOKUP($A94,table_rank_apm,2,0)+VLOOKUP(R$70,table_rank_apm,2,0))*(R26+HLOOKUP($A94,table_h2h_apm,MATCH(R$70,$A$2:$A$32,0),0)),0)</f>
        <v>30.488971542909329</v>
      </c>
      <c r="S94">
        <f>IFERROR(VLOOKUP($A94,table_rank_apm,2,0)/(VLOOKUP($A94,table_rank_apm,2,0)+VLOOKUP(S$70,table_rank_apm,2,0))*(S26+HLOOKUP($A94,table_h2h_apm,MATCH(S$70,$A$2:$A$32,0),0)),0)</f>
        <v>37.866382476807928</v>
      </c>
      <c r="T94">
        <f>IFERROR(VLOOKUP($A94,table_rank_apm,2,0)/(VLOOKUP($A94,table_rank_apm,2,0)+VLOOKUP(T$70,table_rank_apm,2,0))*(T26+HLOOKUP($A94,table_h2h_apm,MATCH(T$70,$A$2:$A$32,0),0)),0)</f>
        <v>29.310780162904219</v>
      </c>
      <c r="U94">
        <f>IFERROR(VLOOKUP($A94,table_rank_apm,2,0)/(VLOOKUP($A94,table_rank_apm,2,0)+VLOOKUP(U$70,table_rank_apm,2,0))*(U26+HLOOKUP($A94,table_h2h_apm,MATCH(U$70,$A$2:$A$32,0),0)),0)</f>
        <v>39.685119174425857</v>
      </c>
      <c r="V94">
        <f>IFERROR(VLOOKUP($A94,table_rank_apm,2,0)/(VLOOKUP($A94,table_rank_apm,2,0)+VLOOKUP(V$70,table_rank_apm,2,0))*(V26+HLOOKUP($A94,table_h2h_apm,MATCH(V$70,$A$2:$A$32,0),0)),0)</f>
        <v>27.474020528645642</v>
      </c>
      <c r="W94">
        <f>IFERROR(VLOOKUP($A94,table_rank_apm,2,0)/(VLOOKUP($A94,table_rank_apm,2,0)+VLOOKUP(W$70,table_rank_apm,2,0))*(W26+HLOOKUP($A94,table_h2h_apm,MATCH(W$70,$A$2:$A$32,0),0)),0)</f>
        <v>35.828907074457376</v>
      </c>
      <c r="X94">
        <f>IFERROR(VLOOKUP($A94,table_rank_apm,2,0)/(VLOOKUP($A94,table_rank_apm,2,0)+VLOOKUP(X$70,table_rank_apm,2,0))*(X26+HLOOKUP($A94,table_h2h_apm,MATCH(X$70,$A$2:$A$32,0),0)),0)</f>
        <v>38.852382852911383</v>
      </c>
      <c r="Y94">
        <f>IFERROR(VLOOKUP($A94,table_rank_apm,2,0)/(VLOOKUP($A94,table_rank_apm,2,0)+VLOOKUP(Y$70,table_rank_apm,2,0))*(Y26+HLOOKUP($A94,table_h2h_apm,MATCH(Y$70,$A$2:$A$32,0),0)),0)</f>
        <v>30</v>
      </c>
      <c r="Z94">
        <f>IFERROR(VLOOKUP($A94,table_rank_apm,2,0)/(VLOOKUP($A94,table_rank_apm,2,0)+VLOOKUP(Z$70,table_rank_apm,2,0))*(Z26+HLOOKUP($A94,table_h2h_apm,MATCH(Z$70,$A$2:$A$32,0),0)),0)</f>
        <v>25.563820223911357</v>
      </c>
      <c r="AA94">
        <f>IFERROR(VLOOKUP($A94,table_rank_apm,2,0)/(VLOOKUP($A94,table_rank_apm,2,0)+VLOOKUP(AA$70,table_rank_apm,2,0))*(AA26+HLOOKUP($A94,table_h2h_apm,MATCH(AA$70,$A$2:$A$32,0),0)),0)</f>
        <v>23.503445197906817</v>
      </c>
      <c r="AB94">
        <f>IFERROR(VLOOKUP($A94,table_rank_apm,2,0)/(VLOOKUP($A94,table_rank_apm,2,0)+VLOOKUP(AB$70,table_rank_apm,2,0))*(AB26+HLOOKUP($A94,table_h2h_apm,MATCH(AB$70,$A$2:$A$32,0),0)),0)</f>
        <v>33.176452257271308</v>
      </c>
      <c r="AC94">
        <f>IFERROR(VLOOKUP($A94,table_rank_apm,2,0)/(VLOOKUP($A94,table_rank_apm,2,0)+VLOOKUP(AC$70,table_rank_apm,2,0))*(AC26+HLOOKUP($A94,table_h2h_apm,MATCH(AC$70,$A$2:$A$32,0),0)),0)</f>
        <v>27.168928366862161</v>
      </c>
      <c r="AD94">
        <f>IFERROR(VLOOKUP($A94,table_rank_apm,2,0)/(VLOOKUP($A94,table_rank_apm,2,0)+VLOOKUP(AD$70,table_rank_apm,2,0))*(AD26+HLOOKUP($A94,table_h2h_apm,MATCH(AD$70,$A$2:$A$32,0),0)),0)</f>
        <v>29.40457571618423</v>
      </c>
      <c r="AE94">
        <f>IFERROR(VLOOKUP($A94,table_rank_apm,2,0)/(VLOOKUP($A94,table_rank_apm,2,0)+VLOOKUP(AE$70,table_rank_apm,2,0))*(AE26+HLOOKUP($A94,table_h2h_apm,MATCH(AE$70,$A$2:$A$32,0),0)),0)</f>
        <v>29.524855847687089</v>
      </c>
      <c r="AG94">
        <f>AG26</f>
        <v>-0.10999999999999943</v>
      </c>
      <c r="AH94">
        <f>ROUND(AVERAGE(B94:AE94),2)-30</f>
        <v>-0.12999999999999901</v>
      </c>
      <c r="AI94">
        <f>AG94-AH94</f>
        <v>1.9999999999999574E-2</v>
      </c>
    </row>
    <row r="95" spans="1:35" x14ac:dyDescent="0.25">
      <c r="A95" t="s">
        <v>39</v>
      </c>
      <c r="B95">
        <f>IFERROR(VLOOKUP($A95,table_rank_apm,2,0)/(VLOOKUP($A95,table_rank_apm,2,0)+VLOOKUP(B$70,table_rank_apm,2,0))*(B27+HLOOKUP($A95,table_h2h_apm,MATCH(B$70,$A$2:$A$32,0),0)),0)</f>
        <v>28.969895500352944</v>
      </c>
      <c r="C95">
        <f>IFERROR(VLOOKUP($A95,table_rank_apm,2,0)/(VLOOKUP($A95,table_rank_apm,2,0)+VLOOKUP(C$70,table_rank_apm,2,0))*(C27+HLOOKUP($A95,table_h2h_apm,MATCH(C$70,$A$2:$A$32,0),0)),0)</f>
        <v>36.760204019114035</v>
      </c>
      <c r="D95">
        <f>IFERROR(VLOOKUP($A95,table_rank_apm,2,0)/(VLOOKUP($A95,table_rank_apm,2,0)+VLOOKUP(D$70,table_rank_apm,2,0))*(D27+HLOOKUP($A95,table_h2h_apm,MATCH(D$70,$A$2:$A$32,0),0)),0)</f>
        <v>34.977531777561275</v>
      </c>
      <c r="E95">
        <f>IFERROR(VLOOKUP($A95,table_rank_apm,2,0)/(VLOOKUP($A95,table_rank_apm,2,0)+VLOOKUP(E$70,table_rank_apm,2,0))*(E27+HLOOKUP($A95,table_h2h_apm,MATCH(E$70,$A$2:$A$32,0),0)),0)</f>
        <v>37.742840029670468</v>
      </c>
      <c r="F95">
        <f>IFERROR(VLOOKUP($A95,table_rank_apm,2,0)/(VLOOKUP($A95,table_rank_apm,2,0)+VLOOKUP(F$70,table_rank_apm,2,0))*(F27+HLOOKUP($A95,table_h2h_apm,MATCH(F$70,$A$2:$A$32,0),0)),0)</f>
        <v>31.419158837726336</v>
      </c>
      <c r="G95">
        <f>IFERROR(VLOOKUP($A95,table_rank_apm,2,0)/(VLOOKUP($A95,table_rank_apm,2,0)+VLOOKUP(G$70,table_rank_apm,2,0))*(G27+HLOOKUP($A95,table_h2h_apm,MATCH(G$70,$A$2:$A$32,0),0)),0)</f>
        <v>29.840947761012181</v>
      </c>
      <c r="H95">
        <f>IFERROR(VLOOKUP($A95,table_rank_apm,2,0)/(VLOOKUP($A95,table_rank_apm,2,0)+VLOOKUP(H$70,table_rank_apm,2,0))*(H27+HLOOKUP($A95,table_h2h_apm,MATCH(H$70,$A$2:$A$32,0),0)),0)</f>
        <v>30.570981061800197</v>
      </c>
      <c r="I95">
        <f>IFERROR(VLOOKUP($A95,table_rank_apm,2,0)/(VLOOKUP($A95,table_rank_apm,2,0)+VLOOKUP(I$70,table_rank_apm,2,0))*(I27+HLOOKUP($A95,table_h2h_apm,MATCH(I$70,$A$2:$A$32,0),0)),0)</f>
        <v>37.629466093978024</v>
      </c>
      <c r="J95">
        <f>IFERROR(VLOOKUP($A95,table_rank_apm,2,0)/(VLOOKUP($A95,table_rank_apm,2,0)+VLOOKUP(J$70,table_rank_apm,2,0))*(J27+HLOOKUP($A95,table_h2h_apm,MATCH(J$70,$A$2:$A$32,0),0)),0)</f>
        <v>35.872052794137872</v>
      </c>
      <c r="K95">
        <f>IFERROR(VLOOKUP($A95,table_rank_apm,2,0)/(VLOOKUP($A95,table_rank_apm,2,0)+VLOOKUP(K$70,table_rank_apm,2,0))*(K27+HLOOKUP($A95,table_h2h_apm,MATCH(K$70,$A$2:$A$32,0),0)),0)</f>
        <v>23.788730260965533</v>
      </c>
      <c r="L95">
        <f>IFERROR(VLOOKUP($A95,table_rank_apm,2,0)/(VLOOKUP($A95,table_rank_apm,2,0)+VLOOKUP(L$70,table_rank_apm,2,0))*(L27+HLOOKUP($A95,table_h2h_apm,MATCH(L$70,$A$2:$A$32,0),0)),0)</f>
        <v>29.671030105520281</v>
      </c>
      <c r="M95">
        <f>IFERROR(VLOOKUP($A95,table_rank_apm,2,0)/(VLOOKUP($A95,table_rank_apm,2,0)+VLOOKUP(M$70,table_rank_apm,2,0))*(M27+HLOOKUP($A95,table_h2h_apm,MATCH(M$70,$A$2:$A$32,0),0)),0)</f>
        <v>34.84734488529012</v>
      </c>
      <c r="N95">
        <f>IFERROR(VLOOKUP($A95,table_rank_apm,2,0)/(VLOOKUP($A95,table_rank_apm,2,0)+VLOOKUP(N$70,table_rank_apm,2,0))*(N27+HLOOKUP($A95,table_h2h_apm,MATCH(N$70,$A$2:$A$32,0),0)),0)</f>
        <v>27.772771054832127</v>
      </c>
      <c r="O95">
        <f>IFERROR(VLOOKUP($A95,table_rank_apm,2,0)/(VLOOKUP($A95,table_rank_apm,2,0)+VLOOKUP(O$70,table_rank_apm,2,0))*(O27+HLOOKUP($A95,table_h2h_apm,MATCH(O$70,$A$2:$A$32,0),0)),0)</f>
        <v>39.774108328025349</v>
      </c>
      <c r="P95">
        <f>IFERROR(VLOOKUP($A95,table_rank_apm,2,0)/(VLOOKUP($A95,table_rank_apm,2,0)+VLOOKUP(P$70,table_rank_apm,2,0))*(P27+HLOOKUP($A95,table_h2h_apm,MATCH(P$70,$A$2:$A$32,0),0)),0)</f>
        <v>30.978302721449282</v>
      </c>
      <c r="Q95">
        <f>IFERROR(VLOOKUP($A95,table_rank_apm,2,0)/(VLOOKUP($A95,table_rank_apm,2,0)+VLOOKUP(Q$70,table_rank_apm,2,0))*(Q27+HLOOKUP($A95,table_h2h_apm,MATCH(Q$70,$A$2:$A$32,0),0)),0)</f>
        <v>37.335761223703862</v>
      </c>
      <c r="R95">
        <f>IFERROR(VLOOKUP($A95,table_rank_apm,2,0)/(VLOOKUP($A95,table_rank_apm,2,0)+VLOOKUP(R$70,table_rank_apm,2,0))*(R27+HLOOKUP($A95,table_h2h_apm,MATCH(R$70,$A$2:$A$32,0),0)),0)</f>
        <v>34.913309339061207</v>
      </c>
      <c r="S95">
        <f>IFERROR(VLOOKUP($A95,table_rank_apm,2,0)/(VLOOKUP($A95,table_rank_apm,2,0)+VLOOKUP(S$70,table_rank_apm,2,0))*(S27+HLOOKUP($A95,table_h2h_apm,MATCH(S$70,$A$2:$A$32,0),0)),0)</f>
        <v>41.843347166903598</v>
      </c>
      <c r="T95">
        <f>IFERROR(VLOOKUP($A95,table_rank_apm,2,0)/(VLOOKUP($A95,table_rank_apm,2,0)+VLOOKUP(T$70,table_rank_apm,2,0))*(T27+HLOOKUP($A95,table_h2h_apm,MATCH(T$70,$A$2:$A$32,0),0)),0)</f>
        <v>33.759732599089169</v>
      </c>
      <c r="U95">
        <f>IFERROR(VLOOKUP($A95,table_rank_apm,2,0)/(VLOOKUP($A95,table_rank_apm,2,0)+VLOOKUP(U$70,table_rank_apm,2,0))*(U27+HLOOKUP($A95,table_h2h_apm,MATCH(U$70,$A$2:$A$32,0),0)),0)</f>
        <v>43.47788094093363</v>
      </c>
      <c r="V95">
        <f>IFERROR(VLOOKUP($A95,table_rank_apm,2,0)/(VLOOKUP($A95,table_rank_apm,2,0)+VLOOKUP(V$70,table_rank_apm,2,0))*(V27+HLOOKUP($A95,table_h2h_apm,MATCH(V$70,$A$2:$A$32,0),0)),0)</f>
        <v>31.934283638424382</v>
      </c>
      <c r="W95">
        <f>IFERROR(VLOOKUP($A95,table_rank_apm,2,0)/(VLOOKUP($A95,table_rank_apm,2,0)+VLOOKUP(W$70,table_rank_apm,2,0))*(W27+HLOOKUP($A95,table_h2h_apm,MATCH(W$70,$A$2:$A$32,0),0)),0)</f>
        <v>39.978395575140894</v>
      </c>
      <c r="X95">
        <f>IFERROR(VLOOKUP($A95,table_rank_apm,2,0)/(VLOOKUP($A95,table_rank_apm,2,0)+VLOOKUP(X$70,table_rank_apm,2,0))*(X27+HLOOKUP($A95,table_h2h_apm,MATCH(X$70,$A$2:$A$32,0),0)),0)</f>
        <v>42.732969930210878</v>
      </c>
      <c r="Y95">
        <f>IFERROR(VLOOKUP($A95,table_rank_apm,2,0)/(VLOOKUP($A95,table_rank_apm,2,0)+VLOOKUP(Y$70,table_rank_apm,2,0))*(Y27+HLOOKUP($A95,table_h2h_apm,MATCH(Y$70,$A$2:$A$32,0),0)),0)</f>
        <v>34.43617977608865</v>
      </c>
      <c r="Z95">
        <f>IFERROR(VLOOKUP($A95,table_rank_apm,2,0)/(VLOOKUP($A95,table_rank_apm,2,0)+VLOOKUP(Z$70,table_rank_apm,2,0))*(Z27+HLOOKUP($A95,table_h2h_apm,MATCH(Z$70,$A$2:$A$32,0),0)),0)</f>
        <v>30</v>
      </c>
      <c r="AA95">
        <f>IFERROR(VLOOKUP($A95,table_rank_apm,2,0)/(VLOOKUP($A95,table_rank_apm,2,0)+VLOOKUP(AA$70,table_rank_apm,2,0))*(AA27+HLOOKUP($A95,table_h2h_apm,MATCH(AA$70,$A$2:$A$32,0),0)),0)</f>
        <v>27.871464819347732</v>
      </c>
      <c r="AB95">
        <f>IFERROR(VLOOKUP($A95,table_rank_apm,2,0)/(VLOOKUP($A95,table_rank_apm,2,0)+VLOOKUP(AB$70,table_rank_apm,2,0))*(AB27+HLOOKUP($A95,table_h2h_apm,MATCH(AB$70,$A$2:$A$32,0),0)),0)</f>
        <v>37.495278349778573</v>
      </c>
      <c r="AC95">
        <f>IFERROR(VLOOKUP($A95,table_rank_apm,2,0)/(VLOOKUP($A95,table_rank_apm,2,0)+VLOOKUP(AC$70,table_rank_apm,2,0))*(AC27+HLOOKUP($A95,table_h2h_apm,MATCH(AC$70,$A$2:$A$32,0),0)),0)</f>
        <v>31.627823777563318</v>
      </c>
      <c r="AD95">
        <f>IFERROR(VLOOKUP($A95,table_rank_apm,2,0)/(VLOOKUP($A95,table_rank_apm,2,0)+VLOOKUP(AD$70,table_rank_apm,2,0))*(AD27+HLOOKUP($A95,table_h2h_apm,MATCH(AD$70,$A$2:$A$32,0),0)),0)</f>
        <v>33.852060902245533</v>
      </c>
      <c r="AE95">
        <f>IFERROR(VLOOKUP($A95,table_rank_apm,2,0)/(VLOOKUP($A95,table_rank_apm,2,0)+VLOOKUP(AE$70,table_rank_apm,2,0))*(AE27+HLOOKUP($A95,table_h2h_apm,MATCH(AE$70,$A$2:$A$32,0),0)),0)</f>
        <v>33.970334256358356</v>
      </c>
      <c r="AG95">
        <f>AG27</f>
        <v>4.1499999999999986</v>
      </c>
      <c r="AH95">
        <f>ROUND(AVERAGE(B95:AE95),2)-30</f>
        <v>4.1899999999999977</v>
      </c>
      <c r="AI95">
        <f>AG95-AH95</f>
        <v>-3.9999999999999147E-2</v>
      </c>
    </row>
    <row r="96" spans="1:35" x14ac:dyDescent="0.25">
      <c r="A96" t="s">
        <v>15</v>
      </c>
      <c r="B96">
        <f>IFERROR(VLOOKUP($A96,table_rank_apm,2,0)/(VLOOKUP($A96,table_rank_apm,2,0)+VLOOKUP(B$70,table_rank_apm,2,0))*(B28+HLOOKUP($A96,table_h2h_apm,MATCH(B$70,$A$2:$A$32,0),0)),0)</f>
        <v>31.101113254305858</v>
      </c>
      <c r="C96">
        <f>IFERROR(VLOOKUP($A96,table_rank_apm,2,0)/(VLOOKUP($A96,table_rank_apm,2,0)+VLOOKUP(C$70,table_rank_apm,2,0))*(C28+HLOOKUP($A96,table_h2h_apm,MATCH(C$70,$A$2:$A$32,0),0)),0)</f>
        <v>38.748861124139729</v>
      </c>
      <c r="D96">
        <f>IFERROR(VLOOKUP($A96,table_rank_apm,2,0)/(VLOOKUP($A96,table_rank_apm,2,0)+VLOOKUP(D$70,table_rank_apm,2,0))*(D28+HLOOKUP($A96,table_h2h_apm,MATCH(D$70,$A$2:$A$32,0),0)),0)</f>
        <v>37.023387241699858</v>
      </c>
      <c r="E96">
        <f>IFERROR(VLOOKUP($A96,table_rank_apm,2,0)/(VLOOKUP($A96,table_rank_apm,2,0)+VLOOKUP(E$70,table_rank_apm,2,0))*(E28+HLOOKUP($A96,table_h2h_apm,MATCH(E$70,$A$2:$A$32,0),0)),0)</f>
        <v>39.693860087584078</v>
      </c>
      <c r="F96">
        <f>IFERROR(VLOOKUP($A96,table_rank_apm,2,0)/(VLOOKUP($A96,table_rank_apm,2,0)+VLOOKUP(F$70,table_rank_apm,2,0))*(F28+HLOOKUP($A96,table_h2h_apm,MATCH(F$70,$A$2:$A$32,0),0)),0)</f>
        <v>33.535826490121188</v>
      </c>
      <c r="G96">
        <f>IFERROR(VLOOKUP($A96,table_rank_apm,2,0)/(VLOOKUP($A96,table_rank_apm,2,0)+VLOOKUP(G$70,table_rank_apm,2,0))*(G28+HLOOKUP($A96,table_h2h_apm,MATCH(G$70,$A$2:$A$32,0),0)),0)</f>
        <v>31.970224070534009</v>
      </c>
      <c r="H96">
        <f>IFERROR(VLOOKUP($A96,table_rank_apm,2,0)/(VLOOKUP($A96,table_rank_apm,2,0)+VLOOKUP(H$70,table_rank_apm,2,0))*(H28+HLOOKUP($A96,table_h2h_apm,MATCH(H$70,$A$2:$A$32,0),0)),0)</f>
        <v>32.695875751973603</v>
      </c>
      <c r="I96">
        <f>IFERROR(VLOOKUP($A96,table_rank_apm,2,0)/(VLOOKUP($A96,table_rank_apm,2,0)+VLOOKUP(I$70,table_rank_apm,2,0))*(I28+HLOOKUP($A96,table_h2h_apm,MATCH(I$70,$A$2:$A$32,0),0)),0)</f>
        <v>39.585048792764191</v>
      </c>
      <c r="J96">
        <f>IFERROR(VLOOKUP($A96,table_rank_apm,2,0)/(VLOOKUP($A96,table_rank_apm,2,0)+VLOOKUP(J$70,table_rank_apm,2,0))*(J28+HLOOKUP($A96,table_h2h_apm,MATCH(J$70,$A$2:$A$32,0),0)),0)</f>
        <v>37.891000642856099</v>
      </c>
      <c r="K96">
        <f>IFERROR(VLOOKUP($A96,table_rank_apm,2,0)/(VLOOKUP($A96,table_rank_apm,2,0)+VLOOKUP(K$70,table_rank_apm,2,0))*(K28+HLOOKUP($A96,table_h2h_apm,MATCH(K$70,$A$2:$A$32,0),0)),0)</f>
        <v>25.856396335849329</v>
      </c>
      <c r="L96">
        <f>IFERROR(VLOOKUP($A96,table_rank_apm,2,0)/(VLOOKUP($A96,table_rank_apm,2,0)+VLOOKUP(L$70,table_rank_apm,2,0))*(L28+HLOOKUP($A96,table_h2h_apm,MATCH(L$70,$A$2:$A$32,0),0)),0)</f>
        <v>31.800966486112056</v>
      </c>
      <c r="M96">
        <f>IFERROR(VLOOKUP($A96,table_rank_apm,2,0)/(VLOOKUP($A96,table_rank_apm,2,0)+VLOOKUP(M$70,table_rank_apm,2,0))*(M28+HLOOKUP($A96,table_h2h_apm,MATCH(M$70,$A$2:$A$32,0),0)),0)</f>
        <v>36.896813887122228</v>
      </c>
      <c r="N96">
        <f>IFERROR(VLOOKUP($A96,table_rank_apm,2,0)/(VLOOKUP($A96,table_rank_apm,2,0)+VLOOKUP(N$70,table_rank_apm,2,0))*(N28+HLOOKUP($A96,table_h2h_apm,MATCH(N$70,$A$2:$A$32,0),0)),0)</f>
        <v>29.900783614810809</v>
      </c>
      <c r="O96">
        <f>IFERROR(VLOOKUP($A96,table_rank_apm,2,0)/(VLOOKUP($A96,table_rank_apm,2,0)+VLOOKUP(O$70,table_rank_apm,2,0))*(O28+HLOOKUP($A96,table_h2h_apm,MATCH(O$70,$A$2:$A$32,0),0)),0)</f>
        <v>41.633716786601603</v>
      </c>
      <c r="P96">
        <f>IFERROR(VLOOKUP($A96,table_rank_apm,2,0)/(VLOOKUP($A96,table_rank_apm,2,0)+VLOOKUP(P$70,table_rank_apm,2,0))*(P28+HLOOKUP($A96,table_h2h_apm,MATCH(P$70,$A$2:$A$32,0),0)),0)</f>
        <v>33.099666129634606</v>
      </c>
      <c r="Q96">
        <f>IFERROR(VLOOKUP($A96,table_rank_apm,2,0)/(VLOOKUP($A96,table_rank_apm,2,0)+VLOOKUP(Q$70,table_rank_apm,2,0))*(Q28+HLOOKUP($A96,table_h2h_apm,MATCH(Q$70,$A$2:$A$32,0),0)),0)</f>
        <v>39.302897074925355</v>
      </c>
      <c r="R96">
        <f>IFERROR(VLOOKUP($A96,table_rank_apm,2,0)/(VLOOKUP($A96,table_rank_apm,2,0)+VLOOKUP(R$70,table_rank_apm,2,0))*(R28+HLOOKUP($A96,table_h2h_apm,MATCH(R$70,$A$2:$A$32,0),0)),0)</f>
        <v>36.960957025142072</v>
      </c>
      <c r="S96">
        <f>IFERROR(VLOOKUP($A96,table_rank_apm,2,0)/(VLOOKUP($A96,table_rank_apm,2,0)+VLOOKUP(S$70,table_rank_apm,2,0))*(S28+HLOOKUP($A96,table_h2h_apm,MATCH(S$70,$A$2:$A$32,0),0)),0)</f>
        <v>43.591193308381534</v>
      </c>
      <c r="T96">
        <f>IFERROR(VLOOKUP($A96,table_rank_apm,2,0)/(VLOOKUP($A96,table_rank_apm,2,0)+VLOOKUP(T$70,table_rank_apm,2,0))*(T28+HLOOKUP($A96,table_h2h_apm,MATCH(T$70,$A$2:$A$32,0),0)),0)</f>
        <v>35.836371265092296</v>
      </c>
      <c r="U96">
        <f>IFERROR(VLOOKUP($A96,table_rank_apm,2,0)/(VLOOKUP($A96,table_rank_apm,2,0)+VLOOKUP(U$70,table_rank_apm,2,0))*(U28+HLOOKUP($A96,table_h2h_apm,MATCH(U$70,$A$2:$A$32,0),0)),0)</f>
        <v>45.12431767763357</v>
      </c>
      <c r="V96">
        <f>IFERROR(VLOOKUP($A96,table_rank_apm,2,0)/(VLOOKUP($A96,table_rank_apm,2,0)+VLOOKUP(V$70,table_rank_apm,2,0))*(V28+HLOOKUP($A96,table_h2h_apm,MATCH(V$70,$A$2:$A$32,0),0)),0)</f>
        <v>34.04431745627987</v>
      </c>
      <c r="W96">
        <f>IFERROR(VLOOKUP($A96,table_rank_apm,2,0)/(VLOOKUP($A96,table_rank_apm,2,0)+VLOOKUP(W$70,table_rank_apm,2,0))*(W28+HLOOKUP($A96,table_h2h_apm,MATCH(W$70,$A$2:$A$32,0),0)),0)</f>
        <v>41.82780293811377</v>
      </c>
      <c r="X96">
        <f>IFERROR(VLOOKUP($A96,table_rank_apm,2,0)/(VLOOKUP($A96,table_rank_apm,2,0)+VLOOKUP(X$70,table_rank_apm,2,0))*(X28+HLOOKUP($A96,table_h2h_apm,MATCH(X$70,$A$2:$A$32,0),0)),0)</f>
        <v>44.427049356110849</v>
      </c>
      <c r="Y96">
        <f>IFERROR(VLOOKUP($A96,table_rank_apm,2,0)/(VLOOKUP($A96,table_rank_apm,2,0)+VLOOKUP(Y$70,table_rank_apm,2,0))*(Y28+HLOOKUP($A96,table_h2h_apm,MATCH(Y$70,$A$2:$A$32,0),0)),0)</f>
        <v>36.496554802093179</v>
      </c>
      <c r="Z96">
        <f>IFERROR(VLOOKUP($A96,table_rank_apm,2,0)/(VLOOKUP($A96,table_rank_apm,2,0)+VLOOKUP(Z$70,table_rank_apm,2,0))*(Z28+HLOOKUP($A96,table_h2h_apm,MATCH(Z$70,$A$2:$A$32,0),0)),0)</f>
        <v>32.128535180652264</v>
      </c>
      <c r="AA96">
        <f>IFERROR(VLOOKUP($A96,table_rank_apm,2,0)/(VLOOKUP($A96,table_rank_apm,2,0)+VLOOKUP(AA$70,table_rank_apm,2,0))*(AA28+HLOOKUP($A96,table_h2h_apm,MATCH(AA$70,$A$2:$A$32,0),0)),0)</f>
        <v>30</v>
      </c>
      <c r="AB96">
        <f>IFERROR(VLOOKUP($A96,table_rank_apm,2,0)/(VLOOKUP($A96,table_rank_apm,2,0)+VLOOKUP(AB$70,table_rank_apm,2,0))*(AB28+HLOOKUP($A96,table_h2h_apm,MATCH(AB$70,$A$2:$A$32,0),0)),0)</f>
        <v>39.456187233267968</v>
      </c>
      <c r="AC96">
        <f>IFERROR(VLOOKUP($A96,table_rank_apm,2,0)/(VLOOKUP($A96,table_rank_apm,2,0)+VLOOKUP(AC$70,table_rank_apm,2,0))*(AC28+HLOOKUP($A96,table_h2h_apm,MATCH(AC$70,$A$2:$A$32,0),0)),0)</f>
        <v>33.741952937590995</v>
      </c>
      <c r="AD96">
        <f>IFERROR(VLOOKUP($A96,table_rank_apm,2,0)/(VLOOKUP($A96,table_rank_apm,2,0)+VLOOKUP(AD$70,table_rank_apm,2,0))*(AD28+HLOOKUP($A96,table_h2h_apm,MATCH(AD$70,$A$2:$A$32,0),0)),0)</f>
        <v>35.926603101145545</v>
      </c>
      <c r="AE96">
        <f>IFERROR(VLOOKUP($A96,table_rank_apm,2,0)/(VLOOKUP($A96,table_rank_apm,2,0)+VLOOKUP(AE$70,table_rank_apm,2,0))*(AE28+HLOOKUP($A96,table_h2h_apm,MATCH(AE$70,$A$2:$A$32,0),0)),0)</f>
        <v>36.042133826271751</v>
      </c>
      <c r="AG96">
        <f>AG28</f>
        <v>6.1899999999999977</v>
      </c>
      <c r="AH96">
        <f>ROUND(AVERAGE(B96:AE96),2)-30</f>
        <v>6.2100000000000009</v>
      </c>
      <c r="AI96">
        <f>AG96-AH96</f>
        <v>-2.0000000000003126E-2</v>
      </c>
    </row>
    <row r="97" spans="1:35" x14ac:dyDescent="0.25">
      <c r="A97" t="s">
        <v>37</v>
      </c>
      <c r="B97">
        <f>IFERROR(VLOOKUP($A97,table_rank_apm,2,0)/(VLOOKUP($A97,table_rank_apm,2,0)+VLOOKUP(B$70,table_rank_apm,2,0))*(B29+HLOOKUP($A97,table_h2h_apm,MATCH(B$70,$A$2:$A$32,0),0)),0)</f>
        <v>21.547132608918954</v>
      </c>
      <c r="C97">
        <f>IFERROR(VLOOKUP($A97,table_rank_apm,2,0)/(VLOOKUP($A97,table_rank_apm,2,0)+VLOOKUP(C$70,table_rank_apm,2,0))*(C29+HLOOKUP($A97,table_h2h_apm,MATCH(C$70,$A$2:$A$32,0),0)),0)</f>
        <v>29.221072381219813</v>
      </c>
      <c r="D97">
        <f>IFERROR(VLOOKUP($A97,table_rank_apm,2,0)/(VLOOKUP($A97,table_rank_apm,2,0)+VLOOKUP(D$70,table_rank_apm,2,0))*(D29+HLOOKUP($A97,table_h2h_apm,MATCH(D$70,$A$2:$A$32,0),0)),0)</f>
        <v>27.37337093810628</v>
      </c>
      <c r="E97">
        <f>IFERROR(VLOOKUP($A97,table_rank_apm,2,0)/(VLOOKUP($A97,table_rank_apm,2,0)+VLOOKUP(E$70,table_rank_apm,2,0))*(E29+HLOOKUP($A97,table_h2h_apm,MATCH(E$70,$A$2:$A$32,0),0)),0)</f>
        <v>30.26462554076268</v>
      </c>
      <c r="F97">
        <f>IFERROR(VLOOKUP($A97,table_rank_apm,2,0)/(VLOOKUP($A97,table_rank_apm,2,0)+VLOOKUP(F$70,table_rank_apm,2,0))*(F29+HLOOKUP($A97,table_h2h_apm,MATCH(F$70,$A$2:$A$32,0),0)),0)</f>
        <v>23.851208671259069</v>
      </c>
      <c r="G97">
        <f>IFERROR(VLOOKUP($A97,table_rank_apm,2,0)/(VLOOKUP($A97,table_rank_apm,2,0)+VLOOKUP(G$70,table_rank_apm,2,0))*(G29+HLOOKUP($A97,table_h2h_apm,MATCH(G$70,$A$2:$A$32,0),0)),0)</f>
        <v>22.355794932090028</v>
      </c>
      <c r="H97">
        <f>IFERROR(VLOOKUP($A97,table_rank_apm,2,0)/(VLOOKUP($A97,table_rank_apm,2,0)+VLOOKUP(H$70,table_rank_apm,2,0))*(H29+HLOOKUP($A97,table_h2h_apm,MATCH(H$70,$A$2:$A$32,0),0)),0)</f>
        <v>23.042619113650794</v>
      </c>
      <c r="I97">
        <f>IFERROR(VLOOKUP($A97,table_rank_apm,2,0)/(VLOOKUP($A97,table_rank_apm,2,0)+VLOOKUP(I$70,table_rank_apm,2,0))*(I29+HLOOKUP($A97,table_h2h_apm,MATCH(I$70,$A$2:$A$32,0),0)),0)</f>
        <v>30.143292378247036</v>
      </c>
      <c r="J97">
        <f>IFERROR(VLOOKUP($A97,table_rank_apm,2,0)/(VLOOKUP($A97,table_rank_apm,2,0)+VLOOKUP(J$70,table_rank_apm,2,0))*(J29+HLOOKUP($A97,table_h2h_apm,MATCH(J$70,$A$2:$A$32,0),0)),0)</f>
        <v>28.293312355010993</v>
      </c>
      <c r="K97">
        <f>IFERROR(VLOOKUP($A97,table_rank_apm,2,0)/(VLOOKUP($A97,table_rank_apm,2,0)+VLOOKUP(K$70,table_rank_apm,2,0))*(K29+HLOOKUP($A97,table_h2h_apm,MATCH(K$70,$A$2:$A$32,0),0)),0)</f>
        <v>16.967592236269702</v>
      </c>
      <c r="L97">
        <f>IFERROR(VLOOKUP($A97,table_rank_apm,2,0)/(VLOOKUP($A97,table_rank_apm,2,0)+VLOOKUP(L$70,table_rank_apm,2,0))*(L29+HLOOKUP($A97,table_h2h_apm,MATCH(L$70,$A$2:$A$32,0),0)),0)</f>
        <v>22.197129202211933</v>
      </c>
      <c r="M97">
        <f>IFERROR(VLOOKUP($A97,table_rank_apm,2,0)/(VLOOKUP($A97,table_rank_apm,2,0)+VLOOKUP(M$70,table_rank_apm,2,0))*(M29+HLOOKUP($A97,table_h2h_apm,MATCH(M$70,$A$2:$A$32,0),0)),0)</f>
        <v>27.240675042236596</v>
      </c>
      <c r="N97">
        <f>IFERROR(VLOOKUP($A97,table_rank_apm,2,0)/(VLOOKUP($A97,table_rank_apm,2,0)+VLOOKUP(N$70,table_rank_apm,2,0))*(N29+HLOOKUP($A97,table_h2h_apm,MATCH(N$70,$A$2:$A$32,0),0)),0)</f>
        <v>20.454547078342078</v>
      </c>
      <c r="O97">
        <f>IFERROR(VLOOKUP($A97,table_rank_apm,2,0)/(VLOOKUP($A97,table_rank_apm,2,0)+VLOOKUP(O$70,table_rank_apm,2,0))*(O29+HLOOKUP($A97,table_h2h_apm,MATCH(O$70,$A$2:$A$32,0),0)),0)</f>
        <v>32.480763170116809</v>
      </c>
      <c r="P97">
        <f>IFERROR(VLOOKUP($A97,table_rank_apm,2,0)/(VLOOKUP($A97,table_rank_apm,2,0)+VLOOKUP(P$70,table_rank_apm,2,0))*(P29+HLOOKUP($A97,table_h2h_apm,MATCH(P$70,$A$2:$A$32,0),0)),0)</f>
        <v>23.429491877986841</v>
      </c>
      <c r="Q97">
        <f>IFERROR(VLOOKUP($A97,table_rank_apm,2,0)/(VLOOKUP($A97,table_rank_apm,2,0)+VLOOKUP(Q$70,table_rank_apm,2,0))*(Q29+HLOOKUP($A97,table_h2h_apm,MATCH(Q$70,$A$2:$A$32,0),0)),0)</f>
        <v>29.83010340538058</v>
      </c>
      <c r="R97">
        <f>IFERROR(VLOOKUP($A97,table_rank_apm,2,0)/(VLOOKUP($A97,table_rank_apm,2,0)+VLOOKUP(R$70,table_rank_apm,2,0))*(R29+HLOOKUP($A97,table_h2h_apm,MATCH(R$70,$A$2:$A$32,0),0)),0)</f>
        <v>27.307873288855486</v>
      </c>
      <c r="S97">
        <f>IFERROR(VLOOKUP($A97,table_rank_apm,2,0)/(VLOOKUP($A97,table_rank_apm,2,0)+VLOOKUP(S$70,table_rank_apm,2,0))*(S29+HLOOKUP($A97,table_h2h_apm,MATCH(S$70,$A$2:$A$32,0),0)),0)</f>
        <v>34.823857595575383</v>
      </c>
      <c r="T97">
        <f>IFERROR(VLOOKUP($A97,table_rank_apm,2,0)/(VLOOKUP($A97,table_rank_apm,2,0)+VLOOKUP(T$70,table_rank_apm,2,0))*(T29+HLOOKUP($A97,table_h2h_apm,MATCH(T$70,$A$2:$A$32,0),0)),0)</f>
        <v>26.143708437296425</v>
      </c>
      <c r="U97">
        <f>IFERROR(VLOOKUP($A97,table_rank_apm,2,0)/(VLOOKUP($A97,table_rank_apm,2,0)+VLOOKUP(U$70,table_rank_apm,2,0))*(U29+HLOOKUP($A97,table_h2h_apm,MATCH(U$70,$A$2:$A$32,0),0)),0)</f>
        <v>36.739024123391602</v>
      </c>
      <c r="V97">
        <f>IFERROR(VLOOKUP($A97,table_rank_apm,2,0)/(VLOOKUP($A97,table_rank_apm,2,0)+VLOOKUP(V$70,table_rank_apm,2,0))*(V29+HLOOKUP($A97,table_h2h_apm,MATCH(V$70,$A$2:$A$32,0),0)),0)</f>
        <v>24.347957195043637</v>
      </c>
      <c r="W97">
        <f>IFERROR(VLOOKUP($A97,table_rank_apm,2,0)/(VLOOKUP($A97,table_rank_apm,2,0)+VLOOKUP(W$70,table_rank_apm,2,0))*(W29+HLOOKUP($A97,table_h2h_apm,MATCH(W$70,$A$2:$A$32,0),0)),0)</f>
        <v>32.708168600782855</v>
      </c>
      <c r="X97">
        <f>IFERROR(VLOOKUP($A97,table_rank_apm,2,0)/(VLOOKUP($A97,table_rank_apm,2,0)+VLOOKUP(X$70,table_rank_apm,2,0))*(X29+HLOOKUP($A97,table_h2h_apm,MATCH(X$70,$A$2:$A$32,0),0)),0)</f>
        <v>35.85898596352596</v>
      </c>
      <c r="Y97">
        <f>IFERROR(VLOOKUP($A97,table_rank_apm,2,0)/(VLOOKUP($A97,table_rank_apm,2,0)+VLOOKUP(Y$70,table_rank_apm,2,0))*(Y29+HLOOKUP($A97,table_h2h_apm,MATCH(Y$70,$A$2:$A$32,0),0)),0)</f>
        <v>26.823547742728689</v>
      </c>
      <c r="Z97">
        <f>IFERROR(VLOOKUP($A97,table_rank_apm,2,0)/(VLOOKUP($A97,table_rank_apm,2,0)+VLOOKUP(Z$70,table_rank_apm,2,0))*(Z29+HLOOKUP($A97,table_h2h_apm,MATCH(Z$70,$A$2:$A$32,0),0)),0)</f>
        <v>22.504721650221427</v>
      </c>
      <c r="AA97">
        <f>IFERROR(VLOOKUP($A97,table_rank_apm,2,0)/(VLOOKUP($A97,table_rank_apm,2,0)+VLOOKUP(AA$70,table_rank_apm,2,0))*(AA29+HLOOKUP($A97,table_h2h_apm,MATCH(AA$70,$A$2:$A$32,0),0)),0)</f>
        <v>20.543812766732028</v>
      </c>
      <c r="AB97">
        <f>IFERROR(VLOOKUP($A97,table_rank_apm,2,0)/(VLOOKUP($A97,table_rank_apm,2,0)+VLOOKUP(AB$70,table_rank_apm,2,0))*(AB29+HLOOKUP($A97,table_h2h_apm,MATCH(AB$70,$A$2:$A$32,0),0)),0)</f>
        <v>30</v>
      </c>
      <c r="AC97">
        <f>IFERROR(VLOOKUP($A97,table_rank_apm,2,0)/(VLOOKUP($A97,table_rank_apm,2,0)+VLOOKUP(AC$70,table_rank_apm,2,0))*(AC29+HLOOKUP($A97,table_h2h_apm,MATCH(AC$70,$A$2:$A$32,0),0)),0)</f>
        <v>24.051909194202871</v>
      </c>
      <c r="AD97">
        <f>IFERROR(VLOOKUP($A97,table_rank_apm,2,0)/(VLOOKUP($A97,table_rank_apm,2,0)+VLOOKUP(AD$70,table_rank_apm,2,0))*(AD29+HLOOKUP($A97,table_h2h_apm,MATCH(AD$70,$A$2:$A$32,0),0)),0)</f>
        <v>26.236033379604166</v>
      </c>
      <c r="AE97">
        <f>IFERROR(VLOOKUP($A97,table_rank_apm,2,0)/(VLOOKUP($A97,table_rank_apm,2,0)+VLOOKUP(AE$70,table_rank_apm,2,0))*(AE29+HLOOKUP($A97,table_h2h_apm,MATCH(AE$70,$A$2:$A$32,0),0)),0)</f>
        <v>26.354516954963991</v>
      </c>
      <c r="AG97">
        <f>AG29</f>
        <v>-3.2600000000000016</v>
      </c>
      <c r="AH97">
        <f>ROUND(AVERAGE(B97:AE97),2)-30</f>
        <v>-3.2300000000000004</v>
      </c>
      <c r="AI97">
        <f>AG97-AH97</f>
        <v>-3.0000000000001137E-2</v>
      </c>
    </row>
    <row r="98" spans="1:35" x14ac:dyDescent="0.25">
      <c r="A98" t="s">
        <v>27</v>
      </c>
      <c r="B98">
        <f>IFERROR(VLOOKUP($A98,table_rank_apm,2,0)/(VLOOKUP($A98,table_rank_apm,2,0)+VLOOKUP(B$70,table_rank_apm,2,0))*(B30+HLOOKUP($A98,table_h2h_apm,MATCH(B$70,$A$2:$A$32,0),0)),0)</f>
        <v>27.347014613640361</v>
      </c>
      <c r="C98">
        <f>IFERROR(VLOOKUP($A98,table_rank_apm,2,0)/(VLOOKUP($A98,table_rank_apm,2,0)+VLOOKUP(C$70,table_rank_apm,2,0))*(C30+HLOOKUP($A98,table_h2h_apm,MATCH(C$70,$A$2:$A$32,0),0)),0)</f>
        <v>35.195911347251425</v>
      </c>
      <c r="D98">
        <f>IFERROR(VLOOKUP($A98,table_rank_apm,2,0)/(VLOOKUP($A98,table_rank_apm,2,0)+VLOOKUP(D$70,table_rank_apm,2,0))*(D30+HLOOKUP($A98,table_h2h_apm,MATCH(D$70,$A$2:$A$32,0),0)),0)</f>
        <v>33.380138805959696</v>
      </c>
      <c r="E98">
        <f>IFERROR(VLOOKUP($A98,table_rank_apm,2,0)/(VLOOKUP($A98,table_rank_apm,2,0)+VLOOKUP(E$70,table_rank_apm,2,0))*(E30+HLOOKUP($A98,table_h2h_apm,MATCH(E$70,$A$2:$A$32,0),0)),0)</f>
        <v>36.201869849892937</v>
      </c>
      <c r="F98">
        <f>IFERROR(VLOOKUP($A98,table_rank_apm,2,0)/(VLOOKUP($A98,table_rank_apm,2,0)+VLOOKUP(F$70,table_rank_apm,2,0))*(F30+HLOOKUP($A98,table_h2h_apm,MATCH(F$70,$A$2:$A$32,0),0)),0)</f>
        <v>29.790798075899037</v>
      </c>
      <c r="G98">
        <f>IFERROR(VLOOKUP($A98,table_rank_apm,2,0)/(VLOOKUP($A98,table_rank_apm,2,0)+VLOOKUP(G$70,table_rank_apm,2,0))*(G30+HLOOKUP($A98,table_h2h_apm,MATCH(G$70,$A$2:$A$32,0),0)),0)</f>
        <v>28.213637878182272</v>
      </c>
      <c r="H98">
        <f>IFERROR(VLOOKUP($A98,table_rank_apm,2,0)/(VLOOKUP($A98,table_rank_apm,2,0)+VLOOKUP(H$70,table_rank_apm,2,0))*(H30+HLOOKUP($A98,table_h2h_apm,MATCH(H$70,$A$2:$A$32,0),0)),0)</f>
        <v>28.94206472326875</v>
      </c>
      <c r="I98">
        <f>IFERROR(VLOOKUP($A98,table_rank_apm,2,0)/(VLOOKUP($A98,table_rank_apm,2,0)+VLOOKUP(I$70,table_rank_apm,2,0))*(I30+HLOOKUP($A98,table_h2h_apm,MATCH(I$70,$A$2:$A$32,0),0)),0)</f>
        <v>36.085619993197142</v>
      </c>
      <c r="J98">
        <f>IFERROR(VLOOKUP($A98,table_rank_apm,2,0)/(VLOOKUP($A98,table_rank_apm,2,0)+VLOOKUP(J$70,table_rank_apm,2,0))*(J30+HLOOKUP($A98,table_h2h_apm,MATCH(J$70,$A$2:$A$32,0),0)),0)</f>
        <v>34.289789763846791</v>
      </c>
      <c r="K98">
        <f>IFERROR(VLOOKUP($A98,table_rank_apm,2,0)/(VLOOKUP($A98,table_rank_apm,2,0)+VLOOKUP(K$70,table_rank_apm,2,0))*(K30+HLOOKUP($A98,table_h2h_apm,MATCH(K$70,$A$2:$A$32,0),0)),0)</f>
        <v>22.247994686564947</v>
      </c>
      <c r="L98">
        <f>IFERROR(VLOOKUP($A98,table_rank_apm,2,0)/(VLOOKUP($A98,table_rank_apm,2,0)+VLOOKUP(L$70,table_rank_apm,2,0))*(L30+HLOOKUP($A98,table_h2h_apm,MATCH(L$70,$A$2:$A$32,0),0)),0)</f>
        <v>28.044369938743515</v>
      </c>
      <c r="M98">
        <f>IFERROR(VLOOKUP($A98,table_rank_apm,2,0)/(VLOOKUP($A98,table_rank_apm,2,0)+VLOOKUP(M$70,table_rank_apm,2,0))*(M30+HLOOKUP($A98,table_h2h_apm,MATCH(M$70,$A$2:$A$32,0),0)),0)</f>
        <v>33.247997468146949</v>
      </c>
      <c r="N98">
        <f>IFERROR(VLOOKUP($A98,table_rank_apm,2,0)/(VLOOKUP($A98,table_rank_apm,2,0)+VLOOKUP(N$70,table_rank_apm,2,0))*(N30+HLOOKUP($A98,table_h2h_apm,MATCH(N$70,$A$2:$A$32,0),0)),0)</f>
        <v>26.160414561861508</v>
      </c>
      <c r="O98">
        <f>IFERROR(VLOOKUP($A98,table_rank_apm,2,0)/(VLOOKUP($A98,table_rank_apm,2,0)+VLOOKUP(O$70,table_rank_apm,2,0))*(O30+HLOOKUP($A98,table_h2h_apm,MATCH(O$70,$A$2:$A$32,0),0)),0)</f>
        <v>38.292889249946228</v>
      </c>
      <c r="P98">
        <f>IFERROR(VLOOKUP($A98,table_rank_apm,2,0)/(VLOOKUP($A98,table_rank_apm,2,0)+VLOOKUP(P$70,table_rank_apm,2,0))*(P30+HLOOKUP($A98,table_h2h_apm,MATCH(P$70,$A$2:$A$32,0),0)),0)</f>
        <v>29.34932761204</v>
      </c>
      <c r="Q98">
        <f>IFERROR(VLOOKUP($A98,table_rank_apm,2,0)/(VLOOKUP($A98,table_rank_apm,2,0)+VLOOKUP(Q$70,table_rank_apm,2,0))*(Q30+HLOOKUP($A98,table_h2h_apm,MATCH(Q$70,$A$2:$A$32,0),0)),0)</f>
        <v>35.784689520061669</v>
      </c>
      <c r="R98">
        <f>IFERROR(VLOOKUP($A98,table_rank_apm,2,0)/(VLOOKUP($A98,table_rank_apm,2,0)+VLOOKUP(R$70,table_rank_apm,2,0))*(R30+HLOOKUP($A98,table_h2h_apm,MATCH(R$70,$A$2:$A$32,0),0)),0)</f>
        <v>33.314944373679729</v>
      </c>
      <c r="S98">
        <f>IFERROR(VLOOKUP($A98,table_rank_apm,2,0)/(VLOOKUP($A98,table_rank_apm,2,0)+VLOOKUP(S$70,table_rank_apm,2,0))*(S30+HLOOKUP($A98,table_h2h_apm,MATCH(S$70,$A$2:$A$32,0),0)),0)</f>
        <v>40.439139999937005</v>
      </c>
      <c r="T98">
        <f>IFERROR(VLOOKUP($A98,table_rank_apm,2,0)/(VLOOKUP($A98,table_rank_apm,2,0)+VLOOKUP(T$70,table_rank_apm,2,0))*(T30+HLOOKUP($A98,table_h2h_apm,MATCH(T$70,$A$2:$A$32,0),0)),0)</f>
        <v>32.146505493242159</v>
      </c>
      <c r="U98">
        <f>IFERROR(VLOOKUP($A98,table_rank_apm,2,0)/(VLOOKUP($A98,table_rank_apm,2,0)+VLOOKUP(U$70,table_rank_apm,2,0))*(U30+HLOOKUP($A98,table_h2h_apm,MATCH(U$70,$A$2:$A$32,0),0)),0)</f>
        <v>42.146148066849506</v>
      </c>
      <c r="V98">
        <f>IFERROR(VLOOKUP($A98,table_rank_apm,2,0)/(VLOOKUP($A98,table_rank_apm,2,0)+VLOOKUP(V$70,table_rank_apm,2,0))*(V30+HLOOKUP($A98,table_h2h_apm,MATCH(V$70,$A$2:$A$32,0),0)),0)</f>
        <v>30.307535782621354</v>
      </c>
      <c r="W98">
        <f>IFERROR(VLOOKUP($A98,table_rank_apm,2,0)/(VLOOKUP($A98,table_rank_apm,2,0)+VLOOKUP(W$70,table_rank_apm,2,0))*(W30+HLOOKUP($A98,table_h2h_apm,MATCH(W$70,$A$2:$A$32,0),0)),0)</f>
        <v>38.504051690141608</v>
      </c>
      <c r="X98">
        <f>IFERROR(VLOOKUP($A98,table_rank_apm,2,0)/(VLOOKUP($A98,table_rank_apm,2,0)+VLOOKUP(X$70,table_rank_apm,2,0))*(X30+HLOOKUP($A98,table_h2h_apm,MATCH(X$70,$A$2:$A$32,0),0)),0)</f>
        <v>41.366926872723788</v>
      </c>
      <c r="Y98">
        <f>IFERROR(VLOOKUP($A98,table_rank_apm,2,0)/(VLOOKUP($A98,table_rank_apm,2,0)+VLOOKUP(Y$70,table_rank_apm,2,0))*(Y30+HLOOKUP($A98,table_h2h_apm,MATCH(Y$70,$A$2:$A$32,0),0)),0)</f>
        <v>32.831071633137839</v>
      </c>
      <c r="Z98">
        <f>IFERROR(VLOOKUP($A98,table_rank_apm,2,0)/(VLOOKUP($A98,table_rank_apm,2,0)+VLOOKUP(Z$70,table_rank_apm,2,0))*(Z30+HLOOKUP($A98,table_h2h_apm,MATCH(Z$70,$A$2:$A$32,0),0)),0)</f>
        <v>28.372176222436678</v>
      </c>
      <c r="AA98">
        <f>IFERROR(VLOOKUP($A98,table_rank_apm,2,0)/(VLOOKUP($A98,table_rank_apm,2,0)+VLOOKUP(AA$70,table_rank_apm,2,0))*(AA30+HLOOKUP($A98,table_h2h_apm,MATCH(AA$70,$A$2:$A$32,0),0)),0)</f>
        <v>26.258047062409009</v>
      </c>
      <c r="AB98">
        <f>IFERROR(VLOOKUP($A98,table_rank_apm,2,0)/(VLOOKUP($A98,table_rank_apm,2,0)+VLOOKUP(AB$70,table_rank_apm,2,0))*(AB30+HLOOKUP($A98,table_h2h_apm,MATCH(AB$70,$A$2:$A$32,0),0)),0)</f>
        <v>35.948090805797129</v>
      </c>
      <c r="AC98">
        <f>IFERROR(VLOOKUP($A98,table_rank_apm,2,0)/(VLOOKUP($A98,table_rank_apm,2,0)+VLOOKUP(AC$70,table_rank_apm,2,0))*(AC30+HLOOKUP($A98,table_h2h_apm,MATCH(AC$70,$A$2:$A$32,0),0)),0)</f>
        <v>30</v>
      </c>
      <c r="AD98">
        <f>IFERROR(VLOOKUP($A98,table_rank_apm,2,0)/(VLOOKUP($A98,table_rank_apm,2,0)+VLOOKUP(AD$70,table_rank_apm,2,0))*(AD30+HLOOKUP($A98,table_h2h_apm,MATCH(AD$70,$A$2:$A$32,0),0)),0)</f>
        <v>32.239842546537119</v>
      </c>
      <c r="AE98">
        <f>IFERROR(VLOOKUP($A98,table_rank_apm,2,0)/(VLOOKUP($A98,table_rank_apm,2,0)+VLOOKUP(AE$70,table_rank_apm,2,0))*(AE30+HLOOKUP($A98,table_h2h_apm,MATCH(AE$70,$A$2:$A$32,0),0)),0)</f>
        <v>32.359453991888948</v>
      </c>
      <c r="AG98">
        <f>AG30</f>
        <v>2.5799999999999983</v>
      </c>
      <c r="AH98">
        <f>ROUND(AVERAGE(B98:AE98),2)-30</f>
        <v>2.6300000000000026</v>
      </c>
      <c r="AI98">
        <f>AG98-AH98</f>
        <v>-5.0000000000004263E-2</v>
      </c>
    </row>
    <row r="99" spans="1:35" x14ac:dyDescent="0.25">
      <c r="A99" t="s">
        <v>34</v>
      </c>
      <c r="B99">
        <f>IFERROR(VLOOKUP($A99,table_rank_apm,2,0)/(VLOOKUP($A99,table_rank_apm,2,0)+VLOOKUP(B$70,table_rank_apm,2,0))*(B31+HLOOKUP($A99,table_h2h_apm,MATCH(B$70,$A$2:$A$32,0),0)),0)</f>
        <v>25.139265174341642</v>
      </c>
      <c r="C99">
        <f>IFERROR(VLOOKUP($A99,table_rank_apm,2,0)/(VLOOKUP($A99,table_rank_apm,2,0)+VLOOKUP(C$70,table_rank_apm,2,0))*(C31+HLOOKUP($A99,table_h2h_apm,MATCH(C$70,$A$2:$A$32,0),0)),0)</f>
        <v>32.994794903915746</v>
      </c>
      <c r="D99">
        <f>IFERROR(VLOOKUP($A99,table_rank_apm,2,0)/(VLOOKUP($A99,table_rank_apm,2,0)+VLOOKUP(D$70,table_rank_apm,2,0))*(D31+HLOOKUP($A99,table_h2h_apm,MATCH(D$70,$A$2:$A$32,0),0)),0)</f>
        <v>31.149970035709696</v>
      </c>
      <c r="E99">
        <f>IFERROR(VLOOKUP($A99,table_rank_apm,2,0)/(VLOOKUP($A99,table_rank_apm,2,0)+VLOOKUP(E$70,table_rank_apm,2,0))*(E31+HLOOKUP($A99,table_h2h_apm,MATCH(E$70,$A$2:$A$32,0),0)),0)</f>
        <v>34.024138594651575</v>
      </c>
      <c r="F99">
        <f>IFERROR(VLOOKUP($A99,table_rank_apm,2,0)/(VLOOKUP($A99,table_rank_apm,2,0)+VLOOKUP(F$70,table_rank_apm,2,0))*(F31+HLOOKUP($A99,table_h2h_apm,MATCH(F$70,$A$2:$A$32,0),0)),0)</f>
        <v>27.552229945529753</v>
      </c>
      <c r="G99">
        <f>IFERROR(VLOOKUP($A99,table_rank_apm,2,0)/(VLOOKUP($A99,table_rank_apm,2,0)+VLOOKUP(G$70,table_rank_apm,2,0))*(G31+HLOOKUP($A99,table_h2h_apm,MATCH(G$70,$A$2:$A$32,0),0)),0)</f>
        <v>25.991615583877557</v>
      </c>
      <c r="H99">
        <f>IFERROR(VLOOKUP($A99,table_rank_apm,2,0)/(VLOOKUP($A99,table_rank_apm,2,0)+VLOOKUP(H$70,table_rank_apm,2,0))*(H31+HLOOKUP($A99,table_h2h_apm,MATCH(H$70,$A$2:$A$32,0),0)),0)</f>
        <v>26.710882089592541</v>
      </c>
      <c r="I99">
        <f>IFERROR(VLOOKUP($A99,table_rank_apm,2,0)/(VLOOKUP($A99,table_rank_apm,2,0)+VLOOKUP(I$70,table_rank_apm,2,0))*(I31+HLOOKUP($A99,table_h2h_apm,MATCH(I$70,$A$2:$A$32,0),0)),0)</f>
        <v>33.904918877390436</v>
      </c>
      <c r="J99">
        <f>IFERROR(VLOOKUP($A99,table_rank_apm,2,0)/(VLOOKUP($A99,table_rank_apm,2,0)+VLOOKUP(J$70,table_rank_apm,2,0))*(J31+HLOOKUP($A99,table_h2h_apm,MATCH(J$70,$A$2:$A$32,0),0)),0)</f>
        <v>32.072068746719076</v>
      </c>
      <c r="K99">
        <f>IFERROR(VLOOKUP($A99,table_rank_apm,2,0)/(VLOOKUP($A99,table_rank_apm,2,0)+VLOOKUP(K$70,table_rank_apm,2,0))*(K31+HLOOKUP($A99,table_h2h_apm,MATCH(K$70,$A$2:$A$32,0),0)),0)</f>
        <v>20.197271511627438</v>
      </c>
      <c r="L99">
        <f>IFERROR(VLOOKUP($A99,table_rank_apm,2,0)/(VLOOKUP($A99,table_rank_apm,2,0)+VLOOKUP(L$70,table_rank_apm,2,0))*(L31+HLOOKUP($A99,table_h2h_apm,MATCH(L$70,$A$2:$A$32,0),0)),0)</f>
        <v>25.824847873455585</v>
      </c>
      <c r="M99">
        <f>IFERROR(VLOOKUP($A99,table_rank_apm,2,0)/(VLOOKUP($A99,table_rank_apm,2,0)+VLOOKUP(M$70,table_rank_apm,2,0))*(M31+HLOOKUP($A99,table_h2h_apm,MATCH(M$70,$A$2:$A$32,0),0)),0)</f>
        <v>31.016370587153773</v>
      </c>
      <c r="N99">
        <f>IFERROR(VLOOKUP($A99,table_rank_apm,2,0)/(VLOOKUP($A99,table_rank_apm,2,0)+VLOOKUP(N$70,table_rank_apm,2,0))*(N31+HLOOKUP($A99,table_h2h_apm,MATCH(N$70,$A$2:$A$32,0),0)),0)</f>
        <v>23.978114919884298</v>
      </c>
      <c r="O99">
        <f>IFERROR(VLOOKUP($A99,table_rank_apm,2,0)/(VLOOKUP($A99,table_rank_apm,2,0)+VLOOKUP(O$70,table_rank_apm,2,0))*(O31+HLOOKUP($A99,table_h2h_apm,MATCH(O$70,$A$2:$A$32,0),0)),0)</f>
        <v>36.180605936855265</v>
      </c>
      <c r="P99">
        <f>IFERROR(VLOOKUP($A99,table_rank_apm,2,0)/(VLOOKUP($A99,table_rank_apm,2,0)+VLOOKUP(P$70,table_rank_apm,2,0))*(P31+HLOOKUP($A99,table_h2h_apm,MATCH(P$70,$A$2:$A$32,0),0)),0)</f>
        <v>27.114158217155488</v>
      </c>
      <c r="Q99">
        <f>IFERROR(VLOOKUP($A99,table_rank_apm,2,0)/(VLOOKUP($A99,table_rank_apm,2,0)+VLOOKUP(Q$70,table_rank_apm,2,0))*(Q31+HLOOKUP($A99,table_h2h_apm,MATCH(Q$70,$A$2:$A$32,0),0)),0)</f>
        <v>33.596625568555503</v>
      </c>
      <c r="R99">
        <f>IFERROR(VLOOKUP($A99,table_rank_apm,2,0)/(VLOOKUP($A99,table_rank_apm,2,0)+VLOOKUP(R$70,table_rank_apm,2,0))*(R31+HLOOKUP($A99,table_h2h_apm,MATCH(R$70,$A$2:$A$32,0),0)),0)</f>
        <v>31.084045143504376</v>
      </c>
      <c r="S99">
        <f>IFERROR(VLOOKUP($A99,table_rank_apm,2,0)/(VLOOKUP($A99,table_rank_apm,2,0)+VLOOKUP(S$70,table_rank_apm,2,0))*(S31+HLOOKUP($A99,table_h2h_apm,MATCH(S$70,$A$2:$A$32,0),0)),0)</f>
        <v>38.417997303199073</v>
      </c>
      <c r="T99">
        <f>IFERROR(VLOOKUP($A99,table_rank_apm,2,0)/(VLOOKUP($A99,table_rank_apm,2,0)+VLOOKUP(T$70,table_rank_apm,2,0))*(T31+HLOOKUP($A99,table_h2h_apm,MATCH(T$70,$A$2:$A$32,0),0)),0)</f>
        <v>29.906161658706424</v>
      </c>
      <c r="U99">
        <f>IFERROR(VLOOKUP($A99,table_rank_apm,2,0)/(VLOOKUP($A99,table_rank_apm,2,0)+VLOOKUP(U$70,table_rank_apm,2,0))*(U31+HLOOKUP($A99,table_h2h_apm,MATCH(U$70,$A$2:$A$32,0),0)),0)</f>
        <v>40.215090209294104</v>
      </c>
      <c r="V99">
        <f>IFERROR(VLOOKUP($A99,table_rank_apm,2,0)/(VLOOKUP($A99,table_rank_apm,2,0)+VLOOKUP(V$70,table_rank_apm,2,0))*(V31+HLOOKUP($A99,table_h2h_apm,MATCH(V$70,$A$2:$A$32,0),0)),0)</f>
        <v>28.066213176390768</v>
      </c>
      <c r="W99">
        <f>IFERROR(VLOOKUP($A99,table_rank_apm,2,0)/(VLOOKUP($A99,table_rank_apm,2,0)+VLOOKUP(W$70,table_rank_apm,2,0))*(W31+HLOOKUP($A99,table_h2h_apm,MATCH(W$70,$A$2:$A$32,0),0)),0)</f>
        <v>36.399652358827879</v>
      </c>
      <c r="X99">
        <f>IFERROR(VLOOKUP($A99,table_rank_apm,2,0)/(VLOOKUP($A99,table_rank_apm,2,0)+VLOOKUP(X$70,table_rank_apm,2,0))*(X31+HLOOKUP($A99,table_h2h_apm,MATCH(X$70,$A$2:$A$32,0),0)),0)</f>
        <v>39.392797449089407</v>
      </c>
      <c r="Y99">
        <f>IFERROR(VLOOKUP($A99,table_rank_apm,2,0)/(VLOOKUP($A99,table_rank_apm,2,0)+VLOOKUP(Y$70,table_rank_apm,2,0))*(Y31+HLOOKUP($A99,table_h2h_apm,MATCH(Y$70,$A$2:$A$32,0),0)),0)</f>
        <v>30.595424283815774</v>
      </c>
      <c r="Z99">
        <f>IFERROR(VLOOKUP($A99,table_rank_apm,2,0)/(VLOOKUP($A99,table_rank_apm,2,0)+VLOOKUP(Z$70,table_rank_apm,2,0))*(Z31+HLOOKUP($A99,table_h2h_apm,MATCH(Z$70,$A$2:$A$32,0),0)),0)</f>
        <v>26.147939097754467</v>
      </c>
      <c r="AA99">
        <f>IFERROR(VLOOKUP($A99,table_rank_apm,2,0)/(VLOOKUP($A99,table_rank_apm,2,0)+VLOOKUP(AA$70,table_rank_apm,2,0))*(AA31+HLOOKUP($A99,table_h2h_apm,MATCH(AA$70,$A$2:$A$32,0),0)),0)</f>
        <v>24.073396898854458</v>
      </c>
      <c r="AB99">
        <f>IFERROR(VLOOKUP($A99,table_rank_apm,2,0)/(VLOOKUP($A99,table_rank_apm,2,0)+VLOOKUP(AB$70,table_rank_apm,2,0))*(AB31+HLOOKUP($A99,table_h2h_apm,MATCH(AB$70,$A$2:$A$32,0),0)),0)</f>
        <v>33.763966620395834</v>
      </c>
      <c r="AC99">
        <f>IFERROR(VLOOKUP($A99,table_rank_apm,2,0)/(VLOOKUP($A99,table_rank_apm,2,0)+VLOOKUP(AC$70,table_rank_apm,2,0))*(AC31+HLOOKUP($A99,table_h2h_apm,MATCH(AC$70,$A$2:$A$32,0),0)),0)</f>
        <v>27.760157453462885</v>
      </c>
      <c r="AD99">
        <f>IFERROR(VLOOKUP($A99,table_rank_apm,2,0)/(VLOOKUP($A99,table_rank_apm,2,0)+VLOOKUP(AD$70,table_rank_apm,2,0))*(AD31+HLOOKUP($A99,table_h2h_apm,MATCH(AD$70,$A$2:$A$32,0),0)),0)</f>
        <v>30</v>
      </c>
      <c r="AE99">
        <f>IFERROR(VLOOKUP($A99,table_rank_apm,2,0)/(VLOOKUP($A99,table_rank_apm,2,0)+VLOOKUP(AE$70,table_rank_apm,2,0))*(AE31+HLOOKUP($A99,table_h2h_apm,MATCH(AE$70,$A$2:$A$32,0),0)),0)</f>
        <v>30.12031795309937</v>
      </c>
      <c r="AG99">
        <f>AG31</f>
        <v>0.44000000000000128</v>
      </c>
      <c r="AH99">
        <f>ROUND(AVERAGE(B99:AE99),2)-30</f>
        <v>0.44999999999999929</v>
      </c>
      <c r="AI99">
        <f>AG99-AH99</f>
        <v>-9.9999999999980105E-3</v>
      </c>
    </row>
    <row r="100" spans="1:35" x14ac:dyDescent="0.25">
      <c r="A100" t="s">
        <v>25</v>
      </c>
      <c r="B100">
        <f>IFERROR(VLOOKUP($A100,table_rank_apm,2,0)/(VLOOKUP($A100,table_rank_apm,2,0)+VLOOKUP(B$70,table_rank_apm,2,0))*(B32+HLOOKUP($A100,table_h2h_apm,MATCH(B$70,$A$2:$A$32,0),0)),0)</f>
        <v>25.022181883033348</v>
      </c>
      <c r="C100">
        <f>IFERROR(VLOOKUP($A100,table_rank_apm,2,0)/(VLOOKUP($A100,table_rank_apm,2,0)+VLOOKUP(C$70,table_rank_apm,2,0))*(C32+HLOOKUP($A100,table_h2h_apm,MATCH(C$70,$A$2:$A$32,0),0)),0)</f>
        <v>32.875628248821563</v>
      </c>
      <c r="D100">
        <f>IFERROR(VLOOKUP($A100,table_rank_apm,2,0)/(VLOOKUP($A100,table_rank_apm,2,0)+VLOOKUP(D$70,table_rank_apm,2,0))*(D32+HLOOKUP($A100,table_h2h_apm,MATCH(D$70,$A$2:$A$32,0),0)),0)</f>
        <v>31.029810401131176</v>
      </c>
      <c r="E100">
        <f>IFERROR(VLOOKUP($A100,table_rank_apm,2,0)/(VLOOKUP($A100,table_rank_apm,2,0)+VLOOKUP(E$70,table_rank_apm,2,0))*(E32+HLOOKUP($A100,table_h2h_apm,MATCH(E$70,$A$2:$A$32,0),0)),0)</f>
        <v>33.905921923904479</v>
      </c>
      <c r="F100">
        <f>IFERROR(VLOOKUP($A100,table_rank_apm,2,0)/(VLOOKUP($A100,table_rank_apm,2,0)+VLOOKUP(F$70,table_rank_apm,2,0))*(F32+HLOOKUP($A100,table_h2h_apm,MATCH(F$70,$A$2:$A$32,0),0)),0)</f>
        <v>27.432752083470753</v>
      </c>
      <c r="G100">
        <f>IFERROR(VLOOKUP($A100,table_rank_apm,2,0)/(VLOOKUP($A100,table_rank_apm,2,0)+VLOOKUP(G$70,table_rank_apm,2,0))*(G32+HLOOKUP($A100,table_h2h_apm,MATCH(G$70,$A$2:$A$32,0),0)),0)</f>
        <v>25.873508882606806</v>
      </c>
      <c r="H100">
        <f>IFERROR(VLOOKUP($A100,table_rank_apm,2,0)/(VLOOKUP($A100,table_rank_apm,2,0)+VLOOKUP(H$70,table_rank_apm,2,0))*(H32+HLOOKUP($A100,table_h2h_apm,MATCH(H$70,$A$2:$A$32,0),0)),0)</f>
        <v>26.592062644166415</v>
      </c>
      <c r="I100">
        <f>IFERROR(VLOOKUP($A100,table_rank_apm,2,0)/(VLOOKUP($A100,table_rank_apm,2,0)+VLOOKUP(I$70,table_rank_apm,2,0))*(I32+HLOOKUP($A100,table_h2h_apm,MATCH(I$70,$A$2:$A$32,0),0)),0)</f>
        <v>33.786577651812713</v>
      </c>
      <c r="J100">
        <f>IFERROR(VLOOKUP($A100,table_rank_apm,2,0)/(VLOOKUP($A100,table_rank_apm,2,0)+VLOOKUP(J$70,table_rank_apm,2,0))*(J32+HLOOKUP($A100,table_h2h_apm,MATCH(J$70,$A$2:$A$32,0),0)),0)</f>
        <v>31.952291593728127</v>
      </c>
      <c r="K100">
        <f>IFERROR(VLOOKUP($A100,table_rank_apm,2,0)/(VLOOKUP($A100,table_rank_apm,2,0)+VLOOKUP(K$70,table_rank_apm,2,0))*(K32+HLOOKUP($A100,table_h2h_apm,MATCH(K$70,$A$2:$A$32,0),0)),0)</f>
        <v>20.089940627762463</v>
      </c>
      <c r="L100">
        <f>IFERROR(VLOOKUP($A100,table_rank_apm,2,0)/(VLOOKUP($A100,table_rank_apm,2,0)+VLOOKUP(L$70,table_rank_apm,2,0))*(L32+HLOOKUP($A100,table_h2h_apm,MATCH(L$70,$A$2:$A$32,0),0)),0)</f>
        <v>25.706926150840445</v>
      </c>
      <c r="M100">
        <f>IFERROR(VLOOKUP($A100,table_rank_apm,2,0)/(VLOOKUP($A100,table_rank_apm,2,0)+VLOOKUP(M$70,table_rank_apm,2,0))*(M32+HLOOKUP($A100,table_h2h_apm,MATCH(M$70,$A$2:$A$32,0),0)),0)</f>
        <v>30.896174401879353</v>
      </c>
      <c r="N100">
        <f>IFERROR(VLOOKUP($A100,table_rank_apm,2,0)/(VLOOKUP($A100,table_rank_apm,2,0)+VLOOKUP(N$70,table_rank_apm,2,0))*(N32+HLOOKUP($A100,table_h2h_apm,MATCH(N$70,$A$2:$A$32,0),0)),0)</f>
        <v>23.862737741716209</v>
      </c>
      <c r="O100">
        <f>IFERROR(VLOOKUP($A100,table_rank_apm,2,0)/(VLOOKUP($A100,table_rank_apm,2,0)+VLOOKUP(O$70,table_rank_apm,2,0))*(O32+HLOOKUP($A100,table_h2h_apm,MATCH(O$70,$A$2:$A$32,0),0)),0)</f>
        <v>36.06529952412199</v>
      </c>
      <c r="P100">
        <f>IFERROR(VLOOKUP($A100,table_rank_apm,2,0)/(VLOOKUP($A100,table_rank_apm,2,0)+VLOOKUP(P$70,table_rank_apm,2,0))*(P32+HLOOKUP($A100,table_h2h_apm,MATCH(P$70,$A$2:$A$32,0),0)),0)</f>
        <v>26.994999588461248</v>
      </c>
      <c r="Q100">
        <f>IFERROR(VLOOKUP($A100,table_rank_apm,2,0)/(VLOOKUP($A100,table_rank_apm,2,0)+VLOOKUP(Q$70,table_rank_apm,2,0))*(Q32+HLOOKUP($A100,table_h2h_apm,MATCH(Q$70,$A$2:$A$32,0),0)),0)</f>
        <v>33.477979900172684</v>
      </c>
      <c r="R100">
        <f>IFERROR(VLOOKUP($A100,table_rank_apm,2,0)/(VLOOKUP($A100,table_rank_apm,2,0)+VLOOKUP(R$70,table_rank_apm,2,0))*(R32+HLOOKUP($A100,table_h2h_apm,MATCH(R$70,$A$2:$A$32,0),0)),0)</f>
        <v>30.963866876233951</v>
      </c>
      <c r="S100">
        <f>IFERROR(VLOOKUP($A100,table_rank_apm,2,0)/(VLOOKUP($A100,table_rank_apm,2,0)+VLOOKUP(S$70,table_rank_apm,2,0))*(S32+HLOOKUP($A100,table_h2h_apm,MATCH(S$70,$A$2:$A$32,0),0)),0)</f>
        <v>38.307027859621726</v>
      </c>
      <c r="T100">
        <f>IFERROR(VLOOKUP($A100,table_rank_apm,2,0)/(VLOOKUP($A100,table_rank_apm,2,0)+VLOOKUP(T$70,table_rank_apm,2,0))*(T32+HLOOKUP($A100,table_h2h_apm,MATCH(T$70,$A$2:$A$32,0),0)),0)</f>
        <v>29.785846392149111</v>
      </c>
      <c r="U100">
        <f>IFERROR(VLOOKUP($A100,table_rank_apm,2,0)/(VLOOKUP($A100,table_rank_apm,2,0)+VLOOKUP(U$70,table_rank_apm,2,0))*(U32+HLOOKUP($A100,table_h2h_apm,MATCH(U$70,$A$2:$A$32,0),0)),0)</f>
        <v>40.108576739125589</v>
      </c>
      <c r="V100">
        <f>IFERROR(VLOOKUP($A100,table_rank_apm,2,0)/(VLOOKUP($A100,table_rank_apm,2,0)+VLOOKUP(V$70,table_rank_apm,2,0))*(V32+HLOOKUP($A100,table_h2h_apm,MATCH(V$70,$A$2:$A$32,0),0)),0)</f>
        <v>27.946426116115035</v>
      </c>
      <c r="W100">
        <f>IFERROR(VLOOKUP($A100,table_rank_apm,2,0)/(VLOOKUP($A100,table_rank_apm,2,0)+VLOOKUP(W$70,table_rank_apm,2,0))*(W32+HLOOKUP($A100,table_h2h_apm,MATCH(W$70,$A$2:$A$32,0),0)),0)</f>
        <v>36.284711277000817</v>
      </c>
      <c r="X100">
        <f>IFERROR(VLOOKUP($A100,table_rank_apm,2,0)/(VLOOKUP($A100,table_rank_apm,2,0)+VLOOKUP(X$70,table_rank_apm,2,0))*(X32+HLOOKUP($A100,table_h2h_apm,MATCH(X$70,$A$2:$A$32,0),0)),0)</f>
        <v>39.284137506612382</v>
      </c>
      <c r="Y100">
        <f>IFERROR(VLOOKUP($A100,table_rank_apm,2,0)/(VLOOKUP($A100,table_rank_apm,2,0)+VLOOKUP(Y$70,table_rank_apm,2,0))*(Y32+HLOOKUP($A100,table_h2h_apm,MATCH(Y$70,$A$2:$A$32,0),0)),0)</f>
        <v>30.475144152312915</v>
      </c>
      <c r="Z100">
        <f>IFERROR(VLOOKUP($A100,table_rank_apm,2,0)/(VLOOKUP($A100,table_rank_apm,2,0)+VLOOKUP(Z$70,table_rank_apm,2,0))*(Z32+HLOOKUP($A100,table_h2h_apm,MATCH(Z$70,$A$2:$A$32,0),0)),0)</f>
        <v>26.029665743641644</v>
      </c>
      <c r="AA100">
        <f>IFERROR(VLOOKUP($A100,table_rank_apm,2,0)/(VLOOKUP($A100,table_rank_apm,2,0)+VLOOKUP(AA$70,table_rank_apm,2,0))*(AA32+HLOOKUP($A100,table_h2h_apm,MATCH(AA$70,$A$2:$A$32,0),0)),0)</f>
        <v>23.957866173728249</v>
      </c>
      <c r="AB100">
        <f>IFERROR(VLOOKUP($A100,table_rank_apm,2,0)/(VLOOKUP($A100,table_rank_apm,2,0)+VLOOKUP(AB$70,table_rank_apm,2,0))*(AB32+HLOOKUP($A100,table_h2h_apm,MATCH(AB$70,$A$2:$A$32,0),0)),0)</f>
        <v>33.645483045036009</v>
      </c>
      <c r="AC100">
        <f>IFERROR(VLOOKUP($A100,table_rank_apm,2,0)/(VLOOKUP($A100,table_rank_apm,2,0)+VLOOKUP(AC$70,table_rank_apm,2,0))*(AC32+HLOOKUP($A100,table_h2h_apm,MATCH(AC$70,$A$2:$A$32,0),0)),0)</f>
        <v>27.640546008111055</v>
      </c>
      <c r="AD100">
        <f>IFERROR(VLOOKUP($A100,table_rank_apm,2,0)/(VLOOKUP($A100,table_rank_apm,2,0)+VLOOKUP(AD$70,table_rank_apm,2,0))*(AD32+HLOOKUP($A100,table_h2h_apm,MATCH(AD$70,$A$2:$A$32,0),0)),0)</f>
        <v>29.879682046900626</v>
      </c>
      <c r="AE100">
        <f>IFERROR(VLOOKUP($A100,table_rank_apm,2,0)/(VLOOKUP($A100,table_rank_apm,2,0)+VLOOKUP(AE$70,table_rank_apm,2,0))*(AE32+HLOOKUP($A100,table_h2h_apm,MATCH(AE$70,$A$2:$A$32,0),0)),0)</f>
        <v>30</v>
      </c>
      <c r="AG100">
        <f>AG32</f>
        <v>0.32000000000000028</v>
      </c>
      <c r="AH100">
        <f>ROUND(AVERAGE(B100:AE100),2)-30</f>
        <v>0.32999999999999829</v>
      </c>
      <c r="AI100">
        <f>AG100-AH100</f>
        <v>-9.9999999999980105E-3</v>
      </c>
    </row>
    <row r="101" spans="1:35" x14ac:dyDescent="0.25">
      <c r="AG101">
        <f>AG33</f>
        <v>3.9999999999992042E-2</v>
      </c>
      <c r="AH101">
        <f>SUM(AH71:AH100)</f>
        <v>3.9999999999984936E-2</v>
      </c>
      <c r="AI101">
        <f>SUM(AI71:AI100)</f>
        <v>7.1054273576010019E-15</v>
      </c>
    </row>
    <row r="102" spans="1:35" x14ac:dyDescent="0.25">
      <c r="A102" t="s">
        <v>77</v>
      </c>
    </row>
    <row r="103" spans="1:35" x14ac:dyDescent="0.25">
      <c r="B103" t="s">
        <v>26</v>
      </c>
      <c r="C103" t="s">
        <v>23</v>
      </c>
      <c r="D103" t="s">
        <v>22</v>
      </c>
      <c r="E103" t="s">
        <v>18</v>
      </c>
      <c r="F103" t="s">
        <v>30</v>
      </c>
      <c r="G103" t="s">
        <v>40</v>
      </c>
      <c r="H103" t="s">
        <v>14</v>
      </c>
      <c r="I103" t="s">
        <v>32</v>
      </c>
      <c r="J103" t="s">
        <v>33</v>
      </c>
      <c r="K103" t="s">
        <v>36</v>
      </c>
      <c r="L103" t="s">
        <v>16</v>
      </c>
      <c r="M103" t="s">
        <v>20</v>
      </c>
      <c r="N103" t="s">
        <v>41</v>
      </c>
      <c r="O103" t="s">
        <v>17</v>
      </c>
      <c r="P103" t="s">
        <v>28</v>
      </c>
      <c r="Q103" t="s">
        <v>24</v>
      </c>
      <c r="R103" t="s">
        <v>19</v>
      </c>
      <c r="S103" t="s">
        <v>29</v>
      </c>
      <c r="T103" t="s">
        <v>12</v>
      </c>
      <c r="U103" t="s">
        <v>31</v>
      </c>
      <c r="V103" t="s">
        <v>38</v>
      </c>
      <c r="W103" t="s">
        <v>13</v>
      </c>
      <c r="X103" t="s">
        <v>21</v>
      </c>
      <c r="Y103" t="s">
        <v>35</v>
      </c>
      <c r="Z103" t="s">
        <v>39</v>
      </c>
      <c r="AA103" t="s">
        <v>15</v>
      </c>
      <c r="AB103" t="s">
        <v>37</v>
      </c>
      <c r="AC103" t="s">
        <v>27</v>
      </c>
      <c r="AD103" t="s">
        <v>34</v>
      </c>
      <c r="AE103" t="s">
        <v>25</v>
      </c>
    </row>
    <row r="104" spans="1:35" x14ac:dyDescent="0.25">
      <c r="A104" t="s">
        <v>26</v>
      </c>
      <c r="B104">
        <f t="shared" ref="B104:AE112" si="4">(B3-B71)^2</f>
        <v>0</v>
      </c>
      <c r="C104">
        <f t="shared" si="4"/>
        <v>90.620992434032715</v>
      </c>
      <c r="D104">
        <f t="shared" si="4"/>
        <v>9.4210611009580086E-2</v>
      </c>
      <c r="E104">
        <f t="shared" si="4"/>
        <v>9.2488767840764124E-2</v>
      </c>
      <c r="F104">
        <f t="shared" si="4"/>
        <v>0.30770161074635777</v>
      </c>
      <c r="G104">
        <f t="shared" si="4"/>
        <v>5.6586377717747292</v>
      </c>
      <c r="H104">
        <f t="shared" si="4"/>
        <v>70.55932968948332</v>
      </c>
      <c r="I104">
        <f t="shared" si="4"/>
        <v>82.530075195977489</v>
      </c>
      <c r="J104">
        <f t="shared" si="4"/>
        <v>11.263260488793598</v>
      </c>
      <c r="K104">
        <f t="shared" si="4"/>
        <v>7.9375861560984529E-2</v>
      </c>
      <c r="L104">
        <f t="shared" si="4"/>
        <v>46.220979636501319</v>
      </c>
      <c r="M104">
        <f t="shared" si="4"/>
        <v>83.813645183404731</v>
      </c>
      <c r="N104">
        <f t="shared" si="4"/>
        <v>51.842648950268497</v>
      </c>
      <c r="O104">
        <f t="shared" si="4"/>
        <v>114.16244341635397</v>
      </c>
      <c r="P104">
        <f t="shared" si="4"/>
        <v>3.7956309232996076E-5</v>
      </c>
      <c r="Q104">
        <f t="shared" si="4"/>
        <v>0.49532190702314749</v>
      </c>
      <c r="R104">
        <f t="shared" si="4"/>
        <v>37.947786615143109</v>
      </c>
      <c r="S104">
        <f t="shared" si="4"/>
        <v>0.49179416410214066</v>
      </c>
      <c r="T104">
        <f t="shared" si="4"/>
        <v>60.362233658907925</v>
      </c>
      <c r="U104">
        <f t="shared" si="4"/>
        <v>127.40949886969285</v>
      </c>
      <c r="V104">
        <f t="shared" si="4"/>
        <v>3.8331365358471654</v>
      </c>
      <c r="W104">
        <f t="shared" si="4"/>
        <v>23.855341595744278</v>
      </c>
      <c r="X104">
        <f t="shared" si="4"/>
        <v>30.973424484219205</v>
      </c>
      <c r="Y104">
        <f t="shared" si="4"/>
        <v>157.78702243621007</v>
      </c>
      <c r="Z104">
        <f t="shared" si="4"/>
        <v>35.639652285134417</v>
      </c>
      <c r="AA104">
        <f t="shared" si="4"/>
        <v>88.339072058385085</v>
      </c>
      <c r="AB104">
        <f t="shared" si="4"/>
        <v>56.959210616607869</v>
      </c>
      <c r="AC104">
        <f t="shared" si="4"/>
        <v>66.471170710193945</v>
      </c>
      <c r="AD104">
        <f t="shared" si="4"/>
        <v>0.13012961444276883</v>
      </c>
      <c r="AE104">
        <f t="shared" si="4"/>
        <v>14.229356158684958</v>
      </c>
    </row>
    <row r="105" spans="1:35" x14ac:dyDescent="0.25">
      <c r="A105" t="s">
        <v>23</v>
      </c>
      <c r="B105">
        <f t="shared" si="4"/>
        <v>90.620992434032928</v>
      </c>
      <c r="C105">
        <f t="shared" si="4"/>
        <v>0</v>
      </c>
      <c r="D105">
        <f t="shared" si="4"/>
        <v>70.527892803243688</v>
      </c>
      <c r="E105">
        <f t="shared" si="4"/>
        <v>0.91524769581034648</v>
      </c>
      <c r="F105">
        <f t="shared" si="4"/>
        <v>73.984202331890756</v>
      </c>
      <c r="G105">
        <f t="shared" si="4"/>
        <v>14.737923144957231</v>
      </c>
      <c r="H105">
        <f t="shared" si="4"/>
        <v>52.068950554482043</v>
      </c>
      <c r="I105">
        <f t="shared" si="4"/>
        <v>258.49868701327074</v>
      </c>
      <c r="J105">
        <f t="shared" si="4"/>
        <v>24.29634664812712</v>
      </c>
      <c r="K105">
        <f t="shared" si="4"/>
        <v>88.23345713938275</v>
      </c>
      <c r="L105">
        <f t="shared" si="4"/>
        <v>3.718341988019414</v>
      </c>
      <c r="M105">
        <f t="shared" si="4"/>
        <v>0.46448118562433099</v>
      </c>
      <c r="N105">
        <f t="shared" si="4"/>
        <v>93.324256445255685</v>
      </c>
      <c r="O105">
        <f t="shared" si="4"/>
        <v>27.534082773741115</v>
      </c>
      <c r="P105">
        <f t="shared" si="4"/>
        <v>17.433102303524677</v>
      </c>
      <c r="Q105">
        <f t="shared" si="4"/>
        <v>50.539595563596563</v>
      </c>
      <c r="R105">
        <f t="shared" si="4"/>
        <v>34.016105925535442</v>
      </c>
      <c r="S105">
        <f t="shared" si="4"/>
        <v>1.1653013280965254</v>
      </c>
      <c r="T105">
        <f t="shared" si="4"/>
        <v>98.254303572020717</v>
      </c>
      <c r="U105">
        <f t="shared" si="4"/>
        <v>3.898088980647576</v>
      </c>
      <c r="V105">
        <f t="shared" si="4"/>
        <v>457.83461300094382</v>
      </c>
      <c r="W105">
        <f t="shared" si="4"/>
        <v>17.537037111806121</v>
      </c>
      <c r="X105">
        <f t="shared" si="4"/>
        <v>1.3123447703234619</v>
      </c>
      <c r="Y105">
        <f t="shared" si="4"/>
        <v>31.31371695786261</v>
      </c>
      <c r="Z105">
        <f t="shared" si="4"/>
        <v>45.700358380045593</v>
      </c>
      <c r="AA105">
        <f t="shared" si="4"/>
        <v>14.053959728086168</v>
      </c>
      <c r="AB105">
        <f t="shared" si="4"/>
        <v>22.288524428716478</v>
      </c>
      <c r="AC105">
        <f t="shared" si="4"/>
        <v>26.997494728496079</v>
      </c>
      <c r="AD105">
        <f t="shared" si="4"/>
        <v>324.18741055205811</v>
      </c>
      <c r="AE105">
        <f t="shared" si="4"/>
        <v>37.523321442760732</v>
      </c>
    </row>
    <row r="106" spans="1:35" x14ac:dyDescent="0.25">
      <c r="A106" t="s">
        <v>22</v>
      </c>
      <c r="B106">
        <f t="shared" si="4"/>
        <v>9.4210611009582265E-2</v>
      </c>
      <c r="C106">
        <f t="shared" si="4"/>
        <v>70.527892803243688</v>
      </c>
      <c r="D106">
        <f t="shared" si="4"/>
        <v>0</v>
      </c>
      <c r="E106">
        <f t="shared" si="4"/>
        <v>5.7074328048800647</v>
      </c>
      <c r="F106">
        <f t="shared" si="4"/>
        <v>4.6806336253920664</v>
      </c>
      <c r="G106">
        <f t="shared" si="4"/>
        <v>83.394694756774797</v>
      </c>
      <c r="H106">
        <f t="shared" si="4"/>
        <v>50.119177535767086</v>
      </c>
      <c r="I106">
        <f t="shared" si="4"/>
        <v>7.223384890364129E-2</v>
      </c>
      <c r="J106">
        <f t="shared" si="4"/>
        <v>4.3075071613023397</v>
      </c>
      <c r="K106">
        <f t="shared" si="4"/>
        <v>46.474336481625436</v>
      </c>
      <c r="L106">
        <f t="shared" si="4"/>
        <v>22.119482893547243</v>
      </c>
      <c r="M106">
        <f t="shared" si="4"/>
        <v>17.088080659726039</v>
      </c>
      <c r="N106">
        <f t="shared" si="4"/>
        <v>15.076965701251547</v>
      </c>
      <c r="O106">
        <f t="shared" si="4"/>
        <v>4.9956985125664795E-3</v>
      </c>
      <c r="P106">
        <f t="shared" si="4"/>
        <v>8.8745305753329156</v>
      </c>
      <c r="Q106">
        <f t="shared" si="4"/>
        <v>59.412511947980953</v>
      </c>
      <c r="R106">
        <f t="shared" si="4"/>
        <v>5.1407263773347092</v>
      </c>
      <c r="S106">
        <f t="shared" si="4"/>
        <v>28.590970748568363</v>
      </c>
      <c r="T106">
        <f t="shared" si="4"/>
        <v>67.957918003033228</v>
      </c>
      <c r="U106">
        <f t="shared" si="4"/>
        <v>2.8392431690075717</v>
      </c>
      <c r="V106">
        <f t="shared" si="4"/>
        <v>41.265771348974383</v>
      </c>
      <c r="W106">
        <f t="shared" si="4"/>
        <v>3.2147181971851411</v>
      </c>
      <c r="X106">
        <f t="shared" si="4"/>
        <v>41.050210308447859</v>
      </c>
      <c r="Y106">
        <f t="shared" si="4"/>
        <v>1.1129574210576445</v>
      </c>
      <c r="Z106">
        <f t="shared" si="4"/>
        <v>6.1381637088259478</v>
      </c>
      <c r="AA106">
        <f t="shared" si="4"/>
        <v>99.532802129077027</v>
      </c>
      <c r="AB106">
        <f t="shared" si="4"/>
        <v>19.126373362272638</v>
      </c>
      <c r="AC106">
        <f t="shared" si="4"/>
        <v>1.6936108816615395E-2</v>
      </c>
      <c r="AD106">
        <f t="shared" si="4"/>
        <v>37.82213144012708</v>
      </c>
      <c r="AE106">
        <f t="shared" si="4"/>
        <v>0.94126785775325705</v>
      </c>
    </row>
    <row r="107" spans="1:35" x14ac:dyDescent="0.25">
      <c r="A107" t="s">
        <v>18</v>
      </c>
      <c r="B107">
        <f t="shared" si="4"/>
        <v>9.2488767840759809E-2</v>
      </c>
      <c r="C107">
        <f t="shared" si="4"/>
        <v>0.91524769581034648</v>
      </c>
      <c r="D107">
        <f t="shared" si="4"/>
        <v>5.7074328048800815</v>
      </c>
      <c r="E107">
        <f t="shared" si="4"/>
        <v>0</v>
      </c>
      <c r="F107">
        <f t="shared" si="4"/>
        <v>51.148856226090501</v>
      </c>
      <c r="G107">
        <f t="shared" si="4"/>
        <v>89.155874556173799</v>
      </c>
      <c r="H107">
        <f t="shared" si="4"/>
        <v>139.06865150610312</v>
      </c>
      <c r="I107">
        <f t="shared" si="4"/>
        <v>534.59628361509317</v>
      </c>
      <c r="J107">
        <f t="shared" si="4"/>
        <v>49.416338363929825</v>
      </c>
      <c r="K107">
        <f t="shared" si="4"/>
        <v>3.0755516081046763</v>
      </c>
      <c r="L107">
        <f t="shared" si="4"/>
        <v>41.615017453504485</v>
      </c>
      <c r="M107">
        <f t="shared" si="4"/>
        <v>5.2212662967813517E-2</v>
      </c>
      <c r="N107">
        <f t="shared" si="4"/>
        <v>17.786275323754751</v>
      </c>
      <c r="O107">
        <f t="shared" si="4"/>
        <v>84.967012638437694</v>
      </c>
      <c r="P107">
        <f t="shared" si="4"/>
        <v>7.963425627049209</v>
      </c>
      <c r="Q107">
        <f t="shared" si="4"/>
        <v>1.4030412690611089</v>
      </c>
      <c r="R107">
        <f t="shared" si="4"/>
        <v>6.8700620335301812</v>
      </c>
      <c r="S107">
        <f t="shared" si="4"/>
        <v>180.48020607650437</v>
      </c>
      <c r="T107">
        <f t="shared" si="4"/>
        <v>2.6122635966323378</v>
      </c>
      <c r="U107">
        <f t="shared" si="4"/>
        <v>1.5945303830700754</v>
      </c>
      <c r="V107">
        <f t="shared" si="4"/>
        <v>82.685340933822275</v>
      </c>
      <c r="W107">
        <f t="shared" si="4"/>
        <v>2.9713018101350142E-3</v>
      </c>
      <c r="X107">
        <f t="shared" si="4"/>
        <v>3.7533166435349989</v>
      </c>
      <c r="Y107">
        <f t="shared" si="4"/>
        <v>24.382529950630321</v>
      </c>
      <c r="Z107">
        <f t="shared" si="4"/>
        <v>7.5231714283626943</v>
      </c>
      <c r="AA107">
        <f t="shared" si="4"/>
        <v>7.2568821714785141</v>
      </c>
      <c r="AB107">
        <f t="shared" si="4"/>
        <v>67.821392483858389</v>
      </c>
      <c r="AC107">
        <f t="shared" si="4"/>
        <v>22.107580085332295</v>
      </c>
      <c r="AD107">
        <f t="shared" si="4"/>
        <v>0.95230548244861024</v>
      </c>
      <c r="AE107">
        <f t="shared" si="4"/>
        <v>0.35292876049735522</v>
      </c>
    </row>
    <row r="108" spans="1:35" x14ac:dyDescent="0.25">
      <c r="A108" t="s">
        <v>30</v>
      </c>
      <c r="B108">
        <f t="shared" si="4"/>
        <v>0.30770161074636565</v>
      </c>
      <c r="C108">
        <f t="shared" si="4"/>
        <v>73.984202331890756</v>
      </c>
      <c r="D108">
        <f t="shared" si="4"/>
        <v>4.6806336253920664</v>
      </c>
      <c r="E108">
        <f t="shared" si="4"/>
        <v>51.148856226090501</v>
      </c>
      <c r="F108">
        <f t="shared" si="4"/>
        <v>0</v>
      </c>
      <c r="G108">
        <f t="shared" si="4"/>
        <v>0.85042451036797673</v>
      </c>
      <c r="H108">
        <f t="shared" si="4"/>
        <v>1.8196448401602452</v>
      </c>
      <c r="I108">
        <f t="shared" si="4"/>
        <v>39.51291541976714</v>
      </c>
      <c r="J108">
        <f t="shared" si="4"/>
        <v>42.178660152059891</v>
      </c>
      <c r="K108">
        <f t="shared" si="4"/>
        <v>12.648119707882875</v>
      </c>
      <c r="L108">
        <f t="shared" si="4"/>
        <v>0.55834129814071742</v>
      </c>
      <c r="M108">
        <f t="shared" si="4"/>
        <v>19.843382977797358</v>
      </c>
      <c r="N108">
        <f t="shared" si="4"/>
        <v>44.005000810860878</v>
      </c>
      <c r="O108">
        <f t="shared" si="4"/>
        <v>0.97167076506430672</v>
      </c>
      <c r="P108">
        <f t="shared" si="4"/>
        <v>2.4288061591769941</v>
      </c>
      <c r="Q108">
        <f t="shared" si="4"/>
        <v>0.1018733355743235</v>
      </c>
      <c r="R108">
        <f t="shared" si="4"/>
        <v>13.902212868843622</v>
      </c>
      <c r="S108">
        <f t="shared" si="4"/>
        <v>43.858378007389028</v>
      </c>
      <c r="T108">
        <f t="shared" si="4"/>
        <v>347.65345350864021</v>
      </c>
      <c r="U108">
        <f t="shared" si="4"/>
        <v>64.204456959826302</v>
      </c>
      <c r="V108">
        <f t="shared" si="4"/>
        <v>12.367184305973542</v>
      </c>
      <c r="W108">
        <f t="shared" si="4"/>
        <v>75.62152520820564</v>
      </c>
      <c r="X108">
        <f t="shared" si="4"/>
        <v>27.167962670893893</v>
      </c>
      <c r="Y108">
        <f t="shared" si="4"/>
        <v>12.519383969614038</v>
      </c>
      <c r="Z108">
        <f t="shared" si="4"/>
        <v>3.6831706444231136</v>
      </c>
      <c r="AA108">
        <f t="shared" si="4"/>
        <v>90.931986849696841</v>
      </c>
      <c r="AB108">
        <f t="shared" si="4"/>
        <v>21.611260818176834</v>
      </c>
      <c r="AC108">
        <f t="shared" si="4"/>
        <v>121.89922215277588</v>
      </c>
      <c r="AD108">
        <f t="shared" si="4"/>
        <v>131.05143922002557</v>
      </c>
      <c r="AE108">
        <f t="shared" si="4"/>
        <v>23.205877489305305</v>
      </c>
    </row>
    <row r="109" spans="1:35" x14ac:dyDescent="0.25">
      <c r="A109" t="s">
        <v>40</v>
      </c>
      <c r="B109">
        <f t="shared" si="4"/>
        <v>5.658637771774746</v>
      </c>
      <c r="C109">
        <f t="shared" si="4"/>
        <v>14.737923144957257</v>
      </c>
      <c r="D109">
        <f t="shared" si="4"/>
        <v>83.394694756774925</v>
      </c>
      <c r="E109">
        <f t="shared" si="4"/>
        <v>89.155874556173657</v>
      </c>
      <c r="F109">
        <f t="shared" si="4"/>
        <v>0.85042451036798983</v>
      </c>
      <c r="G109">
        <f t="shared" si="4"/>
        <v>0</v>
      </c>
      <c r="H109">
        <f t="shared" si="4"/>
        <v>39.313406076620346</v>
      </c>
      <c r="I109">
        <f t="shared" si="4"/>
        <v>60.497767723301592</v>
      </c>
      <c r="J109">
        <f t="shared" si="4"/>
        <v>20.474293056011884</v>
      </c>
      <c r="K109">
        <f t="shared" si="4"/>
        <v>6.5478066075913022</v>
      </c>
      <c r="L109">
        <f t="shared" si="4"/>
        <v>46.649889882785537</v>
      </c>
      <c r="M109">
        <f t="shared" si="4"/>
        <v>16.016901155892441</v>
      </c>
      <c r="N109">
        <f t="shared" si="4"/>
        <v>101.38458125406159</v>
      </c>
      <c r="O109">
        <f t="shared" si="4"/>
        <v>1.1749858836460119</v>
      </c>
      <c r="P109">
        <f t="shared" si="4"/>
        <v>284.35542828270417</v>
      </c>
      <c r="Q109">
        <f t="shared" si="4"/>
        <v>3.9406604796731202</v>
      </c>
      <c r="R109">
        <f t="shared" si="4"/>
        <v>6.5944239615725575</v>
      </c>
      <c r="S109">
        <f t="shared" si="4"/>
        <v>42.545214694444752</v>
      </c>
      <c r="T109">
        <f t="shared" si="4"/>
        <v>8.5041219992643846</v>
      </c>
      <c r="U109">
        <f t="shared" si="4"/>
        <v>68.412676070402043</v>
      </c>
      <c r="V109">
        <f t="shared" si="4"/>
        <v>2.5364402002666391</v>
      </c>
      <c r="W109">
        <f t="shared" si="4"/>
        <v>73.052303941519455</v>
      </c>
      <c r="X109">
        <f t="shared" si="4"/>
        <v>84.573968195305909</v>
      </c>
      <c r="Y109">
        <f t="shared" si="4"/>
        <v>9.5581900023477644</v>
      </c>
      <c r="Z109">
        <f t="shared" si="4"/>
        <v>51.252028960556501</v>
      </c>
      <c r="AA109">
        <f t="shared" si="4"/>
        <v>6.102006958645573</v>
      </c>
      <c r="AB109">
        <f t="shared" si="4"/>
        <v>135.58751166354045</v>
      </c>
      <c r="AC109">
        <f t="shared" si="4"/>
        <v>0.21496008208535938</v>
      </c>
      <c r="AD109">
        <f t="shared" si="4"/>
        <v>3.9665326339439577</v>
      </c>
      <c r="AE109">
        <f t="shared" si="4"/>
        <v>97.48617765491565</v>
      </c>
    </row>
    <row r="110" spans="1:35" x14ac:dyDescent="0.25">
      <c r="A110" t="s">
        <v>14</v>
      </c>
      <c r="B110">
        <f t="shared" si="4"/>
        <v>70.55932968948332</v>
      </c>
      <c r="C110">
        <f t="shared" si="4"/>
        <v>52.068950554481994</v>
      </c>
      <c r="D110">
        <f t="shared" si="4"/>
        <v>50.119177535767086</v>
      </c>
      <c r="E110">
        <f t="shared" si="4"/>
        <v>139.06865150610304</v>
      </c>
      <c r="F110">
        <f t="shared" si="4"/>
        <v>1.8196448401602354</v>
      </c>
      <c r="G110">
        <f t="shared" si="4"/>
        <v>39.313406076620296</v>
      </c>
      <c r="H110">
        <f t="shared" si="4"/>
        <v>0</v>
      </c>
      <c r="I110">
        <f t="shared" si="4"/>
        <v>41.295401368231332</v>
      </c>
      <c r="J110">
        <f t="shared" si="4"/>
        <v>39.953701200780415</v>
      </c>
      <c r="K110">
        <f t="shared" si="4"/>
        <v>30.188104597839907</v>
      </c>
      <c r="L110">
        <f t="shared" si="4"/>
        <v>1.0047422062763923E-2</v>
      </c>
      <c r="M110">
        <f t="shared" si="4"/>
        <v>151.03317095274221</v>
      </c>
      <c r="N110">
        <f t="shared" si="4"/>
        <v>0.21245495732093489</v>
      </c>
      <c r="O110">
        <f t="shared" si="4"/>
        <v>30.13404777782182</v>
      </c>
      <c r="P110">
        <f t="shared" si="4"/>
        <v>66.546023748698914</v>
      </c>
      <c r="Q110">
        <f t="shared" si="4"/>
        <v>0.63426970190802801</v>
      </c>
      <c r="R110">
        <f t="shared" si="4"/>
        <v>66.326264595404595</v>
      </c>
      <c r="S110">
        <f t="shared" si="4"/>
        <v>8.8543672488026424</v>
      </c>
      <c r="T110">
        <f t="shared" si="4"/>
        <v>0.64581196417238218</v>
      </c>
      <c r="U110">
        <f t="shared" si="4"/>
        <v>0.2321172625985399</v>
      </c>
      <c r="V110">
        <f t="shared" si="4"/>
        <v>3.4781415061874701</v>
      </c>
      <c r="W110">
        <f t="shared" si="4"/>
        <v>0.28371834416079622</v>
      </c>
      <c r="X110">
        <f t="shared" si="4"/>
        <v>314.67089132778392</v>
      </c>
      <c r="Y110">
        <f t="shared" si="4"/>
        <v>97.537503199907093</v>
      </c>
      <c r="Z110">
        <f t="shared" si="4"/>
        <v>8.5791519403331442</v>
      </c>
      <c r="AA110">
        <f t="shared" si="4"/>
        <v>1.4301188141584293</v>
      </c>
      <c r="AB110">
        <f t="shared" si="4"/>
        <v>22.177372560700142</v>
      </c>
      <c r="AC110">
        <f t="shared" si="4"/>
        <v>19.731939005708647</v>
      </c>
      <c r="AD110">
        <f t="shared" si="4"/>
        <v>15.688586927654947</v>
      </c>
      <c r="AE110">
        <f t="shared" si="4"/>
        <v>134.37591634627853</v>
      </c>
    </row>
    <row r="111" spans="1:35" x14ac:dyDescent="0.25">
      <c r="A111" t="s">
        <v>32</v>
      </c>
      <c r="B111">
        <f t="shared" si="4"/>
        <v>82.53007519597756</v>
      </c>
      <c r="C111">
        <f t="shared" si="4"/>
        <v>258.49868701327085</v>
      </c>
      <c r="D111">
        <f t="shared" si="4"/>
        <v>7.2233848903643191E-2</v>
      </c>
      <c r="E111">
        <f t="shared" si="4"/>
        <v>534.59628361509328</v>
      </c>
      <c r="F111">
        <f t="shared" si="4"/>
        <v>39.512915419767232</v>
      </c>
      <c r="G111">
        <f t="shared" si="4"/>
        <v>60.497767723301536</v>
      </c>
      <c r="H111">
        <f t="shared" si="4"/>
        <v>41.295401368231289</v>
      </c>
      <c r="I111">
        <f t="shared" si="4"/>
        <v>0</v>
      </c>
      <c r="J111">
        <f t="shared" si="4"/>
        <v>3.4205669052026391</v>
      </c>
      <c r="K111">
        <f t="shared" si="4"/>
        <v>2.2027897535504708E-2</v>
      </c>
      <c r="L111">
        <f t="shared" si="4"/>
        <v>4.2588423662377588</v>
      </c>
      <c r="M111">
        <f t="shared" si="4"/>
        <v>222.05001458840451</v>
      </c>
      <c r="N111">
        <f t="shared" si="4"/>
        <v>15.398113503686085</v>
      </c>
      <c r="O111">
        <f t="shared" si="4"/>
        <v>19.462264046875298</v>
      </c>
      <c r="P111">
        <f t="shared" si="4"/>
        <v>7.3266819543532051</v>
      </c>
      <c r="Q111">
        <f t="shared" si="4"/>
        <v>3.287623530559904</v>
      </c>
      <c r="R111">
        <f t="shared" si="4"/>
        <v>18.785326762892385</v>
      </c>
      <c r="S111">
        <f t="shared" si="4"/>
        <v>9.9753156499506113E-2</v>
      </c>
      <c r="T111">
        <f t="shared" si="4"/>
        <v>120.936863938321</v>
      </c>
      <c r="U111">
        <f t="shared" si="4"/>
        <v>0.3633873781359403</v>
      </c>
      <c r="V111">
        <f t="shared" si="4"/>
        <v>15.680612006169948</v>
      </c>
      <c r="W111">
        <f t="shared" si="4"/>
        <v>71.132649216933203</v>
      </c>
      <c r="X111">
        <f t="shared" si="4"/>
        <v>263.12182530991663</v>
      </c>
      <c r="Y111">
        <f t="shared" si="4"/>
        <v>18.645698933131591</v>
      </c>
      <c r="Z111">
        <f t="shared" si="4"/>
        <v>6.8671979526107743</v>
      </c>
      <c r="AA111">
        <f t="shared" si="4"/>
        <v>21.761769765890769</v>
      </c>
      <c r="AB111">
        <f t="shared" si="4"/>
        <v>1.8406555709225834</v>
      </c>
      <c r="AC111">
        <f t="shared" si="4"/>
        <v>11.657990830855038</v>
      </c>
      <c r="AD111">
        <f t="shared" si="4"/>
        <v>0.35412154248626715</v>
      </c>
      <c r="AE111">
        <f t="shared" si="4"/>
        <v>149.16768545520057</v>
      </c>
    </row>
    <row r="112" spans="1:35" x14ac:dyDescent="0.25">
      <c r="A112" t="s">
        <v>33</v>
      </c>
      <c r="B112">
        <f t="shared" si="4"/>
        <v>11.263260488793598</v>
      </c>
      <c r="C112">
        <f t="shared" si="4"/>
        <v>24.29634664812712</v>
      </c>
      <c r="D112">
        <f t="shared" si="4"/>
        <v>4.3075071613023397</v>
      </c>
      <c r="E112">
        <f t="shared" si="4"/>
        <v>49.416338363929825</v>
      </c>
      <c r="F112">
        <f t="shared" si="4"/>
        <v>42.178660152059983</v>
      </c>
      <c r="G112">
        <f t="shared" si="4"/>
        <v>20.474293056011916</v>
      </c>
      <c r="H112">
        <f t="shared" si="4"/>
        <v>39.953701200780507</v>
      </c>
      <c r="I112">
        <f t="shared" si="4"/>
        <v>3.4205669052026391</v>
      </c>
      <c r="J112">
        <f t="shared" si="4"/>
        <v>0</v>
      </c>
      <c r="K112">
        <f t="shared" si="4"/>
        <v>6.826264842627026</v>
      </c>
      <c r="L112">
        <f t="shared" si="4"/>
        <v>59.101369926644047</v>
      </c>
      <c r="M112">
        <f t="shared" si="4"/>
        <v>3.2694942098315396</v>
      </c>
      <c r="N112">
        <f t="shared" si="4"/>
        <v>36.201011959996244</v>
      </c>
      <c r="O112">
        <f t="shared" si="4"/>
        <v>173.3921141378851</v>
      </c>
      <c r="P112">
        <f t="shared" si="4"/>
        <v>41.28303110929356</v>
      </c>
      <c r="Q112">
        <f t="shared" ref="Q112:AE112" si="5">(Q11-Q79)^2</f>
        <v>4.5342606157167662</v>
      </c>
      <c r="R112">
        <f t="shared" si="5"/>
        <v>81.171168128249377</v>
      </c>
      <c r="S112">
        <f t="shared" si="5"/>
        <v>224.14126374521837</v>
      </c>
      <c r="T112">
        <f t="shared" si="5"/>
        <v>23.372977567042931</v>
      </c>
      <c r="U112">
        <f t="shared" si="5"/>
        <v>0.16880347856594005</v>
      </c>
      <c r="V112">
        <f t="shared" si="5"/>
        <v>42.09544073314234</v>
      </c>
      <c r="W112">
        <f t="shared" si="5"/>
        <v>14.881854237972494</v>
      </c>
      <c r="X112">
        <f t="shared" si="5"/>
        <v>155.81377456553929</v>
      </c>
      <c r="Y112">
        <f t="shared" si="5"/>
        <v>2.1864693800234893</v>
      </c>
      <c r="Z112">
        <f t="shared" si="5"/>
        <v>92.697367398868224</v>
      </c>
      <c r="AA112">
        <f t="shared" si="5"/>
        <v>1.1880859857784448E-2</v>
      </c>
      <c r="AB112">
        <f t="shared" si="5"/>
        <v>105.95227923782204</v>
      </c>
      <c r="AC112">
        <f t="shared" si="5"/>
        <v>6.450532044540938</v>
      </c>
      <c r="AD112">
        <f t="shared" si="5"/>
        <v>5.1939042536587971E-3</v>
      </c>
      <c r="AE112">
        <f t="shared" si="5"/>
        <v>24.525192029310272</v>
      </c>
    </row>
    <row r="113" spans="1:31" x14ac:dyDescent="0.25">
      <c r="A113" t="s">
        <v>36</v>
      </c>
      <c r="B113">
        <f t="shared" ref="B113:AE121" si="6">(B12-B80)^2</f>
        <v>7.9375861560988539E-2</v>
      </c>
      <c r="C113">
        <f t="shared" si="6"/>
        <v>88.233457139382679</v>
      </c>
      <c r="D113">
        <f t="shared" si="6"/>
        <v>46.474336481625485</v>
      </c>
      <c r="E113">
        <f t="shared" si="6"/>
        <v>3.0755516081046639</v>
      </c>
      <c r="F113">
        <f t="shared" si="6"/>
        <v>12.648119707882875</v>
      </c>
      <c r="G113">
        <f t="shared" si="6"/>
        <v>6.5478066075912844</v>
      </c>
      <c r="H113">
        <f t="shared" si="6"/>
        <v>30.188104597839946</v>
      </c>
      <c r="I113">
        <f t="shared" si="6"/>
        <v>2.2027897535505759E-2</v>
      </c>
      <c r="J113">
        <f t="shared" si="6"/>
        <v>6.8262648426270074</v>
      </c>
      <c r="K113">
        <f t="shared" si="6"/>
        <v>0</v>
      </c>
      <c r="L113">
        <f t="shared" si="6"/>
        <v>87.503206294065123</v>
      </c>
      <c r="M113">
        <f t="shared" si="6"/>
        <v>38.447943210023027</v>
      </c>
      <c r="N113">
        <f t="shared" si="6"/>
        <v>8.775551269318034E-2</v>
      </c>
      <c r="O113">
        <f t="shared" si="6"/>
        <v>32.778171408571083</v>
      </c>
      <c r="P113">
        <f t="shared" si="6"/>
        <v>0.22533032967746969</v>
      </c>
      <c r="Q113">
        <f t="shared" si="6"/>
        <v>9.6457867968533684</v>
      </c>
      <c r="R113">
        <f t="shared" si="6"/>
        <v>5.7729715326298801E-2</v>
      </c>
      <c r="S113">
        <f t="shared" si="6"/>
        <v>41.478914553975578</v>
      </c>
      <c r="T113">
        <f t="shared" si="6"/>
        <v>3.1725895107545434</v>
      </c>
      <c r="U113">
        <f t="shared" si="6"/>
        <v>20.127862321003025</v>
      </c>
      <c r="V113">
        <f t="shared" si="6"/>
        <v>4.154456943829377</v>
      </c>
      <c r="W113">
        <f t="shared" si="6"/>
        <v>51.073819297638373</v>
      </c>
      <c r="X113">
        <f t="shared" si="6"/>
        <v>25.867616009916436</v>
      </c>
      <c r="Y113">
        <f t="shared" si="6"/>
        <v>14.67772570500532</v>
      </c>
      <c r="Z113">
        <f t="shared" si="6"/>
        <v>14.354476990355929</v>
      </c>
      <c r="AA113">
        <f t="shared" si="6"/>
        <v>96.241403963715015</v>
      </c>
      <c r="AB113">
        <f t="shared" si="6"/>
        <v>80.417710516004632</v>
      </c>
      <c r="AC113">
        <f t="shared" si="6"/>
        <v>217.50334727494803</v>
      </c>
      <c r="AD113">
        <f t="shared" si="6"/>
        <v>6.5164227353488835</v>
      </c>
      <c r="AE113">
        <f t="shared" si="6"/>
        <v>82.627020616246696</v>
      </c>
    </row>
    <row r="114" spans="1:31" x14ac:dyDescent="0.25">
      <c r="A114" t="s">
        <v>16</v>
      </c>
      <c r="B114">
        <f t="shared" si="6"/>
        <v>46.22097963650122</v>
      </c>
      <c r="C114">
        <f t="shared" si="6"/>
        <v>3.7183419880194002</v>
      </c>
      <c r="D114">
        <f t="shared" si="6"/>
        <v>22.119482893547243</v>
      </c>
      <c r="E114">
        <f t="shared" si="6"/>
        <v>41.615017453504535</v>
      </c>
      <c r="F114">
        <f t="shared" si="6"/>
        <v>0.55834129814072275</v>
      </c>
      <c r="G114">
        <f t="shared" si="6"/>
        <v>46.649889882785487</v>
      </c>
      <c r="H114">
        <f t="shared" si="6"/>
        <v>1.0047422062762499E-2</v>
      </c>
      <c r="I114">
        <f t="shared" si="6"/>
        <v>4.2588423662377588</v>
      </c>
      <c r="J114">
        <f t="shared" si="6"/>
        <v>59.10136992664399</v>
      </c>
      <c r="K114">
        <f t="shared" si="6"/>
        <v>87.503206294065123</v>
      </c>
      <c r="L114">
        <f t="shared" si="6"/>
        <v>0</v>
      </c>
      <c r="M114">
        <f t="shared" si="6"/>
        <v>34.022027761826543</v>
      </c>
      <c r="N114">
        <f t="shared" si="6"/>
        <v>18.924190576696095</v>
      </c>
      <c r="O114">
        <f t="shared" si="6"/>
        <v>4.2729517245039972</v>
      </c>
      <c r="P114">
        <f t="shared" si="6"/>
        <v>20.764474667485388</v>
      </c>
      <c r="Q114">
        <f t="shared" si="6"/>
        <v>355.53991144773681</v>
      </c>
      <c r="R114">
        <f t="shared" si="6"/>
        <v>22.725419931305662</v>
      </c>
      <c r="S114">
        <f t="shared" si="6"/>
        <v>11.355890149047767</v>
      </c>
      <c r="T114">
        <f t="shared" si="6"/>
        <v>122.8349114930415</v>
      </c>
      <c r="U114">
        <f t="shared" si="6"/>
        <v>0.5788693797783554</v>
      </c>
      <c r="V114">
        <f t="shared" si="6"/>
        <v>13.97522715067597</v>
      </c>
      <c r="W114">
        <f t="shared" si="6"/>
        <v>52.851559229748339</v>
      </c>
      <c r="X114">
        <f t="shared" si="6"/>
        <v>49.020005369222567</v>
      </c>
      <c r="Y114">
        <f t="shared" si="6"/>
        <v>20.316973754658175</v>
      </c>
      <c r="Z114">
        <f t="shared" si="6"/>
        <v>0.43864556557158696</v>
      </c>
      <c r="AA114">
        <f t="shared" si="6"/>
        <v>3.2434802840988199</v>
      </c>
      <c r="AB114">
        <f t="shared" si="6"/>
        <v>0.64460151794084741</v>
      </c>
      <c r="AC114">
        <f t="shared" si="6"/>
        <v>56.917517772616932</v>
      </c>
      <c r="AD114">
        <f t="shared" si="6"/>
        <v>18.704309128533268</v>
      </c>
      <c r="AE114">
        <f t="shared" si="6"/>
        <v>0.62896613022075232</v>
      </c>
    </row>
    <row r="115" spans="1:31" x14ac:dyDescent="0.25">
      <c r="A115" t="s">
        <v>20</v>
      </c>
      <c r="B115">
        <f t="shared" si="6"/>
        <v>83.81364518340493</v>
      </c>
      <c r="C115">
        <f t="shared" si="6"/>
        <v>0.46448118562433099</v>
      </c>
      <c r="D115">
        <f t="shared" si="6"/>
        <v>17.088080659726039</v>
      </c>
      <c r="E115">
        <f t="shared" si="6"/>
        <v>5.2212662967811893E-2</v>
      </c>
      <c r="F115">
        <f t="shared" si="6"/>
        <v>19.84338297779739</v>
      </c>
      <c r="G115">
        <f t="shared" si="6"/>
        <v>16.016901155892441</v>
      </c>
      <c r="H115">
        <f t="shared" si="6"/>
        <v>151.0331709527423</v>
      </c>
      <c r="I115">
        <f t="shared" si="6"/>
        <v>222.05001458840439</v>
      </c>
      <c r="J115">
        <f t="shared" si="6"/>
        <v>3.2694942098315396</v>
      </c>
      <c r="K115">
        <f t="shared" si="6"/>
        <v>38.447943210023027</v>
      </c>
      <c r="L115">
        <f t="shared" si="6"/>
        <v>34.0220277618265</v>
      </c>
      <c r="M115">
        <f t="shared" si="6"/>
        <v>0</v>
      </c>
      <c r="N115">
        <f t="shared" si="6"/>
        <v>6.2036620960804836</v>
      </c>
      <c r="O115">
        <f t="shared" si="6"/>
        <v>14.435943102327979</v>
      </c>
      <c r="P115">
        <f t="shared" si="6"/>
        <v>37.337764956689455</v>
      </c>
      <c r="Q115">
        <f t="shared" si="6"/>
        <v>47.73735043750878</v>
      </c>
      <c r="R115">
        <f t="shared" si="6"/>
        <v>0.10096983259560345</v>
      </c>
      <c r="S115">
        <f t="shared" si="6"/>
        <v>99.454051855555278</v>
      </c>
      <c r="T115">
        <f t="shared" si="6"/>
        <v>185.23458492720025</v>
      </c>
      <c r="U115">
        <f t="shared" si="6"/>
        <v>51.752576591840111</v>
      </c>
      <c r="V115">
        <f t="shared" si="6"/>
        <v>5.9718105315805561</v>
      </c>
      <c r="W115">
        <f t="shared" si="6"/>
        <v>158.19424377548387</v>
      </c>
      <c r="X115">
        <f t="shared" si="6"/>
        <v>4.1362177895149346</v>
      </c>
      <c r="Y115">
        <f t="shared" si="6"/>
        <v>274.85562984690904</v>
      </c>
      <c r="Z115">
        <f t="shared" si="6"/>
        <v>9.9392342723063667</v>
      </c>
      <c r="AA115">
        <f t="shared" si="6"/>
        <v>8.3915306966241925</v>
      </c>
      <c r="AB115">
        <f t="shared" si="6"/>
        <v>33.169823969116351</v>
      </c>
      <c r="AC115">
        <f t="shared" si="6"/>
        <v>130.38600626522302</v>
      </c>
      <c r="AD115">
        <f t="shared" si="6"/>
        <v>72.528567977737964</v>
      </c>
      <c r="AE115">
        <f t="shared" si="6"/>
        <v>2.1366955764785603E-2</v>
      </c>
    </row>
    <row r="116" spans="1:31" x14ac:dyDescent="0.25">
      <c r="A116" t="s">
        <v>41</v>
      </c>
      <c r="B116">
        <f t="shared" si="6"/>
        <v>51.842648950268547</v>
      </c>
      <c r="C116">
        <f t="shared" si="6"/>
        <v>93.324256445255827</v>
      </c>
      <c r="D116">
        <f t="shared" si="6"/>
        <v>15.076965701251547</v>
      </c>
      <c r="E116">
        <f t="shared" si="6"/>
        <v>17.786275323754694</v>
      </c>
      <c r="F116">
        <f t="shared" si="6"/>
        <v>44.005000810860928</v>
      </c>
      <c r="G116">
        <f t="shared" si="6"/>
        <v>101.38458125406166</v>
      </c>
      <c r="H116">
        <f t="shared" si="6"/>
        <v>0.21245495732093161</v>
      </c>
      <c r="I116">
        <f t="shared" si="6"/>
        <v>15.39811350368614</v>
      </c>
      <c r="J116">
        <f t="shared" si="6"/>
        <v>36.201011959996286</v>
      </c>
      <c r="K116">
        <f t="shared" si="6"/>
        <v>8.7755512693178231E-2</v>
      </c>
      <c r="L116">
        <f t="shared" si="6"/>
        <v>18.924190576696063</v>
      </c>
      <c r="M116">
        <f t="shared" si="6"/>
        <v>6.2036620960804481</v>
      </c>
      <c r="N116">
        <f t="shared" si="6"/>
        <v>0</v>
      </c>
      <c r="O116">
        <f t="shared" si="6"/>
        <v>20.539886091273409</v>
      </c>
      <c r="P116">
        <f t="shared" si="6"/>
        <v>2.0960953130934197</v>
      </c>
      <c r="Q116">
        <f t="shared" si="6"/>
        <v>62.291255561548986</v>
      </c>
      <c r="R116">
        <f t="shared" si="6"/>
        <v>57.074394679175086</v>
      </c>
      <c r="S116">
        <f t="shared" si="6"/>
        <v>0.99348786101342268</v>
      </c>
      <c r="T116">
        <f t="shared" si="6"/>
        <v>1.9643766248923709</v>
      </c>
      <c r="U116">
        <f t="shared" si="6"/>
        <v>116.67901409252352</v>
      </c>
      <c r="V116">
        <f t="shared" si="6"/>
        <v>46.353683482560612</v>
      </c>
      <c r="W116">
        <f t="shared" si="6"/>
        <v>198.48617291844499</v>
      </c>
      <c r="X116">
        <f t="shared" si="6"/>
        <v>195.91043225016691</v>
      </c>
      <c r="Y116">
        <f t="shared" si="6"/>
        <v>21.705807751842176</v>
      </c>
      <c r="Z116">
        <f t="shared" si="6"/>
        <v>5.1852093816773151E-4</v>
      </c>
      <c r="AA116">
        <f t="shared" si="6"/>
        <v>9.9274373873602908</v>
      </c>
      <c r="AB116">
        <f t="shared" si="6"/>
        <v>0.49638658560035254</v>
      </c>
      <c r="AC116">
        <f t="shared" si="6"/>
        <v>318.25080860464294</v>
      </c>
      <c r="AD116">
        <f t="shared" si="6"/>
        <v>2.9863811763267143</v>
      </c>
      <c r="AE116">
        <f t="shared" si="6"/>
        <v>9.8424144772518645</v>
      </c>
    </row>
    <row r="117" spans="1:31" x14ac:dyDescent="0.25">
      <c r="A117" t="s">
        <v>17</v>
      </c>
      <c r="B117">
        <f t="shared" si="6"/>
        <v>114.16244341635397</v>
      </c>
      <c r="C117">
        <f t="shared" si="6"/>
        <v>27.534082773741154</v>
      </c>
      <c r="D117">
        <f t="shared" si="6"/>
        <v>4.9956985125659773E-3</v>
      </c>
      <c r="E117">
        <f t="shared" si="6"/>
        <v>84.967012638437694</v>
      </c>
      <c r="F117">
        <f t="shared" si="6"/>
        <v>0.97167076506430672</v>
      </c>
      <c r="G117">
        <f t="shared" si="6"/>
        <v>1.1749858836460041</v>
      </c>
      <c r="H117">
        <f t="shared" si="6"/>
        <v>30.134047777821781</v>
      </c>
      <c r="I117">
        <f t="shared" si="6"/>
        <v>19.46226404687533</v>
      </c>
      <c r="J117">
        <f t="shared" si="6"/>
        <v>173.39211413788493</v>
      </c>
      <c r="K117">
        <f t="shared" si="6"/>
        <v>32.778171408571069</v>
      </c>
      <c r="L117">
        <f t="shared" si="6"/>
        <v>4.2729517245040123</v>
      </c>
      <c r="M117">
        <f t="shared" si="6"/>
        <v>14.435943102328034</v>
      </c>
      <c r="N117">
        <f t="shared" si="6"/>
        <v>20.539886091273441</v>
      </c>
      <c r="O117">
        <f t="shared" si="6"/>
        <v>0</v>
      </c>
      <c r="P117">
        <f t="shared" si="6"/>
        <v>13.251493186444188</v>
      </c>
      <c r="Q117">
        <f t="shared" si="6"/>
        <v>3.4246499178651755</v>
      </c>
      <c r="R117">
        <f t="shared" si="6"/>
        <v>26.366034933687132</v>
      </c>
      <c r="S117">
        <f t="shared" si="6"/>
        <v>1.8915347818636628</v>
      </c>
      <c r="T117">
        <f t="shared" si="6"/>
        <v>80.633153194157828</v>
      </c>
      <c r="U117">
        <f t="shared" si="6"/>
        <v>191.51397041518706</v>
      </c>
      <c r="V117">
        <f t="shared" si="6"/>
        <v>4.0322492853010559</v>
      </c>
      <c r="W117">
        <f t="shared" si="6"/>
        <v>27.782220934408425</v>
      </c>
      <c r="X117">
        <f t="shared" si="6"/>
        <v>20.851317359196994</v>
      </c>
      <c r="Y117">
        <f t="shared" si="6"/>
        <v>47.498104755566658</v>
      </c>
      <c r="Z117">
        <f t="shared" si="6"/>
        <v>32.785835439188666</v>
      </c>
      <c r="AA117">
        <f t="shared" si="6"/>
        <v>10.892530938606974</v>
      </c>
      <c r="AB117">
        <f t="shared" si="6"/>
        <v>45.822567259047077</v>
      </c>
      <c r="AC117">
        <f t="shared" si="6"/>
        <v>39.600455112088795</v>
      </c>
      <c r="AD117">
        <f t="shared" si="6"/>
        <v>3.412416071722701</v>
      </c>
      <c r="AE117">
        <f t="shared" si="6"/>
        <v>24.351268786630694</v>
      </c>
    </row>
    <row r="118" spans="1:31" x14ac:dyDescent="0.25">
      <c r="A118" t="s">
        <v>28</v>
      </c>
      <c r="B118">
        <f t="shared" si="6"/>
        <v>3.7956309233083625E-5</v>
      </c>
      <c r="C118">
        <f t="shared" si="6"/>
        <v>17.433102303524649</v>
      </c>
      <c r="D118">
        <f t="shared" si="6"/>
        <v>8.8745305753329156</v>
      </c>
      <c r="E118">
        <f t="shared" si="6"/>
        <v>7.9634256270492294</v>
      </c>
      <c r="F118">
        <f t="shared" si="6"/>
        <v>2.4288061591770052</v>
      </c>
      <c r="G118">
        <f t="shared" si="6"/>
        <v>284.35542828270428</v>
      </c>
      <c r="H118">
        <f t="shared" si="6"/>
        <v>66.546023748698801</v>
      </c>
      <c r="I118">
        <f t="shared" si="6"/>
        <v>7.3266819543531856</v>
      </c>
      <c r="J118">
        <f t="shared" si="6"/>
        <v>41.283031109293603</v>
      </c>
      <c r="K118">
        <f t="shared" si="6"/>
        <v>0.22533032967746294</v>
      </c>
      <c r="L118">
        <f t="shared" si="6"/>
        <v>20.764474667485388</v>
      </c>
      <c r="M118">
        <f t="shared" si="6"/>
        <v>37.337764956689455</v>
      </c>
      <c r="N118">
        <f t="shared" si="6"/>
        <v>2.0960953130934197</v>
      </c>
      <c r="O118">
        <f t="shared" si="6"/>
        <v>13.251493186444188</v>
      </c>
      <c r="P118">
        <f t="shared" si="6"/>
        <v>0</v>
      </c>
      <c r="Q118">
        <f t="shared" si="6"/>
        <v>31.264197606622133</v>
      </c>
      <c r="R118">
        <f t="shared" si="6"/>
        <v>4.1773821958304138</v>
      </c>
      <c r="S118">
        <f t="shared" si="6"/>
        <v>75.228027323697617</v>
      </c>
      <c r="T118">
        <f t="shared" si="6"/>
        <v>24.573397736922978</v>
      </c>
      <c r="U118">
        <f t="shared" si="6"/>
        <v>77.696714455739752</v>
      </c>
      <c r="V118">
        <f t="shared" si="6"/>
        <v>8.5266820185768852E-2</v>
      </c>
      <c r="W118">
        <f t="shared" si="6"/>
        <v>0.16097489975426305</v>
      </c>
      <c r="X118">
        <f t="shared" si="6"/>
        <v>0.17610137703336626</v>
      </c>
      <c r="Y118">
        <f t="shared" si="6"/>
        <v>20.478953539353814</v>
      </c>
      <c r="Z118">
        <f t="shared" si="6"/>
        <v>89.838222479432858</v>
      </c>
      <c r="AA118">
        <f t="shared" si="6"/>
        <v>0.12226640221364522</v>
      </c>
      <c r="AB118">
        <f t="shared" si="6"/>
        <v>7.9552660663421566</v>
      </c>
      <c r="AC118">
        <f t="shared" si="6"/>
        <v>0.12202978053356857</v>
      </c>
      <c r="AD118">
        <f t="shared" si="6"/>
        <v>19.235608144144759</v>
      </c>
      <c r="AE118">
        <f t="shared" si="6"/>
        <v>306.42503940797189</v>
      </c>
    </row>
    <row r="119" spans="1:31" x14ac:dyDescent="0.25">
      <c r="A119" t="s">
        <v>24</v>
      </c>
      <c r="B119">
        <f t="shared" si="6"/>
        <v>0.49532190702313744</v>
      </c>
      <c r="C119">
        <f t="shared" si="6"/>
        <v>50.539595563596563</v>
      </c>
      <c r="D119">
        <f t="shared" si="6"/>
        <v>59.41251194798101</v>
      </c>
      <c r="E119">
        <f t="shared" si="6"/>
        <v>1.4030412690611005</v>
      </c>
      <c r="F119">
        <f t="shared" si="6"/>
        <v>0.10187333557431898</v>
      </c>
      <c r="G119">
        <f t="shared" si="6"/>
        <v>3.9406604796730775</v>
      </c>
      <c r="H119">
        <f t="shared" si="6"/>
        <v>0.63426970190802234</v>
      </c>
      <c r="I119">
        <f t="shared" si="6"/>
        <v>3.287623530559904</v>
      </c>
      <c r="J119">
        <f t="shared" si="6"/>
        <v>4.5342606157167964</v>
      </c>
      <c r="K119">
        <f t="shared" si="6"/>
        <v>9.6457867968533915</v>
      </c>
      <c r="L119">
        <f t="shared" si="6"/>
        <v>355.53991144773653</v>
      </c>
      <c r="M119">
        <f t="shared" si="6"/>
        <v>47.73735043750878</v>
      </c>
      <c r="N119">
        <f t="shared" si="6"/>
        <v>62.29125556154893</v>
      </c>
      <c r="O119">
        <f t="shared" si="6"/>
        <v>3.424649917865136</v>
      </c>
      <c r="P119">
        <f t="shared" si="6"/>
        <v>31.264197606622176</v>
      </c>
      <c r="Q119">
        <f t="shared" si="6"/>
        <v>0</v>
      </c>
      <c r="R119">
        <f t="shared" si="6"/>
        <v>52.222120511239169</v>
      </c>
      <c r="S119">
        <f t="shared" si="6"/>
        <v>0.23932732484358898</v>
      </c>
      <c r="T119">
        <f t="shared" si="6"/>
        <v>18.584026943971423</v>
      </c>
      <c r="U119">
        <f t="shared" si="6"/>
        <v>65.607688535544483</v>
      </c>
      <c r="V119">
        <f t="shared" si="6"/>
        <v>56.430118737937988</v>
      </c>
      <c r="W119">
        <f t="shared" si="6"/>
        <v>1.2620397179956033</v>
      </c>
      <c r="X119">
        <f t="shared" si="6"/>
        <v>1.5074392220313142</v>
      </c>
      <c r="Y119">
        <f t="shared" si="6"/>
        <v>210.4924974139299</v>
      </c>
      <c r="Z119">
        <f t="shared" si="6"/>
        <v>1.7842580467508491</v>
      </c>
      <c r="AA119">
        <f t="shared" si="6"/>
        <v>17.615672963670146</v>
      </c>
      <c r="AB119">
        <f t="shared" si="6"/>
        <v>69.390622744333072</v>
      </c>
      <c r="AC119">
        <f t="shared" si="6"/>
        <v>10.789185243202954</v>
      </c>
      <c r="AD119">
        <f t="shared" si="6"/>
        <v>8.4295830891656998</v>
      </c>
      <c r="AE119">
        <f t="shared" si="6"/>
        <v>5.1974834882748733E-2</v>
      </c>
    </row>
    <row r="120" spans="1:31" x14ac:dyDescent="0.25">
      <c r="A120" t="s">
        <v>19</v>
      </c>
      <c r="B120">
        <f t="shared" si="6"/>
        <v>37.947786615143023</v>
      </c>
      <c r="C120">
        <f t="shared" si="6"/>
        <v>34.016105925535442</v>
      </c>
      <c r="D120">
        <f t="shared" si="6"/>
        <v>5.1407263773347252</v>
      </c>
      <c r="E120">
        <f t="shared" si="6"/>
        <v>6.8700620335301998</v>
      </c>
      <c r="F120">
        <f t="shared" si="6"/>
        <v>13.902212868843622</v>
      </c>
      <c r="G120">
        <f t="shared" si="6"/>
        <v>6.5944239615725575</v>
      </c>
      <c r="H120">
        <f t="shared" si="6"/>
        <v>66.326264595404425</v>
      </c>
      <c r="I120">
        <f t="shared" si="6"/>
        <v>18.785326762892353</v>
      </c>
      <c r="J120">
        <f t="shared" si="6"/>
        <v>81.171168128249434</v>
      </c>
      <c r="K120">
        <f t="shared" si="6"/>
        <v>5.7729715326298801E-2</v>
      </c>
      <c r="L120">
        <f t="shared" si="6"/>
        <v>22.725419931305662</v>
      </c>
      <c r="M120">
        <f t="shared" si="6"/>
        <v>0.10096983259560119</v>
      </c>
      <c r="N120">
        <f t="shared" si="6"/>
        <v>57.074394679175143</v>
      </c>
      <c r="O120">
        <f t="shared" si="6"/>
        <v>26.366034933687132</v>
      </c>
      <c r="P120">
        <f t="shared" si="6"/>
        <v>4.1773821958304138</v>
      </c>
      <c r="Q120">
        <f t="shared" si="6"/>
        <v>52.222120511239218</v>
      </c>
      <c r="R120">
        <f t="shared" si="6"/>
        <v>0</v>
      </c>
      <c r="S120">
        <f t="shared" si="6"/>
        <v>65.463051428725279</v>
      </c>
      <c r="T120">
        <f t="shared" si="6"/>
        <v>23.254091529780641</v>
      </c>
      <c r="U120">
        <f t="shared" si="6"/>
        <v>1.0104407193349272</v>
      </c>
      <c r="V120">
        <f t="shared" si="6"/>
        <v>1.1705205042062318E-4</v>
      </c>
      <c r="W120">
        <f t="shared" si="6"/>
        <v>34.303278293940608</v>
      </c>
      <c r="X120">
        <f t="shared" si="6"/>
        <v>37.163292900538018</v>
      </c>
      <c r="Y120">
        <f t="shared" si="6"/>
        <v>2.283206998137802</v>
      </c>
      <c r="Z120">
        <f t="shared" si="6"/>
        <v>24.140608661306079</v>
      </c>
      <c r="AA120">
        <f t="shared" si="6"/>
        <v>2.3686532784595515</v>
      </c>
      <c r="AB120">
        <f t="shared" si="6"/>
        <v>3.2684058285571647</v>
      </c>
      <c r="AC120">
        <f t="shared" si="6"/>
        <v>87.454709845148813</v>
      </c>
      <c r="AD120">
        <f t="shared" si="6"/>
        <v>11.668747581616014</v>
      </c>
      <c r="AE120">
        <f t="shared" si="6"/>
        <v>19.092237119716589</v>
      </c>
    </row>
    <row r="121" spans="1:31" x14ac:dyDescent="0.25">
      <c r="A121" t="s">
        <v>29</v>
      </c>
      <c r="B121">
        <f t="shared" si="6"/>
        <v>0.49179416410213067</v>
      </c>
      <c r="C121">
        <f t="shared" si="6"/>
        <v>1.165301328096533</v>
      </c>
      <c r="D121">
        <f t="shared" si="6"/>
        <v>28.590970748568402</v>
      </c>
      <c r="E121">
        <f t="shared" si="6"/>
        <v>180.48020607650449</v>
      </c>
      <c r="F121">
        <f t="shared" si="6"/>
        <v>43.858378007389078</v>
      </c>
      <c r="G121">
        <f t="shared" si="6"/>
        <v>42.545214694444702</v>
      </c>
      <c r="H121">
        <f t="shared" si="6"/>
        <v>8.8543672488025678</v>
      </c>
      <c r="I121">
        <f t="shared" si="6"/>
        <v>9.9753156499503878E-2</v>
      </c>
      <c r="J121">
        <f t="shared" si="6"/>
        <v>224.14126374521828</v>
      </c>
      <c r="K121">
        <f t="shared" si="6"/>
        <v>41.478914553975599</v>
      </c>
      <c r="L121">
        <f t="shared" si="6"/>
        <v>11.355890149047791</v>
      </c>
      <c r="M121">
        <f t="shared" si="6"/>
        <v>99.454051855555207</v>
      </c>
      <c r="N121">
        <f t="shared" si="6"/>
        <v>0.99348786101341202</v>
      </c>
      <c r="O121">
        <f t="shared" si="6"/>
        <v>1.8915347818636725</v>
      </c>
      <c r="P121">
        <f t="shared" si="6"/>
        <v>75.228027323697745</v>
      </c>
      <c r="Q121">
        <f t="shared" ref="Q121:AE121" si="7">(Q20-Q88)^2</f>
        <v>0.23932732484358898</v>
      </c>
      <c r="R121">
        <f t="shared" si="7"/>
        <v>65.463051428725151</v>
      </c>
      <c r="S121">
        <f t="shared" si="7"/>
        <v>0</v>
      </c>
      <c r="T121">
        <f t="shared" si="7"/>
        <v>195.87762133059593</v>
      </c>
      <c r="U121">
        <f t="shared" si="7"/>
        <v>56.44614842732279</v>
      </c>
      <c r="V121">
        <f t="shared" si="7"/>
        <v>40.095816422022097</v>
      </c>
      <c r="W121">
        <f t="shared" si="7"/>
        <v>78.378241833132378</v>
      </c>
      <c r="X121">
        <f t="shared" si="7"/>
        <v>91.559802513608318</v>
      </c>
      <c r="Y121">
        <f t="shared" si="7"/>
        <v>8.2161485033515316</v>
      </c>
      <c r="Z121">
        <f t="shared" si="7"/>
        <v>37.128879696412149</v>
      </c>
      <c r="AA121">
        <f t="shared" si="7"/>
        <v>88.525643360244615</v>
      </c>
      <c r="AB121">
        <f t="shared" si="7"/>
        <v>3.3959452724963106</v>
      </c>
      <c r="AC121">
        <f t="shared" si="7"/>
        <v>0.88198393948166465</v>
      </c>
      <c r="AD121">
        <f t="shared" si="7"/>
        <v>0.33872713908353974</v>
      </c>
      <c r="AE121">
        <f t="shared" si="7"/>
        <v>127.84887901826195</v>
      </c>
    </row>
    <row r="122" spans="1:31" x14ac:dyDescent="0.25">
      <c r="A122" t="s">
        <v>12</v>
      </c>
      <c r="B122">
        <f t="shared" ref="B122:AE130" si="8">(B21-B89)^2</f>
        <v>60.362233658907925</v>
      </c>
      <c r="C122">
        <f t="shared" si="8"/>
        <v>98.254303572020788</v>
      </c>
      <c r="D122">
        <f t="shared" si="8"/>
        <v>67.957918003033342</v>
      </c>
      <c r="E122">
        <f t="shared" si="8"/>
        <v>2.6122635966323493</v>
      </c>
      <c r="F122">
        <f t="shared" si="8"/>
        <v>347.65345350864004</v>
      </c>
      <c r="G122">
        <f t="shared" si="8"/>
        <v>8.5041219992644059</v>
      </c>
      <c r="H122">
        <f t="shared" si="8"/>
        <v>0.64581196417237074</v>
      </c>
      <c r="I122">
        <f t="shared" si="8"/>
        <v>120.936863938321</v>
      </c>
      <c r="J122">
        <f t="shared" si="8"/>
        <v>23.372977567042966</v>
      </c>
      <c r="K122">
        <f t="shared" si="8"/>
        <v>3.1725895107545434</v>
      </c>
      <c r="L122">
        <f t="shared" si="8"/>
        <v>122.8349114930415</v>
      </c>
      <c r="M122">
        <f t="shared" si="8"/>
        <v>185.23458492720016</v>
      </c>
      <c r="N122">
        <f t="shared" si="8"/>
        <v>1.9643766248923409</v>
      </c>
      <c r="O122">
        <f t="shared" si="8"/>
        <v>80.633153194157956</v>
      </c>
      <c r="P122">
        <f t="shared" si="8"/>
        <v>24.573397736922978</v>
      </c>
      <c r="Q122">
        <f t="shared" si="8"/>
        <v>18.584026943971363</v>
      </c>
      <c r="R122">
        <f t="shared" si="8"/>
        <v>23.254091529780709</v>
      </c>
      <c r="S122">
        <f t="shared" si="8"/>
        <v>195.87762133059601</v>
      </c>
      <c r="T122">
        <f t="shared" si="8"/>
        <v>0</v>
      </c>
      <c r="U122">
        <f t="shared" si="8"/>
        <v>68.856147707571822</v>
      </c>
      <c r="V122">
        <f t="shared" si="8"/>
        <v>5.4770955421747409</v>
      </c>
      <c r="W122">
        <f t="shared" si="8"/>
        <v>12.174242750805984</v>
      </c>
      <c r="X122">
        <f t="shared" si="8"/>
        <v>20.046701113296383</v>
      </c>
      <c r="Y122">
        <f t="shared" si="8"/>
        <v>24.774976941205207</v>
      </c>
      <c r="Z122">
        <f t="shared" si="8"/>
        <v>118.96121075448268</v>
      </c>
      <c r="AA122">
        <f t="shared" si="8"/>
        <v>73.725771502002686</v>
      </c>
      <c r="AB122">
        <f t="shared" si="8"/>
        <v>2.065211495017848E-2</v>
      </c>
      <c r="AC122">
        <f t="shared" si="8"/>
        <v>21.590013298729563</v>
      </c>
      <c r="AD122">
        <f t="shared" si="8"/>
        <v>27.452307771609718</v>
      </c>
      <c r="AE122">
        <f t="shared" si="8"/>
        <v>27.187397846264446</v>
      </c>
    </row>
    <row r="123" spans="1:31" x14ac:dyDescent="0.25">
      <c r="A123" t="s">
        <v>31</v>
      </c>
      <c r="B123">
        <f t="shared" si="8"/>
        <v>127.40949886969273</v>
      </c>
      <c r="C123">
        <f t="shared" si="8"/>
        <v>3.8980889806475902</v>
      </c>
      <c r="D123">
        <f t="shared" si="8"/>
        <v>2.8392431690075957</v>
      </c>
      <c r="E123">
        <f t="shared" si="8"/>
        <v>1.5945303830700754</v>
      </c>
      <c r="F123">
        <f t="shared" si="8"/>
        <v>64.204456959826302</v>
      </c>
      <c r="G123">
        <f t="shared" si="8"/>
        <v>68.412676070402043</v>
      </c>
      <c r="H123">
        <f t="shared" si="8"/>
        <v>0.2321172625985399</v>
      </c>
      <c r="I123">
        <f t="shared" si="8"/>
        <v>0.36338737813594457</v>
      </c>
      <c r="J123">
        <f t="shared" si="8"/>
        <v>0.16880347856593422</v>
      </c>
      <c r="K123">
        <f t="shared" si="8"/>
        <v>20.127862321003072</v>
      </c>
      <c r="L123">
        <f t="shared" si="8"/>
        <v>0.5788693797783554</v>
      </c>
      <c r="M123">
        <f t="shared" si="8"/>
        <v>51.752576591840111</v>
      </c>
      <c r="N123">
        <f t="shared" si="8"/>
        <v>116.67901409252367</v>
      </c>
      <c r="O123">
        <f t="shared" si="8"/>
        <v>191.51397041518706</v>
      </c>
      <c r="P123">
        <f t="shared" si="8"/>
        <v>77.696714455739752</v>
      </c>
      <c r="Q123">
        <f t="shared" si="8"/>
        <v>65.607688535544426</v>
      </c>
      <c r="R123">
        <f t="shared" si="8"/>
        <v>1.0104407193349343</v>
      </c>
      <c r="S123">
        <f t="shared" si="8"/>
        <v>56.446148427322683</v>
      </c>
      <c r="T123">
        <f t="shared" si="8"/>
        <v>68.856147707571822</v>
      </c>
      <c r="U123">
        <f t="shared" si="8"/>
        <v>0</v>
      </c>
      <c r="V123">
        <f t="shared" si="8"/>
        <v>5.7023159069459046</v>
      </c>
      <c r="W123">
        <f t="shared" si="8"/>
        <v>16.927349207974181</v>
      </c>
      <c r="X123">
        <f t="shared" si="8"/>
        <v>10.051548732973478</v>
      </c>
      <c r="Y123">
        <f t="shared" si="8"/>
        <v>1.7289115854625208</v>
      </c>
      <c r="Z123">
        <f t="shared" si="8"/>
        <v>0.22837019370761538</v>
      </c>
      <c r="AA123">
        <f t="shared" si="8"/>
        <v>102.50180843764353</v>
      </c>
      <c r="AB123">
        <f t="shared" si="8"/>
        <v>232.89738470642325</v>
      </c>
      <c r="AC123">
        <f t="shared" si="8"/>
        <v>29.118413959363579</v>
      </c>
      <c r="AD123">
        <f t="shared" si="8"/>
        <v>45.092436518957534</v>
      </c>
      <c r="AE123">
        <f t="shared" si="8"/>
        <v>5.7189052126512037</v>
      </c>
    </row>
    <row r="124" spans="1:31" x14ac:dyDescent="0.25">
      <c r="A124" t="s">
        <v>38</v>
      </c>
      <c r="B124">
        <f t="shared" si="8"/>
        <v>3.8331365358471516</v>
      </c>
      <c r="C124">
        <f t="shared" si="8"/>
        <v>457.83461300094353</v>
      </c>
      <c r="D124">
        <f t="shared" si="8"/>
        <v>41.26577134897434</v>
      </c>
      <c r="E124">
        <f t="shared" si="8"/>
        <v>82.685340933822204</v>
      </c>
      <c r="F124">
        <f t="shared" si="8"/>
        <v>12.367184305973566</v>
      </c>
      <c r="G124">
        <f t="shared" si="8"/>
        <v>2.5364402002666391</v>
      </c>
      <c r="H124">
        <f t="shared" si="8"/>
        <v>3.4781415061874834</v>
      </c>
      <c r="I124">
        <f t="shared" si="8"/>
        <v>15.68061200616992</v>
      </c>
      <c r="J124">
        <f t="shared" si="8"/>
        <v>42.09544073314234</v>
      </c>
      <c r="K124">
        <f t="shared" si="8"/>
        <v>4.1544569438293912</v>
      </c>
      <c r="L124">
        <f t="shared" si="8"/>
        <v>13.975227150675996</v>
      </c>
      <c r="M124">
        <f t="shared" si="8"/>
        <v>5.9718105315805392</v>
      </c>
      <c r="N124">
        <f t="shared" si="8"/>
        <v>46.353683482560612</v>
      </c>
      <c r="O124">
        <f t="shared" si="8"/>
        <v>4.0322492853010559</v>
      </c>
      <c r="P124">
        <f t="shared" si="8"/>
        <v>8.5266820185768852E-2</v>
      </c>
      <c r="Q124">
        <f t="shared" si="8"/>
        <v>56.430118737937939</v>
      </c>
      <c r="R124">
        <f t="shared" si="8"/>
        <v>1.1705205042039256E-4</v>
      </c>
      <c r="S124">
        <f t="shared" si="8"/>
        <v>40.095816422022097</v>
      </c>
      <c r="T124">
        <f t="shared" si="8"/>
        <v>5.4770955421747409</v>
      </c>
      <c r="U124">
        <f t="shared" si="8"/>
        <v>5.7023159069459215</v>
      </c>
      <c r="V124">
        <f t="shared" si="8"/>
        <v>0</v>
      </c>
      <c r="W124">
        <f t="shared" si="8"/>
        <v>86.110911417486832</v>
      </c>
      <c r="X124">
        <f t="shared" si="8"/>
        <v>6.7730840396616783</v>
      </c>
      <c r="Y124">
        <f t="shared" si="8"/>
        <v>38.738431541002335</v>
      </c>
      <c r="Z124">
        <f t="shared" si="8"/>
        <v>1.7311095441177999</v>
      </c>
      <c r="AA124">
        <f t="shared" si="8"/>
        <v>213.81309643049951</v>
      </c>
      <c r="AB124">
        <f t="shared" si="8"/>
        <v>7.0333310393208306</v>
      </c>
      <c r="AC124">
        <f t="shared" si="8"/>
        <v>13.634291996621696</v>
      </c>
      <c r="AD124">
        <f t="shared" si="8"/>
        <v>5.9233183027739145</v>
      </c>
      <c r="AE124">
        <f t="shared" si="8"/>
        <v>5.9850007416097277</v>
      </c>
    </row>
    <row r="125" spans="1:31" x14ac:dyDescent="0.25">
      <c r="A125" t="s">
        <v>13</v>
      </c>
      <c r="B125">
        <f t="shared" si="8"/>
        <v>23.855341595744278</v>
      </c>
      <c r="C125">
        <f t="shared" si="8"/>
        <v>17.537037111806121</v>
      </c>
      <c r="D125">
        <f t="shared" si="8"/>
        <v>3.2147181971851411</v>
      </c>
      <c r="E125">
        <f t="shared" si="8"/>
        <v>2.9713018101350142E-3</v>
      </c>
      <c r="F125">
        <f t="shared" si="8"/>
        <v>75.621525208205824</v>
      </c>
      <c r="G125">
        <f t="shared" si="8"/>
        <v>73.052303941519511</v>
      </c>
      <c r="H125">
        <f t="shared" si="8"/>
        <v>0.2837183441608076</v>
      </c>
      <c r="I125">
        <f t="shared" si="8"/>
        <v>71.132649216933089</v>
      </c>
      <c r="J125">
        <f t="shared" si="8"/>
        <v>14.881854237972467</v>
      </c>
      <c r="K125">
        <f t="shared" si="8"/>
        <v>51.073819297638316</v>
      </c>
      <c r="L125">
        <f t="shared" si="8"/>
        <v>52.851559229748396</v>
      </c>
      <c r="M125">
        <f t="shared" si="8"/>
        <v>158.1942437754837</v>
      </c>
      <c r="N125">
        <f t="shared" si="8"/>
        <v>198.48617291844499</v>
      </c>
      <c r="O125">
        <f t="shared" si="8"/>
        <v>27.782220934408425</v>
      </c>
      <c r="P125">
        <f t="shared" si="8"/>
        <v>0.1609748997542659</v>
      </c>
      <c r="Q125">
        <f t="shared" si="8"/>
        <v>1.2620397179955953</v>
      </c>
      <c r="R125">
        <f t="shared" si="8"/>
        <v>34.303278293940693</v>
      </c>
      <c r="S125">
        <f t="shared" si="8"/>
        <v>78.378241833132307</v>
      </c>
      <c r="T125">
        <f t="shared" si="8"/>
        <v>12.174242750806009</v>
      </c>
      <c r="U125">
        <f t="shared" si="8"/>
        <v>16.927349207974153</v>
      </c>
      <c r="V125">
        <f t="shared" si="8"/>
        <v>86.110911417486903</v>
      </c>
      <c r="W125">
        <f t="shared" si="8"/>
        <v>0</v>
      </c>
      <c r="X125">
        <f t="shared" si="8"/>
        <v>12.536534897280093</v>
      </c>
      <c r="Y125">
        <f t="shared" si="8"/>
        <v>23.318343533744532</v>
      </c>
      <c r="Z125">
        <f t="shared" si="8"/>
        <v>63.654795953427737</v>
      </c>
      <c r="AA125">
        <f t="shared" si="8"/>
        <v>5.4186665186910501</v>
      </c>
      <c r="AB125">
        <f t="shared" si="8"/>
        <v>94.248537581226202</v>
      </c>
      <c r="AC125">
        <f t="shared" si="8"/>
        <v>0.25406810633460475</v>
      </c>
      <c r="AD125">
        <f t="shared" si="8"/>
        <v>29.156245596195401</v>
      </c>
      <c r="AE125">
        <f t="shared" si="8"/>
        <v>1.4769266802489771</v>
      </c>
    </row>
    <row r="126" spans="1:31" x14ac:dyDescent="0.25">
      <c r="A126" t="s">
        <v>21</v>
      </c>
      <c r="B126">
        <f t="shared" si="8"/>
        <v>30.973424484219205</v>
      </c>
      <c r="C126">
        <f t="shared" si="8"/>
        <v>1.3123447703234457</v>
      </c>
      <c r="D126">
        <f t="shared" si="8"/>
        <v>41.050210308447724</v>
      </c>
      <c r="E126">
        <f t="shared" si="8"/>
        <v>3.7533166435349852</v>
      </c>
      <c r="F126">
        <f t="shared" si="8"/>
        <v>27.167962670893928</v>
      </c>
      <c r="G126">
        <f t="shared" si="8"/>
        <v>84.57396819530571</v>
      </c>
      <c r="H126">
        <f t="shared" si="8"/>
        <v>314.6708913277842</v>
      </c>
      <c r="I126">
        <f t="shared" si="8"/>
        <v>263.12182530991674</v>
      </c>
      <c r="J126">
        <f t="shared" si="8"/>
        <v>155.81377456553929</v>
      </c>
      <c r="K126">
        <f t="shared" si="8"/>
        <v>25.867616009916471</v>
      </c>
      <c r="L126">
        <f t="shared" si="8"/>
        <v>49.020005369222616</v>
      </c>
      <c r="M126">
        <f t="shared" si="8"/>
        <v>4.1362177895149346</v>
      </c>
      <c r="N126">
        <f t="shared" si="8"/>
        <v>195.91043225016699</v>
      </c>
      <c r="O126">
        <f t="shared" si="8"/>
        <v>20.851317359196994</v>
      </c>
      <c r="P126">
        <f t="shared" si="8"/>
        <v>0.17610137703336926</v>
      </c>
      <c r="Q126">
        <f t="shared" si="8"/>
        <v>1.5074392220313055</v>
      </c>
      <c r="R126">
        <f t="shared" si="8"/>
        <v>37.163292900537975</v>
      </c>
      <c r="S126">
        <f t="shared" si="8"/>
        <v>91.55980251360846</v>
      </c>
      <c r="T126">
        <f t="shared" si="8"/>
        <v>20.046701113296319</v>
      </c>
      <c r="U126">
        <f t="shared" si="8"/>
        <v>10.051548732973478</v>
      </c>
      <c r="V126">
        <f t="shared" si="8"/>
        <v>6.7730840396616783</v>
      </c>
      <c r="W126">
        <f t="shared" si="8"/>
        <v>12.536534897280093</v>
      </c>
      <c r="X126">
        <f t="shared" si="8"/>
        <v>0</v>
      </c>
      <c r="Y126">
        <f t="shared" si="8"/>
        <v>147.56460235224131</v>
      </c>
      <c r="Z126">
        <f t="shared" si="8"/>
        <v>7.6564554071171944</v>
      </c>
      <c r="AA126">
        <f t="shared" si="8"/>
        <v>1.151223084222158</v>
      </c>
      <c r="AB126">
        <f t="shared" si="8"/>
        <v>78.481632301949986</v>
      </c>
      <c r="AC126">
        <f t="shared" si="8"/>
        <v>21.465366602689013</v>
      </c>
      <c r="AD126">
        <f t="shared" si="8"/>
        <v>4.4403025905641389</v>
      </c>
      <c r="AE126">
        <f t="shared" si="8"/>
        <v>63.4549652635596</v>
      </c>
    </row>
    <row r="127" spans="1:31" x14ac:dyDescent="0.25">
      <c r="A127" t="s">
        <v>35</v>
      </c>
      <c r="B127">
        <f t="shared" si="8"/>
        <v>157.78702243620987</v>
      </c>
      <c r="C127">
        <f t="shared" si="8"/>
        <v>31.313716957862571</v>
      </c>
      <c r="D127">
        <f t="shared" si="8"/>
        <v>1.1129574210576445</v>
      </c>
      <c r="E127">
        <f t="shared" si="8"/>
        <v>24.382529950630353</v>
      </c>
      <c r="F127">
        <f t="shared" si="8"/>
        <v>12.51938396961409</v>
      </c>
      <c r="G127">
        <f t="shared" si="8"/>
        <v>9.55819000234772</v>
      </c>
      <c r="H127">
        <f t="shared" si="8"/>
        <v>97.537503199906951</v>
      </c>
      <c r="I127">
        <f t="shared" si="8"/>
        <v>18.645698933131619</v>
      </c>
      <c r="J127">
        <f t="shared" si="8"/>
        <v>2.1864693800234893</v>
      </c>
      <c r="K127">
        <f t="shared" si="8"/>
        <v>14.677725705005294</v>
      </c>
      <c r="L127">
        <f t="shared" si="8"/>
        <v>20.316973754658143</v>
      </c>
      <c r="M127">
        <f t="shared" si="8"/>
        <v>274.85562984690904</v>
      </c>
      <c r="N127">
        <f t="shared" si="8"/>
        <v>21.705807751842276</v>
      </c>
      <c r="O127">
        <f t="shared" si="8"/>
        <v>47.498104755566608</v>
      </c>
      <c r="P127">
        <f t="shared" si="8"/>
        <v>20.478953539353846</v>
      </c>
      <c r="Q127">
        <f t="shared" si="8"/>
        <v>210.49249741392978</v>
      </c>
      <c r="R127">
        <f t="shared" si="8"/>
        <v>2.2832069981378127</v>
      </c>
      <c r="S127">
        <f t="shared" si="8"/>
        <v>8.2161485033515511</v>
      </c>
      <c r="T127">
        <f t="shared" si="8"/>
        <v>24.774976941205274</v>
      </c>
      <c r="U127">
        <f t="shared" si="8"/>
        <v>1.7289115854625396</v>
      </c>
      <c r="V127">
        <f t="shared" si="8"/>
        <v>38.738431541002377</v>
      </c>
      <c r="W127">
        <f t="shared" si="8"/>
        <v>23.318343533744496</v>
      </c>
      <c r="X127">
        <f t="shared" si="8"/>
        <v>147.56460235224139</v>
      </c>
      <c r="Y127">
        <f t="shared" si="8"/>
        <v>0</v>
      </c>
      <c r="Z127">
        <f t="shared" si="8"/>
        <v>46.428146043783414</v>
      </c>
      <c r="AA127">
        <f t="shared" si="8"/>
        <v>18.091796051596564</v>
      </c>
      <c r="AB127">
        <f t="shared" si="8"/>
        <v>17.442753457266601</v>
      </c>
      <c r="AC127">
        <f t="shared" si="8"/>
        <v>77.987826189611809</v>
      </c>
      <c r="AD127">
        <f t="shared" si="8"/>
        <v>29.209438671968279</v>
      </c>
      <c r="AE127">
        <f t="shared" si="8"/>
        <v>109.72864501173538</v>
      </c>
    </row>
    <row r="128" spans="1:31" x14ac:dyDescent="0.25">
      <c r="A128" t="s">
        <v>39</v>
      </c>
      <c r="B128">
        <f t="shared" si="8"/>
        <v>35.639652285134332</v>
      </c>
      <c r="C128">
        <f t="shared" si="8"/>
        <v>45.70035838004555</v>
      </c>
      <c r="D128">
        <f t="shared" si="8"/>
        <v>6.13816370882593</v>
      </c>
      <c r="E128">
        <f t="shared" si="8"/>
        <v>7.5231714283626943</v>
      </c>
      <c r="F128">
        <f t="shared" si="8"/>
        <v>3.6831706444230998</v>
      </c>
      <c r="G128">
        <f t="shared" si="8"/>
        <v>51.252028960556501</v>
      </c>
      <c r="H128">
        <f t="shared" si="8"/>
        <v>8.5791519403331034</v>
      </c>
      <c r="I128">
        <f t="shared" si="8"/>
        <v>6.8671979526107929</v>
      </c>
      <c r="J128">
        <f t="shared" si="8"/>
        <v>92.697367398868352</v>
      </c>
      <c r="K128">
        <f t="shared" si="8"/>
        <v>14.354476990355955</v>
      </c>
      <c r="L128">
        <f t="shared" si="8"/>
        <v>0.43864556557158696</v>
      </c>
      <c r="M128">
        <f t="shared" si="8"/>
        <v>9.9392342723063667</v>
      </c>
      <c r="N128">
        <f t="shared" si="8"/>
        <v>5.1852093816773151E-4</v>
      </c>
      <c r="O128">
        <f t="shared" si="8"/>
        <v>32.785835439188666</v>
      </c>
      <c r="P128">
        <f t="shared" si="8"/>
        <v>89.838222479432858</v>
      </c>
      <c r="Q128">
        <f t="shared" si="8"/>
        <v>1.7842580467508398</v>
      </c>
      <c r="R128">
        <f t="shared" si="8"/>
        <v>24.140608661306079</v>
      </c>
      <c r="S128">
        <f t="shared" si="8"/>
        <v>37.128879696412106</v>
      </c>
      <c r="T128">
        <f t="shared" si="8"/>
        <v>118.96121075448256</v>
      </c>
      <c r="U128">
        <f t="shared" si="8"/>
        <v>0.22837019370761197</v>
      </c>
      <c r="V128">
        <f t="shared" si="8"/>
        <v>1.7311095441177813</v>
      </c>
      <c r="W128">
        <f t="shared" si="8"/>
        <v>63.654795953427794</v>
      </c>
      <c r="X128">
        <f t="shared" si="8"/>
        <v>7.6564554071171944</v>
      </c>
      <c r="Y128">
        <f t="shared" si="8"/>
        <v>46.428146043783315</v>
      </c>
      <c r="Z128">
        <f t="shared" si="8"/>
        <v>0</v>
      </c>
      <c r="AA128">
        <f t="shared" si="8"/>
        <v>70.199851773427724</v>
      </c>
      <c r="AB128">
        <f t="shared" si="8"/>
        <v>30.198084141545117</v>
      </c>
      <c r="AC128">
        <f t="shared" si="8"/>
        <v>78.715510921970832</v>
      </c>
      <c r="AD128">
        <f t="shared" si="8"/>
        <v>69.75692131481847</v>
      </c>
      <c r="AE128">
        <f t="shared" si="8"/>
        <v>19.983888363571015</v>
      </c>
    </row>
    <row r="129" spans="1:31" x14ac:dyDescent="0.25">
      <c r="A129" t="s">
        <v>15</v>
      </c>
      <c r="B129">
        <f t="shared" si="8"/>
        <v>88.339072058385014</v>
      </c>
      <c r="C129">
        <f t="shared" si="8"/>
        <v>14.053959728086195</v>
      </c>
      <c r="D129">
        <f t="shared" si="8"/>
        <v>99.532802129077169</v>
      </c>
      <c r="E129">
        <f t="shared" si="8"/>
        <v>7.2568821714784946</v>
      </c>
      <c r="F129">
        <f t="shared" si="8"/>
        <v>90.931986849696983</v>
      </c>
      <c r="G129">
        <f t="shared" si="8"/>
        <v>6.1020069586456076</v>
      </c>
      <c r="H129">
        <f t="shared" si="8"/>
        <v>1.4301188141584293</v>
      </c>
      <c r="I129">
        <f t="shared" si="8"/>
        <v>21.761769765890833</v>
      </c>
      <c r="J129">
        <f t="shared" si="8"/>
        <v>1.1880859857783675E-2</v>
      </c>
      <c r="K129">
        <f t="shared" si="8"/>
        <v>96.241403963714873</v>
      </c>
      <c r="L129">
        <f t="shared" si="8"/>
        <v>3.2434802840988071</v>
      </c>
      <c r="M129">
        <f t="shared" si="8"/>
        <v>8.3915306966241925</v>
      </c>
      <c r="N129">
        <f t="shared" si="8"/>
        <v>9.9274373873602695</v>
      </c>
      <c r="O129">
        <f t="shared" si="8"/>
        <v>10.892530938606974</v>
      </c>
      <c r="P129">
        <f t="shared" si="8"/>
        <v>0.12226640221364522</v>
      </c>
      <c r="Q129">
        <f t="shared" si="8"/>
        <v>17.615672963670146</v>
      </c>
      <c r="R129">
        <f t="shared" si="8"/>
        <v>2.3686532784595409</v>
      </c>
      <c r="S129">
        <f t="shared" si="8"/>
        <v>88.525643360244416</v>
      </c>
      <c r="T129">
        <f t="shared" si="8"/>
        <v>73.725771502002686</v>
      </c>
      <c r="U129">
        <f t="shared" si="8"/>
        <v>102.5018084376436</v>
      </c>
      <c r="V129">
        <f t="shared" si="8"/>
        <v>213.81309643049951</v>
      </c>
      <c r="W129">
        <f t="shared" si="8"/>
        <v>5.4186665186910998</v>
      </c>
      <c r="X129">
        <f t="shared" si="8"/>
        <v>1.1512230842221427</v>
      </c>
      <c r="Y129">
        <f t="shared" si="8"/>
        <v>18.091796051596596</v>
      </c>
      <c r="Z129">
        <f t="shared" si="8"/>
        <v>70.199851773427667</v>
      </c>
      <c r="AA129">
        <f t="shared" si="8"/>
        <v>0</v>
      </c>
      <c r="AB129">
        <f t="shared" si="8"/>
        <v>1.6739514753587945</v>
      </c>
      <c r="AC129">
        <f t="shared" si="8"/>
        <v>1.5424470991909009</v>
      </c>
      <c r="AD129">
        <f t="shared" si="8"/>
        <v>12.911587624273212</v>
      </c>
      <c r="AE129">
        <f t="shared" si="8"/>
        <v>30.71524734830556</v>
      </c>
    </row>
    <row r="130" spans="1:31" x14ac:dyDescent="0.25">
      <c r="A130" t="s">
        <v>37</v>
      </c>
      <c r="B130">
        <f t="shared" si="8"/>
        <v>56.959210616607812</v>
      </c>
      <c r="C130">
        <f t="shared" si="8"/>
        <v>22.28852442871651</v>
      </c>
      <c r="D130">
        <f t="shared" si="8"/>
        <v>19.126373362272606</v>
      </c>
      <c r="E130">
        <f t="shared" si="8"/>
        <v>67.821392483858389</v>
      </c>
      <c r="F130">
        <f t="shared" si="8"/>
        <v>21.611260818176866</v>
      </c>
      <c r="G130">
        <f t="shared" si="8"/>
        <v>135.58751166354028</v>
      </c>
      <c r="H130">
        <f t="shared" si="8"/>
        <v>22.17737256070021</v>
      </c>
      <c r="I130">
        <f t="shared" si="8"/>
        <v>1.8406555709225834</v>
      </c>
      <c r="J130">
        <f t="shared" si="8"/>
        <v>105.95227923782195</v>
      </c>
      <c r="K130">
        <f t="shared" si="8"/>
        <v>80.417710516004632</v>
      </c>
      <c r="L130">
        <f t="shared" si="8"/>
        <v>0.64460151794084741</v>
      </c>
      <c r="M130">
        <f t="shared" si="8"/>
        <v>33.169823969116436</v>
      </c>
      <c r="N130">
        <f t="shared" si="8"/>
        <v>0.49638658560035753</v>
      </c>
      <c r="O130">
        <f t="shared" si="8"/>
        <v>45.822567259047034</v>
      </c>
      <c r="P130">
        <f t="shared" si="8"/>
        <v>7.9552660663421966</v>
      </c>
      <c r="Q130">
        <f t="shared" ref="Q130:AE130" si="9">(Q29-Q97)^2</f>
        <v>69.390622744333129</v>
      </c>
      <c r="R130">
        <f t="shared" si="9"/>
        <v>3.2684058285571518</v>
      </c>
      <c r="S130">
        <f t="shared" si="9"/>
        <v>3.3959452724963106</v>
      </c>
      <c r="T130">
        <f t="shared" si="9"/>
        <v>2.065211495018052E-2</v>
      </c>
      <c r="U130">
        <f t="shared" si="9"/>
        <v>232.89738470642348</v>
      </c>
      <c r="V130">
        <f t="shared" si="9"/>
        <v>7.0333310393208119</v>
      </c>
      <c r="W130">
        <f t="shared" si="9"/>
        <v>94.248537581226145</v>
      </c>
      <c r="X130">
        <f t="shared" si="9"/>
        <v>78.481632301949986</v>
      </c>
      <c r="Y130">
        <f t="shared" si="9"/>
        <v>17.44275345726663</v>
      </c>
      <c r="Z130">
        <f t="shared" si="9"/>
        <v>30.198084141545117</v>
      </c>
      <c r="AA130">
        <f t="shared" si="9"/>
        <v>1.6739514753587852</v>
      </c>
      <c r="AB130">
        <f t="shared" si="9"/>
        <v>0</v>
      </c>
      <c r="AC130">
        <f t="shared" si="9"/>
        <v>42.927514089080113</v>
      </c>
      <c r="AD130">
        <f t="shared" si="9"/>
        <v>2.2082952052977789</v>
      </c>
      <c r="AE130">
        <f t="shared" si="9"/>
        <v>51.057927946897081</v>
      </c>
    </row>
    <row r="131" spans="1:31" x14ac:dyDescent="0.25">
      <c r="A131" t="s">
        <v>27</v>
      </c>
      <c r="B131">
        <f t="shared" ref="B131:AE133" si="10">(B30-B98)^2</f>
        <v>66.471170710193832</v>
      </c>
      <c r="C131">
        <f t="shared" si="10"/>
        <v>26.997494728496115</v>
      </c>
      <c r="D131">
        <f t="shared" si="10"/>
        <v>1.6936108816615395E-2</v>
      </c>
      <c r="E131">
        <f t="shared" si="10"/>
        <v>22.107580085332227</v>
      </c>
      <c r="F131">
        <f t="shared" si="10"/>
        <v>121.89922215277588</v>
      </c>
      <c r="G131">
        <f t="shared" si="10"/>
        <v>0.21496008208535938</v>
      </c>
      <c r="H131">
        <f t="shared" si="10"/>
        <v>19.731939005708675</v>
      </c>
      <c r="I131">
        <f t="shared" si="10"/>
        <v>11.657990830855086</v>
      </c>
      <c r="J131">
        <f t="shared" si="10"/>
        <v>6.450532044540938</v>
      </c>
      <c r="K131">
        <f t="shared" si="10"/>
        <v>217.50334727494791</v>
      </c>
      <c r="L131">
        <f t="shared" si="10"/>
        <v>56.917517772616819</v>
      </c>
      <c r="M131">
        <f t="shared" si="10"/>
        <v>130.38600626522287</v>
      </c>
      <c r="N131">
        <f t="shared" si="10"/>
        <v>318.25080860464294</v>
      </c>
      <c r="O131">
        <f t="shared" si="10"/>
        <v>39.600455112088795</v>
      </c>
      <c r="P131">
        <f t="shared" si="10"/>
        <v>0.12202978053356857</v>
      </c>
      <c r="Q131">
        <f t="shared" si="10"/>
        <v>10.789185243202954</v>
      </c>
      <c r="R131">
        <f t="shared" si="10"/>
        <v>87.454709845148813</v>
      </c>
      <c r="S131">
        <f t="shared" si="10"/>
        <v>0.88198393948167797</v>
      </c>
      <c r="T131">
        <f t="shared" si="10"/>
        <v>21.590013298729563</v>
      </c>
      <c r="U131">
        <f t="shared" si="10"/>
        <v>29.118413959363657</v>
      </c>
      <c r="V131">
        <f t="shared" si="10"/>
        <v>13.634291996621696</v>
      </c>
      <c r="W131">
        <f t="shared" si="10"/>
        <v>0.25406810633461197</v>
      </c>
      <c r="X131">
        <f t="shared" si="10"/>
        <v>21.465366602688981</v>
      </c>
      <c r="Y131">
        <f t="shared" si="10"/>
        <v>77.987826189611809</v>
      </c>
      <c r="Z131">
        <f t="shared" si="10"/>
        <v>78.715510921970775</v>
      </c>
      <c r="AA131">
        <f t="shared" si="10"/>
        <v>1.5424470991908921</v>
      </c>
      <c r="AB131">
        <f t="shared" si="10"/>
        <v>42.927514089080113</v>
      </c>
      <c r="AC131">
        <f t="shared" si="10"/>
        <v>0</v>
      </c>
      <c r="AD131">
        <f t="shared" si="10"/>
        <v>264.39272041140447</v>
      </c>
      <c r="AE131">
        <f t="shared" si="10"/>
        <v>35.687234386136033</v>
      </c>
    </row>
    <row r="132" spans="1:31" x14ac:dyDescent="0.25">
      <c r="A132" t="s">
        <v>34</v>
      </c>
      <c r="B132">
        <f t="shared" si="10"/>
        <v>0.13012961444276627</v>
      </c>
      <c r="C132">
        <f t="shared" si="10"/>
        <v>324.1874105520584</v>
      </c>
      <c r="D132">
        <f t="shared" si="10"/>
        <v>37.822131440127123</v>
      </c>
      <c r="E132">
        <f t="shared" si="10"/>
        <v>0.95230548244860336</v>
      </c>
      <c r="F132">
        <f t="shared" si="10"/>
        <v>131.05143922002571</v>
      </c>
      <c r="G132">
        <f t="shared" si="10"/>
        <v>3.9665326339439435</v>
      </c>
      <c r="H132">
        <f t="shared" si="10"/>
        <v>15.688586927654976</v>
      </c>
      <c r="I132">
        <f t="shared" si="10"/>
        <v>0.35412154248625871</v>
      </c>
      <c r="J132">
        <f t="shared" si="10"/>
        <v>5.1939042536582854E-3</v>
      </c>
      <c r="K132">
        <f t="shared" si="10"/>
        <v>6.5164227353488657</v>
      </c>
      <c r="L132">
        <f t="shared" si="10"/>
        <v>18.7043091285333</v>
      </c>
      <c r="M132">
        <f t="shared" si="10"/>
        <v>72.528567977737893</v>
      </c>
      <c r="N132">
        <f t="shared" si="10"/>
        <v>2.9863811763267143</v>
      </c>
      <c r="O132">
        <f t="shared" si="10"/>
        <v>3.4124160717226881</v>
      </c>
      <c r="P132">
        <f t="shared" si="10"/>
        <v>19.235608144144727</v>
      </c>
      <c r="Q132">
        <f t="shared" si="10"/>
        <v>8.4295830891656589</v>
      </c>
      <c r="R132">
        <f t="shared" si="10"/>
        <v>11.668747581616039</v>
      </c>
      <c r="S132">
        <f t="shared" si="10"/>
        <v>0.33872713908355212</v>
      </c>
      <c r="T132">
        <f t="shared" si="10"/>
        <v>27.452307771609682</v>
      </c>
      <c r="U132">
        <f t="shared" si="10"/>
        <v>45.092436518957534</v>
      </c>
      <c r="V132">
        <f t="shared" si="10"/>
        <v>5.9233183027739145</v>
      </c>
      <c r="W132">
        <f t="shared" si="10"/>
        <v>29.156245596195479</v>
      </c>
      <c r="X132">
        <f t="shared" si="10"/>
        <v>4.4403025905641087</v>
      </c>
      <c r="Y132">
        <f t="shared" si="10"/>
        <v>29.20943867196824</v>
      </c>
      <c r="Z132">
        <f t="shared" si="10"/>
        <v>69.75692131481847</v>
      </c>
      <c r="AA132">
        <f t="shared" si="10"/>
        <v>12.911587624273212</v>
      </c>
      <c r="AB132">
        <f t="shared" si="10"/>
        <v>2.2082952052977789</v>
      </c>
      <c r="AC132">
        <f t="shared" si="10"/>
        <v>264.39272041140458</v>
      </c>
      <c r="AD132">
        <f t="shared" si="10"/>
        <v>0</v>
      </c>
      <c r="AE132">
        <f t="shared" si="10"/>
        <v>43.828609800129833</v>
      </c>
    </row>
    <row r="133" spans="1:31" x14ac:dyDescent="0.25">
      <c r="A133" t="s">
        <v>25</v>
      </c>
      <c r="B133">
        <f t="shared" si="10"/>
        <v>14.229356158685011</v>
      </c>
      <c r="C133">
        <f t="shared" si="10"/>
        <v>37.523321442760732</v>
      </c>
      <c r="D133">
        <f t="shared" si="10"/>
        <v>0.94126785775325017</v>
      </c>
      <c r="E133">
        <f t="shared" si="10"/>
        <v>0.35292876049735522</v>
      </c>
      <c r="F133">
        <f t="shared" si="10"/>
        <v>23.205877489305372</v>
      </c>
      <c r="G133">
        <f t="shared" si="10"/>
        <v>97.486177654915508</v>
      </c>
      <c r="H133">
        <f t="shared" si="10"/>
        <v>134.37591634627844</v>
      </c>
      <c r="I133">
        <f t="shared" si="10"/>
        <v>149.16768545520065</v>
      </c>
      <c r="J133">
        <f t="shared" si="10"/>
        <v>24.525192029310272</v>
      </c>
      <c r="K133">
        <f t="shared" si="10"/>
        <v>82.627020616246639</v>
      </c>
      <c r="L133">
        <f t="shared" si="10"/>
        <v>0.62896613022075232</v>
      </c>
      <c r="M133">
        <f t="shared" si="10"/>
        <v>2.1366955764786644E-2</v>
      </c>
      <c r="N133">
        <f t="shared" si="10"/>
        <v>9.8424144772519089</v>
      </c>
      <c r="O133">
        <f t="shared" si="10"/>
        <v>24.351268786630659</v>
      </c>
      <c r="P133">
        <f t="shared" si="10"/>
        <v>306.42503940797189</v>
      </c>
      <c r="Q133">
        <f t="shared" si="10"/>
        <v>5.1974834882747109E-2</v>
      </c>
      <c r="R133">
        <f t="shared" si="10"/>
        <v>19.092237119716653</v>
      </c>
      <c r="S133">
        <f t="shared" si="10"/>
        <v>127.84887901826188</v>
      </c>
      <c r="T133">
        <f t="shared" si="10"/>
        <v>27.187397846264446</v>
      </c>
      <c r="U133">
        <f t="shared" si="10"/>
        <v>5.7189052126512037</v>
      </c>
      <c r="V133">
        <f t="shared" si="10"/>
        <v>5.9850007416096931</v>
      </c>
      <c r="W133">
        <f t="shared" si="10"/>
        <v>1.4769266802489858</v>
      </c>
      <c r="X133">
        <f t="shared" si="10"/>
        <v>63.4549652635596</v>
      </c>
      <c r="Y133">
        <f t="shared" si="10"/>
        <v>109.72864501173545</v>
      </c>
      <c r="Z133">
        <f t="shared" si="10"/>
        <v>19.983888363571015</v>
      </c>
      <c r="AA133">
        <f t="shared" si="10"/>
        <v>30.71524734830556</v>
      </c>
      <c r="AB133">
        <f t="shared" si="10"/>
        <v>51.057927946897081</v>
      </c>
      <c r="AC133">
        <f t="shared" si="10"/>
        <v>35.687234386136069</v>
      </c>
      <c r="AD133">
        <f t="shared" si="10"/>
        <v>43.828609800129883</v>
      </c>
      <c r="AE133">
        <f t="shared" si="10"/>
        <v>0</v>
      </c>
    </row>
    <row r="135" spans="1:31" x14ac:dyDescent="0.25">
      <c r="A135" t="s">
        <v>89</v>
      </c>
    </row>
    <row r="136" spans="1:31" x14ac:dyDescent="0.25">
      <c r="A136">
        <f>SUM(B103:AE133)</f>
        <v>40347.340585376522</v>
      </c>
    </row>
    <row r="138" spans="1:31" x14ac:dyDescent="0.25">
      <c r="A138" t="s">
        <v>90</v>
      </c>
    </row>
    <row r="139" spans="1:31" x14ac:dyDescent="0.25">
      <c r="A139" t="s">
        <v>106</v>
      </c>
    </row>
    <row r="140" spans="1:31" x14ac:dyDescent="0.25">
      <c r="A140" t="s">
        <v>78</v>
      </c>
      <c r="B140" t="s">
        <v>82</v>
      </c>
      <c r="C140" t="s">
        <v>104</v>
      </c>
    </row>
    <row r="141" spans="1:31" x14ac:dyDescent="0.25">
      <c r="B141" t="s">
        <v>105</v>
      </c>
      <c r="C141">
        <v>30</v>
      </c>
    </row>
    <row r="142" spans="1:31" x14ac:dyDescent="0.25">
      <c r="B142" t="s">
        <v>81</v>
      </c>
      <c r="C142" t="s">
        <v>97</v>
      </c>
    </row>
    <row r="143" spans="1:31" x14ac:dyDescent="0.25">
      <c r="B143" t="s">
        <v>83</v>
      </c>
      <c r="C143" t="s">
        <v>95</v>
      </c>
    </row>
    <row r="144" spans="1:31" x14ac:dyDescent="0.25">
      <c r="A144" t="s">
        <v>91</v>
      </c>
    </row>
    <row r="145" spans="2:3" x14ac:dyDescent="0.25">
      <c r="B145" t="s">
        <v>82</v>
      </c>
      <c r="C145" t="s">
        <v>93</v>
      </c>
    </row>
    <row r="146" spans="2:3" x14ac:dyDescent="0.25">
      <c r="B146" t="s">
        <v>81</v>
      </c>
      <c r="C146" t="s">
        <v>94</v>
      </c>
    </row>
    <row r="147" spans="2:3" x14ac:dyDescent="0.25">
      <c r="B147" t="s">
        <v>83</v>
      </c>
      <c r="C147" t="s">
        <v>96</v>
      </c>
    </row>
    <row r="148" spans="2:3" x14ac:dyDescent="0.25">
      <c r="B148" t="s">
        <v>92</v>
      </c>
      <c r="C148" t="s">
        <v>26</v>
      </c>
    </row>
    <row r="149" spans="2:3" x14ac:dyDescent="0.25">
      <c r="B149" t="s">
        <v>98</v>
      </c>
      <c r="C149" t="s">
        <v>99</v>
      </c>
    </row>
    <row r="150" spans="2:3" x14ac:dyDescent="0.25">
      <c r="B150" t="s">
        <v>100</v>
      </c>
    </row>
    <row r="151" spans="2:3" x14ac:dyDescent="0.25">
      <c r="B151" t="s">
        <v>101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instructions</vt:lpstr>
      <vt:lpstr>summary</vt:lpstr>
      <vt:lpstr>d_sched</vt:lpstr>
      <vt:lpstr>d_win_totals</vt:lpstr>
      <vt:lpstr>p_win_totals</vt:lpstr>
      <vt:lpstr>a_win_totals</vt:lpstr>
      <vt:lpstr>a_h2h_wins</vt:lpstr>
      <vt:lpstr>a_h2h_wins_pick</vt:lpstr>
      <vt:lpstr>a_h2h_apm</vt:lpstr>
      <vt:lpstr>a_win_totals_lookup</vt:lpstr>
      <vt:lpstr>a_wins_total_lookup_header</vt:lpstr>
      <vt:lpstr>table_h2h_apm</vt:lpstr>
      <vt:lpstr>a_h2h_wins_pick!table_h2h_wins</vt:lpstr>
      <vt:lpstr>table_h2h_wins</vt:lpstr>
      <vt:lpstr>table_rank_apm</vt:lpstr>
      <vt:lpstr>a_h2h_wins_pick!table_rank_wins</vt:lpstr>
      <vt:lpstr>table_rank_wins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aelhabr</dc:creator>
  <cp:lastModifiedBy>aelhabr</cp:lastModifiedBy>
  <dcterms:created xsi:type="dcterms:W3CDTF">2017-05-13T11:09:01Z</dcterms:created>
  <dcterms:modified xsi:type="dcterms:W3CDTF">2017-05-21T20:41:09Z</dcterms:modified>
</cp:coreProperties>
</file>