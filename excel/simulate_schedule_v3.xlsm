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O:\_other\projects\nba\excel_projects\simulate_schedule\"/>
    </mc:Choice>
  </mc:AlternateContent>
  <bookViews>
    <workbookView xWindow="0" yWindow="0" windowWidth="28800" windowHeight="11835" tabRatio="944" activeTab="1"/>
  </bookViews>
  <sheets>
    <sheet name="nba_sched" sheetId="15" r:id="rId1"/>
    <sheet name="nba_win_totals" sheetId="11" r:id="rId2"/>
    <sheet name="a_h2h_wins" sheetId="1" r:id="rId3"/>
  </sheets>
  <functionGroups builtInGroupCount="18"/>
  <definedNames>
    <definedName name="a_win_totals_lookup">nba_win_totals!$O$1:$AS$31</definedName>
    <definedName name="a_wins_total_lookup_header">nba_win_totals!$P$1:$AS$1</definedName>
    <definedName name="solver_adj" localSheetId="2" hidden="1">a_h2h_wins!$B$37:$B$65</definedName>
    <definedName name="solver_cvg" localSheetId="2" hidden="1">0.0001</definedName>
    <definedName name="solver_drv" localSheetId="2" hidden="1">1</definedName>
    <definedName name="solver_eng" localSheetId="2" hidden="1">1</definedName>
    <definedName name="solver_est" localSheetId="2" hidden="1">1</definedName>
    <definedName name="solver_itr" localSheetId="2" hidden="1">2147483647</definedName>
    <definedName name="solver_lhs1" localSheetId="2" hidden="1">a_h2h_wins!#REF!</definedName>
    <definedName name="solver_lhs2" localSheetId="2" hidden="1">a_h2h_wins!#REF!</definedName>
    <definedName name="solver_lin" localSheetId="2" hidden="1">2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od" localSheetId="2" hidden="1">2147483647</definedName>
    <definedName name="solver_num" localSheetId="2" hidden="1">0</definedName>
    <definedName name="solver_nwt" localSheetId="2" hidden="1">1</definedName>
    <definedName name="solver_opt" localSheetId="2" hidden="1">a_h2h_wins!$A$136</definedName>
    <definedName name="solver_pre" localSheetId="2" hidden="1">0.000001</definedName>
    <definedName name="solver_rbv" localSheetId="2" hidden="1">1</definedName>
    <definedName name="solver_rel1" localSheetId="2" hidden="1">3</definedName>
    <definedName name="solver_rel2" localSheetId="2" hidden="1">3</definedName>
    <definedName name="solver_rhs1" localSheetId="2" hidden="1">11</definedName>
    <definedName name="solver_rhs2" localSheetId="2" hidden="1">11</definedName>
    <definedName name="solver_rlx" localSheetId="2" hidden="1">2</definedName>
    <definedName name="solver_rsd" localSheetId="2" hidden="1">0</definedName>
    <definedName name="solver_scl" localSheetId="2" hidden="1">1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3</definedName>
    <definedName name="solver_val" localSheetId="2" hidden="1">0</definedName>
    <definedName name="solver_ver" localSheetId="2" hidden="1">3</definedName>
    <definedName name="table_h2h_apm">#REF!</definedName>
    <definedName name="table_h2h_wins">a_h2h_wins!$B$2:$AE$32</definedName>
    <definedName name="table_rank_apm">#REF!</definedName>
    <definedName name="table_rank_wins">a_h2h_wins!$A$36:$B$65</definedName>
  </definedName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42" i="11" l="1"/>
  <c r="E34" i="11" l="1"/>
  <c r="E33" i="11"/>
  <c r="E32" i="11"/>
  <c r="L6" i="11"/>
  <c r="L7" i="11"/>
  <c r="L8" i="11"/>
  <c r="L9" i="11"/>
  <c r="L10" i="11"/>
  <c r="L14" i="11"/>
  <c r="L15" i="11"/>
  <c r="L16" i="11"/>
  <c r="L22" i="11"/>
  <c r="L23" i="11"/>
  <c r="L24" i="11"/>
  <c r="L30" i="11"/>
  <c r="L31" i="11"/>
  <c r="L2" i="11"/>
  <c r="K3" i="11"/>
  <c r="L3" i="11" s="1"/>
  <c r="K4" i="11"/>
  <c r="L4" i="11" s="1"/>
  <c r="K5" i="11"/>
  <c r="L5" i="11" s="1"/>
  <c r="K6" i="11"/>
  <c r="K7" i="11"/>
  <c r="K8" i="11"/>
  <c r="K9" i="11"/>
  <c r="K10" i="11"/>
  <c r="K11" i="11"/>
  <c r="L11" i="11" s="1"/>
  <c r="K12" i="11"/>
  <c r="L12" i="11" s="1"/>
  <c r="K13" i="11"/>
  <c r="L13" i="11" s="1"/>
  <c r="K14" i="11"/>
  <c r="K15" i="11"/>
  <c r="K16" i="11"/>
  <c r="K17" i="11"/>
  <c r="L17" i="11" s="1"/>
  <c r="K18" i="11"/>
  <c r="L18" i="11" s="1"/>
  <c r="K19" i="11"/>
  <c r="L19" i="11" s="1"/>
  <c r="K20" i="11"/>
  <c r="L20" i="11" s="1"/>
  <c r="K21" i="11"/>
  <c r="L21" i="11" s="1"/>
  <c r="K22" i="11"/>
  <c r="K23" i="11"/>
  <c r="K24" i="11"/>
  <c r="K25" i="11"/>
  <c r="L25" i="11" s="1"/>
  <c r="K26" i="11"/>
  <c r="L26" i="11" s="1"/>
  <c r="K27" i="11"/>
  <c r="L27" i="11" s="1"/>
  <c r="K28" i="11"/>
  <c r="L28" i="11" s="1"/>
  <c r="K29" i="11"/>
  <c r="L29" i="11" s="1"/>
  <c r="K30" i="11"/>
  <c r="K31" i="11"/>
  <c r="K2" i="11"/>
  <c r="H3" i="11"/>
  <c r="H4" i="11"/>
  <c r="H5" i="11"/>
  <c r="H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F3" i="11"/>
  <c r="F4" i="11"/>
  <c r="F5" i="11"/>
  <c r="F6" i="11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2" i="11"/>
  <c r="H2" i="11"/>
  <c r="J33" i="11" l="1"/>
  <c r="J34" i="11"/>
  <c r="C3" i="11"/>
  <c r="C4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2" i="11"/>
  <c r="B2" i="11"/>
  <c r="AS42" i="11" l="1"/>
  <c r="T11" i="11" s="1"/>
  <c r="L43" i="11"/>
  <c r="AN43" i="11" s="1"/>
  <c r="AO3" i="11" s="1"/>
  <c r="L44" i="11"/>
  <c r="L45" i="11"/>
  <c r="L46" i="11"/>
  <c r="L47" i="11"/>
  <c r="L48" i="11"/>
  <c r="L49" i="11"/>
  <c r="L50" i="11"/>
  <c r="L51" i="11"/>
  <c r="Y49" i="11" s="1"/>
  <c r="L52" i="11"/>
  <c r="W52" i="11" s="1"/>
  <c r="L53" i="11"/>
  <c r="L54" i="11"/>
  <c r="T54" i="11" s="1"/>
  <c r="L55" i="11"/>
  <c r="L56" i="11"/>
  <c r="L57" i="11"/>
  <c r="L58" i="11"/>
  <c r="AN58" i="11" s="1"/>
  <c r="AO24" i="11" s="1"/>
  <c r="L59" i="11"/>
  <c r="AP59" i="11" s="1"/>
  <c r="L60" i="11"/>
  <c r="L61" i="11"/>
  <c r="L62" i="11"/>
  <c r="AS62" i="11" s="1"/>
  <c r="L63" i="11"/>
  <c r="L64" i="11"/>
  <c r="L65" i="11"/>
  <c r="L66" i="11"/>
  <c r="AM66" i="11" s="1"/>
  <c r="AC27" i="11" s="1"/>
  <c r="L67" i="11"/>
  <c r="AO55" i="11" s="1"/>
  <c r="L68" i="11"/>
  <c r="AP57" i="11" s="1"/>
  <c r="L69" i="11"/>
  <c r="AQ65" i="11" s="1"/>
  <c r="L70" i="11"/>
  <c r="AS70" i="11" s="1"/>
  <c r="L71" i="11"/>
  <c r="M71" i="11"/>
  <c r="M70" i="11"/>
  <c r="M69" i="11"/>
  <c r="M68" i="11"/>
  <c r="M67" i="11"/>
  <c r="M66" i="11"/>
  <c r="M65" i="11"/>
  <c r="M64" i="11"/>
  <c r="M63" i="11"/>
  <c r="AM63" i="11"/>
  <c r="M62" i="11"/>
  <c r="M61" i="11"/>
  <c r="M60" i="11"/>
  <c r="M59" i="11"/>
  <c r="M58" i="11"/>
  <c r="M57" i="11"/>
  <c r="M56" i="11"/>
  <c r="AD67" i="11"/>
  <c r="AR2" i="11" s="1"/>
  <c r="AK55" i="11"/>
  <c r="M55" i="11"/>
  <c r="M54" i="11"/>
  <c r="M53" i="11"/>
  <c r="M52" i="11"/>
  <c r="AP52" i="11"/>
  <c r="M51" i="11"/>
  <c r="M50" i="11"/>
  <c r="AE49" i="11"/>
  <c r="M49" i="11"/>
  <c r="AS48" i="11"/>
  <c r="T29" i="11" s="1"/>
  <c r="M48" i="11"/>
  <c r="AM48" i="11"/>
  <c r="AC29" i="11" s="1"/>
  <c r="M47" i="11"/>
  <c r="M46" i="11"/>
  <c r="M45" i="11"/>
  <c r="M44" i="11"/>
  <c r="AP44" i="11"/>
  <c r="M43" i="11"/>
  <c r="U42" i="11"/>
  <c r="U11" i="11" s="1"/>
  <c r="M42" i="11"/>
  <c r="D65" i="1"/>
  <c r="R65" i="1" s="1"/>
  <c r="D64" i="1"/>
  <c r="Q64" i="1" s="1"/>
  <c r="D63" i="1"/>
  <c r="Q63" i="1" s="1"/>
  <c r="D62" i="1"/>
  <c r="R62" i="1" s="1"/>
  <c r="D61" i="1"/>
  <c r="R61" i="1" s="1"/>
  <c r="D60" i="1"/>
  <c r="Q60" i="1" s="1"/>
  <c r="D59" i="1"/>
  <c r="Q59" i="1" s="1"/>
  <c r="D58" i="1"/>
  <c r="R58" i="1" s="1"/>
  <c r="D57" i="1"/>
  <c r="R57" i="1" s="1"/>
  <c r="D56" i="1"/>
  <c r="Q56" i="1" s="1"/>
  <c r="D55" i="1"/>
  <c r="Q55" i="1" s="1"/>
  <c r="D54" i="1"/>
  <c r="R54" i="1" s="1"/>
  <c r="D53" i="1"/>
  <c r="R53" i="1" s="1"/>
  <c r="D52" i="1"/>
  <c r="Q52" i="1" s="1"/>
  <c r="D51" i="1"/>
  <c r="Q51" i="1" s="1"/>
  <c r="D50" i="1"/>
  <c r="R50" i="1" s="1"/>
  <c r="D49" i="1"/>
  <c r="R49" i="1" s="1"/>
  <c r="D48" i="1"/>
  <c r="Q48" i="1" s="1"/>
  <c r="D47" i="1"/>
  <c r="Q47" i="1" s="1"/>
  <c r="D46" i="1"/>
  <c r="R46" i="1" s="1"/>
  <c r="D45" i="1"/>
  <c r="R45" i="1" s="1"/>
  <c r="D44" i="1"/>
  <c r="Q44" i="1" s="1"/>
  <c r="D43" i="1"/>
  <c r="Q43" i="1" s="1"/>
  <c r="D42" i="1"/>
  <c r="R42" i="1" s="1"/>
  <c r="D41" i="1"/>
  <c r="R41" i="1" s="1"/>
  <c r="D40" i="1"/>
  <c r="Q40" i="1" s="1"/>
  <c r="D39" i="1"/>
  <c r="Q39" i="1" s="1"/>
  <c r="D38" i="1"/>
  <c r="R38" i="1" s="1"/>
  <c r="D37" i="1"/>
  <c r="R37" i="1" s="1"/>
  <c r="D36" i="1"/>
  <c r="R36" i="1" s="1"/>
  <c r="K36" i="1"/>
  <c r="B36" i="1"/>
  <c r="W17" i="11" l="1"/>
  <c r="W18" i="11"/>
  <c r="AN49" i="11"/>
  <c r="R9" i="11"/>
  <c r="AM9" i="11"/>
  <c r="AI9" i="11"/>
  <c r="R10" i="11"/>
  <c r="AM10" i="11"/>
  <c r="AI20" i="11"/>
  <c r="AI10" i="11"/>
  <c r="R16" i="11"/>
  <c r="AI16" i="11"/>
  <c r="AM16" i="11"/>
  <c r="AM20" i="11"/>
  <c r="R20" i="11"/>
  <c r="AB18" i="11"/>
  <c r="AS17" i="11"/>
  <c r="AS18" i="11"/>
  <c r="AB17" i="11"/>
  <c r="AM12" i="11"/>
  <c r="AI12" i="11"/>
  <c r="R12" i="11"/>
  <c r="T13" i="11"/>
  <c r="T8" i="11"/>
  <c r="AR47" i="11"/>
  <c r="AR53" i="11"/>
  <c r="AA45" i="11"/>
  <c r="AE54" i="11"/>
  <c r="AP60" i="11"/>
  <c r="AJ49" i="11"/>
  <c r="T43" i="11"/>
  <c r="AS54" i="11"/>
  <c r="AF51" i="11"/>
  <c r="AI62" i="11"/>
  <c r="AJ54" i="11"/>
  <c r="P54" i="11"/>
  <c r="AN59" i="11"/>
  <c r="Y56" i="11"/>
  <c r="Y48" i="11"/>
  <c r="AQ55" i="11"/>
  <c r="AQ54" i="11"/>
  <c r="AF45" i="11"/>
  <c r="AQ64" i="11"/>
  <c r="AS43" i="11"/>
  <c r="T3" i="11" s="1"/>
  <c r="AQ50" i="11"/>
  <c r="Q43" i="11"/>
  <c r="Q3" i="11" s="1"/>
  <c r="W59" i="11"/>
  <c r="AB59" i="11"/>
  <c r="AG55" i="11"/>
  <c r="K58" i="1"/>
  <c r="K46" i="1"/>
  <c r="K61" i="1"/>
  <c r="K57" i="1"/>
  <c r="K53" i="1"/>
  <c r="K45" i="1"/>
  <c r="K41" i="1"/>
  <c r="K37" i="1"/>
  <c r="K54" i="1"/>
  <c r="K42" i="1"/>
  <c r="K49" i="1"/>
  <c r="K64" i="1"/>
  <c r="K60" i="1"/>
  <c r="K56" i="1"/>
  <c r="K52" i="1"/>
  <c r="K48" i="1"/>
  <c r="K44" i="1"/>
  <c r="K40" i="1"/>
  <c r="K62" i="1"/>
  <c r="K50" i="1"/>
  <c r="K65" i="1"/>
  <c r="K63" i="1"/>
  <c r="K59" i="1"/>
  <c r="K55" i="1"/>
  <c r="K51" i="1"/>
  <c r="K47" i="1"/>
  <c r="K43" i="1"/>
  <c r="K39" i="1"/>
  <c r="AJ48" i="11"/>
  <c r="AS52" i="11"/>
  <c r="AJ56" i="11"/>
  <c r="AI61" i="11"/>
  <c r="P42" i="11"/>
  <c r="Y11" i="11" s="1"/>
  <c r="AB43" i="11"/>
  <c r="AO48" i="11"/>
  <c r="P29" i="11" s="1"/>
  <c r="W49" i="11"/>
  <c r="AF49" i="11"/>
  <c r="Y51" i="11"/>
  <c r="AB54" i="11"/>
  <c r="AK54" i="11"/>
  <c r="AJ55" i="11"/>
  <c r="AR55" i="11"/>
  <c r="AM42" i="11"/>
  <c r="AC11" i="11" s="1"/>
  <c r="AC48" i="11"/>
  <c r="AB49" i="11"/>
  <c r="AM49" i="11"/>
  <c r="AQ51" i="11"/>
  <c r="AG52" i="11"/>
  <c r="AG54" i="11"/>
  <c r="AR54" i="11"/>
  <c r="AB55" i="11"/>
  <c r="W43" i="11"/>
  <c r="AG43" i="11"/>
  <c r="P45" i="11"/>
  <c r="AM45" i="11"/>
  <c r="AE52" i="11"/>
  <c r="AM52" i="11"/>
  <c r="AE55" i="11"/>
  <c r="W57" i="11"/>
  <c r="AG57" i="11"/>
  <c r="AR57" i="11"/>
  <c r="AB58" i="11"/>
  <c r="AJ58" i="11"/>
  <c r="AH61" i="11"/>
  <c r="AG71" i="11"/>
  <c r="AA42" i="11"/>
  <c r="AF42" i="11"/>
  <c r="AL11" i="11" s="1"/>
  <c r="Y43" i="11"/>
  <c r="AJ43" i="11"/>
  <c r="U45" i="11"/>
  <c r="AF48" i="11"/>
  <c r="AL29" i="11" s="1"/>
  <c r="AA49" i="11"/>
  <c r="AG49" i="11"/>
  <c r="AS49" i="11"/>
  <c r="AJ51" i="11"/>
  <c r="AF52" i="11"/>
  <c r="AN52" i="11"/>
  <c r="AF54" i="11"/>
  <c r="AM54" i="11"/>
  <c r="AC58" i="11"/>
  <c r="AF55" i="11"/>
  <c r="AM55" i="11"/>
  <c r="AR56" i="11"/>
  <c r="AB57" i="11"/>
  <c r="AI57" i="11"/>
  <c r="AS57" i="11"/>
  <c r="T9" i="11" s="1"/>
  <c r="AE58" i="11"/>
  <c r="W24" i="11" s="1"/>
  <c r="AQ58" i="11"/>
  <c r="AE59" i="11"/>
  <c r="AS59" i="11"/>
  <c r="AC57" i="11"/>
  <c r="AJ57" i="11"/>
  <c r="AF58" i="11"/>
  <c r="AL24" i="11" s="1"/>
  <c r="AR58" i="11"/>
  <c r="AF59" i="11"/>
  <c r="AH68" i="11"/>
  <c r="AE43" i="11"/>
  <c r="W3" i="11" s="1"/>
  <c r="AR43" i="11"/>
  <c r="AC51" i="11"/>
  <c r="AS51" i="11"/>
  <c r="AB52" i="11"/>
  <c r="AJ52" i="11"/>
  <c r="AE56" i="11"/>
  <c r="W30" i="11" s="1"/>
  <c r="AE57" i="11"/>
  <c r="W9" i="11" s="1"/>
  <c r="AN57" i="11"/>
  <c r="AO9" i="11" s="1"/>
  <c r="AI58" i="11"/>
  <c r="AJ59" i="11"/>
  <c r="AQ61" i="11"/>
  <c r="AL63" i="11"/>
  <c r="S42" i="11"/>
  <c r="AC42" i="11"/>
  <c r="AQ42" i="11"/>
  <c r="U44" i="11"/>
  <c r="U12" i="11" s="1"/>
  <c r="AA44" i="11"/>
  <c r="AF44" i="11"/>
  <c r="AL12" i="11" s="1"/>
  <c r="AM44" i="11"/>
  <c r="AC12" i="11" s="1"/>
  <c r="S58" i="11"/>
  <c r="S69" i="11"/>
  <c r="S59" i="11"/>
  <c r="S45" i="11"/>
  <c r="X45" i="11"/>
  <c r="AC45" i="11"/>
  <c r="AI45" i="11"/>
  <c r="AR45" i="11"/>
  <c r="P46" i="11"/>
  <c r="U46" i="11"/>
  <c r="AA46" i="11"/>
  <c r="AF46" i="11"/>
  <c r="AK46" i="11"/>
  <c r="AR46" i="11"/>
  <c r="P47" i="11"/>
  <c r="Y7" i="11" s="1"/>
  <c r="U47" i="11"/>
  <c r="U7" i="11" s="1"/>
  <c r="AA47" i="11"/>
  <c r="AF47" i="11"/>
  <c r="AL7" i="11" s="1"/>
  <c r="AK47" i="11"/>
  <c r="AQ47" i="11"/>
  <c r="U48" i="11"/>
  <c r="U29" i="11" s="1"/>
  <c r="Q49" i="11"/>
  <c r="Q50" i="11"/>
  <c r="X50" i="11"/>
  <c r="AE50" i="11"/>
  <c r="AN50" i="11"/>
  <c r="U51" i="11"/>
  <c r="Q52" i="11"/>
  <c r="Y52" i="11"/>
  <c r="Q53" i="11"/>
  <c r="AB53" i="11"/>
  <c r="AN53" i="11"/>
  <c r="AA54" i="11"/>
  <c r="T56" i="11"/>
  <c r="P60" i="11"/>
  <c r="P59" i="11"/>
  <c r="P61" i="11"/>
  <c r="P58" i="11"/>
  <c r="Y24" i="11" s="1"/>
  <c r="X42" i="11"/>
  <c r="AI42" i="11"/>
  <c r="P44" i="11"/>
  <c r="Y12" i="11" s="1"/>
  <c r="T42" i="11"/>
  <c r="Y42" i="11"/>
  <c r="AE42" i="11"/>
  <c r="W11" i="11" s="1"/>
  <c r="AJ42" i="11"/>
  <c r="AR42" i="11"/>
  <c r="P43" i="11"/>
  <c r="Y3" i="11" s="1"/>
  <c r="U43" i="11"/>
  <c r="U3" i="11" s="1"/>
  <c r="AA43" i="11"/>
  <c r="AF43" i="11"/>
  <c r="AL3" i="11" s="1"/>
  <c r="AM43" i="11"/>
  <c r="AC3" i="11" s="1"/>
  <c r="Q44" i="11"/>
  <c r="Q12" i="11" s="1"/>
  <c r="W44" i="11"/>
  <c r="AB44" i="11"/>
  <c r="AG44" i="11"/>
  <c r="AN44" i="11"/>
  <c r="AO12" i="11" s="1"/>
  <c r="T45" i="11"/>
  <c r="Y45" i="11"/>
  <c r="AE45" i="11"/>
  <c r="AJ45" i="11"/>
  <c r="AS45" i="11"/>
  <c r="Q46" i="11"/>
  <c r="W46" i="11"/>
  <c r="AB46" i="11"/>
  <c r="AG46" i="11"/>
  <c r="AM46" i="11"/>
  <c r="AS46" i="11"/>
  <c r="Q47" i="11"/>
  <c r="Q7" i="11" s="1"/>
  <c r="W47" i="11"/>
  <c r="AB47" i="11"/>
  <c r="AG47" i="11"/>
  <c r="AM47" i="11"/>
  <c r="AC7" i="11" s="1"/>
  <c r="P48" i="11"/>
  <c r="Y29" i="11" s="1"/>
  <c r="X48" i="11"/>
  <c r="AE48" i="11"/>
  <c r="W29" i="11" s="1"/>
  <c r="T49" i="11"/>
  <c r="S50" i="11"/>
  <c r="Y50" i="11"/>
  <c r="AG50" i="11"/>
  <c r="P51" i="11"/>
  <c r="X51" i="11"/>
  <c r="AE51" i="11"/>
  <c r="AM51" i="11"/>
  <c r="T52" i="11"/>
  <c r="AA52" i="11"/>
  <c r="S53" i="11"/>
  <c r="AC53" i="11"/>
  <c r="P55" i="11"/>
  <c r="AC44" i="11"/>
  <c r="AR44" i="11"/>
  <c r="T61" i="11"/>
  <c r="T55" i="11"/>
  <c r="S46" i="11"/>
  <c r="X46" i="11"/>
  <c r="AC46" i="11"/>
  <c r="AI46" i="11"/>
  <c r="AN46" i="11"/>
  <c r="U60" i="11"/>
  <c r="U61" i="11"/>
  <c r="U58" i="11"/>
  <c r="U24" i="11" s="1"/>
  <c r="U57" i="11"/>
  <c r="U9" i="11" s="1"/>
  <c r="S47" i="11"/>
  <c r="X47" i="11"/>
  <c r="AC47" i="11"/>
  <c r="AI47" i="11"/>
  <c r="AN47" i="11"/>
  <c r="AO7" i="11" s="1"/>
  <c r="AS47" i="11"/>
  <c r="T7" i="11" s="1"/>
  <c r="S48" i="11"/>
  <c r="U49" i="11"/>
  <c r="X58" i="11"/>
  <c r="X59" i="11"/>
  <c r="AS50" i="11"/>
  <c r="AM50" i="11"/>
  <c r="AF50" i="11"/>
  <c r="AA50" i="11"/>
  <c r="U50" i="11"/>
  <c r="P50" i="11"/>
  <c r="X57" i="11"/>
  <c r="T50" i="11"/>
  <c r="AB50" i="11"/>
  <c r="AI50" i="11"/>
  <c r="AR50" i="11"/>
  <c r="S51" i="11"/>
  <c r="U52" i="11"/>
  <c r="AA60" i="11"/>
  <c r="AM53" i="11"/>
  <c r="AF53" i="11"/>
  <c r="AA53" i="11"/>
  <c r="U53" i="11"/>
  <c r="P53" i="11"/>
  <c r="AS53" i="11"/>
  <c r="AJ53" i="11"/>
  <c r="AE53" i="11"/>
  <c r="Y53" i="11"/>
  <c r="T53" i="11"/>
  <c r="W53" i="11"/>
  <c r="AG53" i="11"/>
  <c r="U54" i="11"/>
  <c r="U55" i="11"/>
  <c r="S44" i="11"/>
  <c r="X44" i="11"/>
  <c r="AI44" i="11"/>
  <c r="Q42" i="11"/>
  <c r="Q11" i="11" s="1"/>
  <c r="W42" i="11"/>
  <c r="AB42" i="11"/>
  <c r="AG42" i="11"/>
  <c r="AN42" i="11"/>
  <c r="AO11" i="11" s="1"/>
  <c r="Q59" i="11"/>
  <c r="Q58" i="11"/>
  <c r="Q24" i="11" s="1"/>
  <c r="Q57" i="11"/>
  <c r="Q9" i="11" s="1"/>
  <c r="Q55" i="11"/>
  <c r="Q54" i="11"/>
  <c r="Q62" i="11"/>
  <c r="S43" i="11"/>
  <c r="X43" i="11"/>
  <c r="AC43" i="11"/>
  <c r="AI43" i="11"/>
  <c r="AQ43" i="11"/>
  <c r="T44" i="11"/>
  <c r="Y44" i="11"/>
  <c r="AE44" i="11"/>
  <c r="W12" i="11" s="1"/>
  <c r="AJ44" i="11"/>
  <c r="AS44" i="11"/>
  <c r="T12" i="11" s="1"/>
  <c r="Q45" i="11"/>
  <c r="W45" i="11"/>
  <c r="AB45" i="11"/>
  <c r="AG45" i="11"/>
  <c r="AN45" i="11"/>
  <c r="T46" i="11"/>
  <c r="Y46" i="11"/>
  <c r="AE46" i="11"/>
  <c r="AJ46" i="11"/>
  <c r="AQ46" i="11"/>
  <c r="T47" i="11"/>
  <c r="Y47" i="11"/>
  <c r="AE47" i="11"/>
  <c r="W7" i="11" s="1"/>
  <c r="AJ47" i="11"/>
  <c r="AO47" i="11"/>
  <c r="P7" i="11" s="1"/>
  <c r="AP48" i="11"/>
  <c r="V64" i="11"/>
  <c r="AQ23" i="11" s="1"/>
  <c r="AN48" i="11"/>
  <c r="AO29" i="11" s="1"/>
  <c r="AG48" i="11"/>
  <c r="AB48" i="11"/>
  <c r="W48" i="11"/>
  <c r="Q48" i="11"/>
  <c r="Q29" i="11" s="1"/>
  <c r="T48" i="11"/>
  <c r="AA48" i="11"/>
  <c r="AI48" i="11"/>
  <c r="AR48" i="11"/>
  <c r="P49" i="11"/>
  <c r="W50" i="11"/>
  <c r="AC50" i="11"/>
  <c r="AJ50" i="11"/>
  <c r="Y61" i="11"/>
  <c r="Y55" i="11"/>
  <c r="AN51" i="11"/>
  <c r="AG51" i="11"/>
  <c r="AB51" i="11"/>
  <c r="W51" i="11"/>
  <c r="Q51" i="11"/>
  <c r="Y58" i="11"/>
  <c r="Y64" i="11"/>
  <c r="Y62" i="11"/>
  <c r="Y59" i="11"/>
  <c r="T51" i="11"/>
  <c r="AA51" i="11"/>
  <c r="AI51" i="11"/>
  <c r="AR51" i="11"/>
  <c r="P52" i="11"/>
  <c r="X53" i="11"/>
  <c r="AI53" i="11"/>
  <c r="Y54" i="11"/>
  <c r="AA55" i="11"/>
  <c r="P57" i="11"/>
  <c r="Y9" i="11" s="1"/>
  <c r="W58" i="11"/>
  <c r="T60" i="11"/>
  <c r="AB60" i="11"/>
  <c r="AG60" i="11"/>
  <c r="AR60" i="11"/>
  <c r="W61" i="11"/>
  <c r="AD61" i="11"/>
  <c r="AC65" i="11"/>
  <c r="V66" i="11"/>
  <c r="AQ27" i="11" s="1"/>
  <c r="AD66" i="11"/>
  <c r="AR27" i="11" s="1"/>
  <c r="AS66" i="11"/>
  <c r="T27" i="11" s="1"/>
  <c r="Y68" i="11"/>
  <c r="AI68" i="11"/>
  <c r="W70" i="11"/>
  <c r="AG70" i="11"/>
  <c r="W71" i="11"/>
  <c r="AH71" i="11"/>
  <c r="W54" i="11"/>
  <c r="W55" i="11"/>
  <c r="P56" i="11"/>
  <c r="Y30" i="11" s="1"/>
  <c r="U56" i="11"/>
  <c r="U30" i="11" s="1"/>
  <c r="AA56" i="11"/>
  <c r="AF56" i="11"/>
  <c r="AL30" i="11" s="1"/>
  <c r="AM56" i="11"/>
  <c r="AC30" i="11" s="1"/>
  <c r="AS56" i="11"/>
  <c r="T30" i="11" s="1"/>
  <c r="AM58" i="11"/>
  <c r="AC24" i="11" s="1"/>
  <c r="T59" i="11"/>
  <c r="AA59" i="11"/>
  <c r="AG59" i="11"/>
  <c r="AQ59" i="11"/>
  <c r="W60" i="11"/>
  <c r="AC60" i="11"/>
  <c r="AI60" i="11"/>
  <c r="AS60" i="11"/>
  <c r="Q61" i="11"/>
  <c r="X61" i="11"/>
  <c r="AG61" i="11"/>
  <c r="AS61" i="11"/>
  <c r="R62" i="11"/>
  <c r="AC62" i="11"/>
  <c r="AM62" i="11"/>
  <c r="R63" i="11"/>
  <c r="AO64" i="11"/>
  <c r="P23" i="11" s="1"/>
  <c r="Q65" i="11"/>
  <c r="Q15" i="11" s="1"/>
  <c r="AI65" i="11"/>
  <c r="W66" i="11"/>
  <c r="AG66" i="11"/>
  <c r="AA68" i="11"/>
  <c r="AQ68" i="11"/>
  <c r="AD69" i="11"/>
  <c r="Q70" i="11"/>
  <c r="Y70" i="11"/>
  <c r="AI70" i="11"/>
  <c r="Y71" i="11"/>
  <c r="AS71" i="11"/>
  <c r="T6" i="11" s="1"/>
  <c r="S49" i="11"/>
  <c r="X49" i="11"/>
  <c r="AC49" i="11"/>
  <c r="AI49" i="11"/>
  <c r="AR49" i="11"/>
  <c r="S52" i="11"/>
  <c r="X52" i="11"/>
  <c r="AC52" i="11"/>
  <c r="AI52" i="11"/>
  <c r="AR52" i="11"/>
  <c r="S54" i="11"/>
  <c r="X54" i="11"/>
  <c r="AC54" i="11"/>
  <c r="AI54" i="11"/>
  <c r="AN54" i="11"/>
  <c r="S55" i="11"/>
  <c r="X55" i="11"/>
  <c r="AC55" i="11"/>
  <c r="AI55" i="11"/>
  <c r="AN55" i="11"/>
  <c r="AS55" i="11"/>
  <c r="Q56" i="11"/>
  <c r="Q30" i="11" s="1"/>
  <c r="W56" i="11"/>
  <c r="AB56" i="11"/>
  <c r="AG56" i="11"/>
  <c r="AN56" i="11"/>
  <c r="AO30" i="11" s="1"/>
  <c r="S57" i="11"/>
  <c r="AA57" i="11"/>
  <c r="AF57" i="11"/>
  <c r="AL9" i="11" s="1"/>
  <c r="AM57" i="11"/>
  <c r="AC9" i="11" s="1"/>
  <c r="T58" i="11"/>
  <c r="AA58" i="11"/>
  <c r="AG58" i="11"/>
  <c r="U59" i="11"/>
  <c r="AC59" i="11"/>
  <c r="AI59" i="11"/>
  <c r="AR59" i="11"/>
  <c r="Q60" i="11"/>
  <c r="X60" i="11"/>
  <c r="AE60" i="11"/>
  <c r="AJ60" i="11"/>
  <c r="S61" i="11"/>
  <c r="AA61" i="11"/>
  <c r="V62" i="11"/>
  <c r="AD62" i="11"/>
  <c r="S63" i="11"/>
  <c r="S65" i="11"/>
  <c r="AL65" i="11"/>
  <c r="AK15" i="11" s="1"/>
  <c r="Q66" i="11"/>
  <c r="Q27" i="11" s="1"/>
  <c r="Y66" i="11"/>
  <c r="AI66" i="11"/>
  <c r="R68" i="11"/>
  <c r="AC68" i="11"/>
  <c r="AO69" i="11"/>
  <c r="AL69" i="11"/>
  <c r="R70" i="11"/>
  <c r="AC70" i="11"/>
  <c r="AM70" i="11"/>
  <c r="Q71" i="11"/>
  <c r="Q6" i="11" s="1"/>
  <c r="AA71" i="11"/>
  <c r="S56" i="11"/>
  <c r="X56" i="11"/>
  <c r="AC56" i="11"/>
  <c r="AI56" i="11"/>
  <c r="AO56" i="11"/>
  <c r="P30" i="11" s="1"/>
  <c r="S60" i="11"/>
  <c r="Y60" i="11"/>
  <c r="AF60" i="11"/>
  <c r="AN60" i="11"/>
  <c r="AC61" i="11"/>
  <c r="W62" i="11"/>
  <c r="AG62" i="11"/>
  <c r="AA65" i="11"/>
  <c r="AS65" i="11"/>
  <c r="T15" i="11" s="1"/>
  <c r="R66" i="11"/>
  <c r="Z27" i="11" s="1"/>
  <c r="AC66" i="11"/>
  <c r="S68" i="11"/>
  <c r="V70" i="11"/>
  <c r="AD70" i="11"/>
  <c r="R71" i="11"/>
  <c r="Z6" i="11" s="1"/>
  <c r="G33" i="11"/>
  <c r="G32" i="11"/>
  <c r="G34" i="11"/>
  <c r="AR67" i="11"/>
  <c r="AN67" i="11"/>
  <c r="AO2" i="11" s="1"/>
  <c r="AJ67" i="11"/>
  <c r="AF67" i="11"/>
  <c r="AL2" i="11" s="1"/>
  <c r="AB67" i="11"/>
  <c r="X67" i="11"/>
  <c r="T67" i="11"/>
  <c r="P67" i="11"/>
  <c r="Y2" i="11" s="1"/>
  <c r="AP67" i="11"/>
  <c r="AK67" i="11"/>
  <c r="AE67" i="11"/>
  <c r="W2" i="11" s="1"/>
  <c r="Z67" i="11"/>
  <c r="U67" i="11"/>
  <c r="U2" i="11" s="1"/>
  <c r="AQ67" i="11"/>
  <c r="AI67" i="11"/>
  <c r="AC67" i="11"/>
  <c r="V67" i="11"/>
  <c r="AQ2" i="11" s="1"/>
  <c r="AO57" i="11"/>
  <c r="P9" i="11" s="1"/>
  <c r="AS67" i="11"/>
  <c r="T2" i="11" s="1"/>
  <c r="AH67" i="11"/>
  <c r="Y67" i="11"/>
  <c r="Q67" i="11"/>
  <c r="Q2" i="11" s="1"/>
  <c r="AO53" i="11"/>
  <c r="AO49" i="11"/>
  <c r="AO45" i="11"/>
  <c r="AL67" i="11"/>
  <c r="AK2" i="11" s="1"/>
  <c r="AA67" i="11"/>
  <c r="R67" i="11"/>
  <c r="Z2" i="11" s="1"/>
  <c r="AO61" i="11"/>
  <c r="AO54" i="11"/>
  <c r="AO50" i="11"/>
  <c r="AO46" i="11"/>
  <c r="AO42" i="11"/>
  <c r="P11" i="11" s="1"/>
  <c r="AM67" i="11"/>
  <c r="AC2" i="11" s="1"/>
  <c r="S67" i="11"/>
  <c r="AO71" i="11"/>
  <c r="P6" i="11" s="1"/>
  <c r="AG67" i="11"/>
  <c r="AO58" i="11"/>
  <c r="P24" i="11" s="1"/>
  <c r="AO52" i="11"/>
  <c r="AO51" i="11"/>
  <c r="AO44" i="11"/>
  <c r="P12" i="11" s="1"/>
  <c r="AO43" i="11"/>
  <c r="P3" i="11" s="1"/>
  <c r="AO67" i="11"/>
  <c r="P2" i="11" s="1"/>
  <c r="AO59" i="11"/>
  <c r="AO60" i="11"/>
  <c r="W67" i="11"/>
  <c r="M72" i="11"/>
  <c r="AR63" i="11"/>
  <c r="AN63" i="11"/>
  <c r="AJ63" i="11"/>
  <c r="AF63" i="11"/>
  <c r="AB63" i="11"/>
  <c r="X63" i="11"/>
  <c r="T63" i="11"/>
  <c r="P63" i="11"/>
  <c r="AP63" i="11"/>
  <c r="AK63" i="11"/>
  <c r="AE63" i="11"/>
  <c r="Z63" i="11"/>
  <c r="U63" i="11"/>
  <c r="AQ63" i="11"/>
  <c r="AI63" i="11"/>
  <c r="AC63" i="11"/>
  <c r="V63" i="11"/>
  <c r="AK60" i="11"/>
  <c r="AO63" i="11"/>
  <c r="AG63" i="11"/>
  <c r="W63" i="11"/>
  <c r="AK59" i="11"/>
  <c r="AK56" i="11"/>
  <c r="AK52" i="11"/>
  <c r="AK48" i="11"/>
  <c r="AK44" i="11"/>
  <c r="AS63" i="11"/>
  <c r="AH63" i="11"/>
  <c r="Y63" i="11"/>
  <c r="Q63" i="11"/>
  <c r="AK53" i="11"/>
  <c r="AK49" i="11"/>
  <c r="AK45" i="11"/>
  <c r="AA63" i="11"/>
  <c r="AR64" i="11"/>
  <c r="AN64" i="11"/>
  <c r="AO23" i="11" s="1"/>
  <c r="AJ64" i="11"/>
  <c r="AF64" i="11"/>
  <c r="AL23" i="11" s="1"/>
  <c r="AB64" i="11"/>
  <c r="X64" i="11"/>
  <c r="T64" i="11"/>
  <c r="P64" i="11"/>
  <c r="Y23" i="11" s="1"/>
  <c r="AP64" i="11"/>
  <c r="AK64" i="11"/>
  <c r="AE64" i="11"/>
  <c r="W23" i="11" s="1"/>
  <c r="Z64" i="11"/>
  <c r="U64" i="11"/>
  <c r="U23" i="11" s="1"/>
  <c r="AS64" i="11"/>
  <c r="T23" i="11" s="1"/>
  <c r="AL64" i="11"/>
  <c r="AK23" i="11" s="1"/>
  <c r="AD64" i="11"/>
  <c r="AR23" i="11" s="1"/>
  <c r="W64" i="11"/>
  <c r="Q64" i="11"/>
  <c r="Q23" i="11" s="1"/>
  <c r="AL71" i="11"/>
  <c r="AK6" i="11" s="1"/>
  <c r="AI64" i="11"/>
  <c r="AA64" i="11"/>
  <c r="R64" i="11"/>
  <c r="Z23" i="11" s="1"/>
  <c r="AL61" i="11"/>
  <c r="AL70" i="11"/>
  <c r="AM64" i="11"/>
  <c r="AC23" i="11" s="1"/>
  <c r="AC64" i="11"/>
  <c r="S64" i="11"/>
  <c r="AG64" i="11"/>
  <c r="AL66" i="11"/>
  <c r="AK27" i="11" s="1"/>
  <c r="V69" i="11"/>
  <c r="AK42" i="11"/>
  <c r="AK43" i="11"/>
  <c r="AK50" i="11"/>
  <c r="AK51" i="11"/>
  <c r="AK57" i="11"/>
  <c r="AK58" i="11"/>
  <c r="AL62" i="11"/>
  <c r="AD63" i="11"/>
  <c r="AH64" i="11"/>
  <c r="AR69" i="11"/>
  <c r="AN69" i="11"/>
  <c r="AJ69" i="11"/>
  <c r="AF69" i="11"/>
  <c r="AB69" i="11"/>
  <c r="X69" i="11"/>
  <c r="T69" i="11"/>
  <c r="P69" i="11"/>
  <c r="AP69" i="11"/>
  <c r="AK69" i="11"/>
  <c r="AE69" i="11"/>
  <c r="Z69" i="11"/>
  <c r="U69" i="11"/>
  <c r="AM69" i="11"/>
  <c r="AG69" i="11"/>
  <c r="Y69" i="11"/>
  <c r="R69" i="11"/>
  <c r="AQ60" i="11"/>
  <c r="AQ69" i="11"/>
  <c r="AH69" i="11"/>
  <c r="W69" i="11"/>
  <c r="AQ66" i="11"/>
  <c r="AQ52" i="11"/>
  <c r="AQ48" i="11"/>
  <c r="AQ44" i="11"/>
  <c r="AS69" i="11"/>
  <c r="AI69" i="11"/>
  <c r="AA69" i="11"/>
  <c r="Q69" i="11"/>
  <c r="AQ62" i="11"/>
  <c r="AQ57" i="11"/>
  <c r="AQ53" i="11"/>
  <c r="AQ49" i="11"/>
  <c r="AQ45" i="11"/>
  <c r="AC69" i="11"/>
  <c r="AQ70" i="11"/>
  <c r="AM60" i="11"/>
  <c r="W65" i="11"/>
  <c r="AH65" i="11"/>
  <c r="AR68" i="11"/>
  <c r="AN68" i="11"/>
  <c r="AJ68" i="11"/>
  <c r="AF68" i="11"/>
  <c r="AB68" i="11"/>
  <c r="X68" i="11"/>
  <c r="T68" i="11"/>
  <c r="P68" i="11"/>
  <c r="AP68" i="11"/>
  <c r="AK68" i="11"/>
  <c r="AE68" i="11"/>
  <c r="Z68" i="11"/>
  <c r="U68" i="11"/>
  <c r="AS68" i="11"/>
  <c r="AL68" i="11"/>
  <c r="AD68" i="11"/>
  <c r="W68" i="11"/>
  <c r="Q68" i="11"/>
  <c r="V68" i="11"/>
  <c r="AG68" i="11"/>
  <c r="AO68" i="11"/>
  <c r="AR71" i="11"/>
  <c r="AN71" i="11"/>
  <c r="AO6" i="11" s="1"/>
  <c r="AJ71" i="11"/>
  <c r="AF71" i="11"/>
  <c r="AL6" i="11" s="1"/>
  <c r="AB71" i="11"/>
  <c r="X71" i="11"/>
  <c r="T71" i="11"/>
  <c r="P71" i="11"/>
  <c r="Y6" i="11" s="1"/>
  <c r="AP71" i="11"/>
  <c r="AK71" i="11"/>
  <c r="AE71" i="11"/>
  <c r="W6" i="11" s="1"/>
  <c r="Z71" i="11"/>
  <c r="U71" i="11"/>
  <c r="U6" i="11" s="1"/>
  <c r="AQ71" i="11"/>
  <c r="AI71" i="11"/>
  <c r="AC71" i="11"/>
  <c r="V71" i="11"/>
  <c r="AQ6" i="11" s="1"/>
  <c r="AS58" i="11"/>
  <c r="T24" i="11" s="1"/>
  <c r="S71" i="11"/>
  <c r="AD71" i="11"/>
  <c r="AR6" i="11" s="1"/>
  <c r="AM71" i="11"/>
  <c r="AC6" i="11" s="1"/>
  <c r="AR65" i="11"/>
  <c r="AN65" i="11"/>
  <c r="AO15" i="11" s="1"/>
  <c r="AJ65" i="11"/>
  <c r="AF65" i="11"/>
  <c r="AL15" i="11" s="1"/>
  <c r="AB65" i="11"/>
  <c r="X65" i="11"/>
  <c r="T65" i="11"/>
  <c r="P65" i="11"/>
  <c r="Y15" i="11" s="1"/>
  <c r="AP65" i="11"/>
  <c r="AK65" i="11"/>
  <c r="AE65" i="11"/>
  <c r="W15" i="11" s="1"/>
  <c r="Z65" i="11"/>
  <c r="U65" i="11"/>
  <c r="U15" i="11" s="1"/>
  <c r="AM65" i="11"/>
  <c r="AC15" i="11" s="1"/>
  <c r="AG65" i="11"/>
  <c r="Y65" i="11"/>
  <c r="R65" i="11"/>
  <c r="Z15" i="11" s="1"/>
  <c r="AM61" i="11"/>
  <c r="AM59" i="11"/>
  <c r="V65" i="11"/>
  <c r="AQ15" i="11" s="1"/>
  <c r="AD65" i="11"/>
  <c r="AR15" i="11" s="1"/>
  <c r="AO65" i="11"/>
  <c r="P15" i="11" s="1"/>
  <c r="AM68" i="11"/>
  <c r="R42" i="11"/>
  <c r="Z11" i="11" s="1"/>
  <c r="V42" i="11"/>
  <c r="AQ11" i="11" s="1"/>
  <c r="Z42" i="11"/>
  <c r="AD42" i="11"/>
  <c r="AR11" i="11" s="1"/>
  <c r="AH42" i="11"/>
  <c r="AL42" i="11"/>
  <c r="AK11" i="11" s="1"/>
  <c r="AP42" i="11"/>
  <c r="R43" i="11"/>
  <c r="Z3" i="11" s="1"/>
  <c r="V43" i="11"/>
  <c r="AQ3" i="11" s="1"/>
  <c r="Z43" i="11"/>
  <c r="AD43" i="11"/>
  <c r="AR3" i="11" s="1"/>
  <c r="AH43" i="11"/>
  <c r="AL43" i="11"/>
  <c r="AK3" i="11" s="1"/>
  <c r="AP43" i="11"/>
  <c r="R44" i="11"/>
  <c r="Z12" i="11" s="1"/>
  <c r="V44" i="11"/>
  <c r="AQ12" i="11" s="1"/>
  <c r="Z44" i="11"/>
  <c r="AD44" i="11"/>
  <c r="AR12" i="11" s="1"/>
  <c r="AH44" i="11"/>
  <c r="AL44" i="11"/>
  <c r="AK12" i="11" s="1"/>
  <c r="R45" i="11"/>
  <c r="V45" i="11"/>
  <c r="Z45" i="11"/>
  <c r="AD45" i="11"/>
  <c r="AH45" i="11"/>
  <c r="AL45" i="11"/>
  <c r="AP45" i="11"/>
  <c r="R46" i="11"/>
  <c r="V46" i="11"/>
  <c r="Z46" i="11"/>
  <c r="AD46" i="11"/>
  <c r="AH46" i="11"/>
  <c r="AL46" i="11"/>
  <c r="AP46" i="11"/>
  <c r="R47" i="11"/>
  <c r="Z7" i="11" s="1"/>
  <c r="V47" i="11"/>
  <c r="AQ7" i="11" s="1"/>
  <c r="Z47" i="11"/>
  <c r="AD47" i="11"/>
  <c r="AR7" i="11" s="1"/>
  <c r="AH47" i="11"/>
  <c r="AL47" i="11"/>
  <c r="AK7" i="11" s="1"/>
  <c r="AP47" i="11"/>
  <c r="R48" i="11"/>
  <c r="Z29" i="11" s="1"/>
  <c r="V48" i="11"/>
  <c r="AQ29" i="11" s="1"/>
  <c r="Z48" i="11"/>
  <c r="AD48" i="11"/>
  <c r="AR29" i="11" s="1"/>
  <c r="AH48" i="11"/>
  <c r="AL48" i="11"/>
  <c r="AK29" i="11" s="1"/>
  <c r="R49" i="11"/>
  <c r="V49" i="11"/>
  <c r="Z49" i="11"/>
  <c r="AD49" i="11"/>
  <c r="AH49" i="11"/>
  <c r="AL49" i="11"/>
  <c r="AP49" i="11"/>
  <c r="R50" i="11"/>
  <c r="V50" i="11"/>
  <c r="Z50" i="11"/>
  <c r="AD50" i="11"/>
  <c r="AH50" i="11"/>
  <c r="AL50" i="11"/>
  <c r="AP50" i="11"/>
  <c r="R51" i="11"/>
  <c r="V51" i="11"/>
  <c r="Z51" i="11"/>
  <c r="AD51" i="11"/>
  <c r="AH51" i="11"/>
  <c r="AL51" i="11"/>
  <c r="AP51" i="11"/>
  <c r="R52" i="11"/>
  <c r="V52" i="11"/>
  <c r="Z52" i="11"/>
  <c r="AD52" i="11"/>
  <c r="AH52" i="11"/>
  <c r="AL52" i="11"/>
  <c r="R53" i="11"/>
  <c r="V53" i="11"/>
  <c r="Z53" i="11"/>
  <c r="AD53" i="11"/>
  <c r="AH53" i="11"/>
  <c r="AL53" i="11"/>
  <c r="AP53" i="11"/>
  <c r="R54" i="11"/>
  <c r="V54" i="11"/>
  <c r="Z54" i="11"/>
  <c r="AD54" i="11"/>
  <c r="AH54" i="11"/>
  <c r="AL54" i="11"/>
  <c r="AP54" i="11"/>
  <c r="R55" i="11"/>
  <c r="V55" i="11"/>
  <c r="Z55" i="11"/>
  <c r="AD55" i="11"/>
  <c r="AH55" i="11"/>
  <c r="AL55" i="11"/>
  <c r="AP55" i="11"/>
  <c r="AP56" i="11"/>
  <c r="R56" i="11"/>
  <c r="Z30" i="11" s="1"/>
  <c r="V56" i="11"/>
  <c r="AQ30" i="11" s="1"/>
  <c r="Z56" i="11"/>
  <c r="AD56" i="11"/>
  <c r="AR30" i="11" s="1"/>
  <c r="AH56" i="11"/>
  <c r="AL56" i="11"/>
  <c r="AK30" i="11" s="1"/>
  <c r="AQ56" i="11"/>
  <c r="T57" i="11"/>
  <c r="Y57" i="11"/>
  <c r="AP58" i="11"/>
  <c r="AR62" i="11"/>
  <c r="AN62" i="11"/>
  <c r="AJ62" i="11"/>
  <c r="AF62" i="11"/>
  <c r="AB62" i="11"/>
  <c r="X62" i="11"/>
  <c r="T62" i="11"/>
  <c r="P62" i="11"/>
  <c r="AP62" i="11"/>
  <c r="AK62" i="11"/>
  <c r="AE62" i="11"/>
  <c r="Z62" i="11"/>
  <c r="U62" i="11"/>
  <c r="S62" i="11"/>
  <c r="AA62" i="11"/>
  <c r="AH62" i="11"/>
  <c r="AO62" i="11"/>
  <c r="AR66" i="11"/>
  <c r="AN66" i="11"/>
  <c r="AO27" i="11" s="1"/>
  <c r="AJ66" i="11"/>
  <c r="AF66" i="11"/>
  <c r="AL27" i="11" s="1"/>
  <c r="AB66" i="11"/>
  <c r="X66" i="11"/>
  <c r="T66" i="11"/>
  <c r="P66" i="11"/>
  <c r="Y27" i="11" s="1"/>
  <c r="AP66" i="11"/>
  <c r="AK66" i="11"/>
  <c r="AE66" i="11"/>
  <c r="W27" i="11" s="1"/>
  <c r="Z66" i="11"/>
  <c r="U66" i="11"/>
  <c r="U27" i="11" s="1"/>
  <c r="S66" i="11"/>
  <c r="AA66" i="11"/>
  <c r="AH66" i="11"/>
  <c r="AO66" i="11"/>
  <c r="P27" i="11" s="1"/>
  <c r="AR70" i="11"/>
  <c r="AN70" i="11"/>
  <c r="AJ70" i="11"/>
  <c r="AF70" i="11"/>
  <c r="AB70" i="11"/>
  <c r="X70" i="11"/>
  <c r="T70" i="11"/>
  <c r="P70" i="11"/>
  <c r="AP70" i="11"/>
  <c r="AK70" i="11"/>
  <c r="AE70" i="11"/>
  <c r="Z70" i="11"/>
  <c r="U70" i="11"/>
  <c r="S70" i="11"/>
  <c r="AA70" i="11"/>
  <c r="AH70" i="11"/>
  <c r="AO70" i="11"/>
  <c r="R57" i="11"/>
  <c r="Z9" i="11" s="1"/>
  <c r="V57" i="11"/>
  <c r="AQ9" i="11" s="1"/>
  <c r="Z57" i="11"/>
  <c r="AD57" i="11"/>
  <c r="AR9" i="11" s="1"/>
  <c r="AH57" i="11"/>
  <c r="AL57" i="11"/>
  <c r="AK9" i="11" s="1"/>
  <c r="R58" i="11"/>
  <c r="Z24" i="11" s="1"/>
  <c r="V58" i="11"/>
  <c r="AQ24" i="11" s="1"/>
  <c r="Z58" i="11"/>
  <c r="AD58" i="11"/>
  <c r="AR24" i="11" s="1"/>
  <c r="AH58" i="11"/>
  <c r="AL58" i="11"/>
  <c r="AK24" i="11" s="1"/>
  <c r="R59" i="11"/>
  <c r="V59" i="11"/>
  <c r="Z59" i="11"/>
  <c r="AD59" i="11"/>
  <c r="AH59" i="11"/>
  <c r="AL59" i="11"/>
  <c r="R60" i="11"/>
  <c r="V60" i="11"/>
  <c r="Z60" i="11"/>
  <c r="AD60" i="11"/>
  <c r="AH60" i="11"/>
  <c r="AL60" i="11"/>
  <c r="AR61" i="11"/>
  <c r="AN61" i="11"/>
  <c r="AJ61" i="11"/>
  <c r="AF61" i="11"/>
  <c r="AB61" i="11"/>
  <c r="R61" i="11"/>
  <c r="V61" i="11"/>
  <c r="Z61" i="11"/>
  <c r="AE61" i="11"/>
  <c r="AK61" i="11"/>
  <c r="AP61" i="11"/>
  <c r="P64" i="1"/>
  <c r="P60" i="1"/>
  <c r="P56" i="1"/>
  <c r="P52" i="1"/>
  <c r="P48" i="1"/>
  <c r="P44" i="1"/>
  <c r="P40" i="1"/>
  <c r="Q36" i="1"/>
  <c r="Q62" i="1"/>
  <c r="Q58" i="1"/>
  <c r="Q54" i="1"/>
  <c r="Q50" i="1"/>
  <c r="Q46" i="1"/>
  <c r="Q42" i="1"/>
  <c r="Q38" i="1"/>
  <c r="R64" i="1"/>
  <c r="R60" i="1"/>
  <c r="R56" i="1"/>
  <c r="R52" i="1"/>
  <c r="R48" i="1"/>
  <c r="R44" i="1"/>
  <c r="R40" i="1"/>
  <c r="P63" i="1"/>
  <c r="P59" i="1"/>
  <c r="P55" i="1"/>
  <c r="P51" i="1"/>
  <c r="P47" i="1"/>
  <c r="P43" i="1"/>
  <c r="P39" i="1"/>
  <c r="Q65" i="1"/>
  <c r="Q61" i="1"/>
  <c r="Q57" i="1"/>
  <c r="Q53" i="1"/>
  <c r="Q49" i="1"/>
  <c r="Q45" i="1"/>
  <c r="Q41" i="1"/>
  <c r="Q37" i="1"/>
  <c r="R63" i="1"/>
  <c r="R59" i="1"/>
  <c r="R55" i="1"/>
  <c r="R51" i="1"/>
  <c r="R47" i="1"/>
  <c r="R43" i="1"/>
  <c r="R39" i="1"/>
  <c r="P36" i="1"/>
  <c r="P62" i="1"/>
  <c r="P58" i="1"/>
  <c r="P54" i="1"/>
  <c r="P50" i="1"/>
  <c r="P46" i="1"/>
  <c r="P42" i="1"/>
  <c r="P38" i="1"/>
  <c r="P65" i="1"/>
  <c r="P61" i="1"/>
  <c r="P57" i="1"/>
  <c r="P53" i="1"/>
  <c r="P49" i="1"/>
  <c r="P45" i="1"/>
  <c r="P41" i="1"/>
  <c r="P37" i="1"/>
  <c r="AJ27" i="11" l="1"/>
  <c r="AP27" i="11"/>
  <c r="S8" i="11"/>
  <c r="S13" i="11"/>
  <c r="AN8" i="11"/>
  <c r="AN13" i="11"/>
  <c r="AG8" i="11"/>
  <c r="AG13" i="11"/>
  <c r="AS9" i="11"/>
  <c r="AB9" i="11"/>
  <c r="R19" i="11"/>
  <c r="AI26" i="11"/>
  <c r="AM5" i="11"/>
  <c r="AI19" i="11"/>
  <c r="R26" i="11"/>
  <c r="AM19" i="11"/>
  <c r="R5" i="11"/>
  <c r="AM26" i="11"/>
  <c r="AI5" i="11"/>
  <c r="AR14" i="11"/>
  <c r="AR31" i="11"/>
  <c r="AQ17" i="11"/>
  <c r="AQ18" i="11"/>
  <c r="AM7" i="11"/>
  <c r="R7" i="11"/>
  <c r="AI7" i="11"/>
  <c r="AB15" i="11"/>
  <c r="AS15" i="11"/>
  <c r="Q21" i="11"/>
  <c r="Q25" i="11"/>
  <c r="Q4" i="11"/>
  <c r="AO21" i="11"/>
  <c r="AO4" i="11"/>
  <c r="AO25" i="11"/>
  <c r="P22" i="11"/>
  <c r="P28" i="11"/>
  <c r="AI2" i="11"/>
  <c r="R2" i="11"/>
  <c r="AM2" i="11"/>
  <c r="AG6" i="11"/>
  <c r="AN6" i="11"/>
  <c r="S6" i="11"/>
  <c r="Z21" i="11"/>
  <c r="Z25" i="11"/>
  <c r="Z4" i="11"/>
  <c r="AQ8" i="11"/>
  <c r="AQ13" i="11"/>
  <c r="AN9" i="11"/>
  <c r="S9" i="11"/>
  <c r="AG9" i="11"/>
  <c r="AB24" i="11"/>
  <c r="AS24" i="11"/>
  <c r="V7" i="11"/>
  <c r="AA7" i="11"/>
  <c r="Q13" i="11"/>
  <c r="Q8" i="11"/>
  <c r="AD19" i="11"/>
  <c r="AD5" i="11"/>
  <c r="AH5" i="11"/>
  <c r="X5" i="11"/>
  <c r="AH19" i="11"/>
  <c r="AH26" i="11"/>
  <c r="X26" i="11"/>
  <c r="X19" i="11"/>
  <c r="AD26" i="11"/>
  <c r="U5" i="11"/>
  <c r="U19" i="11"/>
  <c r="U26" i="11"/>
  <c r="S3" i="11"/>
  <c r="AG3" i="11"/>
  <c r="AN3" i="11"/>
  <c r="S7" i="11"/>
  <c r="AN7" i="11"/>
  <c r="AG7" i="11"/>
  <c r="AP24" i="11"/>
  <c r="AJ24" i="11"/>
  <c r="AA3" i="11"/>
  <c r="V3" i="11"/>
  <c r="X3" i="11"/>
  <c r="AD3" i="11"/>
  <c r="AH3" i="11"/>
  <c r="AL17" i="11"/>
  <c r="AL18" i="11"/>
  <c r="AA29" i="11"/>
  <c r="V29" i="11"/>
  <c r="AJ13" i="11"/>
  <c r="AP13" i="11"/>
  <c r="AJ8" i="11"/>
  <c r="AP8" i="11"/>
  <c r="AI30" i="11"/>
  <c r="R30" i="11"/>
  <c r="AM30" i="11"/>
  <c r="AK5" i="11"/>
  <c r="AK26" i="11"/>
  <c r="AK19" i="11"/>
  <c r="Z17" i="11"/>
  <c r="Z18" i="11"/>
  <c r="AR22" i="11"/>
  <c r="AR28" i="11"/>
  <c r="AC25" i="11"/>
  <c r="AC21" i="11"/>
  <c r="AC4" i="11"/>
  <c r="AD15" i="11"/>
  <c r="AH15" i="11"/>
  <c r="X15" i="11"/>
  <c r="AE4" i="11"/>
  <c r="AF4" i="11"/>
  <c r="AE21" i="11"/>
  <c r="AF25" i="11"/>
  <c r="AF21" i="11"/>
  <c r="AE25" i="11"/>
  <c r="AI4" i="11"/>
  <c r="AM4" i="11"/>
  <c r="AI21" i="11"/>
  <c r="R21" i="11"/>
  <c r="R25" i="11"/>
  <c r="AM25" i="11"/>
  <c r="R4" i="11"/>
  <c r="AI25" i="11"/>
  <c r="AM21" i="11"/>
  <c r="P31" i="11"/>
  <c r="P14" i="11"/>
  <c r="P17" i="11"/>
  <c r="P18" i="11"/>
  <c r="AJ9" i="11"/>
  <c r="AP9" i="11"/>
  <c r="Q31" i="11"/>
  <c r="Q14" i="11"/>
  <c r="AE29" i="11"/>
  <c r="AF29" i="11"/>
  <c r="AO22" i="11"/>
  <c r="AO28" i="11"/>
  <c r="AB12" i="11"/>
  <c r="AS12" i="11"/>
  <c r="AF11" i="11"/>
  <c r="AE11" i="11"/>
  <c r="AE19" i="11"/>
  <c r="AF19" i="11"/>
  <c r="AF26" i="11"/>
  <c r="AF5" i="11"/>
  <c r="AE26" i="11"/>
  <c r="AE5" i="11"/>
  <c r="AN19" i="11"/>
  <c r="AG26" i="11"/>
  <c r="AG5" i="11"/>
  <c r="AN26" i="11"/>
  <c r="S5" i="11"/>
  <c r="S26" i="11"/>
  <c r="S19" i="11"/>
  <c r="AN5" i="11"/>
  <c r="AG19" i="11"/>
  <c r="Y14" i="11"/>
  <c r="Y31" i="11"/>
  <c r="AO19" i="11"/>
  <c r="AO5" i="11"/>
  <c r="AO26" i="11"/>
  <c r="T14" i="11"/>
  <c r="T31" i="11"/>
  <c r="V9" i="11"/>
  <c r="AA9" i="11"/>
  <c r="AS3" i="11"/>
  <c r="AB3" i="11"/>
  <c r="X9" i="11"/>
  <c r="AH9" i="11"/>
  <c r="AD9" i="11"/>
  <c r="AE3" i="11"/>
  <c r="AF3" i="11"/>
  <c r="AF18" i="11"/>
  <c r="AF17" i="11"/>
  <c r="AE17" i="11"/>
  <c r="AE18" i="11"/>
  <c r="AF10" i="11"/>
  <c r="AE16" i="11"/>
  <c r="AF16" i="11"/>
  <c r="AE20" i="11"/>
  <c r="AF20" i="11"/>
  <c r="AE10" i="11"/>
  <c r="AB29" i="11"/>
  <c r="AS29" i="11"/>
  <c r="AQ31" i="11"/>
  <c r="AQ14" i="11"/>
  <c r="V6" i="11"/>
  <c r="AA6" i="11"/>
  <c r="AB7" i="11"/>
  <c r="AS7" i="11"/>
  <c r="AA10" i="11"/>
  <c r="V10" i="11"/>
  <c r="AA20" i="11"/>
  <c r="V16" i="11"/>
  <c r="V20" i="11"/>
  <c r="AA16" i="11"/>
  <c r="AB30" i="11"/>
  <c r="AS30" i="11"/>
  <c r="AA17" i="11"/>
  <c r="V17" i="11"/>
  <c r="AA18" i="11"/>
  <c r="V18" i="11"/>
  <c r="AF2" i="11"/>
  <c r="AE2" i="11"/>
  <c r="AG15" i="11"/>
  <c r="AN15" i="11"/>
  <c r="S15" i="11"/>
  <c r="AD24" i="11"/>
  <c r="X24" i="11"/>
  <c r="AH24" i="11"/>
  <c r="AP17" i="11"/>
  <c r="AJ18" i="11"/>
  <c r="AJ17" i="11"/>
  <c r="AP18" i="11"/>
  <c r="AF6" i="11"/>
  <c r="AE6" i="11"/>
  <c r="AB19" i="11"/>
  <c r="AB5" i="11"/>
  <c r="AS26" i="11"/>
  <c r="AS19" i="11"/>
  <c r="AS5" i="11"/>
  <c r="AB26" i="11"/>
  <c r="AJ7" i="11"/>
  <c r="AP7" i="11"/>
  <c r="Q5" i="11"/>
  <c r="Q19" i="11"/>
  <c r="Q26" i="11"/>
  <c r="T20" i="11"/>
  <c r="T10" i="11"/>
  <c r="T16" i="11"/>
  <c r="AO16" i="11"/>
  <c r="AO20" i="11"/>
  <c r="AO10" i="11"/>
  <c r="AI6" i="11"/>
  <c r="R6" i="11"/>
  <c r="AU6" i="11" s="1"/>
  <c r="AV6" i="11" s="1"/>
  <c r="AM6" i="11"/>
  <c r="T25" i="11"/>
  <c r="T21" i="11"/>
  <c r="T4" i="11"/>
  <c r="X23" i="11"/>
  <c r="AH23" i="11"/>
  <c r="AD23" i="11"/>
  <c r="AD2" i="11"/>
  <c r="AH2" i="11"/>
  <c r="X2" i="11"/>
  <c r="AS2" i="11"/>
  <c r="AB2" i="11"/>
  <c r="AD8" i="11"/>
  <c r="AD13" i="11"/>
  <c r="AH8" i="11"/>
  <c r="AH13" i="11"/>
  <c r="X13" i="11"/>
  <c r="X8" i="11"/>
  <c r="AN24" i="11"/>
  <c r="AG24" i="11"/>
  <c r="S24" i="11"/>
  <c r="X27" i="11"/>
  <c r="AH27" i="11"/>
  <c r="AD27" i="11"/>
  <c r="Z8" i="11"/>
  <c r="Z13" i="11"/>
  <c r="AH31" i="11"/>
  <c r="AH14" i="11"/>
  <c r="AD14" i="11"/>
  <c r="X31" i="11"/>
  <c r="X14" i="11"/>
  <c r="AD31" i="11"/>
  <c r="AE28" i="11"/>
  <c r="AF22" i="11"/>
  <c r="AE22" i="11"/>
  <c r="AF28" i="11"/>
  <c r="W5" i="11"/>
  <c r="W19" i="11"/>
  <c r="W26" i="11"/>
  <c r="U17" i="11"/>
  <c r="U18" i="11"/>
  <c r="AE7" i="11"/>
  <c r="AF7" i="11"/>
  <c r="T28" i="11"/>
  <c r="T22" i="11"/>
  <c r="AE12" i="11"/>
  <c r="AF12" i="11"/>
  <c r="AA11" i="11"/>
  <c r="V11" i="11"/>
  <c r="W16" i="11"/>
  <c r="W20" i="11"/>
  <c r="W10" i="11"/>
  <c r="AH17" i="11"/>
  <c r="X17" i="11"/>
  <c r="AD18" i="11"/>
  <c r="X18" i="11"/>
  <c r="AH18" i="11"/>
  <c r="AD17" i="11"/>
  <c r="AD6" i="11"/>
  <c r="X6" i="11"/>
  <c r="AH6" i="11"/>
  <c r="AK10" i="11"/>
  <c r="AK20" i="11"/>
  <c r="AK16" i="11"/>
  <c r="Y25" i="11"/>
  <c r="Y4" i="11"/>
  <c r="Y21" i="11"/>
  <c r="U10" i="11"/>
  <c r="U20" i="11"/>
  <c r="U16" i="11"/>
  <c r="AC8" i="11"/>
  <c r="AC13" i="11"/>
  <c r="AF14" i="11"/>
  <c r="AE14" i="11"/>
  <c r="AE31" i="11"/>
  <c r="AF31" i="11"/>
  <c r="AL26" i="11"/>
  <c r="AL5" i="11"/>
  <c r="AL19" i="11"/>
  <c r="AE9" i="11"/>
  <c r="AF9" i="11"/>
  <c r="AA27" i="11"/>
  <c r="V27" i="11"/>
  <c r="AI17" i="11"/>
  <c r="AI18" i="11"/>
  <c r="AM18" i="11"/>
  <c r="R18" i="11"/>
  <c r="AM17" i="11"/>
  <c r="R17" i="11"/>
  <c r="S31" i="11"/>
  <c r="S14" i="11"/>
  <c r="AG14" i="11"/>
  <c r="AG31" i="11"/>
  <c r="AN14" i="11"/>
  <c r="AN31" i="11"/>
  <c r="AC19" i="11"/>
  <c r="AC26" i="11"/>
  <c r="AC5" i="11"/>
  <c r="AP5" i="11"/>
  <c r="AJ26" i="11"/>
  <c r="AP19" i="11"/>
  <c r="AP26" i="11"/>
  <c r="AJ5" i="11"/>
  <c r="AJ19" i="11"/>
  <c r="Q18" i="11"/>
  <c r="Q17" i="11"/>
  <c r="AR10" i="11"/>
  <c r="AR20" i="11"/>
  <c r="AR16" i="11"/>
  <c r="AI27" i="11"/>
  <c r="R27" i="11"/>
  <c r="AM27" i="11"/>
  <c r="AQ26" i="11"/>
  <c r="AQ19" i="11"/>
  <c r="AQ5" i="11"/>
  <c r="P4" i="11"/>
  <c r="P25" i="11"/>
  <c r="P21" i="11"/>
  <c r="AP23" i="11"/>
  <c r="AJ23" i="11"/>
  <c r="AA23" i="11"/>
  <c r="V23" i="11"/>
  <c r="P10" i="11"/>
  <c r="P20" i="11"/>
  <c r="P16" i="11"/>
  <c r="AE8" i="11"/>
  <c r="AE13" i="11"/>
  <c r="AF13" i="11"/>
  <c r="AF8" i="11"/>
  <c r="AJ15" i="11"/>
  <c r="AP15" i="11"/>
  <c r="AE30" i="11"/>
  <c r="AF30" i="11"/>
  <c r="AB6" i="11"/>
  <c r="AS6" i="11"/>
  <c r="AE27" i="11"/>
  <c r="AF27" i="11"/>
  <c r="S30" i="11"/>
  <c r="AN30" i="11"/>
  <c r="AG30" i="11"/>
  <c r="AS10" i="11"/>
  <c r="AB16" i="11"/>
  <c r="AB20" i="11"/>
  <c r="AS16" i="11"/>
  <c r="AB10" i="11"/>
  <c r="AS20" i="11"/>
  <c r="AO31" i="11"/>
  <c r="AO14" i="11"/>
  <c r="Q22" i="11"/>
  <c r="Q28" i="11"/>
  <c r="Q10" i="11"/>
  <c r="Q16" i="11"/>
  <c r="Q20" i="11"/>
  <c r="AP12" i="11"/>
  <c r="AJ12" i="11"/>
  <c r="AA5" i="11"/>
  <c r="V5" i="11"/>
  <c r="AA19" i="11"/>
  <c r="V26" i="11"/>
  <c r="V19" i="11"/>
  <c r="AA26" i="11"/>
  <c r="AJ29" i="11"/>
  <c r="AP29" i="11"/>
  <c r="V28" i="11"/>
  <c r="V22" i="11"/>
  <c r="AA22" i="11"/>
  <c r="AA28" i="11"/>
  <c r="Y10" i="11"/>
  <c r="Y16" i="11"/>
  <c r="Y20" i="11"/>
  <c r="AP22" i="11"/>
  <c r="AJ22" i="11"/>
  <c r="AJ28" i="11"/>
  <c r="AP28" i="11"/>
  <c r="AN17" i="11"/>
  <c r="AN18" i="11"/>
  <c r="S18" i="11"/>
  <c r="AG18" i="11"/>
  <c r="S17" i="11"/>
  <c r="AG17" i="11"/>
  <c r="AG22" i="11"/>
  <c r="S28" i="11"/>
  <c r="S22" i="11"/>
  <c r="AG28" i="11"/>
  <c r="AN22" i="11"/>
  <c r="AN28" i="11"/>
  <c r="AO18" i="11"/>
  <c r="AO17" i="11"/>
  <c r="AI11" i="11"/>
  <c r="R11" i="11"/>
  <c r="AM11" i="11"/>
  <c r="P26" i="11"/>
  <c r="P5" i="11"/>
  <c r="P19" i="11"/>
  <c r="AF24" i="11"/>
  <c r="AE24" i="11"/>
  <c r="AD7" i="11"/>
  <c r="X7" i="11"/>
  <c r="AH7" i="11"/>
  <c r="X12" i="11"/>
  <c r="AH12" i="11"/>
  <c r="AD12" i="11"/>
  <c r="V14" i="11"/>
  <c r="V31" i="11"/>
  <c r="AA31" i="11"/>
  <c r="AA14" i="11"/>
  <c r="AL8" i="11"/>
  <c r="AL13" i="11"/>
  <c r="AR26" i="11"/>
  <c r="AR19" i="11"/>
  <c r="AR5" i="11"/>
  <c r="AQ22" i="11"/>
  <c r="AQ28" i="11"/>
  <c r="AM3" i="11"/>
  <c r="AI3" i="11"/>
  <c r="R3" i="11"/>
  <c r="AK21" i="11"/>
  <c r="AK25" i="11"/>
  <c r="AK4" i="11"/>
  <c r="AG25" i="11"/>
  <c r="S25" i="11"/>
  <c r="AG21" i="11"/>
  <c r="S4" i="11"/>
  <c r="AN25" i="11"/>
  <c r="S21" i="11"/>
  <c r="AN4" i="11"/>
  <c r="AG4" i="11"/>
  <c r="AN21" i="11"/>
  <c r="Y17" i="11"/>
  <c r="Y18" i="11"/>
  <c r="AN12" i="11"/>
  <c r="S12" i="11"/>
  <c r="AG12" i="11"/>
  <c r="AN11" i="11"/>
  <c r="AG11" i="11"/>
  <c r="S11" i="11"/>
  <c r="W13" i="11"/>
  <c r="W8" i="11"/>
  <c r="Z28" i="11"/>
  <c r="Z22" i="11"/>
  <c r="AO8" i="11"/>
  <c r="AO13" i="11"/>
  <c r="R14" i="11"/>
  <c r="AM31" i="11"/>
  <c r="AM14" i="11"/>
  <c r="AI14" i="11"/>
  <c r="R31" i="11"/>
  <c r="AI31" i="11"/>
  <c r="AC20" i="11"/>
  <c r="AC10" i="11"/>
  <c r="AC16" i="11"/>
  <c r="AQ16" i="11"/>
  <c r="AQ10" i="11"/>
  <c r="AQ20" i="11"/>
  <c r="P13" i="11"/>
  <c r="P8" i="11"/>
  <c r="AM8" i="11"/>
  <c r="AM13" i="11"/>
  <c r="R13" i="11"/>
  <c r="AI8" i="11"/>
  <c r="R8" i="11"/>
  <c r="AI13" i="11"/>
  <c r="Z5" i="11"/>
  <c r="Z19" i="11"/>
  <c r="Z26" i="11"/>
  <c r="AK14" i="11"/>
  <c r="AK31" i="11"/>
  <c r="AR18" i="11"/>
  <c r="AR17" i="11"/>
  <c r="AI28" i="11"/>
  <c r="R28" i="11"/>
  <c r="AM28" i="11"/>
  <c r="AM22" i="11"/>
  <c r="R22" i="11"/>
  <c r="AI22" i="11"/>
  <c r="AH4" i="11"/>
  <c r="AH21" i="11"/>
  <c r="AH25" i="11"/>
  <c r="X21" i="11"/>
  <c r="AD21" i="11"/>
  <c r="X25" i="11"/>
  <c r="X4" i="11"/>
  <c r="AD4" i="11"/>
  <c r="AD25" i="11"/>
  <c r="AL21" i="11"/>
  <c r="AL4" i="11"/>
  <c r="AL25" i="11"/>
  <c r="AJ2" i="11"/>
  <c r="AP2" i="11"/>
  <c r="AG2" i="11"/>
  <c r="AN2" i="11"/>
  <c r="S2" i="11"/>
  <c r="V2" i="11"/>
  <c r="AA2" i="11"/>
  <c r="AH16" i="11"/>
  <c r="AD16" i="11"/>
  <c r="AH10" i="11"/>
  <c r="AD20" i="11"/>
  <c r="AD10" i="11"/>
  <c r="X16" i="11"/>
  <c r="AH20" i="11"/>
  <c r="X20" i="11"/>
  <c r="X10" i="11"/>
  <c r="AS13" i="11"/>
  <c r="AS8" i="11"/>
  <c r="AB13" i="11"/>
  <c r="AB8" i="11"/>
  <c r="S29" i="11"/>
  <c r="AN29" i="11"/>
  <c r="AG29" i="11"/>
  <c r="AM29" i="11"/>
  <c r="AI29" i="11"/>
  <c r="R29" i="11"/>
  <c r="T19" i="11"/>
  <c r="T5" i="11"/>
  <c r="T26" i="11"/>
  <c r="AJ31" i="11"/>
  <c r="AP14" i="11"/>
  <c r="AP31" i="11"/>
  <c r="AJ14" i="11"/>
  <c r="AC14" i="11"/>
  <c r="AC31" i="11"/>
  <c r="W28" i="11"/>
  <c r="W22" i="11"/>
  <c r="AB11" i="11"/>
  <c r="AS11" i="11"/>
  <c r="U14" i="11"/>
  <c r="U31" i="11"/>
  <c r="AJ16" i="11"/>
  <c r="AJ20" i="11"/>
  <c r="AP16" i="11"/>
  <c r="AJ10" i="11"/>
  <c r="AP10" i="11"/>
  <c r="AP20" i="11"/>
  <c r="AL20" i="11"/>
  <c r="AL16" i="11"/>
  <c r="AL10" i="11"/>
  <c r="V24" i="11"/>
  <c r="AA24" i="11"/>
  <c r="AC22" i="11"/>
  <c r="AC28" i="11"/>
  <c r="AA30" i="11"/>
  <c r="V30" i="11"/>
  <c r="AL22" i="11"/>
  <c r="AL28" i="11"/>
  <c r="U8" i="11"/>
  <c r="U13" i="11"/>
  <c r="AJ6" i="11"/>
  <c r="AP6" i="11"/>
  <c r="AR4" i="11"/>
  <c r="AR25" i="11"/>
  <c r="AR21" i="11"/>
  <c r="AS27" i="11"/>
  <c r="AB27" i="11"/>
  <c r="AH22" i="11"/>
  <c r="AD28" i="11"/>
  <c r="X22" i="11"/>
  <c r="X28" i="11"/>
  <c r="AD22" i="11"/>
  <c r="AH28" i="11"/>
  <c r="Z14" i="11"/>
  <c r="Z31" i="11"/>
  <c r="AF15" i="11"/>
  <c r="AE15" i="11"/>
  <c r="AK13" i="11"/>
  <c r="AK8" i="11"/>
  <c r="AN23" i="11"/>
  <c r="AG23" i="11"/>
  <c r="S23" i="11"/>
  <c r="AH30" i="11"/>
  <c r="AD30" i="11"/>
  <c r="X30" i="11"/>
  <c r="AD29" i="11"/>
  <c r="X29" i="11"/>
  <c r="AH29" i="11"/>
  <c r="T18" i="11"/>
  <c r="T17" i="11"/>
  <c r="V13" i="11"/>
  <c r="V8" i="11"/>
  <c r="AA8" i="11"/>
  <c r="AA13" i="11"/>
  <c r="AK18" i="11"/>
  <c r="AK17" i="11"/>
  <c r="V15" i="11"/>
  <c r="AA15" i="11"/>
  <c r="U21" i="11"/>
  <c r="U25" i="11"/>
  <c r="U4" i="11"/>
  <c r="Z16" i="11"/>
  <c r="Z10" i="11"/>
  <c r="Z20" i="11"/>
  <c r="AG27" i="11"/>
  <c r="AN27" i="11"/>
  <c r="S27" i="11"/>
  <c r="Y13" i="11"/>
  <c r="Y8" i="11"/>
  <c r="AM24" i="11"/>
  <c r="AI24" i="11"/>
  <c r="R24" i="11"/>
  <c r="AK28" i="11"/>
  <c r="AK22" i="11"/>
  <c r="AI15" i="11"/>
  <c r="AM15" i="11"/>
  <c r="R15" i="11"/>
  <c r="AQ25" i="11"/>
  <c r="AQ21" i="11"/>
  <c r="AQ4" i="11"/>
  <c r="W21" i="11"/>
  <c r="W25" i="11"/>
  <c r="W4" i="11"/>
  <c r="AA4" i="11"/>
  <c r="AA25" i="11"/>
  <c r="V4" i="11"/>
  <c r="V21" i="11"/>
  <c r="V25" i="11"/>
  <c r="AA21" i="11"/>
  <c r="AE23" i="11"/>
  <c r="AF23" i="11"/>
  <c r="AI23" i="11"/>
  <c r="R23" i="11"/>
  <c r="AM23" i="11"/>
  <c r="AJ25" i="11"/>
  <c r="AJ4" i="11"/>
  <c r="AP4" i="11"/>
  <c r="AP25" i="11"/>
  <c r="AP21" i="11"/>
  <c r="AJ21" i="11"/>
  <c r="AJ30" i="11"/>
  <c r="AP30" i="11"/>
  <c r="AR8" i="11"/>
  <c r="AR13" i="11"/>
  <c r="S20" i="11"/>
  <c r="AG10" i="11"/>
  <c r="AG16" i="11"/>
  <c r="AN20" i="11"/>
  <c r="AN10" i="11"/>
  <c r="AG20" i="11"/>
  <c r="AN16" i="11"/>
  <c r="S10" i="11"/>
  <c r="S16" i="11"/>
  <c r="AB21" i="11"/>
  <c r="AS21" i="11"/>
  <c r="AS25" i="11"/>
  <c r="AB4" i="11"/>
  <c r="AS4" i="11"/>
  <c r="AB25" i="11"/>
  <c r="AB23" i="11"/>
  <c r="AS23" i="11"/>
  <c r="V12" i="11"/>
  <c r="AA12" i="11"/>
  <c r="AJ3" i="11"/>
  <c r="AP3" i="11"/>
  <c r="X11" i="11"/>
  <c r="AD11" i="11"/>
  <c r="AH11" i="11"/>
  <c r="Y5" i="11"/>
  <c r="Y26" i="11"/>
  <c r="Y19" i="11"/>
  <c r="W14" i="11"/>
  <c r="W31" i="11"/>
  <c r="AB28" i="11"/>
  <c r="AB22" i="11"/>
  <c r="AS28" i="11"/>
  <c r="AS22" i="11"/>
  <c r="AJ11" i="11"/>
  <c r="AP11" i="11"/>
  <c r="U22" i="11"/>
  <c r="U28" i="11"/>
  <c r="Y22" i="11"/>
  <c r="Y28" i="11"/>
  <c r="AC18" i="11"/>
  <c r="AC17" i="11"/>
  <c r="AB14" i="11"/>
  <c r="AS14" i="11"/>
  <c r="AS31" i="11"/>
  <c r="AB31" i="11"/>
  <c r="AL31" i="11"/>
  <c r="AL14" i="11"/>
  <c r="R67" i="1"/>
  <c r="Q67" i="1"/>
  <c r="P67" i="1"/>
  <c r="AU30" i="11" l="1"/>
  <c r="AV30" i="11" s="1"/>
  <c r="AU2" i="11"/>
  <c r="AV2" i="11" s="1"/>
  <c r="AU12" i="11"/>
  <c r="AV12" i="11" s="1"/>
  <c r="AU3" i="11"/>
  <c r="AV3" i="11" s="1"/>
  <c r="AU27" i="11"/>
  <c r="AV27" i="11" s="1"/>
  <c r="AU9" i="11"/>
  <c r="AV9" i="11" s="1"/>
  <c r="AU15" i="11"/>
  <c r="AV15" i="11" s="1"/>
  <c r="AU7" i="11"/>
  <c r="AV7" i="11" s="1"/>
  <c r="AU11" i="11"/>
  <c r="AV11" i="11" s="1"/>
  <c r="AU24" i="11"/>
  <c r="AV24" i="11" s="1"/>
  <c r="AU23" i="11"/>
  <c r="AV23" i="11" s="1"/>
  <c r="AU29" i="11"/>
  <c r="AV29" i="11" s="1"/>
  <c r="AU16" i="11"/>
  <c r="AV16" i="11" s="1"/>
  <c r="AU25" i="11"/>
  <c r="AV25" i="11" s="1"/>
  <c r="AU18" i="11"/>
  <c r="AV18" i="11" s="1"/>
  <c r="AU20" i="11"/>
  <c r="AV20" i="11" s="1"/>
  <c r="AU4" i="11"/>
  <c r="AV4" i="11" s="1"/>
  <c r="AU17" i="11"/>
  <c r="AV17" i="11" s="1"/>
  <c r="AU28" i="11"/>
  <c r="AV28" i="11" s="1"/>
  <c r="AU8" i="11"/>
  <c r="AV8" i="11" s="1"/>
  <c r="AU13" i="11"/>
  <c r="AV13" i="11" s="1"/>
  <c r="AU5" i="11"/>
  <c r="AV5" i="11" s="1"/>
  <c r="AU31" i="11"/>
  <c r="AV31" i="11" s="1"/>
  <c r="AU19" i="11"/>
  <c r="AV19" i="11" s="1"/>
  <c r="AU26" i="11"/>
  <c r="AV26" i="11" s="1"/>
  <c r="AU21" i="11"/>
  <c r="AV21" i="11" s="1"/>
  <c r="AU10" i="11"/>
  <c r="AV10" i="11" s="1"/>
  <c r="AU14" i="11"/>
  <c r="AV14" i="11" s="1"/>
  <c r="AU22" i="11"/>
  <c r="AV22" i="11" s="1"/>
  <c r="K38" i="1"/>
  <c r="AG32" i="1" l="1"/>
  <c r="AG100" i="1" s="1"/>
  <c r="AG31" i="1"/>
  <c r="AG99" i="1" s="1"/>
  <c r="AG30" i="1"/>
  <c r="AG98" i="1" s="1"/>
  <c r="AG29" i="1"/>
  <c r="AG97" i="1" s="1"/>
  <c r="AG28" i="1"/>
  <c r="AG96" i="1" s="1"/>
  <c r="AG27" i="1"/>
  <c r="AG95" i="1" s="1"/>
  <c r="AG26" i="1"/>
  <c r="AG94" i="1" s="1"/>
  <c r="AG25" i="1"/>
  <c r="AG93" i="1" s="1"/>
  <c r="AG24" i="1"/>
  <c r="AG92" i="1" s="1"/>
  <c r="AG23" i="1"/>
  <c r="AG91" i="1" s="1"/>
  <c r="AG22" i="1"/>
  <c r="AG90" i="1" s="1"/>
  <c r="AG21" i="1"/>
  <c r="AG89" i="1" s="1"/>
  <c r="AG20" i="1"/>
  <c r="AG88" i="1" s="1"/>
  <c r="AG19" i="1"/>
  <c r="AG87" i="1" s="1"/>
  <c r="AG18" i="1"/>
  <c r="AG86" i="1" s="1"/>
  <c r="AG17" i="1"/>
  <c r="AG85" i="1" s="1"/>
  <c r="AG16" i="1"/>
  <c r="AG84" i="1" s="1"/>
  <c r="AG15" i="1"/>
  <c r="AG83" i="1" s="1"/>
  <c r="AG14" i="1"/>
  <c r="AG82" i="1" s="1"/>
  <c r="AG13" i="1"/>
  <c r="AG81" i="1" s="1"/>
  <c r="AG12" i="1"/>
  <c r="AG80" i="1" s="1"/>
  <c r="AG11" i="1"/>
  <c r="AG79" i="1" s="1"/>
  <c r="AG10" i="1"/>
  <c r="AG78" i="1" s="1"/>
  <c r="AG9" i="1"/>
  <c r="AG77" i="1" s="1"/>
  <c r="AG8" i="1"/>
  <c r="AG76" i="1" s="1"/>
  <c r="AG7" i="1"/>
  <c r="AG75" i="1" s="1"/>
  <c r="AG6" i="1"/>
  <c r="AG74" i="1" s="1"/>
  <c r="AG5" i="1"/>
  <c r="AG73" i="1" s="1"/>
  <c r="AG4" i="1"/>
  <c r="AG72" i="1" s="1"/>
  <c r="AG3" i="1"/>
  <c r="AG71" i="1" s="1"/>
  <c r="AG33" i="1" l="1"/>
  <c r="AG101" i="1" s="1"/>
  <c r="C36" i="1" l="1"/>
  <c r="B71" i="1"/>
  <c r="C37" i="1" l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L60" i="1" l="1"/>
  <c r="L44" i="1"/>
  <c r="L65" i="1"/>
  <c r="L57" i="1"/>
  <c r="L49" i="1"/>
  <c r="L41" i="1"/>
  <c r="L52" i="1"/>
  <c r="L64" i="1"/>
  <c r="L56" i="1"/>
  <c r="L48" i="1"/>
  <c r="L39" i="1"/>
  <c r="L61" i="1"/>
  <c r="L36" i="1"/>
  <c r="L62" i="1"/>
  <c r="L53" i="1"/>
  <c r="L45" i="1"/>
  <c r="L38" i="1"/>
  <c r="B98" i="1"/>
  <c r="B104" i="1"/>
  <c r="B97" i="1"/>
  <c r="B93" i="1"/>
  <c r="B89" i="1"/>
  <c r="B85" i="1"/>
  <c r="B81" i="1"/>
  <c r="B77" i="1"/>
  <c r="B73" i="1"/>
  <c r="AC100" i="1"/>
  <c r="AC133" i="1" s="1"/>
  <c r="Y100" i="1"/>
  <c r="Y133" i="1" s="1"/>
  <c r="U100" i="1"/>
  <c r="U133" i="1" s="1"/>
  <c r="Q100" i="1"/>
  <c r="Q133" i="1" s="1"/>
  <c r="M100" i="1"/>
  <c r="M133" i="1" s="1"/>
  <c r="I100" i="1"/>
  <c r="I133" i="1" s="1"/>
  <c r="E100" i="1"/>
  <c r="E133" i="1" s="1"/>
  <c r="AD99" i="1"/>
  <c r="AD132" i="1" s="1"/>
  <c r="Z99" i="1"/>
  <c r="Z132" i="1" s="1"/>
  <c r="V99" i="1"/>
  <c r="V132" i="1" s="1"/>
  <c r="R99" i="1"/>
  <c r="R132" i="1" s="1"/>
  <c r="N99" i="1"/>
  <c r="N132" i="1" s="1"/>
  <c r="J99" i="1"/>
  <c r="J132" i="1" s="1"/>
  <c r="F99" i="1"/>
  <c r="F132" i="1" s="1"/>
  <c r="AE98" i="1"/>
  <c r="AE131" i="1" s="1"/>
  <c r="AA98" i="1"/>
  <c r="AA131" i="1" s="1"/>
  <c r="W98" i="1"/>
  <c r="W131" i="1" s="1"/>
  <c r="S98" i="1"/>
  <c r="S131" i="1" s="1"/>
  <c r="O98" i="1"/>
  <c r="O131" i="1" s="1"/>
  <c r="K98" i="1"/>
  <c r="K131" i="1" s="1"/>
  <c r="G98" i="1"/>
  <c r="G131" i="1" s="1"/>
  <c r="C98" i="1"/>
  <c r="C131" i="1" s="1"/>
  <c r="AB97" i="1"/>
  <c r="AB130" i="1" s="1"/>
  <c r="X97" i="1"/>
  <c r="X130" i="1" s="1"/>
  <c r="T97" i="1"/>
  <c r="T130" i="1" s="1"/>
  <c r="P97" i="1"/>
  <c r="P130" i="1" s="1"/>
  <c r="L97" i="1"/>
  <c r="L130" i="1" s="1"/>
  <c r="H97" i="1"/>
  <c r="H130" i="1" s="1"/>
  <c r="D97" i="1"/>
  <c r="D130" i="1" s="1"/>
  <c r="AC96" i="1"/>
  <c r="AC129" i="1" s="1"/>
  <c r="Y96" i="1"/>
  <c r="Y129" i="1" s="1"/>
  <c r="U96" i="1"/>
  <c r="U129" i="1" s="1"/>
  <c r="Q96" i="1"/>
  <c r="Q129" i="1" s="1"/>
  <c r="M96" i="1"/>
  <c r="M129" i="1" s="1"/>
  <c r="I96" i="1"/>
  <c r="I129" i="1" s="1"/>
  <c r="E96" i="1"/>
  <c r="E129" i="1" s="1"/>
  <c r="AD95" i="1"/>
  <c r="AD128" i="1" s="1"/>
  <c r="Z95" i="1"/>
  <c r="Z128" i="1" s="1"/>
  <c r="V95" i="1"/>
  <c r="V128" i="1" s="1"/>
  <c r="R95" i="1"/>
  <c r="R128" i="1" s="1"/>
  <c r="N95" i="1"/>
  <c r="N128" i="1" s="1"/>
  <c r="J95" i="1"/>
  <c r="J128" i="1" s="1"/>
  <c r="F95" i="1"/>
  <c r="F128" i="1" s="1"/>
  <c r="AE94" i="1"/>
  <c r="AE127" i="1" s="1"/>
  <c r="AA94" i="1"/>
  <c r="AA127" i="1" s="1"/>
  <c r="W94" i="1"/>
  <c r="W127" i="1" s="1"/>
  <c r="S94" i="1"/>
  <c r="S127" i="1" s="1"/>
  <c r="O94" i="1"/>
  <c r="O127" i="1" s="1"/>
  <c r="K94" i="1"/>
  <c r="K127" i="1" s="1"/>
  <c r="G94" i="1"/>
  <c r="G127" i="1" s="1"/>
  <c r="C94" i="1"/>
  <c r="C127" i="1" s="1"/>
  <c r="AB93" i="1"/>
  <c r="AB126" i="1" s="1"/>
  <c r="X93" i="1"/>
  <c r="X126" i="1" s="1"/>
  <c r="T93" i="1"/>
  <c r="T126" i="1" s="1"/>
  <c r="P93" i="1"/>
  <c r="P126" i="1" s="1"/>
  <c r="L93" i="1"/>
  <c r="L126" i="1" s="1"/>
  <c r="H93" i="1"/>
  <c r="H126" i="1" s="1"/>
  <c r="D93" i="1"/>
  <c r="D126" i="1" s="1"/>
  <c r="AC92" i="1"/>
  <c r="AC125" i="1" s="1"/>
  <c r="Y92" i="1"/>
  <c r="Y125" i="1" s="1"/>
  <c r="U92" i="1"/>
  <c r="U125" i="1" s="1"/>
  <c r="Q92" i="1"/>
  <c r="Q125" i="1" s="1"/>
  <c r="M92" i="1"/>
  <c r="M125" i="1" s="1"/>
  <c r="I92" i="1"/>
  <c r="I125" i="1" s="1"/>
  <c r="E92" i="1"/>
  <c r="E125" i="1" s="1"/>
  <c r="AD91" i="1"/>
  <c r="AD124" i="1" s="1"/>
  <c r="Z91" i="1"/>
  <c r="Z124" i="1" s="1"/>
  <c r="V91" i="1"/>
  <c r="V124" i="1" s="1"/>
  <c r="R91" i="1"/>
  <c r="R124" i="1" s="1"/>
  <c r="N91" i="1"/>
  <c r="N124" i="1" s="1"/>
  <c r="J91" i="1"/>
  <c r="J124" i="1" s="1"/>
  <c r="F91" i="1"/>
  <c r="F124" i="1" s="1"/>
  <c r="AE90" i="1"/>
  <c r="AE123" i="1" s="1"/>
  <c r="AA90" i="1"/>
  <c r="AA123" i="1" s="1"/>
  <c r="W90" i="1"/>
  <c r="W123" i="1" s="1"/>
  <c r="S90" i="1"/>
  <c r="S123" i="1" s="1"/>
  <c r="O90" i="1"/>
  <c r="O123" i="1" s="1"/>
  <c r="K90" i="1"/>
  <c r="K123" i="1" s="1"/>
  <c r="G90" i="1"/>
  <c r="G123" i="1" s="1"/>
  <c r="C90" i="1"/>
  <c r="C123" i="1" s="1"/>
  <c r="AB89" i="1"/>
  <c r="AB122" i="1" s="1"/>
  <c r="X89" i="1"/>
  <c r="X122" i="1" s="1"/>
  <c r="T89" i="1"/>
  <c r="T122" i="1" s="1"/>
  <c r="P89" i="1"/>
  <c r="P122" i="1" s="1"/>
  <c r="L89" i="1"/>
  <c r="L122" i="1" s="1"/>
  <c r="H89" i="1"/>
  <c r="H122" i="1" s="1"/>
  <c r="D89" i="1"/>
  <c r="D122" i="1" s="1"/>
  <c r="AC88" i="1"/>
  <c r="AC121" i="1" s="1"/>
  <c r="Y88" i="1"/>
  <c r="Y121" i="1" s="1"/>
  <c r="U88" i="1"/>
  <c r="U121" i="1" s="1"/>
  <c r="Q88" i="1"/>
  <c r="Q121" i="1" s="1"/>
  <c r="M88" i="1"/>
  <c r="M121" i="1" s="1"/>
  <c r="I88" i="1"/>
  <c r="I121" i="1" s="1"/>
  <c r="E88" i="1"/>
  <c r="E121" i="1" s="1"/>
  <c r="AD87" i="1"/>
  <c r="AD120" i="1" s="1"/>
  <c r="Z87" i="1"/>
  <c r="Z120" i="1" s="1"/>
  <c r="V87" i="1"/>
  <c r="V120" i="1" s="1"/>
  <c r="R87" i="1"/>
  <c r="R120" i="1" s="1"/>
  <c r="N87" i="1"/>
  <c r="N120" i="1" s="1"/>
  <c r="J87" i="1"/>
  <c r="J120" i="1" s="1"/>
  <c r="F87" i="1"/>
  <c r="F120" i="1" s="1"/>
  <c r="AE86" i="1"/>
  <c r="AE119" i="1" s="1"/>
  <c r="AA86" i="1"/>
  <c r="AA119" i="1" s="1"/>
  <c r="W86" i="1"/>
  <c r="W119" i="1" s="1"/>
  <c r="S86" i="1"/>
  <c r="S119" i="1" s="1"/>
  <c r="O86" i="1"/>
  <c r="O119" i="1" s="1"/>
  <c r="K86" i="1"/>
  <c r="K119" i="1" s="1"/>
  <c r="G86" i="1"/>
  <c r="G119" i="1" s="1"/>
  <c r="C86" i="1"/>
  <c r="C119" i="1" s="1"/>
  <c r="AB85" i="1"/>
  <c r="AB118" i="1" s="1"/>
  <c r="X85" i="1"/>
  <c r="X118" i="1" s="1"/>
  <c r="T85" i="1"/>
  <c r="T118" i="1" s="1"/>
  <c r="P85" i="1"/>
  <c r="P118" i="1" s="1"/>
  <c r="L85" i="1"/>
  <c r="L118" i="1" s="1"/>
  <c r="H85" i="1"/>
  <c r="H118" i="1" s="1"/>
  <c r="D85" i="1"/>
  <c r="D118" i="1" s="1"/>
  <c r="AC84" i="1"/>
  <c r="AC117" i="1" s="1"/>
  <c r="Y84" i="1"/>
  <c r="Y117" i="1" s="1"/>
  <c r="U84" i="1"/>
  <c r="U117" i="1" s="1"/>
  <c r="Q84" i="1"/>
  <c r="Q117" i="1" s="1"/>
  <c r="M84" i="1"/>
  <c r="M117" i="1" s="1"/>
  <c r="I84" i="1"/>
  <c r="I117" i="1" s="1"/>
  <c r="E84" i="1"/>
  <c r="E117" i="1" s="1"/>
  <c r="AD83" i="1"/>
  <c r="AD116" i="1" s="1"/>
  <c r="Z83" i="1"/>
  <c r="Z116" i="1" s="1"/>
  <c r="V83" i="1"/>
  <c r="V116" i="1" s="1"/>
  <c r="R83" i="1"/>
  <c r="R116" i="1" s="1"/>
  <c r="N83" i="1"/>
  <c r="N116" i="1" s="1"/>
  <c r="J83" i="1"/>
  <c r="J116" i="1" s="1"/>
  <c r="F83" i="1"/>
  <c r="F116" i="1" s="1"/>
  <c r="AE82" i="1"/>
  <c r="AE115" i="1" s="1"/>
  <c r="AA82" i="1"/>
  <c r="AA115" i="1" s="1"/>
  <c r="W82" i="1"/>
  <c r="W115" i="1" s="1"/>
  <c r="S82" i="1"/>
  <c r="S115" i="1" s="1"/>
  <c r="O82" i="1"/>
  <c r="O115" i="1" s="1"/>
  <c r="K82" i="1"/>
  <c r="K115" i="1" s="1"/>
  <c r="G82" i="1"/>
  <c r="G115" i="1" s="1"/>
  <c r="C82" i="1"/>
  <c r="C115" i="1" s="1"/>
  <c r="AB81" i="1"/>
  <c r="AB114" i="1" s="1"/>
  <c r="X81" i="1"/>
  <c r="X114" i="1" s="1"/>
  <c r="T81" i="1"/>
  <c r="T114" i="1" s="1"/>
  <c r="P81" i="1"/>
  <c r="P114" i="1" s="1"/>
  <c r="L81" i="1"/>
  <c r="L114" i="1" s="1"/>
  <c r="H81" i="1"/>
  <c r="H114" i="1" s="1"/>
  <c r="D81" i="1"/>
  <c r="D114" i="1" s="1"/>
  <c r="AC80" i="1"/>
  <c r="AC113" i="1" s="1"/>
  <c r="Y80" i="1"/>
  <c r="Y113" i="1" s="1"/>
  <c r="U80" i="1"/>
  <c r="U113" i="1" s="1"/>
  <c r="Q80" i="1"/>
  <c r="Q113" i="1" s="1"/>
  <c r="M80" i="1"/>
  <c r="M113" i="1" s="1"/>
  <c r="I80" i="1"/>
  <c r="I113" i="1" s="1"/>
  <c r="E80" i="1"/>
  <c r="E113" i="1" s="1"/>
  <c r="AD79" i="1"/>
  <c r="AD112" i="1" s="1"/>
  <c r="Z79" i="1"/>
  <c r="Z112" i="1" s="1"/>
  <c r="V79" i="1"/>
  <c r="V112" i="1" s="1"/>
  <c r="R79" i="1"/>
  <c r="R112" i="1" s="1"/>
  <c r="N79" i="1"/>
  <c r="N112" i="1" s="1"/>
  <c r="J79" i="1"/>
  <c r="J112" i="1" s="1"/>
  <c r="F79" i="1"/>
  <c r="F112" i="1" s="1"/>
  <c r="AE78" i="1"/>
  <c r="AE111" i="1" s="1"/>
  <c r="AA78" i="1"/>
  <c r="AA111" i="1" s="1"/>
  <c r="W78" i="1"/>
  <c r="W111" i="1" s="1"/>
  <c r="S78" i="1"/>
  <c r="S111" i="1" s="1"/>
  <c r="O78" i="1"/>
  <c r="O111" i="1" s="1"/>
  <c r="K78" i="1"/>
  <c r="K111" i="1" s="1"/>
  <c r="G78" i="1"/>
  <c r="G111" i="1" s="1"/>
  <c r="C78" i="1"/>
  <c r="C111" i="1" s="1"/>
  <c r="AB77" i="1"/>
  <c r="AB110" i="1" s="1"/>
  <c r="X77" i="1"/>
  <c r="X110" i="1" s="1"/>
  <c r="T77" i="1"/>
  <c r="T110" i="1" s="1"/>
  <c r="P77" i="1"/>
  <c r="P110" i="1" s="1"/>
  <c r="L77" i="1"/>
  <c r="L110" i="1" s="1"/>
  <c r="H77" i="1"/>
  <c r="H110" i="1" s="1"/>
  <c r="D77" i="1"/>
  <c r="D110" i="1" s="1"/>
  <c r="AC76" i="1"/>
  <c r="AC109" i="1" s="1"/>
  <c r="Y76" i="1"/>
  <c r="Y109" i="1" s="1"/>
  <c r="U76" i="1"/>
  <c r="U109" i="1" s="1"/>
  <c r="Q76" i="1"/>
  <c r="Q109" i="1" s="1"/>
  <c r="M76" i="1"/>
  <c r="M109" i="1" s="1"/>
  <c r="I76" i="1"/>
  <c r="I109" i="1" s="1"/>
  <c r="E76" i="1"/>
  <c r="E109" i="1" s="1"/>
  <c r="AD75" i="1"/>
  <c r="AD108" i="1" s="1"/>
  <c r="Z75" i="1"/>
  <c r="Z108" i="1" s="1"/>
  <c r="V75" i="1"/>
  <c r="V108" i="1" s="1"/>
  <c r="R75" i="1"/>
  <c r="R108" i="1" s="1"/>
  <c r="N75" i="1"/>
  <c r="N108" i="1" s="1"/>
  <c r="J75" i="1"/>
  <c r="J108" i="1" s="1"/>
  <c r="F75" i="1"/>
  <c r="F108" i="1" s="1"/>
  <c r="AE74" i="1"/>
  <c r="AE107" i="1" s="1"/>
  <c r="AA74" i="1"/>
  <c r="AA107" i="1" s="1"/>
  <c r="W74" i="1"/>
  <c r="W107" i="1" s="1"/>
  <c r="S74" i="1"/>
  <c r="S107" i="1" s="1"/>
  <c r="O74" i="1"/>
  <c r="O107" i="1" s="1"/>
  <c r="K74" i="1"/>
  <c r="K107" i="1" s="1"/>
  <c r="G74" i="1"/>
  <c r="G107" i="1" s="1"/>
  <c r="C74" i="1"/>
  <c r="C107" i="1" s="1"/>
  <c r="AB73" i="1"/>
  <c r="AB106" i="1" s="1"/>
  <c r="X73" i="1"/>
  <c r="X106" i="1" s="1"/>
  <c r="T73" i="1"/>
  <c r="T106" i="1" s="1"/>
  <c r="P73" i="1"/>
  <c r="P106" i="1" s="1"/>
  <c r="L73" i="1"/>
  <c r="L106" i="1" s="1"/>
  <c r="H73" i="1"/>
  <c r="H106" i="1" s="1"/>
  <c r="D73" i="1"/>
  <c r="D106" i="1" s="1"/>
  <c r="AC72" i="1"/>
  <c r="AC105" i="1" s="1"/>
  <c r="Y72" i="1"/>
  <c r="Y105" i="1" s="1"/>
  <c r="U72" i="1"/>
  <c r="U105" i="1" s="1"/>
  <c r="Q72" i="1"/>
  <c r="Q105" i="1" s="1"/>
  <c r="M72" i="1"/>
  <c r="M105" i="1" s="1"/>
  <c r="I72" i="1"/>
  <c r="I105" i="1" s="1"/>
  <c r="E72" i="1"/>
  <c r="E105" i="1" s="1"/>
  <c r="AD71" i="1"/>
  <c r="AD104" i="1" s="1"/>
  <c r="Z71" i="1"/>
  <c r="Z104" i="1" s="1"/>
  <c r="V71" i="1"/>
  <c r="V104" i="1" s="1"/>
  <c r="B100" i="1"/>
  <c r="B96" i="1"/>
  <c r="B92" i="1"/>
  <c r="B88" i="1"/>
  <c r="B84" i="1"/>
  <c r="B80" i="1"/>
  <c r="B76" i="1"/>
  <c r="B72" i="1"/>
  <c r="AB100" i="1"/>
  <c r="AB133" i="1" s="1"/>
  <c r="X100" i="1"/>
  <c r="X133" i="1" s="1"/>
  <c r="T100" i="1"/>
  <c r="T133" i="1" s="1"/>
  <c r="P100" i="1"/>
  <c r="P133" i="1" s="1"/>
  <c r="L100" i="1"/>
  <c r="L133" i="1" s="1"/>
  <c r="H100" i="1"/>
  <c r="H133" i="1" s="1"/>
  <c r="D100" i="1"/>
  <c r="D133" i="1" s="1"/>
  <c r="AC99" i="1"/>
  <c r="AC132" i="1" s="1"/>
  <c r="Y99" i="1"/>
  <c r="Y132" i="1" s="1"/>
  <c r="U99" i="1"/>
  <c r="U132" i="1" s="1"/>
  <c r="Q99" i="1"/>
  <c r="Q132" i="1" s="1"/>
  <c r="M99" i="1"/>
  <c r="M132" i="1" s="1"/>
  <c r="I99" i="1"/>
  <c r="I132" i="1" s="1"/>
  <c r="E99" i="1"/>
  <c r="E132" i="1" s="1"/>
  <c r="AD98" i="1"/>
  <c r="AD131" i="1" s="1"/>
  <c r="Z98" i="1"/>
  <c r="Z131" i="1" s="1"/>
  <c r="V98" i="1"/>
  <c r="V131" i="1" s="1"/>
  <c r="R98" i="1"/>
  <c r="R131" i="1" s="1"/>
  <c r="N98" i="1"/>
  <c r="N131" i="1" s="1"/>
  <c r="J98" i="1"/>
  <c r="J131" i="1" s="1"/>
  <c r="F98" i="1"/>
  <c r="F131" i="1" s="1"/>
  <c r="AE97" i="1"/>
  <c r="AE130" i="1" s="1"/>
  <c r="AA97" i="1"/>
  <c r="AA130" i="1" s="1"/>
  <c r="W97" i="1"/>
  <c r="W130" i="1" s="1"/>
  <c r="S97" i="1"/>
  <c r="S130" i="1" s="1"/>
  <c r="O97" i="1"/>
  <c r="O130" i="1" s="1"/>
  <c r="K97" i="1"/>
  <c r="K130" i="1" s="1"/>
  <c r="G97" i="1"/>
  <c r="G130" i="1" s="1"/>
  <c r="C97" i="1"/>
  <c r="C130" i="1" s="1"/>
  <c r="AB96" i="1"/>
  <c r="AB129" i="1" s="1"/>
  <c r="X96" i="1"/>
  <c r="X129" i="1" s="1"/>
  <c r="T96" i="1"/>
  <c r="T129" i="1" s="1"/>
  <c r="P96" i="1"/>
  <c r="P129" i="1" s="1"/>
  <c r="L96" i="1"/>
  <c r="L129" i="1" s="1"/>
  <c r="H96" i="1"/>
  <c r="H129" i="1" s="1"/>
  <c r="D96" i="1"/>
  <c r="D129" i="1" s="1"/>
  <c r="AC95" i="1"/>
  <c r="AC128" i="1" s="1"/>
  <c r="Y95" i="1"/>
  <c r="Y128" i="1" s="1"/>
  <c r="U95" i="1"/>
  <c r="U128" i="1" s="1"/>
  <c r="Q95" i="1"/>
  <c r="Q128" i="1" s="1"/>
  <c r="M95" i="1"/>
  <c r="M128" i="1" s="1"/>
  <c r="I95" i="1"/>
  <c r="I128" i="1" s="1"/>
  <c r="E95" i="1"/>
  <c r="E128" i="1" s="1"/>
  <c r="AD94" i="1"/>
  <c r="AD127" i="1" s="1"/>
  <c r="Z94" i="1"/>
  <c r="Z127" i="1" s="1"/>
  <c r="V94" i="1"/>
  <c r="V127" i="1" s="1"/>
  <c r="R94" i="1"/>
  <c r="R127" i="1" s="1"/>
  <c r="N94" i="1"/>
  <c r="N127" i="1" s="1"/>
  <c r="J94" i="1"/>
  <c r="J127" i="1" s="1"/>
  <c r="F94" i="1"/>
  <c r="F127" i="1" s="1"/>
  <c r="AE93" i="1"/>
  <c r="AE126" i="1" s="1"/>
  <c r="AA93" i="1"/>
  <c r="AA126" i="1" s="1"/>
  <c r="W93" i="1"/>
  <c r="W126" i="1" s="1"/>
  <c r="S93" i="1"/>
  <c r="S126" i="1" s="1"/>
  <c r="O93" i="1"/>
  <c r="O126" i="1" s="1"/>
  <c r="K93" i="1"/>
  <c r="K126" i="1" s="1"/>
  <c r="G93" i="1"/>
  <c r="G126" i="1" s="1"/>
  <c r="C93" i="1"/>
  <c r="C126" i="1" s="1"/>
  <c r="AB92" i="1"/>
  <c r="AB125" i="1" s="1"/>
  <c r="X92" i="1"/>
  <c r="X125" i="1" s="1"/>
  <c r="T92" i="1"/>
  <c r="T125" i="1" s="1"/>
  <c r="P92" i="1"/>
  <c r="P125" i="1" s="1"/>
  <c r="L92" i="1"/>
  <c r="L125" i="1" s="1"/>
  <c r="H92" i="1"/>
  <c r="H125" i="1" s="1"/>
  <c r="D92" i="1"/>
  <c r="D125" i="1" s="1"/>
  <c r="AC91" i="1"/>
  <c r="AC124" i="1" s="1"/>
  <c r="Y91" i="1"/>
  <c r="Y124" i="1" s="1"/>
  <c r="U91" i="1"/>
  <c r="U124" i="1" s="1"/>
  <c r="Q91" i="1"/>
  <c r="Q124" i="1" s="1"/>
  <c r="M91" i="1"/>
  <c r="M124" i="1" s="1"/>
  <c r="I91" i="1"/>
  <c r="I124" i="1" s="1"/>
  <c r="E91" i="1"/>
  <c r="E124" i="1" s="1"/>
  <c r="AD90" i="1"/>
  <c r="AD123" i="1" s="1"/>
  <c r="Z90" i="1"/>
  <c r="Z123" i="1" s="1"/>
  <c r="V90" i="1"/>
  <c r="V123" i="1" s="1"/>
  <c r="R90" i="1"/>
  <c r="R123" i="1" s="1"/>
  <c r="N90" i="1"/>
  <c r="N123" i="1" s="1"/>
  <c r="J90" i="1"/>
  <c r="J123" i="1" s="1"/>
  <c r="F90" i="1"/>
  <c r="F123" i="1" s="1"/>
  <c r="AE89" i="1"/>
  <c r="AE122" i="1" s="1"/>
  <c r="AA89" i="1"/>
  <c r="AA122" i="1" s="1"/>
  <c r="W89" i="1"/>
  <c r="W122" i="1" s="1"/>
  <c r="S89" i="1"/>
  <c r="S122" i="1" s="1"/>
  <c r="O89" i="1"/>
  <c r="O122" i="1" s="1"/>
  <c r="K89" i="1"/>
  <c r="K122" i="1" s="1"/>
  <c r="G89" i="1"/>
  <c r="G122" i="1" s="1"/>
  <c r="C89" i="1"/>
  <c r="C122" i="1" s="1"/>
  <c r="AB88" i="1"/>
  <c r="AB121" i="1" s="1"/>
  <c r="X88" i="1"/>
  <c r="X121" i="1" s="1"/>
  <c r="T88" i="1"/>
  <c r="T121" i="1" s="1"/>
  <c r="P88" i="1"/>
  <c r="P121" i="1" s="1"/>
  <c r="L88" i="1"/>
  <c r="L121" i="1" s="1"/>
  <c r="H88" i="1"/>
  <c r="H121" i="1" s="1"/>
  <c r="D88" i="1"/>
  <c r="D121" i="1" s="1"/>
  <c r="AC87" i="1"/>
  <c r="AC120" i="1" s="1"/>
  <c r="Y87" i="1"/>
  <c r="Y120" i="1" s="1"/>
  <c r="U87" i="1"/>
  <c r="U120" i="1" s="1"/>
  <c r="Q87" i="1"/>
  <c r="Q120" i="1" s="1"/>
  <c r="M87" i="1"/>
  <c r="M120" i="1" s="1"/>
  <c r="I87" i="1"/>
  <c r="I120" i="1" s="1"/>
  <c r="E87" i="1"/>
  <c r="E120" i="1" s="1"/>
  <c r="AD86" i="1"/>
  <c r="AD119" i="1" s="1"/>
  <c r="Z86" i="1"/>
  <c r="Z119" i="1" s="1"/>
  <c r="V86" i="1"/>
  <c r="V119" i="1" s="1"/>
  <c r="R86" i="1"/>
  <c r="R119" i="1" s="1"/>
  <c r="N86" i="1"/>
  <c r="N119" i="1" s="1"/>
  <c r="J86" i="1"/>
  <c r="J119" i="1" s="1"/>
  <c r="F86" i="1"/>
  <c r="F119" i="1" s="1"/>
  <c r="AE85" i="1"/>
  <c r="AE118" i="1" s="1"/>
  <c r="AA85" i="1"/>
  <c r="AA118" i="1" s="1"/>
  <c r="W85" i="1"/>
  <c r="W118" i="1" s="1"/>
  <c r="S85" i="1"/>
  <c r="S118" i="1" s="1"/>
  <c r="O85" i="1"/>
  <c r="O118" i="1" s="1"/>
  <c r="K85" i="1"/>
  <c r="K118" i="1" s="1"/>
  <c r="G85" i="1"/>
  <c r="G118" i="1" s="1"/>
  <c r="C85" i="1"/>
  <c r="C118" i="1" s="1"/>
  <c r="AB84" i="1"/>
  <c r="AB117" i="1" s="1"/>
  <c r="X84" i="1"/>
  <c r="X117" i="1" s="1"/>
  <c r="T84" i="1"/>
  <c r="T117" i="1" s="1"/>
  <c r="P84" i="1"/>
  <c r="P117" i="1" s="1"/>
  <c r="L84" i="1"/>
  <c r="L117" i="1" s="1"/>
  <c r="H84" i="1"/>
  <c r="H117" i="1" s="1"/>
  <c r="D84" i="1"/>
  <c r="D117" i="1" s="1"/>
  <c r="AC83" i="1"/>
  <c r="AC116" i="1" s="1"/>
  <c r="Y83" i="1"/>
  <c r="Y116" i="1" s="1"/>
  <c r="U83" i="1"/>
  <c r="U116" i="1" s="1"/>
  <c r="Q83" i="1"/>
  <c r="Q116" i="1" s="1"/>
  <c r="M83" i="1"/>
  <c r="M116" i="1" s="1"/>
  <c r="I83" i="1"/>
  <c r="I116" i="1" s="1"/>
  <c r="E83" i="1"/>
  <c r="E116" i="1" s="1"/>
  <c r="AD82" i="1"/>
  <c r="AD115" i="1" s="1"/>
  <c r="Z82" i="1"/>
  <c r="Z115" i="1" s="1"/>
  <c r="V82" i="1"/>
  <c r="V115" i="1" s="1"/>
  <c r="R82" i="1"/>
  <c r="R115" i="1" s="1"/>
  <c r="N82" i="1"/>
  <c r="N115" i="1" s="1"/>
  <c r="J82" i="1"/>
  <c r="J115" i="1" s="1"/>
  <c r="F82" i="1"/>
  <c r="F115" i="1" s="1"/>
  <c r="AE81" i="1"/>
  <c r="AE114" i="1" s="1"/>
  <c r="AA81" i="1"/>
  <c r="AA114" i="1" s="1"/>
  <c r="W81" i="1"/>
  <c r="W114" i="1" s="1"/>
  <c r="S81" i="1"/>
  <c r="S114" i="1" s="1"/>
  <c r="O81" i="1"/>
  <c r="O114" i="1" s="1"/>
  <c r="K81" i="1"/>
  <c r="K114" i="1" s="1"/>
  <c r="G81" i="1"/>
  <c r="G114" i="1" s="1"/>
  <c r="C81" i="1"/>
  <c r="C114" i="1" s="1"/>
  <c r="AB80" i="1"/>
  <c r="AB113" i="1" s="1"/>
  <c r="X80" i="1"/>
  <c r="X113" i="1" s="1"/>
  <c r="T80" i="1"/>
  <c r="T113" i="1" s="1"/>
  <c r="P80" i="1"/>
  <c r="P113" i="1" s="1"/>
  <c r="L80" i="1"/>
  <c r="L113" i="1" s="1"/>
  <c r="H80" i="1"/>
  <c r="H113" i="1" s="1"/>
  <c r="D80" i="1"/>
  <c r="D113" i="1" s="1"/>
  <c r="AC79" i="1"/>
  <c r="AC112" i="1" s="1"/>
  <c r="Y79" i="1"/>
  <c r="Y112" i="1" s="1"/>
  <c r="U79" i="1"/>
  <c r="U112" i="1" s="1"/>
  <c r="Q79" i="1"/>
  <c r="Q112" i="1" s="1"/>
  <c r="M79" i="1"/>
  <c r="M112" i="1" s="1"/>
  <c r="I79" i="1"/>
  <c r="I112" i="1" s="1"/>
  <c r="E79" i="1"/>
  <c r="E112" i="1" s="1"/>
  <c r="AD78" i="1"/>
  <c r="AD111" i="1" s="1"/>
  <c r="Z78" i="1"/>
  <c r="Z111" i="1" s="1"/>
  <c r="V78" i="1"/>
  <c r="V111" i="1" s="1"/>
  <c r="R78" i="1"/>
  <c r="R111" i="1" s="1"/>
  <c r="N78" i="1"/>
  <c r="N111" i="1" s="1"/>
  <c r="J78" i="1"/>
  <c r="J111" i="1" s="1"/>
  <c r="F78" i="1"/>
  <c r="F111" i="1" s="1"/>
  <c r="AE77" i="1"/>
  <c r="AE110" i="1" s="1"/>
  <c r="AA77" i="1"/>
  <c r="AA110" i="1" s="1"/>
  <c r="W77" i="1"/>
  <c r="W110" i="1" s="1"/>
  <c r="S77" i="1"/>
  <c r="S110" i="1" s="1"/>
  <c r="O77" i="1"/>
  <c r="O110" i="1" s="1"/>
  <c r="K77" i="1"/>
  <c r="K110" i="1" s="1"/>
  <c r="G77" i="1"/>
  <c r="G110" i="1" s="1"/>
  <c r="C77" i="1"/>
  <c r="C110" i="1" s="1"/>
  <c r="AB76" i="1"/>
  <c r="AB109" i="1" s="1"/>
  <c r="X76" i="1"/>
  <c r="X109" i="1" s="1"/>
  <c r="T76" i="1"/>
  <c r="T109" i="1" s="1"/>
  <c r="P76" i="1"/>
  <c r="P109" i="1" s="1"/>
  <c r="L76" i="1"/>
  <c r="L109" i="1" s="1"/>
  <c r="H76" i="1"/>
  <c r="H109" i="1" s="1"/>
  <c r="D76" i="1"/>
  <c r="D109" i="1" s="1"/>
  <c r="AC75" i="1"/>
  <c r="AC108" i="1" s="1"/>
  <c r="Y75" i="1"/>
  <c r="Y108" i="1" s="1"/>
  <c r="U75" i="1"/>
  <c r="U108" i="1" s="1"/>
  <c r="Q75" i="1"/>
  <c r="Q108" i="1" s="1"/>
  <c r="M75" i="1"/>
  <c r="M108" i="1" s="1"/>
  <c r="I75" i="1"/>
  <c r="I108" i="1" s="1"/>
  <c r="E75" i="1"/>
  <c r="E108" i="1" s="1"/>
  <c r="AD74" i="1"/>
  <c r="AD107" i="1" s="1"/>
  <c r="Z74" i="1"/>
  <c r="Z107" i="1" s="1"/>
  <c r="V74" i="1"/>
  <c r="V107" i="1" s="1"/>
  <c r="R74" i="1"/>
  <c r="R107" i="1" s="1"/>
  <c r="N74" i="1"/>
  <c r="N107" i="1" s="1"/>
  <c r="J74" i="1"/>
  <c r="J107" i="1" s="1"/>
  <c r="F74" i="1"/>
  <c r="F107" i="1" s="1"/>
  <c r="AE73" i="1"/>
  <c r="AE106" i="1" s="1"/>
  <c r="AA73" i="1"/>
  <c r="AA106" i="1" s="1"/>
  <c r="W73" i="1"/>
  <c r="W106" i="1" s="1"/>
  <c r="S73" i="1"/>
  <c r="S106" i="1" s="1"/>
  <c r="O73" i="1"/>
  <c r="O106" i="1" s="1"/>
  <c r="K73" i="1"/>
  <c r="K106" i="1" s="1"/>
  <c r="G73" i="1"/>
  <c r="G106" i="1" s="1"/>
  <c r="C73" i="1"/>
  <c r="C106" i="1" s="1"/>
  <c r="AB72" i="1"/>
  <c r="AB105" i="1" s="1"/>
  <c r="X72" i="1"/>
  <c r="X105" i="1" s="1"/>
  <c r="T72" i="1"/>
  <c r="T105" i="1" s="1"/>
  <c r="P72" i="1"/>
  <c r="P105" i="1" s="1"/>
  <c r="L72" i="1"/>
  <c r="L105" i="1" s="1"/>
  <c r="H72" i="1"/>
  <c r="H105" i="1" s="1"/>
  <c r="D72" i="1"/>
  <c r="D105" i="1" s="1"/>
  <c r="AC71" i="1"/>
  <c r="AC104" i="1" s="1"/>
  <c r="Y71" i="1"/>
  <c r="Y104" i="1" s="1"/>
  <c r="U71" i="1"/>
  <c r="U104" i="1" s="1"/>
  <c r="Q71" i="1"/>
  <c r="Q104" i="1" s="1"/>
  <c r="M71" i="1"/>
  <c r="M104" i="1" s="1"/>
  <c r="B95" i="1"/>
  <c r="B91" i="1"/>
  <c r="B87" i="1"/>
  <c r="B83" i="1"/>
  <c r="B79" i="1"/>
  <c r="B75" i="1"/>
  <c r="AE100" i="1"/>
  <c r="AE133" i="1" s="1"/>
  <c r="AA100" i="1"/>
  <c r="AA133" i="1" s="1"/>
  <c r="W100" i="1"/>
  <c r="W133" i="1" s="1"/>
  <c r="S100" i="1"/>
  <c r="S133" i="1" s="1"/>
  <c r="O100" i="1"/>
  <c r="O133" i="1" s="1"/>
  <c r="K100" i="1"/>
  <c r="K133" i="1" s="1"/>
  <c r="G100" i="1"/>
  <c r="G133" i="1" s="1"/>
  <c r="C100" i="1"/>
  <c r="C133" i="1" s="1"/>
  <c r="AB99" i="1"/>
  <c r="AB132" i="1" s="1"/>
  <c r="X99" i="1"/>
  <c r="X132" i="1" s="1"/>
  <c r="T99" i="1"/>
  <c r="T132" i="1" s="1"/>
  <c r="P99" i="1"/>
  <c r="P132" i="1" s="1"/>
  <c r="L99" i="1"/>
  <c r="L132" i="1" s="1"/>
  <c r="H99" i="1"/>
  <c r="H132" i="1" s="1"/>
  <c r="D99" i="1"/>
  <c r="D132" i="1" s="1"/>
  <c r="AC98" i="1"/>
  <c r="AC131" i="1" s="1"/>
  <c r="Y98" i="1"/>
  <c r="Y131" i="1" s="1"/>
  <c r="U98" i="1"/>
  <c r="U131" i="1" s="1"/>
  <c r="Q98" i="1"/>
  <c r="Q131" i="1" s="1"/>
  <c r="M98" i="1"/>
  <c r="M131" i="1" s="1"/>
  <c r="I98" i="1"/>
  <c r="I131" i="1" s="1"/>
  <c r="E98" i="1"/>
  <c r="E131" i="1" s="1"/>
  <c r="AD97" i="1"/>
  <c r="AD130" i="1" s="1"/>
  <c r="Z97" i="1"/>
  <c r="Z130" i="1" s="1"/>
  <c r="V97" i="1"/>
  <c r="V130" i="1" s="1"/>
  <c r="R97" i="1"/>
  <c r="R130" i="1" s="1"/>
  <c r="N97" i="1"/>
  <c r="N130" i="1" s="1"/>
  <c r="J97" i="1"/>
  <c r="J130" i="1" s="1"/>
  <c r="F97" i="1"/>
  <c r="F130" i="1" s="1"/>
  <c r="AE96" i="1"/>
  <c r="AE129" i="1" s="1"/>
  <c r="AA96" i="1"/>
  <c r="AA129" i="1" s="1"/>
  <c r="W96" i="1"/>
  <c r="W129" i="1" s="1"/>
  <c r="S96" i="1"/>
  <c r="S129" i="1" s="1"/>
  <c r="O96" i="1"/>
  <c r="O129" i="1" s="1"/>
  <c r="K96" i="1"/>
  <c r="K129" i="1" s="1"/>
  <c r="G96" i="1"/>
  <c r="G129" i="1" s="1"/>
  <c r="C96" i="1"/>
  <c r="C129" i="1" s="1"/>
  <c r="AB95" i="1"/>
  <c r="AB128" i="1" s="1"/>
  <c r="X95" i="1"/>
  <c r="X128" i="1" s="1"/>
  <c r="T95" i="1"/>
  <c r="T128" i="1" s="1"/>
  <c r="P95" i="1"/>
  <c r="P128" i="1" s="1"/>
  <c r="L95" i="1"/>
  <c r="L128" i="1" s="1"/>
  <c r="H95" i="1"/>
  <c r="H128" i="1" s="1"/>
  <c r="D95" i="1"/>
  <c r="D128" i="1" s="1"/>
  <c r="AC94" i="1"/>
  <c r="AC127" i="1" s="1"/>
  <c r="Y94" i="1"/>
  <c r="Y127" i="1" s="1"/>
  <c r="U94" i="1"/>
  <c r="U127" i="1" s="1"/>
  <c r="Q94" i="1"/>
  <c r="Q127" i="1" s="1"/>
  <c r="M94" i="1"/>
  <c r="M127" i="1" s="1"/>
  <c r="I94" i="1"/>
  <c r="I127" i="1" s="1"/>
  <c r="E94" i="1"/>
  <c r="E127" i="1" s="1"/>
  <c r="AD93" i="1"/>
  <c r="AD126" i="1" s="1"/>
  <c r="Z93" i="1"/>
  <c r="Z126" i="1" s="1"/>
  <c r="V93" i="1"/>
  <c r="V126" i="1" s="1"/>
  <c r="R93" i="1"/>
  <c r="R126" i="1" s="1"/>
  <c r="N93" i="1"/>
  <c r="N126" i="1" s="1"/>
  <c r="J93" i="1"/>
  <c r="J126" i="1" s="1"/>
  <c r="F93" i="1"/>
  <c r="F126" i="1" s="1"/>
  <c r="AE92" i="1"/>
  <c r="AE125" i="1" s="1"/>
  <c r="AA92" i="1"/>
  <c r="AA125" i="1" s="1"/>
  <c r="W92" i="1"/>
  <c r="W125" i="1" s="1"/>
  <c r="S92" i="1"/>
  <c r="S125" i="1" s="1"/>
  <c r="O92" i="1"/>
  <c r="O125" i="1" s="1"/>
  <c r="K92" i="1"/>
  <c r="K125" i="1" s="1"/>
  <c r="G92" i="1"/>
  <c r="G125" i="1" s="1"/>
  <c r="C92" i="1"/>
  <c r="C125" i="1" s="1"/>
  <c r="AB91" i="1"/>
  <c r="AB124" i="1" s="1"/>
  <c r="X91" i="1"/>
  <c r="X124" i="1" s="1"/>
  <c r="T91" i="1"/>
  <c r="T124" i="1" s="1"/>
  <c r="P91" i="1"/>
  <c r="P124" i="1" s="1"/>
  <c r="L91" i="1"/>
  <c r="L124" i="1" s="1"/>
  <c r="H91" i="1"/>
  <c r="H124" i="1" s="1"/>
  <c r="D91" i="1"/>
  <c r="D124" i="1" s="1"/>
  <c r="AC90" i="1"/>
  <c r="AC123" i="1" s="1"/>
  <c r="Y90" i="1"/>
  <c r="Y123" i="1" s="1"/>
  <c r="U90" i="1"/>
  <c r="U123" i="1" s="1"/>
  <c r="Q90" i="1"/>
  <c r="Q123" i="1" s="1"/>
  <c r="M90" i="1"/>
  <c r="M123" i="1" s="1"/>
  <c r="I90" i="1"/>
  <c r="I123" i="1" s="1"/>
  <c r="E90" i="1"/>
  <c r="E123" i="1" s="1"/>
  <c r="AD89" i="1"/>
  <c r="AD122" i="1" s="1"/>
  <c r="Z89" i="1"/>
  <c r="Z122" i="1" s="1"/>
  <c r="V89" i="1"/>
  <c r="V122" i="1" s="1"/>
  <c r="R89" i="1"/>
  <c r="R122" i="1" s="1"/>
  <c r="N89" i="1"/>
  <c r="N122" i="1" s="1"/>
  <c r="J89" i="1"/>
  <c r="J122" i="1" s="1"/>
  <c r="F89" i="1"/>
  <c r="F122" i="1" s="1"/>
  <c r="AE88" i="1"/>
  <c r="AE121" i="1" s="1"/>
  <c r="AA88" i="1"/>
  <c r="AA121" i="1" s="1"/>
  <c r="W88" i="1"/>
  <c r="W121" i="1" s="1"/>
  <c r="S88" i="1"/>
  <c r="S121" i="1" s="1"/>
  <c r="O88" i="1"/>
  <c r="O121" i="1" s="1"/>
  <c r="K88" i="1"/>
  <c r="K121" i="1" s="1"/>
  <c r="G88" i="1"/>
  <c r="G121" i="1" s="1"/>
  <c r="C88" i="1"/>
  <c r="C121" i="1" s="1"/>
  <c r="AB87" i="1"/>
  <c r="AB120" i="1" s="1"/>
  <c r="X87" i="1"/>
  <c r="X120" i="1" s="1"/>
  <c r="T87" i="1"/>
  <c r="T120" i="1" s="1"/>
  <c r="P87" i="1"/>
  <c r="P120" i="1" s="1"/>
  <c r="L87" i="1"/>
  <c r="L120" i="1" s="1"/>
  <c r="H87" i="1"/>
  <c r="H120" i="1" s="1"/>
  <c r="D87" i="1"/>
  <c r="D120" i="1" s="1"/>
  <c r="AC86" i="1"/>
  <c r="AC119" i="1" s="1"/>
  <c r="Y86" i="1"/>
  <c r="Y119" i="1" s="1"/>
  <c r="U86" i="1"/>
  <c r="U119" i="1" s="1"/>
  <c r="Q86" i="1"/>
  <c r="Q119" i="1" s="1"/>
  <c r="M86" i="1"/>
  <c r="M119" i="1" s="1"/>
  <c r="I86" i="1"/>
  <c r="I119" i="1" s="1"/>
  <c r="E86" i="1"/>
  <c r="E119" i="1" s="1"/>
  <c r="AD85" i="1"/>
  <c r="AD118" i="1" s="1"/>
  <c r="Z85" i="1"/>
  <c r="Z118" i="1" s="1"/>
  <c r="V85" i="1"/>
  <c r="V118" i="1" s="1"/>
  <c r="R85" i="1"/>
  <c r="R118" i="1" s="1"/>
  <c r="N85" i="1"/>
  <c r="N118" i="1" s="1"/>
  <c r="J85" i="1"/>
  <c r="J118" i="1" s="1"/>
  <c r="F85" i="1"/>
  <c r="F118" i="1" s="1"/>
  <c r="AE84" i="1"/>
  <c r="AE117" i="1" s="1"/>
  <c r="AA84" i="1"/>
  <c r="AA117" i="1" s="1"/>
  <c r="W84" i="1"/>
  <c r="W117" i="1" s="1"/>
  <c r="S84" i="1"/>
  <c r="S117" i="1" s="1"/>
  <c r="O84" i="1"/>
  <c r="O117" i="1" s="1"/>
  <c r="K84" i="1"/>
  <c r="K117" i="1" s="1"/>
  <c r="G84" i="1"/>
  <c r="G117" i="1" s="1"/>
  <c r="C84" i="1"/>
  <c r="C117" i="1" s="1"/>
  <c r="AB83" i="1"/>
  <c r="AB116" i="1" s="1"/>
  <c r="X83" i="1"/>
  <c r="X116" i="1" s="1"/>
  <c r="T83" i="1"/>
  <c r="T116" i="1" s="1"/>
  <c r="P83" i="1"/>
  <c r="P116" i="1" s="1"/>
  <c r="L83" i="1"/>
  <c r="L116" i="1" s="1"/>
  <c r="H83" i="1"/>
  <c r="H116" i="1" s="1"/>
  <c r="D83" i="1"/>
  <c r="D116" i="1" s="1"/>
  <c r="AC82" i="1"/>
  <c r="AC115" i="1" s="1"/>
  <c r="Y82" i="1"/>
  <c r="Y115" i="1" s="1"/>
  <c r="U82" i="1"/>
  <c r="U115" i="1" s="1"/>
  <c r="Q82" i="1"/>
  <c r="Q115" i="1" s="1"/>
  <c r="M82" i="1"/>
  <c r="M115" i="1" s="1"/>
  <c r="I82" i="1"/>
  <c r="I115" i="1" s="1"/>
  <c r="E82" i="1"/>
  <c r="E115" i="1" s="1"/>
  <c r="AD81" i="1"/>
  <c r="AD114" i="1" s="1"/>
  <c r="Z81" i="1"/>
  <c r="Z114" i="1" s="1"/>
  <c r="V81" i="1"/>
  <c r="V114" i="1" s="1"/>
  <c r="R81" i="1"/>
  <c r="R114" i="1" s="1"/>
  <c r="N81" i="1"/>
  <c r="N114" i="1" s="1"/>
  <c r="J81" i="1"/>
  <c r="J114" i="1" s="1"/>
  <c r="F81" i="1"/>
  <c r="F114" i="1" s="1"/>
  <c r="AE80" i="1"/>
  <c r="AE113" i="1" s="1"/>
  <c r="AA80" i="1"/>
  <c r="AA113" i="1" s="1"/>
  <c r="W80" i="1"/>
  <c r="W113" i="1" s="1"/>
  <c r="S80" i="1"/>
  <c r="S113" i="1" s="1"/>
  <c r="O80" i="1"/>
  <c r="O113" i="1" s="1"/>
  <c r="K80" i="1"/>
  <c r="K113" i="1" s="1"/>
  <c r="G80" i="1"/>
  <c r="G113" i="1" s="1"/>
  <c r="C80" i="1"/>
  <c r="C113" i="1" s="1"/>
  <c r="AB79" i="1"/>
  <c r="AB112" i="1" s="1"/>
  <c r="X79" i="1"/>
  <c r="X112" i="1" s="1"/>
  <c r="T79" i="1"/>
  <c r="T112" i="1" s="1"/>
  <c r="P79" i="1"/>
  <c r="P112" i="1" s="1"/>
  <c r="L79" i="1"/>
  <c r="L112" i="1" s="1"/>
  <c r="H79" i="1"/>
  <c r="H112" i="1" s="1"/>
  <c r="D79" i="1"/>
  <c r="D112" i="1" s="1"/>
  <c r="AC78" i="1"/>
  <c r="AC111" i="1" s="1"/>
  <c r="Y78" i="1"/>
  <c r="Y111" i="1" s="1"/>
  <c r="U78" i="1"/>
  <c r="U111" i="1" s="1"/>
  <c r="Q78" i="1"/>
  <c r="Q111" i="1" s="1"/>
  <c r="M78" i="1"/>
  <c r="M111" i="1" s="1"/>
  <c r="I78" i="1"/>
  <c r="I111" i="1" s="1"/>
  <c r="E78" i="1"/>
  <c r="E111" i="1" s="1"/>
  <c r="AD77" i="1"/>
  <c r="AD110" i="1" s="1"/>
  <c r="Z77" i="1"/>
  <c r="Z110" i="1" s="1"/>
  <c r="V77" i="1"/>
  <c r="V110" i="1" s="1"/>
  <c r="R77" i="1"/>
  <c r="R110" i="1" s="1"/>
  <c r="N77" i="1"/>
  <c r="N110" i="1" s="1"/>
  <c r="J77" i="1"/>
  <c r="J110" i="1" s="1"/>
  <c r="F77" i="1"/>
  <c r="F110" i="1" s="1"/>
  <c r="AE76" i="1"/>
  <c r="AE109" i="1" s="1"/>
  <c r="AA76" i="1"/>
  <c r="AA109" i="1" s="1"/>
  <c r="W76" i="1"/>
  <c r="W109" i="1" s="1"/>
  <c r="S76" i="1"/>
  <c r="S109" i="1" s="1"/>
  <c r="O76" i="1"/>
  <c r="O109" i="1" s="1"/>
  <c r="K76" i="1"/>
  <c r="K109" i="1" s="1"/>
  <c r="G76" i="1"/>
  <c r="G109" i="1" s="1"/>
  <c r="C76" i="1"/>
  <c r="C109" i="1" s="1"/>
  <c r="AB75" i="1"/>
  <c r="AB108" i="1" s="1"/>
  <c r="X75" i="1"/>
  <c r="X108" i="1" s="1"/>
  <c r="T75" i="1"/>
  <c r="T108" i="1" s="1"/>
  <c r="P75" i="1"/>
  <c r="P108" i="1" s="1"/>
  <c r="L75" i="1"/>
  <c r="L108" i="1" s="1"/>
  <c r="H75" i="1"/>
  <c r="H108" i="1" s="1"/>
  <c r="D75" i="1"/>
  <c r="D108" i="1" s="1"/>
  <c r="AC74" i="1"/>
  <c r="AC107" i="1" s="1"/>
  <c r="Y74" i="1"/>
  <c r="Y107" i="1" s="1"/>
  <c r="U74" i="1"/>
  <c r="U107" i="1" s="1"/>
  <c r="Q74" i="1"/>
  <c r="Q107" i="1" s="1"/>
  <c r="M74" i="1"/>
  <c r="M107" i="1" s="1"/>
  <c r="I74" i="1"/>
  <c r="I107" i="1" s="1"/>
  <c r="E74" i="1"/>
  <c r="E107" i="1" s="1"/>
  <c r="AD73" i="1"/>
  <c r="AD106" i="1" s="1"/>
  <c r="Z73" i="1"/>
  <c r="Z106" i="1" s="1"/>
  <c r="V73" i="1"/>
  <c r="V106" i="1" s="1"/>
  <c r="R73" i="1"/>
  <c r="R106" i="1" s="1"/>
  <c r="N73" i="1"/>
  <c r="N106" i="1" s="1"/>
  <c r="J73" i="1"/>
  <c r="J106" i="1" s="1"/>
  <c r="F73" i="1"/>
  <c r="F106" i="1" s="1"/>
  <c r="AE72" i="1"/>
  <c r="AE105" i="1" s="1"/>
  <c r="AA72" i="1"/>
  <c r="AA105" i="1" s="1"/>
  <c r="W72" i="1"/>
  <c r="W105" i="1" s="1"/>
  <c r="S72" i="1"/>
  <c r="S105" i="1" s="1"/>
  <c r="O72" i="1"/>
  <c r="O105" i="1" s="1"/>
  <c r="K72" i="1"/>
  <c r="K105" i="1" s="1"/>
  <c r="G72" i="1"/>
  <c r="G105" i="1" s="1"/>
  <c r="C72" i="1"/>
  <c r="C105" i="1" s="1"/>
  <c r="AB71" i="1"/>
  <c r="AB104" i="1" s="1"/>
  <c r="X71" i="1"/>
  <c r="X104" i="1" s="1"/>
  <c r="T71" i="1"/>
  <c r="T104" i="1" s="1"/>
  <c r="P71" i="1"/>
  <c r="P104" i="1" s="1"/>
  <c r="L71" i="1"/>
  <c r="L104" i="1" s="1"/>
  <c r="H71" i="1"/>
  <c r="H104" i="1" s="1"/>
  <c r="D71" i="1"/>
  <c r="D104" i="1" s="1"/>
  <c r="B99" i="1"/>
  <c r="B94" i="1"/>
  <c r="B90" i="1"/>
  <c r="B86" i="1"/>
  <c r="B82" i="1"/>
  <c r="B78" i="1"/>
  <c r="B74" i="1"/>
  <c r="AD100" i="1"/>
  <c r="AD133" i="1" s="1"/>
  <c r="Z100" i="1"/>
  <c r="Z133" i="1" s="1"/>
  <c r="V100" i="1"/>
  <c r="V133" i="1" s="1"/>
  <c r="R100" i="1"/>
  <c r="R133" i="1" s="1"/>
  <c r="N100" i="1"/>
  <c r="N133" i="1" s="1"/>
  <c r="J100" i="1"/>
  <c r="J133" i="1" s="1"/>
  <c r="F100" i="1"/>
  <c r="F133" i="1" s="1"/>
  <c r="AE99" i="1"/>
  <c r="AE132" i="1" s="1"/>
  <c r="AA99" i="1"/>
  <c r="AA132" i="1" s="1"/>
  <c r="W99" i="1"/>
  <c r="W132" i="1" s="1"/>
  <c r="S99" i="1"/>
  <c r="S132" i="1" s="1"/>
  <c r="O99" i="1"/>
  <c r="O132" i="1" s="1"/>
  <c r="K99" i="1"/>
  <c r="K132" i="1" s="1"/>
  <c r="G99" i="1"/>
  <c r="G132" i="1" s="1"/>
  <c r="C99" i="1"/>
  <c r="C132" i="1" s="1"/>
  <c r="AB98" i="1"/>
  <c r="AB131" i="1" s="1"/>
  <c r="X98" i="1"/>
  <c r="X131" i="1" s="1"/>
  <c r="T98" i="1"/>
  <c r="T131" i="1" s="1"/>
  <c r="P98" i="1"/>
  <c r="P131" i="1" s="1"/>
  <c r="L98" i="1"/>
  <c r="L131" i="1" s="1"/>
  <c r="H98" i="1"/>
  <c r="H131" i="1" s="1"/>
  <c r="D98" i="1"/>
  <c r="D131" i="1" s="1"/>
  <c r="AC97" i="1"/>
  <c r="AC130" i="1" s="1"/>
  <c r="Y97" i="1"/>
  <c r="Y130" i="1" s="1"/>
  <c r="U97" i="1"/>
  <c r="U130" i="1" s="1"/>
  <c r="Q97" i="1"/>
  <c r="Q130" i="1" s="1"/>
  <c r="M97" i="1"/>
  <c r="M130" i="1" s="1"/>
  <c r="I97" i="1"/>
  <c r="I130" i="1" s="1"/>
  <c r="E97" i="1"/>
  <c r="E130" i="1" s="1"/>
  <c r="AD96" i="1"/>
  <c r="AD129" i="1" s="1"/>
  <c r="Z96" i="1"/>
  <c r="Z129" i="1" s="1"/>
  <c r="V96" i="1"/>
  <c r="V129" i="1" s="1"/>
  <c r="R96" i="1"/>
  <c r="R129" i="1" s="1"/>
  <c r="N96" i="1"/>
  <c r="N129" i="1" s="1"/>
  <c r="J96" i="1"/>
  <c r="J129" i="1" s="1"/>
  <c r="F96" i="1"/>
  <c r="F129" i="1" s="1"/>
  <c r="AE95" i="1"/>
  <c r="AE128" i="1" s="1"/>
  <c r="AA95" i="1"/>
  <c r="AA128" i="1" s="1"/>
  <c r="W95" i="1"/>
  <c r="W128" i="1" s="1"/>
  <c r="S95" i="1"/>
  <c r="S128" i="1" s="1"/>
  <c r="O95" i="1"/>
  <c r="O128" i="1" s="1"/>
  <c r="K95" i="1"/>
  <c r="K128" i="1" s="1"/>
  <c r="G95" i="1"/>
  <c r="G128" i="1" s="1"/>
  <c r="C95" i="1"/>
  <c r="C128" i="1" s="1"/>
  <c r="AB94" i="1"/>
  <c r="AB127" i="1" s="1"/>
  <c r="X94" i="1"/>
  <c r="X127" i="1" s="1"/>
  <c r="T94" i="1"/>
  <c r="T127" i="1" s="1"/>
  <c r="P94" i="1"/>
  <c r="P127" i="1" s="1"/>
  <c r="L94" i="1"/>
  <c r="L127" i="1" s="1"/>
  <c r="H94" i="1"/>
  <c r="H127" i="1" s="1"/>
  <c r="D94" i="1"/>
  <c r="D127" i="1" s="1"/>
  <c r="AC93" i="1"/>
  <c r="AC126" i="1" s="1"/>
  <c r="Y93" i="1"/>
  <c r="Y126" i="1" s="1"/>
  <c r="U93" i="1"/>
  <c r="U126" i="1" s="1"/>
  <c r="Q93" i="1"/>
  <c r="Q126" i="1" s="1"/>
  <c r="M93" i="1"/>
  <c r="M126" i="1" s="1"/>
  <c r="I93" i="1"/>
  <c r="I126" i="1" s="1"/>
  <c r="E93" i="1"/>
  <c r="E126" i="1" s="1"/>
  <c r="AD92" i="1"/>
  <c r="AD125" i="1" s="1"/>
  <c r="Z92" i="1"/>
  <c r="Z125" i="1" s="1"/>
  <c r="V92" i="1"/>
  <c r="V125" i="1" s="1"/>
  <c r="R92" i="1"/>
  <c r="R125" i="1" s="1"/>
  <c r="N92" i="1"/>
  <c r="N125" i="1" s="1"/>
  <c r="J92" i="1"/>
  <c r="J125" i="1" s="1"/>
  <c r="F92" i="1"/>
  <c r="F125" i="1" s="1"/>
  <c r="AE91" i="1"/>
  <c r="AE124" i="1" s="1"/>
  <c r="AA91" i="1"/>
  <c r="AA124" i="1" s="1"/>
  <c r="W91" i="1"/>
  <c r="W124" i="1" s="1"/>
  <c r="S91" i="1"/>
  <c r="S124" i="1" s="1"/>
  <c r="O91" i="1"/>
  <c r="O124" i="1" s="1"/>
  <c r="K91" i="1"/>
  <c r="K124" i="1" s="1"/>
  <c r="G91" i="1"/>
  <c r="G124" i="1" s="1"/>
  <c r="C91" i="1"/>
  <c r="C124" i="1" s="1"/>
  <c r="AB90" i="1"/>
  <c r="AB123" i="1" s="1"/>
  <c r="X90" i="1"/>
  <c r="X123" i="1" s="1"/>
  <c r="T90" i="1"/>
  <c r="T123" i="1" s="1"/>
  <c r="P90" i="1"/>
  <c r="P123" i="1" s="1"/>
  <c r="L90" i="1"/>
  <c r="L123" i="1" s="1"/>
  <c r="H90" i="1"/>
  <c r="H123" i="1" s="1"/>
  <c r="D90" i="1"/>
  <c r="D123" i="1" s="1"/>
  <c r="AC89" i="1"/>
  <c r="AC122" i="1" s="1"/>
  <c r="Y89" i="1"/>
  <c r="Y122" i="1" s="1"/>
  <c r="U89" i="1"/>
  <c r="U122" i="1" s="1"/>
  <c r="Q89" i="1"/>
  <c r="Q122" i="1" s="1"/>
  <c r="M89" i="1"/>
  <c r="M122" i="1" s="1"/>
  <c r="I89" i="1"/>
  <c r="I122" i="1" s="1"/>
  <c r="E89" i="1"/>
  <c r="E122" i="1" s="1"/>
  <c r="AD88" i="1"/>
  <c r="AD121" i="1" s="1"/>
  <c r="Z88" i="1"/>
  <c r="Z121" i="1" s="1"/>
  <c r="V88" i="1"/>
  <c r="V121" i="1" s="1"/>
  <c r="R88" i="1"/>
  <c r="R121" i="1" s="1"/>
  <c r="N88" i="1"/>
  <c r="N121" i="1" s="1"/>
  <c r="J88" i="1"/>
  <c r="J121" i="1" s="1"/>
  <c r="F88" i="1"/>
  <c r="F121" i="1" s="1"/>
  <c r="AE87" i="1"/>
  <c r="AE120" i="1" s="1"/>
  <c r="AA87" i="1"/>
  <c r="AA120" i="1" s="1"/>
  <c r="W87" i="1"/>
  <c r="W120" i="1" s="1"/>
  <c r="S87" i="1"/>
  <c r="S120" i="1" s="1"/>
  <c r="O87" i="1"/>
  <c r="O120" i="1" s="1"/>
  <c r="K87" i="1"/>
  <c r="K120" i="1" s="1"/>
  <c r="G87" i="1"/>
  <c r="G120" i="1" s="1"/>
  <c r="C87" i="1"/>
  <c r="C120" i="1" s="1"/>
  <c r="AB86" i="1"/>
  <c r="AB119" i="1" s="1"/>
  <c r="X86" i="1"/>
  <c r="X119" i="1" s="1"/>
  <c r="T86" i="1"/>
  <c r="T119" i="1" s="1"/>
  <c r="P86" i="1"/>
  <c r="P119" i="1" s="1"/>
  <c r="L86" i="1"/>
  <c r="L119" i="1" s="1"/>
  <c r="H86" i="1"/>
  <c r="H119" i="1" s="1"/>
  <c r="D86" i="1"/>
  <c r="D119" i="1" s="1"/>
  <c r="AC85" i="1"/>
  <c r="AC118" i="1" s="1"/>
  <c r="Y85" i="1"/>
  <c r="Y118" i="1" s="1"/>
  <c r="U85" i="1"/>
  <c r="U118" i="1" s="1"/>
  <c r="Q85" i="1"/>
  <c r="Q118" i="1" s="1"/>
  <c r="M85" i="1"/>
  <c r="M118" i="1" s="1"/>
  <c r="I85" i="1"/>
  <c r="I118" i="1" s="1"/>
  <c r="E85" i="1"/>
  <c r="E118" i="1" s="1"/>
  <c r="AD84" i="1"/>
  <c r="AD117" i="1" s="1"/>
  <c r="Z84" i="1"/>
  <c r="Z117" i="1" s="1"/>
  <c r="V84" i="1"/>
  <c r="V117" i="1" s="1"/>
  <c r="R84" i="1"/>
  <c r="R117" i="1" s="1"/>
  <c r="N84" i="1"/>
  <c r="N117" i="1" s="1"/>
  <c r="J84" i="1"/>
  <c r="J117" i="1" s="1"/>
  <c r="F84" i="1"/>
  <c r="F117" i="1" s="1"/>
  <c r="AE83" i="1"/>
  <c r="AE116" i="1" s="1"/>
  <c r="AA83" i="1"/>
  <c r="AA116" i="1" s="1"/>
  <c r="W83" i="1"/>
  <c r="W116" i="1" s="1"/>
  <c r="S83" i="1"/>
  <c r="S116" i="1" s="1"/>
  <c r="O83" i="1"/>
  <c r="O116" i="1" s="1"/>
  <c r="K83" i="1"/>
  <c r="K116" i="1" s="1"/>
  <c r="G83" i="1"/>
  <c r="G116" i="1" s="1"/>
  <c r="C83" i="1"/>
  <c r="C116" i="1" s="1"/>
  <c r="AB82" i="1"/>
  <c r="AB115" i="1" s="1"/>
  <c r="X82" i="1"/>
  <c r="X115" i="1" s="1"/>
  <c r="T82" i="1"/>
  <c r="T115" i="1" s="1"/>
  <c r="P82" i="1"/>
  <c r="P115" i="1" s="1"/>
  <c r="L82" i="1"/>
  <c r="L115" i="1" s="1"/>
  <c r="H82" i="1"/>
  <c r="H115" i="1" s="1"/>
  <c r="D82" i="1"/>
  <c r="D115" i="1" s="1"/>
  <c r="AC81" i="1"/>
  <c r="AC114" i="1" s="1"/>
  <c r="Y81" i="1"/>
  <c r="Y114" i="1" s="1"/>
  <c r="U81" i="1"/>
  <c r="U114" i="1" s="1"/>
  <c r="Q81" i="1"/>
  <c r="Q114" i="1" s="1"/>
  <c r="M81" i="1"/>
  <c r="M114" i="1" s="1"/>
  <c r="I81" i="1"/>
  <c r="I114" i="1" s="1"/>
  <c r="E81" i="1"/>
  <c r="E114" i="1" s="1"/>
  <c r="AD80" i="1"/>
  <c r="AD113" i="1" s="1"/>
  <c r="Z80" i="1"/>
  <c r="Z113" i="1" s="1"/>
  <c r="V80" i="1"/>
  <c r="V113" i="1" s="1"/>
  <c r="R80" i="1"/>
  <c r="R113" i="1" s="1"/>
  <c r="N80" i="1"/>
  <c r="N113" i="1" s="1"/>
  <c r="J80" i="1"/>
  <c r="J113" i="1" s="1"/>
  <c r="F80" i="1"/>
  <c r="F113" i="1" s="1"/>
  <c r="AE79" i="1"/>
  <c r="AE112" i="1" s="1"/>
  <c r="AA79" i="1"/>
  <c r="AA112" i="1" s="1"/>
  <c r="W79" i="1"/>
  <c r="W112" i="1" s="1"/>
  <c r="S79" i="1"/>
  <c r="S112" i="1" s="1"/>
  <c r="O79" i="1"/>
  <c r="O112" i="1" s="1"/>
  <c r="K79" i="1"/>
  <c r="K112" i="1" s="1"/>
  <c r="G79" i="1"/>
  <c r="G112" i="1" s="1"/>
  <c r="C79" i="1"/>
  <c r="C112" i="1" s="1"/>
  <c r="AB78" i="1"/>
  <c r="AB111" i="1" s="1"/>
  <c r="X78" i="1"/>
  <c r="X111" i="1" s="1"/>
  <c r="T78" i="1"/>
  <c r="T111" i="1" s="1"/>
  <c r="P78" i="1"/>
  <c r="P111" i="1" s="1"/>
  <c r="L78" i="1"/>
  <c r="L111" i="1" s="1"/>
  <c r="H78" i="1"/>
  <c r="H111" i="1" s="1"/>
  <c r="D78" i="1"/>
  <c r="D111" i="1" s="1"/>
  <c r="AC77" i="1"/>
  <c r="AC110" i="1" s="1"/>
  <c r="Y77" i="1"/>
  <c r="Y110" i="1" s="1"/>
  <c r="U77" i="1"/>
  <c r="U110" i="1" s="1"/>
  <c r="Q77" i="1"/>
  <c r="Q110" i="1" s="1"/>
  <c r="M77" i="1"/>
  <c r="M110" i="1" s="1"/>
  <c r="I77" i="1"/>
  <c r="I110" i="1" s="1"/>
  <c r="E77" i="1"/>
  <c r="E110" i="1" s="1"/>
  <c r="AD76" i="1"/>
  <c r="AD109" i="1" s="1"/>
  <c r="Z76" i="1"/>
  <c r="Z109" i="1" s="1"/>
  <c r="V76" i="1"/>
  <c r="V109" i="1" s="1"/>
  <c r="R76" i="1"/>
  <c r="R109" i="1" s="1"/>
  <c r="N76" i="1"/>
  <c r="N109" i="1" s="1"/>
  <c r="J76" i="1"/>
  <c r="J109" i="1" s="1"/>
  <c r="F76" i="1"/>
  <c r="F109" i="1" s="1"/>
  <c r="AE75" i="1"/>
  <c r="AE108" i="1" s="1"/>
  <c r="AA75" i="1"/>
  <c r="AA108" i="1" s="1"/>
  <c r="W75" i="1"/>
  <c r="W108" i="1" s="1"/>
  <c r="S75" i="1"/>
  <c r="S108" i="1" s="1"/>
  <c r="O75" i="1"/>
  <c r="O108" i="1" s="1"/>
  <c r="K75" i="1"/>
  <c r="K108" i="1" s="1"/>
  <c r="G75" i="1"/>
  <c r="G108" i="1" s="1"/>
  <c r="C75" i="1"/>
  <c r="C108" i="1" s="1"/>
  <c r="AB74" i="1"/>
  <c r="AB107" i="1" s="1"/>
  <c r="X74" i="1"/>
  <c r="X107" i="1" s="1"/>
  <c r="T74" i="1"/>
  <c r="T107" i="1" s="1"/>
  <c r="P74" i="1"/>
  <c r="P107" i="1" s="1"/>
  <c r="L74" i="1"/>
  <c r="L107" i="1" s="1"/>
  <c r="H74" i="1"/>
  <c r="H107" i="1" s="1"/>
  <c r="D74" i="1"/>
  <c r="D107" i="1" s="1"/>
  <c r="AC73" i="1"/>
  <c r="AC106" i="1" s="1"/>
  <c r="Y73" i="1"/>
  <c r="Y106" i="1" s="1"/>
  <c r="U73" i="1"/>
  <c r="U106" i="1" s="1"/>
  <c r="Q73" i="1"/>
  <c r="Q106" i="1" s="1"/>
  <c r="M73" i="1"/>
  <c r="M106" i="1" s="1"/>
  <c r="I73" i="1"/>
  <c r="I106" i="1" s="1"/>
  <c r="E73" i="1"/>
  <c r="E106" i="1" s="1"/>
  <c r="AD72" i="1"/>
  <c r="AD105" i="1" s="1"/>
  <c r="Z72" i="1"/>
  <c r="Z105" i="1" s="1"/>
  <c r="V72" i="1"/>
  <c r="V105" i="1" s="1"/>
  <c r="R72" i="1"/>
  <c r="R105" i="1" s="1"/>
  <c r="N72" i="1"/>
  <c r="N105" i="1" s="1"/>
  <c r="J72" i="1"/>
  <c r="J105" i="1" s="1"/>
  <c r="F72" i="1"/>
  <c r="F105" i="1" s="1"/>
  <c r="AE71" i="1"/>
  <c r="AE104" i="1" s="1"/>
  <c r="AA71" i="1"/>
  <c r="AA104" i="1" s="1"/>
  <c r="W71" i="1"/>
  <c r="W104" i="1" s="1"/>
  <c r="S71" i="1"/>
  <c r="S104" i="1" s="1"/>
  <c r="O71" i="1"/>
  <c r="O104" i="1" s="1"/>
  <c r="K71" i="1"/>
  <c r="K104" i="1" s="1"/>
  <c r="R71" i="1"/>
  <c r="R104" i="1" s="1"/>
  <c r="N71" i="1"/>
  <c r="N104" i="1" s="1"/>
  <c r="J71" i="1"/>
  <c r="J104" i="1" s="1"/>
  <c r="F71" i="1"/>
  <c r="F104" i="1" s="1"/>
  <c r="I71" i="1"/>
  <c r="I104" i="1" s="1"/>
  <c r="E71" i="1"/>
  <c r="E104" i="1" s="1"/>
  <c r="G71" i="1"/>
  <c r="G104" i="1" s="1"/>
  <c r="C71" i="1"/>
  <c r="L47" i="1" l="1"/>
  <c r="L63" i="1"/>
  <c r="L37" i="1"/>
  <c r="L51" i="1"/>
  <c r="L40" i="1"/>
  <c r="L46" i="1"/>
  <c r="L55" i="1"/>
  <c r="L42" i="1"/>
  <c r="L50" i="1"/>
  <c r="L43" i="1"/>
  <c r="L59" i="1"/>
  <c r="L54" i="1"/>
  <c r="L58" i="1"/>
  <c r="AH78" i="1"/>
  <c r="AI78" i="1" s="1"/>
  <c r="AH94" i="1"/>
  <c r="AI94" i="1" s="1"/>
  <c r="AH75" i="1"/>
  <c r="AI75" i="1" s="1"/>
  <c r="AH91" i="1"/>
  <c r="AI91" i="1" s="1"/>
  <c r="AH84" i="1"/>
  <c r="AI84" i="1" s="1"/>
  <c r="AH100" i="1"/>
  <c r="AI100" i="1" s="1"/>
  <c r="AH81" i="1"/>
  <c r="AI81" i="1" s="1"/>
  <c r="AH97" i="1"/>
  <c r="AI97" i="1" s="1"/>
  <c r="AH82" i="1"/>
  <c r="AI82" i="1" s="1"/>
  <c r="AH99" i="1"/>
  <c r="AI99" i="1" s="1"/>
  <c r="AH79" i="1"/>
  <c r="AI79" i="1" s="1"/>
  <c r="AH95" i="1"/>
  <c r="AI95" i="1" s="1"/>
  <c r="AH72" i="1"/>
  <c r="AI72" i="1" s="1"/>
  <c r="AH88" i="1"/>
  <c r="AI88" i="1" s="1"/>
  <c r="AH85" i="1"/>
  <c r="AI85" i="1" s="1"/>
  <c r="AH86" i="1"/>
  <c r="AI86" i="1" s="1"/>
  <c r="AH83" i="1"/>
  <c r="AI83" i="1" s="1"/>
  <c r="AH76" i="1"/>
  <c r="AI76" i="1" s="1"/>
  <c r="AH92" i="1"/>
  <c r="AI92" i="1" s="1"/>
  <c r="AH73" i="1"/>
  <c r="AI73" i="1" s="1"/>
  <c r="AH89" i="1"/>
  <c r="AI89" i="1" s="1"/>
  <c r="AH98" i="1"/>
  <c r="AI98" i="1" s="1"/>
  <c r="AH71" i="1"/>
  <c r="AH74" i="1"/>
  <c r="AI74" i="1" s="1"/>
  <c r="AH90" i="1"/>
  <c r="AI90" i="1" s="1"/>
  <c r="AH87" i="1"/>
  <c r="AI87" i="1" s="1"/>
  <c r="AH80" i="1"/>
  <c r="AI80" i="1" s="1"/>
  <c r="AH96" i="1"/>
  <c r="AI96" i="1" s="1"/>
  <c r="AH77" i="1"/>
  <c r="AI77" i="1" s="1"/>
  <c r="AH93" i="1"/>
  <c r="AI93" i="1" s="1"/>
  <c r="B111" i="1"/>
  <c r="B127" i="1"/>
  <c r="B108" i="1"/>
  <c r="B124" i="1"/>
  <c r="B117" i="1"/>
  <c r="B133" i="1"/>
  <c r="B114" i="1"/>
  <c r="B130" i="1"/>
  <c r="B115" i="1"/>
  <c r="B132" i="1"/>
  <c r="B112" i="1"/>
  <c r="B128" i="1"/>
  <c r="B105" i="1"/>
  <c r="B121" i="1"/>
  <c r="B118" i="1"/>
  <c r="B119" i="1"/>
  <c r="B116" i="1"/>
  <c r="B109" i="1"/>
  <c r="B125" i="1"/>
  <c r="B106" i="1"/>
  <c r="B122" i="1"/>
  <c r="B131" i="1"/>
  <c r="C104" i="1"/>
  <c r="B107" i="1"/>
  <c r="B123" i="1"/>
  <c r="B120" i="1"/>
  <c r="B113" i="1"/>
  <c r="B129" i="1"/>
  <c r="B110" i="1"/>
  <c r="B126" i="1"/>
  <c r="A136" i="1" l="1"/>
  <c r="AH101" i="1"/>
  <c r="AI71" i="1"/>
  <c r="AI101" i="1" s="1"/>
  <c r="M23" i="11" l="1"/>
  <c r="M19" i="11"/>
  <c r="M5" i="11"/>
  <c r="M14" i="11"/>
  <c r="M8" i="11"/>
  <c r="M15" i="11"/>
  <c r="M17" i="11"/>
  <c r="M24" i="11"/>
  <c r="L33" i="11"/>
  <c r="L34" i="11"/>
  <c r="M3" i="11"/>
  <c r="M12" i="11"/>
  <c r="M22" i="11"/>
  <c r="M11" i="11"/>
  <c r="M20" i="11"/>
  <c r="M16" i="11"/>
  <c r="M21" i="11"/>
  <c r="M30" i="11"/>
  <c r="M2" i="11"/>
  <c r="M4" i="11"/>
  <c r="M25" i="11"/>
  <c r="M26" i="11"/>
  <c r="M27" i="11"/>
  <c r="M29" i="11"/>
  <c r="M28" i="11"/>
  <c r="M13" i="11"/>
  <c r="M9" i="11"/>
  <c r="M6" i="11"/>
  <c r="M31" i="11"/>
  <c r="M10" i="11"/>
  <c r="M7" i="11"/>
  <c r="M18" i="11"/>
  <c r="M34" i="11" l="1"/>
  <c r="M33" i="11"/>
</calcChain>
</file>

<file path=xl/sharedStrings.xml><?xml version="1.0" encoding="utf-8"?>
<sst xmlns="http://schemas.openxmlformats.org/spreadsheetml/2006/main" count="2886" uniqueCount="117">
  <si>
    <t>NO</t>
  </si>
  <si>
    <t>ORL</t>
  </si>
  <si>
    <t>DAL</t>
  </si>
  <si>
    <t>SA</t>
  </si>
  <si>
    <t>HOU</t>
  </si>
  <si>
    <t>LAL</t>
  </si>
  <si>
    <t>CHA</t>
  </si>
  <si>
    <t>MIL</t>
  </si>
  <si>
    <t>IND</t>
  </si>
  <si>
    <t>PHI</t>
  </si>
  <si>
    <t>BOS</t>
  </si>
  <si>
    <t>BKN</t>
  </si>
  <si>
    <t>MIA</t>
  </si>
  <si>
    <t>WSH</t>
  </si>
  <si>
    <t>ATL</t>
  </si>
  <si>
    <t>TOR</t>
  </si>
  <si>
    <t>MEM</t>
  </si>
  <si>
    <t>MIN</t>
  </si>
  <si>
    <t>CHI</t>
  </si>
  <si>
    <t>NY</t>
  </si>
  <si>
    <t>DEN</t>
  </si>
  <si>
    <t>DET</t>
  </si>
  <si>
    <t>UTAH</t>
  </si>
  <si>
    <t>PHX</t>
  </si>
  <si>
    <t>GS</t>
  </si>
  <si>
    <t>SAC</t>
  </si>
  <si>
    <t>OKC</t>
  </si>
  <si>
    <t>POR</t>
  </si>
  <si>
    <t>CLE</t>
  </si>
  <si>
    <t>LAC</t>
  </si>
  <si>
    <t>pick</t>
  </si>
  <si>
    <t>team</t>
  </si>
  <si>
    <t>O</t>
  </si>
  <si>
    <t>U</t>
  </si>
  <si>
    <t>w_pick_confidence_calc_rank</t>
  </si>
  <si>
    <t>w_pick_confidence_calc</t>
  </si>
  <si>
    <t>w_sportsbook</t>
  </si>
  <si>
    <t>rating</t>
  </si>
  <si>
    <t>rank</t>
  </si>
  <si>
    <t>squared_error</t>
  </si>
  <si>
    <t>results_actual</t>
  </si>
  <si>
    <t>results_expected</t>
  </si>
  <si>
    <t>COUNTIFS(d_rs_sched!$D:$D,$A3,d_rs_sched!$E:$E,1,d_rs_sched!$I:$I,$A3,d_rs_sched!$K:$K,B$2)+COUNTIFS(d_rs_sched!$D:$D,$A3,d_rs_sched!$E:$E,1,d_rs_sched!$I:$I,B$2,d_rs_sched!$K:$K,$A3)</t>
  </si>
  <si>
    <t>cell</t>
  </si>
  <si>
    <t>formula</t>
  </si>
  <si>
    <t>range</t>
  </si>
  <si>
    <t>iteration</t>
  </si>
  <si>
    <t>rating_initial</t>
  </si>
  <si>
    <t>rank_initial</t>
  </si>
  <si>
    <t>rating_final</t>
  </si>
  <si>
    <t>rank_final</t>
  </si>
  <si>
    <t>sum_squared_error</t>
  </si>
  <si>
    <t>other info</t>
  </si>
  <si>
    <t>iteration 1</t>
  </si>
  <si>
    <t>slack team</t>
  </si>
  <si>
    <t>IFERROR(VLOOKUP($A71,power_rankings,2,0)/(VLOOKUP($A71,power_rankings,2,0)+VLOOKUP(B$70,power_rankings,2,0))*(B3+HLOOKUP($A71,table_wins_h2h,MATCH(B$70,$A$2:$A$32,0),0)),0)</t>
  </si>
  <si>
    <t>B70</t>
  </si>
  <si>
    <t>B3:AE32</t>
  </si>
  <si>
    <t>B70:AE99</t>
  </si>
  <si>
    <t>B3</t>
  </si>
  <si>
    <t>w_initial_formula</t>
  </si>
  <si>
    <t>(30-C36)/(30-1)*82</t>
  </si>
  <si>
    <t>sum_actual</t>
  </si>
  <si>
    <t>sum_expected</t>
  </si>
  <si>
    <t>person</t>
  </si>
  <si>
    <t>rank_actual</t>
  </si>
  <si>
    <t>mean_error</t>
  </si>
  <si>
    <t>mean_error_squared</t>
  </si>
  <si>
    <t>mean_absolute_error</t>
  </si>
  <si>
    <t>found that it does not matter which team is used as the slack team</t>
  </si>
  <si>
    <t>iteration 2 uses pick rankings as initial values, but that does not actually make a difference</t>
  </si>
  <si>
    <t>L</t>
  </si>
  <si>
    <t>k</t>
  </si>
  <si>
    <t>x0</t>
  </si>
  <si>
    <t>logistic</t>
  </si>
  <si>
    <t>season</t>
  </si>
  <si>
    <t>win_total_results_name</t>
  </si>
  <si>
    <t>confidence</t>
  </si>
  <si>
    <t>2017_ATL</t>
  </si>
  <si>
    <t>2017_BOS</t>
  </si>
  <si>
    <t>2017_BKN</t>
  </si>
  <si>
    <t>2017_CHA</t>
  </si>
  <si>
    <t>2017_CHI</t>
  </si>
  <si>
    <t>2017_CLE</t>
  </si>
  <si>
    <t>2017_DAL</t>
  </si>
  <si>
    <t>2017_DEN</t>
  </si>
  <si>
    <t>2017_DET</t>
  </si>
  <si>
    <t>2017_GS</t>
  </si>
  <si>
    <t>2017_HOU</t>
  </si>
  <si>
    <t>2017_IND</t>
  </si>
  <si>
    <t>2017_LAC</t>
  </si>
  <si>
    <t>2017_LAL</t>
  </si>
  <si>
    <t>2017_MEM</t>
  </si>
  <si>
    <t>2017_MIA</t>
  </si>
  <si>
    <t>2017_MIL</t>
  </si>
  <si>
    <t>2017_MIN</t>
  </si>
  <si>
    <t>2017_NO</t>
  </si>
  <si>
    <t>2017_NY</t>
  </si>
  <si>
    <t>2017_OKC</t>
  </si>
  <si>
    <t>2017_ORL</t>
  </si>
  <si>
    <t>2017_PHI</t>
  </si>
  <si>
    <t>2017_PHX</t>
  </si>
  <si>
    <t>2017_POR</t>
  </si>
  <si>
    <t>2017_SAC</t>
  </si>
  <si>
    <t>2017_SA</t>
  </si>
  <si>
    <t>2017_TOR</t>
  </si>
  <si>
    <t>2017_UTAH</t>
  </si>
  <si>
    <t>2017_WSH</t>
  </si>
  <si>
    <t>tm</t>
  </si>
  <si>
    <t>t</t>
  </si>
  <si>
    <t>w_pick</t>
  </si>
  <si>
    <t>w_pick_rank</t>
  </si>
  <si>
    <t>confidence_rank</t>
  </si>
  <si>
    <t>date</t>
  </si>
  <si>
    <t>tm_home</t>
  </si>
  <si>
    <t>tm_away</t>
  </si>
  <si>
    <t>WAS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</si>
</sst>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0" fontId="0" fillId="0" borderId="0" xfId="0" applyFont="1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nba_win_totals!$M$41</c:f>
              <c:strCache>
                <c:ptCount val="1"/>
                <c:pt idx="0">
                  <c:v>logistic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nba_win_totals!$K$42:$K$71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nba_win_totals!$M$42:$M$71</c:f>
              <c:numCache>
                <c:formatCode>General</c:formatCode>
                <c:ptCount val="30"/>
                <c:pt idx="0">
                  <c:v>66.419871586744335</c:v>
                </c:pt>
                <c:pt idx="1">
                  <c:v>65.118629512322315</c:v>
                </c:pt>
                <c:pt idx="2">
                  <c:v>63.738588616324677</c:v>
                </c:pt>
                <c:pt idx="3">
                  <c:v>62.279895189827116</c:v>
                </c:pt>
                <c:pt idx="4">
                  <c:v>60.743541732936627</c:v>
                </c:pt>
                <c:pt idx="5">
                  <c:v>59.131444597874776</c:v>
                </c:pt>
                <c:pt idx="6">
                  <c:v>57.446505682865784</c:v>
                </c:pt>
                <c:pt idx="7">
                  <c:v>55.692653332382221</c:v>
                </c:pt>
                <c:pt idx="8">
                  <c:v>53.874857939226899</c:v>
                </c:pt>
                <c:pt idx="9">
                  <c:v>51.999118462885654</c:v>
                </c:pt>
                <c:pt idx="10">
                  <c:v>50.072417183836201</c:v>
                </c:pt>
                <c:pt idx="11">
                  <c:v>48.102641471221062</c:v>
                </c:pt>
                <c:pt idx="12">
                  <c:v>46.098473072635443</c:v>
                </c:pt>
                <c:pt idx="13">
                  <c:v>44.069247318187465</c:v>
                </c:pt>
                <c:pt idx="14">
                  <c:v>42.024786511705251</c:v>
                </c:pt>
                <c:pt idx="15">
                  <c:v>39.975213488294749</c:v>
                </c:pt>
                <c:pt idx="16">
                  <c:v>37.930752681812535</c:v>
                </c:pt>
                <c:pt idx="17">
                  <c:v>35.901526927364557</c:v>
                </c:pt>
                <c:pt idx="18">
                  <c:v>33.897358528778931</c:v>
                </c:pt>
                <c:pt idx="19">
                  <c:v>31.927582816163792</c:v>
                </c:pt>
                <c:pt idx="20">
                  <c:v>30.000881537114346</c:v>
                </c:pt>
                <c:pt idx="21">
                  <c:v>28.125142060773101</c:v>
                </c:pt>
                <c:pt idx="22">
                  <c:v>26.307346667617779</c:v>
                </c:pt>
                <c:pt idx="23">
                  <c:v>24.553494317134216</c:v>
                </c:pt>
                <c:pt idx="24">
                  <c:v>22.868555402125224</c:v>
                </c:pt>
                <c:pt idx="25">
                  <c:v>21.256458267063365</c:v>
                </c:pt>
                <c:pt idx="26">
                  <c:v>19.720104810172892</c:v>
                </c:pt>
                <c:pt idx="27">
                  <c:v>18.26141138367533</c:v>
                </c:pt>
                <c:pt idx="28">
                  <c:v>16.881370487677671</c:v>
                </c:pt>
                <c:pt idx="29">
                  <c:v>15.580128413255665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2321976"/>
        <c:axId val="792321584"/>
      </c:scatterChart>
      <c:valAx>
        <c:axId val="792321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2321584"/>
        <c:crosses val="autoZero"/>
        <c:crossBetween val="midCat"/>
      </c:valAx>
      <c:valAx>
        <c:axId val="79232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2321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nba_win_totals!$P$42:$AS$42</c:f>
              <c:numCache>
                <c:formatCode>General</c:formatCode>
                <c:ptCount val="30"/>
                <c:pt idx="0">
                  <c:v>0.5</c:v>
                </c:pt>
                <c:pt idx="1">
                  <c:v>0.5049462403157613</c:v>
                </c:pt>
                <c:pt idx="2">
                  <c:v>0.5103000717980084</c:v>
                </c:pt>
                <c:pt idx="3">
                  <c:v>0.51608385353216846</c:v>
                </c:pt>
                <c:pt idx="4">
                  <c:v>0.52231903699980808</c:v>
                </c:pt>
                <c:pt idx="5">
                  <c:v>0.52902568929724392</c:v>
                </c:pt>
                <c:pt idx="6">
                  <c:v>0.53622195991228083</c:v>
                </c:pt>
                <c:pt idx="7">
                  <c:v>0.54392349704285703</c:v>
                </c:pt>
                <c:pt idx="8">
                  <c:v>0.5521428232847434</c:v>
                </c:pt>
                <c:pt idx="9">
                  <c:v>0.56088868482079979</c:v>
                </c:pt>
                <c:pt idx="10">
                  <c:v>0.57016539281455259</c:v>
                </c:pt>
                <c:pt idx="11">
                  <c:v>0.57997218025704711</c:v>
                </c:pt>
                <c:pt idx="12">
                  <c:v>0.59030260165854143</c:v>
                </c:pt>
                <c:pt idx="13">
                  <c:v>0.60114400626087006</c:v>
                </c:pt>
                <c:pt idx="14">
                  <c:v>0.6124771173739717</c:v>
                </c:pt>
                <c:pt idx="15">
                  <c:v>0.6242757505189197</c:v>
                </c:pt>
                <c:pt idx="16">
                  <c:v>0.63650670086846906</c:v>
                </c:pt>
                <c:pt idx="17">
                  <c:v>0.64912982573812106</c:v>
                </c:pt>
                <c:pt idx="18">
                  <c:v>0.66209834053688055</c:v>
                </c:pt>
                <c:pt idx="19">
                  <c:v>0.67535933685315919</c:v>
                </c:pt>
                <c:pt idx="20">
                  <c:v>0.68885451974663314</c:v>
                </c:pt>
                <c:pt idx="21">
                  <c:v>0.70252114864958182</c:v>
                </c:pt>
                <c:pt idx="22">
                  <c:v>0.71629315358675483</c:v>
                </c:pt>
                <c:pt idx="23">
                  <c:v>0.73010238685598194</c:v>
                </c:pt>
                <c:pt idx="24">
                  <c:v>0.74387996100574205</c:v>
                </c:pt>
                <c:pt idx="25">
                  <c:v>0.75755761785984232</c:v>
                </c:pt>
                <c:pt idx="26">
                  <c:v>0.77106907112086653</c:v>
                </c:pt>
                <c:pt idx="27">
                  <c:v>0.7843512669729592</c:v>
                </c:pt>
                <c:pt idx="28">
                  <c:v>0.7973455128964857</c:v>
                </c:pt>
                <c:pt idx="29">
                  <c:v>0.80999843398468707</c:v>
                </c:pt>
              </c:numCache>
            </c:numRef>
          </c:xVal>
          <c:yVal>
            <c:numRef>
              <c:f>nba_win_totals!$P$43:$AS$43</c:f>
              <c:numCache>
                <c:formatCode>General</c:formatCode>
                <c:ptCount val="30"/>
                <c:pt idx="0">
                  <c:v>0.4950537596842387</c:v>
                </c:pt>
                <c:pt idx="1">
                  <c:v>0.5</c:v>
                </c:pt>
                <c:pt idx="2">
                  <c:v>0.50535492274332605</c:v>
                </c:pt>
                <c:pt idx="3">
                  <c:v>0.51114115853826414</c:v>
                </c:pt>
                <c:pt idx="4">
                  <c:v>0.5173804715749748</c:v>
                </c:pt>
                <c:pt idx="5">
                  <c:v>0.52409328508382835</c:v>
                </c:pt>
                <c:pt idx="6">
                  <c:v>0.53129814941760756</c:v>
                </c:pt>
                <c:pt idx="7">
                  <c:v>0.53901115838682301</c:v>
                </c:pt>
                <c:pt idx="8">
                  <c:v>0.54724532331096509</c:v>
                </c:pt>
                <c:pt idx="9">
                  <c:v>0.55600991854886872</c:v>
                </c:pt>
                <c:pt idx="10">
                  <c:v>0.56530981686525417</c:v>
                </c:pt>
                <c:pt idx="11">
                  <c:v>0.57514483759670265</c:v>
                </c:pt>
                <c:pt idx="12">
                  <c:v>0.58550913482554334</c:v>
                </c:pt>
                <c:pt idx="13">
                  <c:v>0.59639065620265419</c:v>
                </c:pt>
                <c:pt idx="14">
                  <c:v>0.60777070518004639</c:v>
                </c:pt>
                <c:pt idx="15">
                  <c:v>0.61962363972112011</c:v>
                </c:pt>
                <c:pt idx="16">
                  <c:v>0.6319167386141652</c:v>
                </c:pt>
                <c:pt idx="17">
                  <c:v>0.64461026202429994</c:v>
                </c:pt>
                <c:pt idx="18">
                  <c:v>0.65765772579365422</c:v>
                </c:pt>
                <c:pt idx="19">
                  <c:v>0.67100639942449314</c:v>
                </c:pt>
                <c:pt idx="20">
                  <c:v>0.68459802614500498</c:v>
                </c:pt>
                <c:pt idx="21">
                  <c:v>0.69836975074817398</c:v>
                </c:pt>
                <c:pt idx="22">
                  <c:v>0.71225522803452535</c:v>
                </c:pt>
                <c:pt idx="23">
                  <c:v>0.72618587283790192</c:v>
                </c:pt>
                <c:pt idx="24">
                  <c:v>0.74009220292294864</c:v>
                </c:pt>
                <c:pt idx="25">
                  <c:v>0.7539052195077891</c:v>
                </c:pt>
                <c:pt idx="26">
                  <c:v>0.76755776747904569</c:v>
                </c:pt>
                <c:pt idx="27">
                  <c:v>0.78098581881899864</c:v>
                </c:pt>
                <c:pt idx="28">
                  <c:v>0.79412962819905275</c:v>
                </c:pt>
                <c:pt idx="29">
                  <c:v>0.80693471852907617</c:v>
                </c:pt>
              </c:numCache>
            </c:numRef>
          </c:yVal>
          <c:smooth val="0"/>
        </c:ser>
        <c:ser>
          <c:idx val="28"/>
          <c:order val="28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nba_win_totals!$P$42:$AS$42</c:f>
              <c:numCache>
                <c:formatCode>General</c:formatCode>
                <c:ptCount val="30"/>
                <c:pt idx="0">
                  <c:v>0.5</c:v>
                </c:pt>
                <c:pt idx="1">
                  <c:v>0.5049462403157613</c:v>
                </c:pt>
                <c:pt idx="2">
                  <c:v>0.5103000717980084</c:v>
                </c:pt>
                <c:pt idx="3">
                  <c:v>0.51608385353216846</c:v>
                </c:pt>
                <c:pt idx="4">
                  <c:v>0.52231903699980808</c:v>
                </c:pt>
                <c:pt idx="5">
                  <c:v>0.52902568929724392</c:v>
                </c:pt>
                <c:pt idx="6">
                  <c:v>0.53622195991228083</c:v>
                </c:pt>
                <c:pt idx="7">
                  <c:v>0.54392349704285703</c:v>
                </c:pt>
                <c:pt idx="8">
                  <c:v>0.5521428232847434</c:v>
                </c:pt>
                <c:pt idx="9">
                  <c:v>0.56088868482079979</c:v>
                </c:pt>
                <c:pt idx="10">
                  <c:v>0.57016539281455259</c:v>
                </c:pt>
                <c:pt idx="11">
                  <c:v>0.57997218025704711</c:v>
                </c:pt>
                <c:pt idx="12">
                  <c:v>0.59030260165854143</c:v>
                </c:pt>
                <c:pt idx="13">
                  <c:v>0.60114400626087006</c:v>
                </c:pt>
                <c:pt idx="14">
                  <c:v>0.6124771173739717</c:v>
                </c:pt>
                <c:pt idx="15">
                  <c:v>0.6242757505189197</c:v>
                </c:pt>
                <c:pt idx="16">
                  <c:v>0.63650670086846906</c:v>
                </c:pt>
                <c:pt idx="17">
                  <c:v>0.64912982573812106</c:v>
                </c:pt>
                <c:pt idx="18">
                  <c:v>0.66209834053688055</c:v>
                </c:pt>
                <c:pt idx="19">
                  <c:v>0.67535933685315919</c:v>
                </c:pt>
                <c:pt idx="20">
                  <c:v>0.68885451974663314</c:v>
                </c:pt>
                <c:pt idx="21">
                  <c:v>0.70252114864958182</c:v>
                </c:pt>
                <c:pt idx="22">
                  <c:v>0.71629315358675483</c:v>
                </c:pt>
                <c:pt idx="23">
                  <c:v>0.73010238685598194</c:v>
                </c:pt>
                <c:pt idx="24">
                  <c:v>0.74387996100574205</c:v>
                </c:pt>
                <c:pt idx="25">
                  <c:v>0.75755761785984232</c:v>
                </c:pt>
                <c:pt idx="26">
                  <c:v>0.77106907112086653</c:v>
                </c:pt>
                <c:pt idx="27">
                  <c:v>0.7843512669729592</c:v>
                </c:pt>
                <c:pt idx="28">
                  <c:v>0.7973455128964857</c:v>
                </c:pt>
                <c:pt idx="29">
                  <c:v>0.80999843398468707</c:v>
                </c:pt>
              </c:numCache>
            </c:numRef>
          </c:xVal>
          <c:yVal>
            <c:numRef>
              <c:f>nba_win_totals!$P$71:$AS$71</c:f>
              <c:numCache>
                <c:formatCode>General</c:formatCode>
                <c:ptCount val="30"/>
                <c:pt idx="0">
                  <c:v>0.19000156601531293</c:v>
                </c:pt>
                <c:pt idx="1">
                  <c:v>0.19306528147092386</c:v>
                </c:pt>
                <c:pt idx="2">
                  <c:v>0.19642436232857072</c:v>
                </c:pt>
                <c:pt idx="3">
                  <c:v>0.20010433714585701</c:v>
                </c:pt>
                <c:pt idx="4">
                  <c:v>0.20413232727688654</c:v>
                </c:pt>
                <c:pt idx="5">
                  <c:v>0.20853701488703166</c:v>
                </c:pt>
                <c:pt idx="6">
                  <c:v>0.21334857625709938</c:v>
                </c:pt>
                <c:pt idx="7">
                  <c:v>0.21859857341977834</c:v>
                </c:pt>
                <c:pt idx="8">
                  <c:v>0.22431979662607437</c:v>
                </c:pt>
                <c:pt idx="9">
                  <c:v>0.2305460497630403</c:v>
                </c:pt>
                <c:pt idx="10">
                  <c:v>0.23731187072121385</c:v>
                </c:pt>
                <c:pt idx="11">
                  <c:v>0.24465217894131619</c:v>
                </c:pt>
                <c:pt idx="12">
                  <c:v>0.25260184306901956</c:v>
                </c:pt>
                <c:pt idx="13">
                  <c:v>0.26119516293684975</c:v>
                </c:pt>
                <c:pt idx="14">
                  <c:v>0.27046526209701249</c:v>
                </c:pt>
                <c:pt idx="15">
                  <c:v>0.28044338995996454</c:v>
                </c:pt>
                <c:pt idx="16">
                  <c:v>0.29115813633447341</c:v>
                </c:pt>
                <c:pt idx="17">
                  <c:v>0.30263456585015008</c:v>
                </c:pt>
                <c:pt idx="18">
                  <c:v>0.31489328533416783</c:v>
                </c:pt>
                <c:pt idx="19">
                  <c:v>0.32794946357271715</c:v>
                </c:pt>
                <c:pt idx="20">
                  <c:v>0.34181182975585189</c:v>
                </c:pt>
                <c:pt idx="21">
                  <c:v>0.35648168388556095</c:v>
                </c:pt>
                <c:pt idx="22">
                  <c:v>0.37195195898474726</c:v>
                </c:pt>
                <c:pt idx="23">
                  <c:v>0.38820638041873345</c:v>
                </c:pt>
                <c:pt idx="24">
                  <c:v>0.40521877128660083</c:v>
                </c:pt>
                <c:pt idx="25">
                  <c:v>0.42295255389609093</c:v>
                </c:pt>
                <c:pt idx="26">
                  <c:v>0.44136049511750025</c:v>
                </c:pt>
                <c:pt idx="27">
                  <c:v>0.46038473741873248</c:v>
                </c:pt>
                <c:pt idx="28">
                  <c:v>0.47995714741341472</c:v>
                </c:pt>
                <c:pt idx="29">
                  <c:v>0.5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9001000"/>
        <c:axId val="729000608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nba_win_totals!$P$42:$AS$42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0.5</c:v>
                      </c:pt>
                      <c:pt idx="1">
                        <c:v>0.5049462403157613</c:v>
                      </c:pt>
                      <c:pt idx="2">
                        <c:v>0.5103000717980084</c:v>
                      </c:pt>
                      <c:pt idx="3">
                        <c:v>0.51608385353216846</c:v>
                      </c:pt>
                      <c:pt idx="4">
                        <c:v>0.52231903699980808</c:v>
                      </c:pt>
                      <c:pt idx="5">
                        <c:v>0.52902568929724392</c:v>
                      </c:pt>
                      <c:pt idx="6">
                        <c:v>0.53622195991228083</c:v>
                      </c:pt>
                      <c:pt idx="7">
                        <c:v>0.54392349704285703</c:v>
                      </c:pt>
                      <c:pt idx="8">
                        <c:v>0.5521428232847434</c:v>
                      </c:pt>
                      <c:pt idx="9">
                        <c:v>0.56088868482079979</c:v>
                      </c:pt>
                      <c:pt idx="10">
                        <c:v>0.57016539281455259</c:v>
                      </c:pt>
                      <c:pt idx="11">
                        <c:v>0.57997218025704711</c:v>
                      </c:pt>
                      <c:pt idx="12">
                        <c:v>0.59030260165854143</c:v>
                      </c:pt>
                      <c:pt idx="13">
                        <c:v>0.60114400626087006</c:v>
                      </c:pt>
                      <c:pt idx="14">
                        <c:v>0.6124771173739717</c:v>
                      </c:pt>
                      <c:pt idx="15">
                        <c:v>0.6242757505189197</c:v>
                      </c:pt>
                      <c:pt idx="16">
                        <c:v>0.63650670086846906</c:v>
                      </c:pt>
                      <c:pt idx="17">
                        <c:v>0.64912982573812106</c:v>
                      </c:pt>
                      <c:pt idx="18">
                        <c:v>0.66209834053688055</c:v>
                      </c:pt>
                      <c:pt idx="19">
                        <c:v>0.67535933685315919</c:v>
                      </c:pt>
                      <c:pt idx="20">
                        <c:v>0.68885451974663314</c:v>
                      </c:pt>
                      <c:pt idx="21">
                        <c:v>0.70252114864958182</c:v>
                      </c:pt>
                      <c:pt idx="22">
                        <c:v>0.71629315358675483</c:v>
                      </c:pt>
                      <c:pt idx="23">
                        <c:v>0.73010238685598194</c:v>
                      </c:pt>
                      <c:pt idx="24">
                        <c:v>0.74387996100574205</c:v>
                      </c:pt>
                      <c:pt idx="25">
                        <c:v>0.75755761785984232</c:v>
                      </c:pt>
                      <c:pt idx="26">
                        <c:v>0.77106907112086653</c:v>
                      </c:pt>
                      <c:pt idx="27">
                        <c:v>0.7843512669729592</c:v>
                      </c:pt>
                      <c:pt idx="28">
                        <c:v>0.7973455128964857</c:v>
                      </c:pt>
                      <c:pt idx="29">
                        <c:v>0.80999843398468707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nba_win_totals!$P$44:$AS$44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0.48969992820199154</c:v>
                      </c:pt>
                      <c:pt idx="1">
                        <c:v>0.49464507725667389</c:v>
                      </c:pt>
                      <c:pt idx="2">
                        <c:v>0.5</c:v>
                      </c:pt>
                      <c:pt idx="3">
                        <c:v>0.5057876169528488</c:v>
                      </c:pt>
                      <c:pt idx="4">
                        <c:v>0.51203002742234893</c:v>
                      </c:pt>
                      <c:pt idx="5">
                        <c:v>0.51874803765381217</c:v>
                      </c:pt>
                      <c:pt idx="6">
                        <c:v>0.52596063059506537</c:v>
                      </c:pt>
                      <c:pt idx="7">
                        <c:v>0.53368438254790151</c:v>
                      </c:pt>
                      <c:pt idx="8">
                        <c:v>0.54193283576822526</c:v>
                      </c:pt>
                      <c:pt idx="9">
                        <c:v>0.55071584036741195</c:v>
                      </c:pt>
                      <c:pt idx="10">
                        <c:v>0.5600388834823441</c:v>
                      </c:pt>
                      <c:pt idx="11">
                        <c:v>0.56990242834804428</c:v>
                      </c:pt>
                      <c:pt idx="12">
                        <c:v>0.58030129025866994</c:v>
                      </c:pt>
                      <c:pt idx="13">
                        <c:v>0.59122407999213222</c:v>
                      </c:pt>
                      <c:pt idx="14">
                        <c:v>0.60265274759969689</c:v>
                      </c:pt>
                      <c:pt idx="15">
                        <c:v>0.61456226001655523</c:v>
                      </c:pt>
                      <c:pt idx="16">
                        <c:v>0.62692044428040861</c:v>
                      </c:pt>
                      <c:pt idx="17">
                        <c:v>0.63968802393025326</c:v>
                      </c:pt>
                      <c:pt idx="18">
                        <c:v>0.65281886927975719</c:v>
                      </c:pt>
                      <c:pt idx="19">
                        <c:v>0.66626047287054802</c:v>
                      </c:pt>
                      <c:pt idx="20">
                        <c:v>0.67995464996754418</c:v>
                      </c:pt>
                      <c:pt idx="21">
                        <c:v>0.69383845122039145</c:v>
                      </c:pt>
                      <c:pt idx="22">
                        <c:v>0.70784526159162375</c:v>
                      </c:pt>
                      <c:pt idx="23">
                        <c:v>0.72190604750327503</c:v>
                      </c:pt>
                      <c:pt idx="24">
                        <c:v>0.73595070405215601</c:v>
                      </c:pt>
                      <c:pt idx="25">
                        <c:v>0.7499094471207608</c:v>
                      </c:pt>
                      <c:pt idx="26">
                        <c:v>0.76371419200876312</c:v>
                      </c:pt>
                      <c:pt idx="27">
                        <c:v>0.77729986117469119</c:v>
                      </c:pt>
                      <c:pt idx="28">
                        <c:v>0.79060556870414478</c:v>
                      </c:pt>
                      <c:pt idx="29">
                        <c:v>0.80357563767142925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nba_win_totals!$P$42:$AS$42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0.5</c:v>
                      </c:pt>
                      <c:pt idx="1">
                        <c:v>0.5049462403157613</c:v>
                      </c:pt>
                      <c:pt idx="2">
                        <c:v>0.5103000717980084</c:v>
                      </c:pt>
                      <c:pt idx="3">
                        <c:v>0.51608385353216846</c:v>
                      </c:pt>
                      <c:pt idx="4">
                        <c:v>0.52231903699980808</c:v>
                      </c:pt>
                      <c:pt idx="5">
                        <c:v>0.52902568929724392</c:v>
                      </c:pt>
                      <c:pt idx="6">
                        <c:v>0.53622195991228083</c:v>
                      </c:pt>
                      <c:pt idx="7">
                        <c:v>0.54392349704285703</c:v>
                      </c:pt>
                      <c:pt idx="8">
                        <c:v>0.5521428232847434</c:v>
                      </c:pt>
                      <c:pt idx="9">
                        <c:v>0.56088868482079979</c:v>
                      </c:pt>
                      <c:pt idx="10">
                        <c:v>0.57016539281455259</c:v>
                      </c:pt>
                      <c:pt idx="11">
                        <c:v>0.57997218025704711</c:v>
                      </c:pt>
                      <c:pt idx="12">
                        <c:v>0.59030260165854143</c:v>
                      </c:pt>
                      <c:pt idx="13">
                        <c:v>0.60114400626087006</c:v>
                      </c:pt>
                      <c:pt idx="14">
                        <c:v>0.6124771173739717</c:v>
                      </c:pt>
                      <c:pt idx="15">
                        <c:v>0.6242757505189197</c:v>
                      </c:pt>
                      <c:pt idx="16">
                        <c:v>0.63650670086846906</c:v>
                      </c:pt>
                      <c:pt idx="17">
                        <c:v>0.64912982573812106</c:v>
                      </c:pt>
                      <c:pt idx="18">
                        <c:v>0.66209834053688055</c:v>
                      </c:pt>
                      <c:pt idx="19">
                        <c:v>0.67535933685315919</c:v>
                      </c:pt>
                      <c:pt idx="20">
                        <c:v>0.68885451974663314</c:v>
                      </c:pt>
                      <c:pt idx="21">
                        <c:v>0.70252114864958182</c:v>
                      </c:pt>
                      <c:pt idx="22">
                        <c:v>0.71629315358675483</c:v>
                      </c:pt>
                      <c:pt idx="23">
                        <c:v>0.73010238685598194</c:v>
                      </c:pt>
                      <c:pt idx="24">
                        <c:v>0.74387996100574205</c:v>
                      </c:pt>
                      <c:pt idx="25">
                        <c:v>0.75755761785984232</c:v>
                      </c:pt>
                      <c:pt idx="26">
                        <c:v>0.77106907112086653</c:v>
                      </c:pt>
                      <c:pt idx="27">
                        <c:v>0.7843512669729592</c:v>
                      </c:pt>
                      <c:pt idx="28">
                        <c:v>0.7973455128964857</c:v>
                      </c:pt>
                      <c:pt idx="29">
                        <c:v>0.80999843398468707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nba_win_totals!$P$45:$AS$45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0.4839161464678316</c:v>
                      </c:pt>
                      <c:pt idx="1">
                        <c:v>0.48885884146173592</c:v>
                      </c:pt>
                      <c:pt idx="2">
                        <c:v>0.4942123830471512</c:v>
                      </c:pt>
                      <c:pt idx="3">
                        <c:v>0.5</c:v>
                      </c:pt>
                      <c:pt idx="4">
                        <c:v>0.50624414946988938</c:v>
                      </c:pt>
                      <c:pt idx="5">
                        <c:v>0.51296604830099757</c:v>
                      </c:pt>
                      <c:pt idx="6">
                        <c:v>0.52018514492931578</c:v>
                      </c:pt>
                      <c:pt idx="7">
                        <c:v>0.52791853672723188</c:v>
                      </c:pt>
                      <c:pt idx="8">
                        <c:v>0.53618034141599769</c:v>
                      </c:pt>
                      <c:pt idx="9">
                        <c:v>0.54498103544271093</c:v>
                      </c:pt>
                      <c:pt idx="10">
                        <c:v>0.55432677685080056</c:v>
                      </c:pt>
                      <c:pt idx="11">
                        <c:v>0.56421873489889152</c:v>
                      </c:pt>
                      <c:pt idx="12">
                        <c:v>0.57465245314454594</c:v>
                      </c:pt>
                      <c:pt idx="13">
                        <c:v>0.58561727646401696</c:v>
                      </c:pt>
                      <c:pt idx="14">
                        <c:v>0.59709587502544614</c:v>
                      </c:pt>
                      <c:pt idx="15">
                        <c:v>0.60906389905536606</c:v>
                      </c:pt>
                      <c:pt idx="16">
                        <c:v>0.62148979686870964</c:v>
                      </c:pt>
                      <c:pt idx="17">
                        <c:v>0.63433482472364633</c:v>
                      </c:pt>
                      <c:pt idx="18">
                        <c:v>0.64755327046501754</c:v>
                      </c:pt>
                      <c:pt idx="19">
                        <c:v>0.66109290374875085</c:v>
                      </c:pt>
                      <c:pt idx="20">
                        <c:v>0.67489565431501664</c:v>
                      </c:pt>
                      <c:pt idx="21">
                        <c:v>0.68889850702886168</c:v>
                      </c:pt>
                      <c:pt idx="22">
                        <c:v>0.70303458922502959</c:v>
                      </c:pt>
                      <c:pt idx="23">
                        <c:v>0.71723441343763528</c:v>
                      </c:pt>
                      <c:pt idx="24">
                        <c:v>0.73142722805708205</c:v>
                      </c:pt>
                      <c:pt idx="25">
                        <c:v>0.74554242090501455</c:v>
                      </c:pt>
                      <c:pt idx="26">
                        <c:v>0.7595109169491111</c:v>
                      </c:pt>
                      <c:pt idx="27">
                        <c:v>0.77326651179901251</c:v>
                      </c:pt>
                      <c:pt idx="28">
                        <c:v>0.78674708718717667</c:v>
                      </c:pt>
                      <c:pt idx="29">
                        <c:v>0.79989566285414293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3"/>
                <c:order val="3"/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nba_win_totals!$P$42:$AS$42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0.5</c:v>
                      </c:pt>
                      <c:pt idx="1">
                        <c:v>0.5049462403157613</c:v>
                      </c:pt>
                      <c:pt idx="2">
                        <c:v>0.5103000717980084</c:v>
                      </c:pt>
                      <c:pt idx="3">
                        <c:v>0.51608385353216846</c:v>
                      </c:pt>
                      <c:pt idx="4">
                        <c:v>0.52231903699980808</c:v>
                      </c:pt>
                      <c:pt idx="5">
                        <c:v>0.52902568929724392</c:v>
                      </c:pt>
                      <c:pt idx="6">
                        <c:v>0.53622195991228083</c:v>
                      </c:pt>
                      <c:pt idx="7">
                        <c:v>0.54392349704285703</c:v>
                      </c:pt>
                      <c:pt idx="8">
                        <c:v>0.5521428232847434</c:v>
                      </c:pt>
                      <c:pt idx="9">
                        <c:v>0.56088868482079979</c:v>
                      </c:pt>
                      <c:pt idx="10">
                        <c:v>0.57016539281455259</c:v>
                      </c:pt>
                      <c:pt idx="11">
                        <c:v>0.57997218025704711</c:v>
                      </c:pt>
                      <c:pt idx="12">
                        <c:v>0.59030260165854143</c:v>
                      </c:pt>
                      <c:pt idx="13">
                        <c:v>0.60114400626087006</c:v>
                      </c:pt>
                      <c:pt idx="14">
                        <c:v>0.6124771173739717</c:v>
                      </c:pt>
                      <c:pt idx="15">
                        <c:v>0.6242757505189197</c:v>
                      </c:pt>
                      <c:pt idx="16">
                        <c:v>0.63650670086846906</c:v>
                      </c:pt>
                      <c:pt idx="17">
                        <c:v>0.64912982573812106</c:v>
                      </c:pt>
                      <c:pt idx="18">
                        <c:v>0.66209834053688055</c:v>
                      </c:pt>
                      <c:pt idx="19">
                        <c:v>0.67535933685315919</c:v>
                      </c:pt>
                      <c:pt idx="20">
                        <c:v>0.68885451974663314</c:v>
                      </c:pt>
                      <c:pt idx="21">
                        <c:v>0.70252114864958182</c:v>
                      </c:pt>
                      <c:pt idx="22">
                        <c:v>0.71629315358675483</c:v>
                      </c:pt>
                      <c:pt idx="23">
                        <c:v>0.73010238685598194</c:v>
                      </c:pt>
                      <c:pt idx="24">
                        <c:v>0.74387996100574205</c:v>
                      </c:pt>
                      <c:pt idx="25">
                        <c:v>0.75755761785984232</c:v>
                      </c:pt>
                      <c:pt idx="26">
                        <c:v>0.77106907112086653</c:v>
                      </c:pt>
                      <c:pt idx="27">
                        <c:v>0.7843512669729592</c:v>
                      </c:pt>
                      <c:pt idx="28">
                        <c:v>0.7973455128964857</c:v>
                      </c:pt>
                      <c:pt idx="29">
                        <c:v>0.80999843398468707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nba_win_totals!$P$46:$AS$46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0.47768096300019181</c:v>
                      </c:pt>
                      <c:pt idx="1">
                        <c:v>0.48261952842502509</c:v>
                      </c:pt>
                      <c:pt idx="2">
                        <c:v>0.48796997257765107</c:v>
                      </c:pt>
                      <c:pt idx="3">
                        <c:v>0.49375585053011067</c:v>
                      </c:pt>
                      <c:pt idx="4">
                        <c:v>0.5</c:v>
                      </c:pt>
                      <c:pt idx="5">
                        <c:v>0.50672407640828865</c:v>
                      </c:pt>
                      <c:pt idx="6">
                        <c:v>0.51394802744461043</c:v>
                      </c:pt>
                      <c:pt idx="7">
                        <c:v>0.52168951157207144</c:v>
                      </c:pt>
                      <c:pt idx="8">
                        <c:v>0.52996326860851239</c:v>
                      </c:pt>
                      <c:pt idx="9">
                        <c:v>0.5387804547757824</c:v>
                      </c:pt>
                      <c:pt idx="10">
                        <c:v>0.54814795925339088</c:v>
                      </c:pt>
                      <c:pt idx="11">
                        <c:v>0.55806772405609117</c:v>
                      </c:pt>
                      <c:pt idx="12">
                        <c:v>0.56853609362829716</c:v>
                      </c:pt>
                      <c:pt idx="13">
                        <c:v>0.57954322447528805</c:v>
                      </c:pt>
                      <c:pt idx="14">
                        <c:v>0.59107258793132766</c:v>
                      </c:pt>
                      <c:pt idx="15">
                        <c:v>0.60310060027560763</c:v>
                      </c:pt>
                      <c:pt idx="16">
                        <c:v>0.61559641336393578</c:v>
                      </c:pt>
                      <c:pt idx="17">
                        <c:v>0.62852189537414238</c:v>
                      </c:pt>
                      <c:pt idx="18">
                        <c:v>0.64183182498221436</c:v>
                      </c:pt>
                      <c:pt idx="19">
                        <c:v>0.65547431336880524</c:v>
                      </c:pt>
                      <c:pt idx="20">
                        <c:v>0.66939145728180804</c:v>
                      </c:pt>
                      <c:pt idx="21">
                        <c:v>0.68352021364398963</c:v>
                      </c:pt>
                      <c:pt idx="22">
                        <c:v>0.69779347286419835</c:v>
                      </c:pt>
                      <c:pt idx="23">
                        <c:v>0.71214129524124503</c:v>
                      </c:pt>
                      <c:pt idx="24">
                        <c:v>0.72649226385047183</c:v>
                      </c:pt>
                      <c:pt idx="25">
                        <c:v>0.740774899182154</c:v>
                      </c:pt>
                      <c:pt idx="26">
                        <c:v>0.75491907641039391</c:v>
                      </c:pt>
                      <c:pt idx="27">
                        <c:v>0.76885738598285935</c:v>
                      </c:pt>
                      <c:pt idx="28">
                        <c:v>0.7825263822559968</c:v>
                      </c:pt>
                      <c:pt idx="29">
                        <c:v>0.79586767272311343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nba_win_totals!$P$42:$AS$42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0.5</c:v>
                      </c:pt>
                      <c:pt idx="1">
                        <c:v>0.5049462403157613</c:v>
                      </c:pt>
                      <c:pt idx="2">
                        <c:v>0.5103000717980084</c:v>
                      </c:pt>
                      <c:pt idx="3">
                        <c:v>0.51608385353216846</c:v>
                      </c:pt>
                      <c:pt idx="4">
                        <c:v>0.52231903699980808</c:v>
                      </c:pt>
                      <c:pt idx="5">
                        <c:v>0.52902568929724392</c:v>
                      </c:pt>
                      <c:pt idx="6">
                        <c:v>0.53622195991228083</c:v>
                      </c:pt>
                      <c:pt idx="7">
                        <c:v>0.54392349704285703</c:v>
                      </c:pt>
                      <c:pt idx="8">
                        <c:v>0.5521428232847434</c:v>
                      </c:pt>
                      <c:pt idx="9">
                        <c:v>0.56088868482079979</c:v>
                      </c:pt>
                      <c:pt idx="10">
                        <c:v>0.57016539281455259</c:v>
                      </c:pt>
                      <c:pt idx="11">
                        <c:v>0.57997218025704711</c:v>
                      </c:pt>
                      <c:pt idx="12">
                        <c:v>0.59030260165854143</c:v>
                      </c:pt>
                      <c:pt idx="13">
                        <c:v>0.60114400626087006</c:v>
                      </c:pt>
                      <c:pt idx="14">
                        <c:v>0.6124771173739717</c:v>
                      </c:pt>
                      <c:pt idx="15">
                        <c:v>0.6242757505189197</c:v>
                      </c:pt>
                      <c:pt idx="16">
                        <c:v>0.63650670086846906</c:v>
                      </c:pt>
                      <c:pt idx="17">
                        <c:v>0.64912982573812106</c:v>
                      </c:pt>
                      <c:pt idx="18">
                        <c:v>0.66209834053688055</c:v>
                      </c:pt>
                      <c:pt idx="19">
                        <c:v>0.67535933685315919</c:v>
                      </c:pt>
                      <c:pt idx="20">
                        <c:v>0.68885451974663314</c:v>
                      </c:pt>
                      <c:pt idx="21">
                        <c:v>0.70252114864958182</c:v>
                      </c:pt>
                      <c:pt idx="22">
                        <c:v>0.71629315358675483</c:v>
                      </c:pt>
                      <c:pt idx="23">
                        <c:v>0.73010238685598194</c:v>
                      </c:pt>
                      <c:pt idx="24">
                        <c:v>0.74387996100574205</c:v>
                      </c:pt>
                      <c:pt idx="25">
                        <c:v>0.75755761785984232</c:v>
                      </c:pt>
                      <c:pt idx="26">
                        <c:v>0.77106907112086653</c:v>
                      </c:pt>
                      <c:pt idx="27">
                        <c:v>0.7843512669729592</c:v>
                      </c:pt>
                      <c:pt idx="28">
                        <c:v>0.7973455128964857</c:v>
                      </c:pt>
                      <c:pt idx="29">
                        <c:v>0.80999843398468707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nba_win_totals!$P$47:$AS$47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0.47097431070275608</c:v>
                      </c:pt>
                      <c:pt idx="1">
                        <c:v>0.4759067149161717</c:v>
                      </c:pt>
                      <c:pt idx="2">
                        <c:v>0.48125196234618794</c:v>
                      </c:pt>
                      <c:pt idx="3">
                        <c:v>0.48703395169900238</c:v>
                      </c:pt>
                      <c:pt idx="4">
                        <c:v>0.49327592359171141</c:v>
                      </c:pt>
                      <c:pt idx="5">
                        <c:v>0.5</c:v>
                      </c:pt>
                      <c:pt idx="6">
                        <c:v>0.50722666212157341</c:v>
                      </c:pt>
                      <c:pt idx="7">
                        <c:v>0.51497417061173534</c:v>
                      </c:pt>
                      <c:pt idx="8">
                        <c:v>0.5232579357992978</c:v>
                      </c:pt>
                      <c:pt idx="9">
                        <c:v>0.53208984971618267</c:v>
                      </c:pt>
                      <c:pt idx="10">
                        <c:v>0.54147759642487181</c:v>
                      </c:pt>
                      <c:pt idx="11">
                        <c:v>0.55142396196460963</c:v>
                      </c:pt>
                      <c:pt idx="12">
                        <c:v>0.56192616992273725</c:v>
                      </c:pt>
                      <c:pt idx="13">
                        <c:v>0.57297527274302607</c:v>
                      </c:pt>
                      <c:pt idx="14">
                        <c:v>0.58455563190980453</c:v>
                      </c:pt>
                      <c:pt idx="15">
                        <c:v>0.5966445215664743</c:v>
                      </c:pt>
                      <c:pt idx="16">
                        <c:v>0.60921188943915972</c:v>
                      </c:pt>
                      <c:pt idx="17">
                        <c:v>0.62222030574062748</c:v>
                      </c:pt>
                      <c:pt idx="18">
                        <c:v>0.63562512480538425</c:v>
                      </c:pt>
                      <c:pt idx="19">
                        <c:v>0.64937487558491624</c:v>
                      </c:pt>
                      <c:pt idx="20">
                        <c:v>0.66341188614691138</c:v>
                      </c:pt>
                      <c:pt idx="21">
                        <c:v>0.67767313462764645</c:v>
                      </c:pt>
                      <c:pt idx="22">
                        <c:v>0.69209130562404242</c:v>
                      </c:pt>
                      <c:pt idx="23">
                        <c:v>0.70659601792777893</c:v>
                      </c:pt>
                      <c:pt idx="24">
                        <c:v>0.72111517802286307</c:v>
                      </c:pt>
                      <c:pt idx="25">
                        <c:v>0.73557640503724908</c:v>
                      </c:pt>
                      <c:pt idx="26">
                        <c:v>0.74990846776994036</c:v>
                      </c:pt>
                      <c:pt idx="27">
                        <c:v>0.7640426735507897</c:v>
                      </c:pt>
                      <c:pt idx="28">
                        <c:v>0.77791415212451098</c:v>
                      </c:pt>
                      <c:pt idx="29">
                        <c:v>0.79146298511296831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5"/>
                <c:order val="5"/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nba_win_totals!$P$42:$AS$42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0.5</c:v>
                      </c:pt>
                      <c:pt idx="1">
                        <c:v>0.5049462403157613</c:v>
                      </c:pt>
                      <c:pt idx="2">
                        <c:v>0.5103000717980084</c:v>
                      </c:pt>
                      <c:pt idx="3">
                        <c:v>0.51608385353216846</c:v>
                      </c:pt>
                      <c:pt idx="4">
                        <c:v>0.52231903699980808</c:v>
                      </c:pt>
                      <c:pt idx="5">
                        <c:v>0.52902568929724392</c:v>
                      </c:pt>
                      <c:pt idx="6">
                        <c:v>0.53622195991228083</c:v>
                      </c:pt>
                      <c:pt idx="7">
                        <c:v>0.54392349704285703</c:v>
                      </c:pt>
                      <c:pt idx="8">
                        <c:v>0.5521428232847434</c:v>
                      </c:pt>
                      <c:pt idx="9">
                        <c:v>0.56088868482079979</c:v>
                      </c:pt>
                      <c:pt idx="10">
                        <c:v>0.57016539281455259</c:v>
                      </c:pt>
                      <c:pt idx="11">
                        <c:v>0.57997218025704711</c:v>
                      </c:pt>
                      <c:pt idx="12">
                        <c:v>0.59030260165854143</c:v>
                      </c:pt>
                      <c:pt idx="13">
                        <c:v>0.60114400626087006</c:v>
                      </c:pt>
                      <c:pt idx="14">
                        <c:v>0.6124771173739717</c:v>
                      </c:pt>
                      <c:pt idx="15">
                        <c:v>0.6242757505189197</c:v>
                      </c:pt>
                      <c:pt idx="16">
                        <c:v>0.63650670086846906</c:v>
                      </c:pt>
                      <c:pt idx="17">
                        <c:v>0.64912982573812106</c:v>
                      </c:pt>
                      <c:pt idx="18">
                        <c:v>0.66209834053688055</c:v>
                      </c:pt>
                      <c:pt idx="19">
                        <c:v>0.67535933685315919</c:v>
                      </c:pt>
                      <c:pt idx="20">
                        <c:v>0.68885451974663314</c:v>
                      </c:pt>
                      <c:pt idx="21">
                        <c:v>0.70252114864958182</c:v>
                      </c:pt>
                      <c:pt idx="22">
                        <c:v>0.71629315358675483</c:v>
                      </c:pt>
                      <c:pt idx="23">
                        <c:v>0.73010238685598194</c:v>
                      </c:pt>
                      <c:pt idx="24">
                        <c:v>0.74387996100574205</c:v>
                      </c:pt>
                      <c:pt idx="25">
                        <c:v>0.75755761785984232</c:v>
                      </c:pt>
                      <c:pt idx="26">
                        <c:v>0.77106907112086653</c:v>
                      </c:pt>
                      <c:pt idx="27">
                        <c:v>0.7843512669729592</c:v>
                      </c:pt>
                      <c:pt idx="28">
                        <c:v>0.7973455128964857</c:v>
                      </c:pt>
                      <c:pt idx="29">
                        <c:v>0.80999843398468707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nba_win_totals!$P$48:$AS$48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0.46377804008771911</c:v>
                      </c:pt>
                      <c:pt idx="1">
                        <c:v>0.46870185058239244</c:v>
                      </c:pt>
                      <c:pt idx="2">
                        <c:v>0.47403936940493457</c:v>
                      </c:pt>
                      <c:pt idx="3">
                        <c:v>0.47981485507068428</c:v>
                      </c:pt>
                      <c:pt idx="4">
                        <c:v>0.48605197255538951</c:v>
                      </c:pt>
                      <c:pt idx="5">
                        <c:v>0.49277333787842664</c:v>
                      </c:pt>
                      <c:pt idx="6">
                        <c:v>0.5</c:v>
                      </c:pt>
                      <c:pt idx="7">
                        <c:v>0.50775086347533838</c:v>
                      </c:pt>
                      <c:pt idx="8">
                        <c:v>0.51604205889789367</c:v>
                      </c:pt>
                      <c:pt idx="9">
                        <c:v>0.52488627234984619</c:v>
                      </c:pt>
                      <c:pt idx="10">
                        <c:v>0.53429204972678024</c:v>
                      </c:pt>
                      <c:pt idx="11">
                        <c:v>0.54426309668804806</c:v>
                      </c:pt>
                      <c:pt idx="12">
                        <c:v>0.55479759978041154</c:v>
                      </c:pt>
                      <c:pt idx="13">
                        <c:v>0.56588759857073379</c:v>
                      </c:pt>
                      <c:pt idx="14">
                        <c:v>0.57751844190882151</c:v>
                      </c:pt>
                      <c:pt idx="15">
                        <c:v>0.58966836319053073</c:v>
                      </c:pt>
                      <c:pt idx="16">
                        <c:v>0.60230820918773997</c:v>
                      </c:pt>
                      <c:pt idx="17">
                        <c:v>0.61540135422811282</c:v>
                      </c:pt>
                      <c:pt idx="18">
                        <c:v>0.62890382598399397</c:v>
                      </c:pt>
                      <c:pt idx="19">
                        <c:v>0.64276466085010253</c:v>
                      </c:pt>
                      <c:pt idx="20">
                        <c:v>0.65692649613824394</c:v>
                      </c:pt>
                      <c:pt idx="21">
                        <c:v>0.67132639370189251</c:v>
                      </c:pt>
                      <c:pt idx="22">
                        <c:v>0.68589687603228333</c:v>
                      </c:pt>
                      <c:pt idx="23">
                        <c:v>0.700567142473973</c:v>
                      </c:pt>
                      <c:pt idx="24">
                        <c:v>0.71526442122822687</c:v>
                      </c:pt>
                      <c:pt idx="25">
                        <c:v>0.72991540343275085</c:v>
                      </c:pt>
                      <c:pt idx="26">
                        <c:v>0.74444769979948933</c:v>
                      </c:pt>
                      <c:pt idx="27">
                        <c:v>0.75879125867873198</c:v>
                      </c:pt>
                      <c:pt idx="28">
                        <c:v>0.77287968717222877</c:v>
                      </c:pt>
                      <c:pt idx="29">
                        <c:v>0.78665142374290065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nba_win_totals!$P$42:$AS$42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0.5</c:v>
                      </c:pt>
                      <c:pt idx="1">
                        <c:v>0.5049462403157613</c:v>
                      </c:pt>
                      <c:pt idx="2">
                        <c:v>0.5103000717980084</c:v>
                      </c:pt>
                      <c:pt idx="3">
                        <c:v>0.51608385353216846</c:v>
                      </c:pt>
                      <c:pt idx="4">
                        <c:v>0.52231903699980808</c:v>
                      </c:pt>
                      <c:pt idx="5">
                        <c:v>0.52902568929724392</c:v>
                      </c:pt>
                      <c:pt idx="6">
                        <c:v>0.53622195991228083</c:v>
                      </c:pt>
                      <c:pt idx="7">
                        <c:v>0.54392349704285703</c:v>
                      </c:pt>
                      <c:pt idx="8">
                        <c:v>0.5521428232847434</c:v>
                      </c:pt>
                      <c:pt idx="9">
                        <c:v>0.56088868482079979</c:v>
                      </c:pt>
                      <c:pt idx="10">
                        <c:v>0.57016539281455259</c:v>
                      </c:pt>
                      <c:pt idx="11">
                        <c:v>0.57997218025704711</c:v>
                      </c:pt>
                      <c:pt idx="12">
                        <c:v>0.59030260165854143</c:v>
                      </c:pt>
                      <c:pt idx="13">
                        <c:v>0.60114400626087006</c:v>
                      </c:pt>
                      <c:pt idx="14">
                        <c:v>0.6124771173739717</c:v>
                      </c:pt>
                      <c:pt idx="15">
                        <c:v>0.6242757505189197</c:v>
                      </c:pt>
                      <c:pt idx="16">
                        <c:v>0.63650670086846906</c:v>
                      </c:pt>
                      <c:pt idx="17">
                        <c:v>0.64912982573812106</c:v>
                      </c:pt>
                      <c:pt idx="18">
                        <c:v>0.66209834053688055</c:v>
                      </c:pt>
                      <c:pt idx="19">
                        <c:v>0.67535933685315919</c:v>
                      </c:pt>
                      <c:pt idx="20">
                        <c:v>0.68885451974663314</c:v>
                      </c:pt>
                      <c:pt idx="21">
                        <c:v>0.70252114864958182</c:v>
                      </c:pt>
                      <c:pt idx="22">
                        <c:v>0.71629315358675483</c:v>
                      </c:pt>
                      <c:pt idx="23">
                        <c:v>0.73010238685598194</c:v>
                      </c:pt>
                      <c:pt idx="24">
                        <c:v>0.74387996100574205</c:v>
                      </c:pt>
                      <c:pt idx="25">
                        <c:v>0.75755761785984232</c:v>
                      </c:pt>
                      <c:pt idx="26">
                        <c:v>0.77106907112086653</c:v>
                      </c:pt>
                      <c:pt idx="27">
                        <c:v>0.7843512669729592</c:v>
                      </c:pt>
                      <c:pt idx="28">
                        <c:v>0.7973455128964857</c:v>
                      </c:pt>
                      <c:pt idx="29">
                        <c:v>0.80999843398468707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nba_win_totals!$P$49:$AS$49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0.45607650295714297</c:v>
                      </c:pt>
                      <c:pt idx="1">
                        <c:v>0.46098884161317694</c:v>
                      </c:pt>
                      <c:pt idx="2">
                        <c:v>0.46631561745209843</c:v>
                      </c:pt>
                      <c:pt idx="3">
                        <c:v>0.47208146327276818</c:v>
                      </c:pt>
                      <c:pt idx="4">
                        <c:v>0.4783104884279285</c:v>
                      </c:pt>
                      <c:pt idx="5">
                        <c:v>0.48502582938826466</c:v>
                      </c:pt>
                      <c:pt idx="6">
                        <c:v>0.49224913652466168</c:v>
                      </c:pt>
                      <c:pt idx="7">
                        <c:v>0.5</c:v>
                      </c:pt>
                      <c:pt idx="8">
                        <c:v>0.50829532117713783</c:v>
                      </c:pt>
                      <c:pt idx="9">
                        <c:v>0.51714864008607053</c:v>
                      </c:pt>
                      <c:pt idx="10">
                        <c:v>0.52656943412940949</c:v>
                      </c:pt>
                      <c:pt idx="11">
                        <c:v>0.53656240812997658</c:v>
                      </c:pt>
                      <c:pt idx="12">
                        <c:v>0.54712680072707121</c:v>
                      </c:pt>
                      <c:pt idx="13">
                        <c:v>0.55825573660082617</c:v>
                      </c:pt>
                      <c:pt idx="14">
                        <c:v>0.56993565755756936</c:v>
                      </c:pt>
                      <c:pt idx="15">
                        <c:v>0.58214586760645959</c:v>
                      </c:pt>
                      <c:pt idx="16">
                        <c:v>0.59485822726785176</c:v>
                      </c:pt>
                      <c:pt idx="17">
                        <c:v>0.60803703002141152</c:v>
                      </c:pt>
                      <c:pt idx="18">
                        <c:v>0.62163908872665263</c:v>
                      </c:pt>
                      <c:pt idx="19">
                        <c:v>0.63561405196357035</c:v>
                      </c:pt>
                      <c:pt idx="20">
                        <c:v>0.64990495977551932</c:v>
                      </c:pt>
                      <c:pt idx="21">
                        <c:v>0.66444903580618586</c:v>
                      </c:pt>
                      <c:pt idx="22">
                        <c:v>0.67917869917539297</c:v>
                      </c:pt>
                      <c:pt idx="23">
                        <c:v>0.69402276574852906</c:v>
                      </c:pt>
                      <c:pt idx="24">
                        <c:v>0.70890779596571585</c:v>
                      </c:pt>
                      <c:pt idx="25">
                        <c:v>0.72375953633210599</c:v>
                      </c:pt>
                      <c:pt idx="26">
                        <c:v>0.73850439506674237</c:v>
                      </c:pt>
                      <c:pt idx="27">
                        <c:v>0.75307088996677884</c:v>
                      </c:pt>
                      <c:pt idx="28">
                        <c:v>0.76739100853036124</c:v>
                      </c:pt>
                      <c:pt idx="29">
                        <c:v>0.78140142658022171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>
                        <a:lumMod val="60000"/>
                      </a:schemeClr>
                    </a:solidFill>
                    <a:ln w="9525">
                      <a:solidFill>
                        <a:schemeClr val="accent2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nba_win_totals!$P$42:$AS$42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0.5</c:v>
                      </c:pt>
                      <c:pt idx="1">
                        <c:v>0.5049462403157613</c:v>
                      </c:pt>
                      <c:pt idx="2">
                        <c:v>0.5103000717980084</c:v>
                      </c:pt>
                      <c:pt idx="3">
                        <c:v>0.51608385353216846</c:v>
                      </c:pt>
                      <c:pt idx="4">
                        <c:v>0.52231903699980808</c:v>
                      </c:pt>
                      <c:pt idx="5">
                        <c:v>0.52902568929724392</c:v>
                      </c:pt>
                      <c:pt idx="6">
                        <c:v>0.53622195991228083</c:v>
                      </c:pt>
                      <c:pt idx="7">
                        <c:v>0.54392349704285703</c:v>
                      </c:pt>
                      <c:pt idx="8">
                        <c:v>0.5521428232847434</c:v>
                      </c:pt>
                      <c:pt idx="9">
                        <c:v>0.56088868482079979</c:v>
                      </c:pt>
                      <c:pt idx="10">
                        <c:v>0.57016539281455259</c:v>
                      </c:pt>
                      <c:pt idx="11">
                        <c:v>0.57997218025704711</c:v>
                      </c:pt>
                      <c:pt idx="12">
                        <c:v>0.59030260165854143</c:v>
                      </c:pt>
                      <c:pt idx="13">
                        <c:v>0.60114400626087006</c:v>
                      </c:pt>
                      <c:pt idx="14">
                        <c:v>0.6124771173739717</c:v>
                      </c:pt>
                      <c:pt idx="15">
                        <c:v>0.6242757505189197</c:v>
                      </c:pt>
                      <c:pt idx="16">
                        <c:v>0.63650670086846906</c:v>
                      </c:pt>
                      <c:pt idx="17">
                        <c:v>0.64912982573812106</c:v>
                      </c:pt>
                      <c:pt idx="18">
                        <c:v>0.66209834053688055</c:v>
                      </c:pt>
                      <c:pt idx="19">
                        <c:v>0.67535933685315919</c:v>
                      </c:pt>
                      <c:pt idx="20">
                        <c:v>0.68885451974663314</c:v>
                      </c:pt>
                      <c:pt idx="21">
                        <c:v>0.70252114864958182</c:v>
                      </c:pt>
                      <c:pt idx="22">
                        <c:v>0.71629315358675483</c:v>
                      </c:pt>
                      <c:pt idx="23">
                        <c:v>0.73010238685598194</c:v>
                      </c:pt>
                      <c:pt idx="24">
                        <c:v>0.74387996100574205</c:v>
                      </c:pt>
                      <c:pt idx="25">
                        <c:v>0.75755761785984232</c:v>
                      </c:pt>
                      <c:pt idx="26">
                        <c:v>0.77106907112086653</c:v>
                      </c:pt>
                      <c:pt idx="27">
                        <c:v>0.7843512669729592</c:v>
                      </c:pt>
                      <c:pt idx="28">
                        <c:v>0.7973455128964857</c:v>
                      </c:pt>
                      <c:pt idx="29">
                        <c:v>0.80999843398468707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nba_win_totals!$P$50:$AS$50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0.44785717671525666</c:v>
                      </c:pt>
                      <c:pt idx="1">
                        <c:v>0.45275467668903496</c:v>
                      </c:pt>
                      <c:pt idx="2">
                        <c:v>0.45806716423177474</c:v>
                      </c:pt>
                      <c:pt idx="3">
                        <c:v>0.46381965858400226</c:v>
                      </c:pt>
                      <c:pt idx="4">
                        <c:v>0.47003673139148761</c:v>
                      </c:pt>
                      <c:pt idx="5">
                        <c:v>0.4767420642007022</c:v>
                      </c:pt>
                      <c:pt idx="6">
                        <c:v>0.48395794110210644</c:v>
                      </c:pt>
                      <c:pt idx="7">
                        <c:v>0.49170467882286228</c:v>
                      </c:pt>
                      <c:pt idx="8">
                        <c:v>0.5</c:v>
                      </c:pt>
                      <c:pt idx="9">
                        <c:v>0.50885835943866475</c:v>
                      </c:pt>
                      <c:pt idx="10">
                        <c:v>0.51829023777145189</c:v>
                      </c:pt>
                      <c:pt idx="11">
                        <c:v>0.5283014218890254</c:v>
                      </c:pt>
                      <c:pt idx="12">
                        <c:v>0.53889229651490134</c:v>
                      </c:pt>
                      <c:pt idx="13">
                        <c:v>0.55005717595392067</c:v>
                      </c:pt>
                      <c:pt idx="14">
                        <c:v>0.56178370887279372</c:v>
                      </c:pt>
                      <c:pt idx="15">
                        <c:v>0.57405239143406794</c:v>
                      </c:pt>
                      <c:pt idx="16">
                        <c:v>0.58683622465749607</c:v>
                      </c:pt>
                      <c:pt idx="17">
                        <c:v>0.60010055004203433</c:v>
                      </c:pt>
                      <c:pt idx="18">
                        <c:v>0.61380309290543011</c:v>
                      </c:pt>
                      <c:pt idx="19">
                        <c:v>0.62789423546604783</c:v>
                      </c:pt>
                      <c:pt idx="20">
                        <c:v>0.64231753157208638</c:v>
                      </c:pt>
                      <c:pt idx="21">
                        <c:v>0.65701046267349883</c:v>
                      </c:pt>
                      <c:pt idx="22">
                        <c:v>0.67190542095206907</c:v>
                      </c:pt>
                      <c:pt idx="23">
                        <c:v>0.68693089156233367</c:v>
                      </c:pt>
                      <c:pt idx="24">
                        <c:v>0.70201279293629204</c:v>
                      </c:pt>
                      <c:pt idx="25">
                        <c:v>0.71707592332471737</c:v>
                      </c:pt>
                      <c:pt idx="26">
                        <c:v>0.73204545428846324</c:v>
                      </c:pt>
                      <c:pt idx="27">
                        <c:v>0.74684840850402012</c:v>
                      </c:pt>
                      <c:pt idx="28">
                        <c:v>0.76141506037002604</c:v>
                      </c:pt>
                      <c:pt idx="29">
                        <c:v>0.77568020337392563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60000"/>
                      </a:schemeClr>
                    </a:solidFill>
                    <a:ln w="9525">
                      <a:solidFill>
                        <a:schemeClr val="accent3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nba_win_totals!$P$42:$AS$42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0.5</c:v>
                      </c:pt>
                      <c:pt idx="1">
                        <c:v>0.5049462403157613</c:v>
                      </c:pt>
                      <c:pt idx="2">
                        <c:v>0.5103000717980084</c:v>
                      </c:pt>
                      <c:pt idx="3">
                        <c:v>0.51608385353216846</c:v>
                      </c:pt>
                      <c:pt idx="4">
                        <c:v>0.52231903699980808</c:v>
                      </c:pt>
                      <c:pt idx="5">
                        <c:v>0.52902568929724392</c:v>
                      </c:pt>
                      <c:pt idx="6">
                        <c:v>0.53622195991228083</c:v>
                      </c:pt>
                      <c:pt idx="7">
                        <c:v>0.54392349704285703</c:v>
                      </c:pt>
                      <c:pt idx="8">
                        <c:v>0.5521428232847434</c:v>
                      </c:pt>
                      <c:pt idx="9">
                        <c:v>0.56088868482079979</c:v>
                      </c:pt>
                      <c:pt idx="10">
                        <c:v>0.57016539281455259</c:v>
                      </c:pt>
                      <c:pt idx="11">
                        <c:v>0.57997218025704711</c:v>
                      </c:pt>
                      <c:pt idx="12">
                        <c:v>0.59030260165854143</c:v>
                      </c:pt>
                      <c:pt idx="13">
                        <c:v>0.60114400626087006</c:v>
                      </c:pt>
                      <c:pt idx="14">
                        <c:v>0.6124771173739717</c:v>
                      </c:pt>
                      <c:pt idx="15">
                        <c:v>0.6242757505189197</c:v>
                      </c:pt>
                      <c:pt idx="16">
                        <c:v>0.63650670086846906</c:v>
                      </c:pt>
                      <c:pt idx="17">
                        <c:v>0.64912982573812106</c:v>
                      </c:pt>
                      <c:pt idx="18">
                        <c:v>0.66209834053688055</c:v>
                      </c:pt>
                      <c:pt idx="19">
                        <c:v>0.67535933685315919</c:v>
                      </c:pt>
                      <c:pt idx="20">
                        <c:v>0.68885451974663314</c:v>
                      </c:pt>
                      <c:pt idx="21">
                        <c:v>0.70252114864958182</c:v>
                      </c:pt>
                      <c:pt idx="22">
                        <c:v>0.71629315358675483</c:v>
                      </c:pt>
                      <c:pt idx="23">
                        <c:v>0.73010238685598194</c:v>
                      </c:pt>
                      <c:pt idx="24">
                        <c:v>0.74387996100574205</c:v>
                      </c:pt>
                      <c:pt idx="25">
                        <c:v>0.75755761785984232</c:v>
                      </c:pt>
                      <c:pt idx="26">
                        <c:v>0.77106907112086653</c:v>
                      </c:pt>
                      <c:pt idx="27">
                        <c:v>0.7843512669729592</c:v>
                      </c:pt>
                      <c:pt idx="28">
                        <c:v>0.7973455128964857</c:v>
                      </c:pt>
                      <c:pt idx="29">
                        <c:v>0.80999843398468707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nba_win_totals!$P$51:$AS$51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0.43911131517920021</c:v>
                      </c:pt>
                      <c:pt idx="1">
                        <c:v>0.44399008145113128</c:v>
                      </c:pt>
                      <c:pt idx="2">
                        <c:v>0.44928415963258811</c:v>
                      </c:pt>
                      <c:pt idx="3">
                        <c:v>0.45501896455728896</c:v>
                      </c:pt>
                      <c:pt idx="4">
                        <c:v>0.46121954522421765</c:v>
                      </c:pt>
                      <c:pt idx="5">
                        <c:v>0.46791015028381738</c:v>
                      </c:pt>
                      <c:pt idx="6">
                        <c:v>0.47511372765015386</c:v>
                      </c:pt>
                      <c:pt idx="7">
                        <c:v>0.48285135991392952</c:v>
                      </c:pt>
                      <c:pt idx="8">
                        <c:v>0.49114164056133519</c:v>
                      </c:pt>
                      <c:pt idx="9">
                        <c:v>0.5</c:v>
                      </c:pt>
                      <c:pt idx="10">
                        <c:v>0.50943799496520714</c:v>
                      </c:pt>
                      <c:pt idx="11">
                        <c:v>0.51946257984989219</c:v>
                      </c:pt>
                      <c:pt idx="12">
                        <c:v>0.53007538359447692</c:v>
                      </c:pt>
                      <c:pt idx="13">
                        <c:v>0.54127202060858037</c:v>
                      </c:pt>
                      <c:pt idx="14">
                        <c:v>0.55304146830466083</c:v>
                      </c:pt>
                      <c:pt idx="15">
                        <c:v>0.5653655466667219</c:v>
                      </c:pt>
                      <c:pt idx="16">
                        <c:v>0.57821853629945141</c:v>
                      </c:pt>
                      <c:pt idx="17">
                        <c:v>0.59156697009477588</c:v>
                      </c:pt>
                      <c:pt idx="18">
                        <c:v>0.60536962962906693</c:v>
                      </c:pt>
                      <c:pt idx="19">
                        <c:v>0.61957777048799778</c:v>
                      </c:pt>
                      <c:pt idx="20">
                        <c:v>0.63413559101080075</c:v>
                      </c:pt>
                      <c:pt idx="21">
                        <c:v>0.64898094688226893</c:v>
                      </c:pt>
                      <c:pt idx="22">
                        <c:v>0.6640463003434689</c:v>
                      </c:pt>
                      <c:pt idx="23">
                        <c:v>0.67925987859237846</c:v>
                      </c:pt>
                      <c:pt idx="24">
                        <c:v>0.69454700244383094</c:v>
                      </c:pt>
                      <c:pt idx="25">
                        <c:v>0.70983153480009242</c:v>
                      </c:pt>
                      <c:pt idx="26">
                        <c:v>0.72503739011377732</c:v>
                      </c:pt>
                      <c:pt idx="27">
                        <c:v>0.74009004168406278</c:v>
                      </c:pt>
                      <c:pt idx="28">
                        <c:v>0.75491796378225895</c:v>
                      </c:pt>
                      <c:pt idx="29">
                        <c:v>0.76945395023695973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>
                        <a:lumMod val="60000"/>
                      </a:schemeClr>
                    </a:solidFill>
                    <a:ln w="9525">
                      <a:solidFill>
                        <a:schemeClr val="accent4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nba_win_totals!$P$42:$AS$42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0.5</c:v>
                      </c:pt>
                      <c:pt idx="1">
                        <c:v>0.5049462403157613</c:v>
                      </c:pt>
                      <c:pt idx="2">
                        <c:v>0.5103000717980084</c:v>
                      </c:pt>
                      <c:pt idx="3">
                        <c:v>0.51608385353216846</c:v>
                      </c:pt>
                      <c:pt idx="4">
                        <c:v>0.52231903699980808</c:v>
                      </c:pt>
                      <c:pt idx="5">
                        <c:v>0.52902568929724392</c:v>
                      </c:pt>
                      <c:pt idx="6">
                        <c:v>0.53622195991228083</c:v>
                      </c:pt>
                      <c:pt idx="7">
                        <c:v>0.54392349704285703</c:v>
                      </c:pt>
                      <c:pt idx="8">
                        <c:v>0.5521428232847434</c:v>
                      </c:pt>
                      <c:pt idx="9">
                        <c:v>0.56088868482079979</c:v>
                      </c:pt>
                      <c:pt idx="10">
                        <c:v>0.57016539281455259</c:v>
                      </c:pt>
                      <c:pt idx="11">
                        <c:v>0.57997218025704711</c:v>
                      </c:pt>
                      <c:pt idx="12">
                        <c:v>0.59030260165854143</c:v>
                      </c:pt>
                      <c:pt idx="13">
                        <c:v>0.60114400626087006</c:v>
                      </c:pt>
                      <c:pt idx="14">
                        <c:v>0.6124771173739717</c:v>
                      </c:pt>
                      <c:pt idx="15">
                        <c:v>0.6242757505189197</c:v>
                      </c:pt>
                      <c:pt idx="16">
                        <c:v>0.63650670086846906</c:v>
                      </c:pt>
                      <c:pt idx="17">
                        <c:v>0.64912982573812106</c:v>
                      </c:pt>
                      <c:pt idx="18">
                        <c:v>0.66209834053688055</c:v>
                      </c:pt>
                      <c:pt idx="19">
                        <c:v>0.67535933685315919</c:v>
                      </c:pt>
                      <c:pt idx="20">
                        <c:v>0.68885451974663314</c:v>
                      </c:pt>
                      <c:pt idx="21">
                        <c:v>0.70252114864958182</c:v>
                      </c:pt>
                      <c:pt idx="22">
                        <c:v>0.71629315358675483</c:v>
                      </c:pt>
                      <c:pt idx="23">
                        <c:v>0.73010238685598194</c:v>
                      </c:pt>
                      <c:pt idx="24">
                        <c:v>0.74387996100574205</c:v>
                      </c:pt>
                      <c:pt idx="25">
                        <c:v>0.75755761785984232</c:v>
                      </c:pt>
                      <c:pt idx="26">
                        <c:v>0.77106907112086653</c:v>
                      </c:pt>
                      <c:pt idx="27">
                        <c:v>0.7843512669729592</c:v>
                      </c:pt>
                      <c:pt idx="28">
                        <c:v>0.7973455128964857</c:v>
                      </c:pt>
                      <c:pt idx="29">
                        <c:v>0.80999843398468707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nba_win_totals!$P$52:$AS$52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0.42983460718544747</c:v>
                      </c:pt>
                      <c:pt idx="1">
                        <c:v>0.43469018313474578</c:v>
                      </c:pt>
                      <c:pt idx="2">
                        <c:v>0.43996111651765601</c:v>
                      </c:pt>
                      <c:pt idx="3">
                        <c:v>0.44567322314919933</c:v>
                      </c:pt>
                      <c:pt idx="4">
                        <c:v>0.45185204074660917</c:v>
                      </c:pt>
                      <c:pt idx="5">
                        <c:v>0.45852240357512825</c:v>
                      </c:pt>
                      <c:pt idx="6">
                        <c:v>0.46570795027321976</c:v>
                      </c:pt>
                      <c:pt idx="7">
                        <c:v>0.47343056587059051</c:v>
                      </c:pt>
                      <c:pt idx="8">
                        <c:v>0.48170976222854806</c:v>
                      </c:pt>
                      <c:pt idx="9">
                        <c:v>0.4905620050347928</c:v>
                      </c:pt>
                      <c:pt idx="10">
                        <c:v>0.5</c:v>
                      </c:pt>
                      <c:pt idx="11">
                        <c:v>0.51003195587351791</c:v>
                      </c:pt>
                      <c:pt idx="12">
                        <c:v>0.52066084706402804</c:v>
                      </c:pt>
                      <c:pt idx="13">
                        <c:v>0.53188370365769178</c:v>
                      </c:pt>
                      <c:pt idx="14">
                        <c:v>0.54369096101297021</c:v>
                      </c:pt>
                      <c:pt idx="15">
                        <c:v>0.55606590434514591</c:v>
                      </c:pt>
                      <c:pt idx="16">
                        <c:v>0.56898424522980195</c:v>
                      </c:pt>
                      <c:pt idx="17">
                        <c:v>0.5824138662182502</c:v>
                      </c:pt>
                      <c:pt idx="18">
                        <c:v>0.59631476634173763</c:v>
                      </c:pt>
                      <c:pt idx="19">
                        <c:v>0.61063923394922204</c:v>
                      </c:pt>
                      <c:pt idx="20">
                        <c:v>0.6253322641088489</c:v>
                      </c:pt>
                      <c:pt idx="21">
                        <c:v>0.64033222606353968</c:v>
                      </c:pt>
                      <c:pt idx="22">
                        <c:v>0.65557177266505795</c:v>
                      </c:pt>
                      <c:pt idx="23">
                        <c:v>0.67097896932468382</c:v>
                      </c:pt>
                      <c:pt idx="24">
                        <c:v>0.68647860603758082</c:v>
                      </c:pt>
                      <c:pt idx="25">
                        <c:v>0.7019936437705987</c:v>
                      </c:pt>
                      <c:pt idx="26">
                        <c:v>0.71744673717528584</c:v>
                      </c:pt>
                      <c:pt idx="27">
                        <c:v>0.73276177017311905</c:v>
                      </c:pt>
                      <c:pt idx="28">
                        <c:v>0.7478653400387083</c:v>
                      </c:pt>
                      <c:pt idx="29">
                        <c:v>0.76268812927878615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>
                        <a:lumMod val="60000"/>
                      </a:schemeClr>
                    </a:solidFill>
                    <a:ln w="9525">
                      <a:solidFill>
                        <a:schemeClr val="accent5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nba_win_totals!$P$42:$AS$42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0.5</c:v>
                      </c:pt>
                      <c:pt idx="1">
                        <c:v>0.5049462403157613</c:v>
                      </c:pt>
                      <c:pt idx="2">
                        <c:v>0.5103000717980084</c:v>
                      </c:pt>
                      <c:pt idx="3">
                        <c:v>0.51608385353216846</c:v>
                      </c:pt>
                      <c:pt idx="4">
                        <c:v>0.52231903699980808</c:v>
                      </c:pt>
                      <c:pt idx="5">
                        <c:v>0.52902568929724392</c:v>
                      </c:pt>
                      <c:pt idx="6">
                        <c:v>0.53622195991228083</c:v>
                      </c:pt>
                      <c:pt idx="7">
                        <c:v>0.54392349704285703</c:v>
                      </c:pt>
                      <c:pt idx="8">
                        <c:v>0.5521428232847434</c:v>
                      </c:pt>
                      <c:pt idx="9">
                        <c:v>0.56088868482079979</c:v>
                      </c:pt>
                      <c:pt idx="10">
                        <c:v>0.57016539281455259</c:v>
                      </c:pt>
                      <c:pt idx="11">
                        <c:v>0.57997218025704711</c:v>
                      </c:pt>
                      <c:pt idx="12">
                        <c:v>0.59030260165854143</c:v>
                      </c:pt>
                      <c:pt idx="13">
                        <c:v>0.60114400626087006</c:v>
                      </c:pt>
                      <c:pt idx="14">
                        <c:v>0.6124771173739717</c:v>
                      </c:pt>
                      <c:pt idx="15">
                        <c:v>0.6242757505189197</c:v>
                      </c:pt>
                      <c:pt idx="16">
                        <c:v>0.63650670086846906</c:v>
                      </c:pt>
                      <c:pt idx="17">
                        <c:v>0.64912982573812106</c:v>
                      </c:pt>
                      <c:pt idx="18">
                        <c:v>0.66209834053688055</c:v>
                      </c:pt>
                      <c:pt idx="19">
                        <c:v>0.67535933685315919</c:v>
                      </c:pt>
                      <c:pt idx="20">
                        <c:v>0.68885451974663314</c:v>
                      </c:pt>
                      <c:pt idx="21">
                        <c:v>0.70252114864958182</c:v>
                      </c:pt>
                      <c:pt idx="22">
                        <c:v>0.71629315358675483</c:v>
                      </c:pt>
                      <c:pt idx="23">
                        <c:v>0.73010238685598194</c:v>
                      </c:pt>
                      <c:pt idx="24">
                        <c:v>0.74387996100574205</c:v>
                      </c:pt>
                      <c:pt idx="25">
                        <c:v>0.75755761785984232</c:v>
                      </c:pt>
                      <c:pt idx="26">
                        <c:v>0.77106907112086653</c:v>
                      </c:pt>
                      <c:pt idx="27">
                        <c:v>0.7843512669729592</c:v>
                      </c:pt>
                      <c:pt idx="28">
                        <c:v>0.7973455128964857</c:v>
                      </c:pt>
                      <c:pt idx="29">
                        <c:v>0.80999843398468707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nba_win_totals!$P$53:$AS$53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0.42002781974295289</c:v>
                      </c:pt>
                      <c:pt idx="1">
                        <c:v>0.42485516240329735</c:v>
                      </c:pt>
                      <c:pt idx="2">
                        <c:v>0.43009757165195561</c:v>
                      </c:pt>
                      <c:pt idx="3">
                        <c:v>0.43578126510110854</c:v>
                      </c:pt>
                      <c:pt idx="4">
                        <c:v>0.44193227594390871</c:v>
                      </c:pt>
                      <c:pt idx="5">
                        <c:v>0.44857603803539042</c:v>
                      </c:pt>
                      <c:pt idx="6">
                        <c:v>0.45573690331195188</c:v>
                      </c:pt>
                      <c:pt idx="7">
                        <c:v>0.46343759187002342</c:v>
                      </c:pt>
                      <c:pt idx="8">
                        <c:v>0.47169857811097471</c:v>
                      </c:pt>
                      <c:pt idx="9">
                        <c:v>0.48053742015010775</c:v>
                      </c:pt>
                      <c:pt idx="10">
                        <c:v>0.48996804412648209</c:v>
                      </c:pt>
                      <c:pt idx="11">
                        <c:v>0.5</c:v>
                      </c:pt>
                      <c:pt idx="12">
                        <c:v>0.51063771064859609</c:v>
                      </c:pt>
                      <c:pt idx="13">
                        <c:v>0.52187974124219683</c:v>
                      </c:pt>
                      <c:pt idx="14">
                        <c:v>0.53371812052967493</c:v>
                      </c:pt>
                      <c:pt idx="15">
                        <c:v>0.54613774930521419</c:v>
                      </c:pt>
                      <c:pt idx="16">
                        <c:v>0.55911593335092113</c:v>
                      </c:pt>
                      <c:pt idx="17">
                        <c:v>0.5726220780257254</c:v>
                      </c:pt>
                      <c:pt idx="18">
                        <c:v>0.58661757891733013</c:v>
                      </c:pt>
                      <c:pt idx="19">
                        <c:v>0.60105593729797246</c:v>
                      </c:pt>
                      <c:pt idx="20">
                        <c:v>0.61588312048468585</c:v>
                      </c:pt>
                      <c:pt idx="21">
                        <c:v>0.63103817587758571</c:v>
                      </c:pt>
                      <c:pt idx="22">
                        <c:v>0.64645409405882615</c:v>
                      </c:pt>
                      <c:pt idx="23">
                        <c:v>0.6620589018296037</c:v>
                      </c:pt>
                      <c:pt idx="24">
                        <c:v>0.67777695164228424</c:v>
                      </c:pt>
                      <c:pt idx="25">
                        <c:v>0.69353036087159081</c:v>
                      </c:pt>
                      <c:pt idx="26">
                        <c:v>0.7092405440446935</c:v>
                      </c:pt>
                      <c:pt idx="27">
                        <c:v>0.72482977458288267</c:v>
                      </c:pt>
                      <c:pt idx="28">
                        <c:v>0.74022271049754751</c:v>
                      </c:pt>
                      <c:pt idx="29">
                        <c:v>0.75534782105868381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>
                        <a:lumMod val="60000"/>
                      </a:schemeClr>
                    </a:solidFill>
                    <a:ln w="9525">
                      <a:solidFill>
                        <a:schemeClr val="accent6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nba_win_totals!$P$42:$AS$42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0.5</c:v>
                      </c:pt>
                      <c:pt idx="1">
                        <c:v>0.5049462403157613</c:v>
                      </c:pt>
                      <c:pt idx="2">
                        <c:v>0.5103000717980084</c:v>
                      </c:pt>
                      <c:pt idx="3">
                        <c:v>0.51608385353216846</c:v>
                      </c:pt>
                      <c:pt idx="4">
                        <c:v>0.52231903699980808</c:v>
                      </c:pt>
                      <c:pt idx="5">
                        <c:v>0.52902568929724392</c:v>
                      </c:pt>
                      <c:pt idx="6">
                        <c:v>0.53622195991228083</c:v>
                      </c:pt>
                      <c:pt idx="7">
                        <c:v>0.54392349704285703</c:v>
                      </c:pt>
                      <c:pt idx="8">
                        <c:v>0.5521428232847434</c:v>
                      </c:pt>
                      <c:pt idx="9">
                        <c:v>0.56088868482079979</c:v>
                      </c:pt>
                      <c:pt idx="10">
                        <c:v>0.57016539281455259</c:v>
                      </c:pt>
                      <c:pt idx="11">
                        <c:v>0.57997218025704711</c:v>
                      </c:pt>
                      <c:pt idx="12">
                        <c:v>0.59030260165854143</c:v>
                      </c:pt>
                      <c:pt idx="13">
                        <c:v>0.60114400626087006</c:v>
                      </c:pt>
                      <c:pt idx="14">
                        <c:v>0.6124771173739717</c:v>
                      </c:pt>
                      <c:pt idx="15">
                        <c:v>0.6242757505189197</c:v>
                      </c:pt>
                      <c:pt idx="16">
                        <c:v>0.63650670086846906</c:v>
                      </c:pt>
                      <c:pt idx="17">
                        <c:v>0.64912982573812106</c:v>
                      </c:pt>
                      <c:pt idx="18">
                        <c:v>0.66209834053688055</c:v>
                      </c:pt>
                      <c:pt idx="19">
                        <c:v>0.67535933685315919</c:v>
                      </c:pt>
                      <c:pt idx="20">
                        <c:v>0.68885451974663314</c:v>
                      </c:pt>
                      <c:pt idx="21">
                        <c:v>0.70252114864958182</c:v>
                      </c:pt>
                      <c:pt idx="22">
                        <c:v>0.71629315358675483</c:v>
                      </c:pt>
                      <c:pt idx="23">
                        <c:v>0.73010238685598194</c:v>
                      </c:pt>
                      <c:pt idx="24">
                        <c:v>0.74387996100574205</c:v>
                      </c:pt>
                      <c:pt idx="25">
                        <c:v>0.75755761785984232</c:v>
                      </c:pt>
                      <c:pt idx="26">
                        <c:v>0.77106907112086653</c:v>
                      </c:pt>
                      <c:pt idx="27">
                        <c:v>0.7843512669729592</c:v>
                      </c:pt>
                      <c:pt idx="28">
                        <c:v>0.7973455128964857</c:v>
                      </c:pt>
                      <c:pt idx="29">
                        <c:v>0.80999843398468707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nba_win_totals!$P$54:$AS$54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0.40969739834145852</c:v>
                      </c:pt>
                      <c:pt idx="1">
                        <c:v>0.4144908651744566</c:v>
                      </c:pt>
                      <c:pt idx="2">
                        <c:v>0.41969870974133011</c:v>
                      </c:pt>
                      <c:pt idx="3">
                        <c:v>0.42534754685545401</c:v>
                      </c:pt>
                      <c:pt idx="4">
                        <c:v>0.4314639063717029</c:v>
                      </c:pt>
                      <c:pt idx="5">
                        <c:v>0.4380738300772628</c:v>
                      </c:pt>
                      <c:pt idx="6">
                        <c:v>0.4452024002195884</c:v>
                      </c:pt>
                      <c:pt idx="7">
                        <c:v>0.45287319927292868</c:v>
                      </c:pt>
                      <c:pt idx="8">
                        <c:v>0.46110770348509866</c:v>
                      </c:pt>
                      <c:pt idx="9">
                        <c:v>0.46992461640552319</c:v>
                      </c:pt>
                      <c:pt idx="10">
                        <c:v>0.47933915293597207</c:v>
                      </c:pt>
                      <c:pt idx="11">
                        <c:v>0.4893622893514038</c:v>
                      </c:pt>
                      <c:pt idx="12">
                        <c:v>0.5</c:v>
                      </c:pt>
                      <c:pt idx="13">
                        <c:v>0.51125250669337374</c:v>
                      </c:pt>
                      <c:pt idx="14">
                        <c:v>0.52311357171843698</c:v>
                      </c:pt>
                      <c:pt idx="15">
                        <c:v>0.53556986942813323</c:v>
                      </c:pt>
                      <c:pt idx="16">
                        <c:v>0.54860047392731426</c:v>
                      </c:pt>
                      <c:pt idx="17">
                        <c:v>0.56217650088579807</c:v>
                      </c:pt>
                      <c:pt idx="18">
                        <c:v>0.57626093947400625</c:v>
                      </c:pt>
                      <c:pt idx="19">
                        <c:v>0.59080870547056519</c:v>
                      </c:pt>
                      <c:pt idx="20">
                        <c:v>0.60576693861644582</c:v>
                      </c:pt>
                      <c:pt idx="21">
                        <c:v>0.62107555647590951</c:v>
                      </c:pt>
                      <c:pt idx="22">
                        <c:v>0.63666806394856001</c:v>
                      </c:pt>
                      <c:pt idx="23">
                        <c:v>0.65247260303908339</c:v>
                      </c:pt>
                      <c:pt idx="24">
                        <c:v>0.66841321269200027</c:v>
                      </c:pt>
                      <c:pt idx="25">
                        <c:v>0.68441125476235365</c:v>
                      </c:pt>
                      <c:pt idx="26">
                        <c:v>0.70038695085018321</c:v>
                      </c:pt>
                      <c:pt idx="27">
                        <c:v>0.71626096693707286</c:v>
                      </c:pt>
                      <c:pt idx="28">
                        <c:v>0.73195597935216994</c:v>
                      </c:pt>
                      <c:pt idx="29">
                        <c:v>0.74739815693098044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80000"/>
                        <a:lumOff val="20000"/>
                      </a:schemeClr>
                    </a:solidFill>
                    <a:ln w="9525">
                      <a:solidFill>
                        <a:schemeClr val="accent1">
                          <a:lumMod val="80000"/>
                          <a:lumOff val="2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nba_win_totals!$P$42:$AS$42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0.5</c:v>
                      </c:pt>
                      <c:pt idx="1">
                        <c:v>0.5049462403157613</c:v>
                      </c:pt>
                      <c:pt idx="2">
                        <c:v>0.5103000717980084</c:v>
                      </c:pt>
                      <c:pt idx="3">
                        <c:v>0.51608385353216846</c:v>
                      </c:pt>
                      <c:pt idx="4">
                        <c:v>0.52231903699980808</c:v>
                      </c:pt>
                      <c:pt idx="5">
                        <c:v>0.52902568929724392</c:v>
                      </c:pt>
                      <c:pt idx="6">
                        <c:v>0.53622195991228083</c:v>
                      </c:pt>
                      <c:pt idx="7">
                        <c:v>0.54392349704285703</c:v>
                      </c:pt>
                      <c:pt idx="8">
                        <c:v>0.5521428232847434</c:v>
                      </c:pt>
                      <c:pt idx="9">
                        <c:v>0.56088868482079979</c:v>
                      </c:pt>
                      <c:pt idx="10">
                        <c:v>0.57016539281455259</c:v>
                      </c:pt>
                      <c:pt idx="11">
                        <c:v>0.57997218025704711</c:v>
                      </c:pt>
                      <c:pt idx="12">
                        <c:v>0.59030260165854143</c:v>
                      </c:pt>
                      <c:pt idx="13">
                        <c:v>0.60114400626087006</c:v>
                      </c:pt>
                      <c:pt idx="14">
                        <c:v>0.6124771173739717</c:v>
                      </c:pt>
                      <c:pt idx="15">
                        <c:v>0.6242757505189197</c:v>
                      </c:pt>
                      <c:pt idx="16">
                        <c:v>0.63650670086846906</c:v>
                      </c:pt>
                      <c:pt idx="17">
                        <c:v>0.64912982573812106</c:v>
                      </c:pt>
                      <c:pt idx="18">
                        <c:v>0.66209834053688055</c:v>
                      </c:pt>
                      <c:pt idx="19">
                        <c:v>0.67535933685315919</c:v>
                      </c:pt>
                      <c:pt idx="20">
                        <c:v>0.68885451974663314</c:v>
                      </c:pt>
                      <c:pt idx="21">
                        <c:v>0.70252114864958182</c:v>
                      </c:pt>
                      <c:pt idx="22">
                        <c:v>0.71629315358675483</c:v>
                      </c:pt>
                      <c:pt idx="23">
                        <c:v>0.73010238685598194</c:v>
                      </c:pt>
                      <c:pt idx="24">
                        <c:v>0.74387996100574205</c:v>
                      </c:pt>
                      <c:pt idx="25">
                        <c:v>0.75755761785984232</c:v>
                      </c:pt>
                      <c:pt idx="26">
                        <c:v>0.77106907112086653</c:v>
                      </c:pt>
                      <c:pt idx="27">
                        <c:v>0.7843512669729592</c:v>
                      </c:pt>
                      <c:pt idx="28">
                        <c:v>0.7973455128964857</c:v>
                      </c:pt>
                      <c:pt idx="29">
                        <c:v>0.80999843398468707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nba_win_totals!$P$55:$AS$55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0.39885599373912994</c:v>
                      </c:pt>
                      <c:pt idx="1">
                        <c:v>0.40360934379734575</c:v>
                      </c:pt>
                      <c:pt idx="2">
                        <c:v>0.40877592000786772</c:v>
                      </c:pt>
                      <c:pt idx="3">
                        <c:v>0.4143827235359831</c:v>
                      </c:pt>
                      <c:pt idx="4">
                        <c:v>0.42045677552471189</c:v>
                      </c:pt>
                      <c:pt idx="5">
                        <c:v>0.42702472725697388</c:v>
                      </c:pt>
                      <c:pt idx="6">
                        <c:v>0.43411240142926621</c:v>
                      </c:pt>
                      <c:pt idx="7">
                        <c:v>0.44174426339917383</c:v>
                      </c:pt>
                      <c:pt idx="8">
                        <c:v>0.44994282404607938</c:v>
                      </c:pt>
                      <c:pt idx="9">
                        <c:v>0.45872797939141957</c:v>
                      </c:pt>
                      <c:pt idx="10">
                        <c:v>0.46811629634230822</c:v>
                      </c:pt>
                      <c:pt idx="11">
                        <c:v>0.47812025875780323</c:v>
                      </c:pt>
                      <c:pt idx="12">
                        <c:v>0.4887474933066262</c:v>
                      </c:pt>
                      <c:pt idx="13">
                        <c:v>0.5</c:v>
                      </c:pt>
                      <c:pt idx="14">
                        <c:v>0.51187341744563697</c:v>
                      </c:pt>
                      <c:pt idx="15">
                        <c:v>0.52435635728165053</c:v>
                      </c:pt>
                      <c:pt idx="16">
                        <c:v>0.5374298453437496</c:v>
                      </c:pt>
                      <c:pt idx="17">
                        <c:v>0.5510669083041746</c:v>
                      </c:pt>
                      <c:pt idx="18">
                        <c:v>0.56523234325073746</c:v>
                      </c:pt>
                      <c:pt idx="19">
                        <c:v>0.57988270353223281</c:v>
                      </c:pt>
                      <c:pt idx="20">
                        <c:v>0.59496652698253094</c:v>
                      </c:pt>
                      <c:pt idx="21">
                        <c:v>0.61042482244514229</c:v>
                      </c:pt>
                      <c:pt idx="22">
                        <c:v>0.62619181779493494</c:v>
                      </c:pt>
                      <c:pt idx="23">
                        <c:v>0.64219595819098008</c:v>
                      </c:pt>
                      <c:pt idx="24">
                        <c:v>0.65836112820019976</c:v>
                      </c:pt>
                      <c:pt idx="25">
                        <c:v>0.67460805701786974</c:v>
                      </c:pt>
                      <c:pt idx="26">
                        <c:v>0.69085585364637281</c:v>
                      </c:pt>
                      <c:pt idx="27">
                        <c:v>0.70702360982542323</c:v>
                      </c:pt>
                      <c:pt idx="28">
                        <c:v>0.72303200368785736</c:v>
                      </c:pt>
                      <c:pt idx="29">
                        <c:v>0.73880483706315025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13"/>
                <c:order val="13"/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>
                        <a:lumMod val="80000"/>
                        <a:lumOff val="20000"/>
                      </a:schemeClr>
                    </a:solidFill>
                    <a:ln w="9525">
                      <a:solidFill>
                        <a:schemeClr val="accent2">
                          <a:lumMod val="80000"/>
                          <a:lumOff val="2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nba_win_totals!$P$42:$AS$42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0.5</c:v>
                      </c:pt>
                      <c:pt idx="1">
                        <c:v>0.5049462403157613</c:v>
                      </c:pt>
                      <c:pt idx="2">
                        <c:v>0.5103000717980084</c:v>
                      </c:pt>
                      <c:pt idx="3">
                        <c:v>0.51608385353216846</c:v>
                      </c:pt>
                      <c:pt idx="4">
                        <c:v>0.52231903699980808</c:v>
                      </c:pt>
                      <c:pt idx="5">
                        <c:v>0.52902568929724392</c:v>
                      </c:pt>
                      <c:pt idx="6">
                        <c:v>0.53622195991228083</c:v>
                      </c:pt>
                      <c:pt idx="7">
                        <c:v>0.54392349704285703</c:v>
                      </c:pt>
                      <c:pt idx="8">
                        <c:v>0.5521428232847434</c:v>
                      </c:pt>
                      <c:pt idx="9">
                        <c:v>0.56088868482079979</c:v>
                      </c:pt>
                      <c:pt idx="10">
                        <c:v>0.57016539281455259</c:v>
                      </c:pt>
                      <c:pt idx="11">
                        <c:v>0.57997218025704711</c:v>
                      </c:pt>
                      <c:pt idx="12">
                        <c:v>0.59030260165854143</c:v>
                      </c:pt>
                      <c:pt idx="13">
                        <c:v>0.60114400626087006</c:v>
                      </c:pt>
                      <c:pt idx="14">
                        <c:v>0.6124771173739717</c:v>
                      </c:pt>
                      <c:pt idx="15">
                        <c:v>0.6242757505189197</c:v>
                      </c:pt>
                      <c:pt idx="16">
                        <c:v>0.63650670086846906</c:v>
                      </c:pt>
                      <c:pt idx="17">
                        <c:v>0.64912982573812106</c:v>
                      </c:pt>
                      <c:pt idx="18">
                        <c:v>0.66209834053688055</c:v>
                      </c:pt>
                      <c:pt idx="19">
                        <c:v>0.67535933685315919</c:v>
                      </c:pt>
                      <c:pt idx="20">
                        <c:v>0.68885451974663314</c:v>
                      </c:pt>
                      <c:pt idx="21">
                        <c:v>0.70252114864958182</c:v>
                      </c:pt>
                      <c:pt idx="22">
                        <c:v>0.71629315358675483</c:v>
                      </c:pt>
                      <c:pt idx="23">
                        <c:v>0.73010238685598194</c:v>
                      </c:pt>
                      <c:pt idx="24">
                        <c:v>0.74387996100574205</c:v>
                      </c:pt>
                      <c:pt idx="25">
                        <c:v>0.75755761785984232</c:v>
                      </c:pt>
                      <c:pt idx="26">
                        <c:v>0.77106907112086653</c:v>
                      </c:pt>
                      <c:pt idx="27">
                        <c:v>0.7843512669729592</c:v>
                      </c:pt>
                      <c:pt idx="28">
                        <c:v>0.7973455128964857</c:v>
                      </c:pt>
                      <c:pt idx="29">
                        <c:v>0.80999843398468707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nba_win_totals!$P$56:$AS$56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0.3875228826260283</c:v>
                      </c:pt>
                      <c:pt idx="1">
                        <c:v>0.39222929481995361</c:v>
                      </c:pt>
                      <c:pt idx="2">
                        <c:v>0.39734725240030316</c:v>
                      </c:pt>
                      <c:pt idx="3">
                        <c:v>0.40290412497455375</c:v>
                      </c:pt>
                      <c:pt idx="4">
                        <c:v>0.40892741206867239</c:v>
                      </c:pt>
                      <c:pt idx="5">
                        <c:v>0.41544436809019553</c:v>
                      </c:pt>
                      <c:pt idx="6">
                        <c:v>0.42248155809117843</c:v>
                      </c:pt>
                      <c:pt idx="7">
                        <c:v>0.43006434244243064</c:v>
                      </c:pt>
                      <c:pt idx="8">
                        <c:v>0.43821629112720617</c:v>
                      </c:pt>
                      <c:pt idx="9">
                        <c:v>0.44695853169533922</c:v>
                      </c:pt>
                      <c:pt idx="10">
                        <c:v>0.45630903898702979</c:v>
                      </c:pt>
                      <c:pt idx="11">
                        <c:v>0.46628187947032507</c:v>
                      </c:pt>
                      <c:pt idx="12">
                        <c:v>0.47688642828156308</c:v>
                      </c:pt>
                      <c:pt idx="13">
                        <c:v>0.48812658255436298</c:v>
                      </c:pt>
                      <c:pt idx="14">
                        <c:v>0.5</c:v>
                      </c:pt>
                      <c:pt idx="15">
                        <c:v>0.51249739648421033</c:v>
                      </c:pt>
                      <c:pt idx="16">
                        <c:v>0.52560193997306337</c:v>
                      </c:pt>
                      <c:pt idx="17">
                        <c:v>0.53928878009305825</c:v>
                      </c:pt>
                      <c:pt idx="18">
                        <c:v>0.55352475209039809</c:v>
                      </c:pt>
                      <c:pt idx="19">
                        <c:v>0.56826829070732909</c:v>
                      </c:pt>
                      <c:pt idx="20">
                        <c:v>0.58346958313834041</c:v>
                      </c:pt>
                      <c:pt idx="21">
                        <c:v>0.59907098078204846</c:v>
                      </c:pt>
                      <c:pt idx="22">
                        <c:v>0.61500767730198336</c:v>
                      </c:pt>
                      <c:pt idx="23">
                        <c:v>0.63120864625121909</c:v>
                      </c:pt>
                      <c:pt idx="24">
                        <c:v>0.64759781623680968</c:v>
                      </c:pt>
                      <c:pt idx="25">
                        <c:v>0.66409544658332809</c:v>
                      </c:pt>
                      <c:pt idx="26">
                        <c:v>0.68061965309208583</c:v>
                      </c:pt>
                      <c:pt idx="27">
                        <c:v>0.69708802310993623</c:v>
                      </c:pt>
                      <c:pt idx="28">
                        <c:v>0.71341925279806462</c:v>
                      </c:pt>
                      <c:pt idx="29">
                        <c:v>0.72953473790298751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14"/>
                <c:order val="14"/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  <a:lumOff val="20000"/>
                      </a:schemeClr>
                    </a:solidFill>
                    <a:ln w="9525">
                      <a:solidFill>
                        <a:schemeClr val="accent3">
                          <a:lumMod val="80000"/>
                          <a:lumOff val="2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nba_win_totals!$P$42:$AS$42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0.5</c:v>
                      </c:pt>
                      <c:pt idx="1">
                        <c:v>0.5049462403157613</c:v>
                      </c:pt>
                      <c:pt idx="2">
                        <c:v>0.5103000717980084</c:v>
                      </c:pt>
                      <c:pt idx="3">
                        <c:v>0.51608385353216846</c:v>
                      </c:pt>
                      <c:pt idx="4">
                        <c:v>0.52231903699980808</c:v>
                      </c:pt>
                      <c:pt idx="5">
                        <c:v>0.52902568929724392</c:v>
                      </c:pt>
                      <c:pt idx="6">
                        <c:v>0.53622195991228083</c:v>
                      </c:pt>
                      <c:pt idx="7">
                        <c:v>0.54392349704285703</c:v>
                      </c:pt>
                      <c:pt idx="8">
                        <c:v>0.5521428232847434</c:v>
                      </c:pt>
                      <c:pt idx="9">
                        <c:v>0.56088868482079979</c:v>
                      </c:pt>
                      <c:pt idx="10">
                        <c:v>0.57016539281455259</c:v>
                      </c:pt>
                      <c:pt idx="11">
                        <c:v>0.57997218025704711</c:v>
                      </c:pt>
                      <c:pt idx="12">
                        <c:v>0.59030260165854143</c:v>
                      </c:pt>
                      <c:pt idx="13">
                        <c:v>0.60114400626087006</c:v>
                      </c:pt>
                      <c:pt idx="14">
                        <c:v>0.6124771173739717</c:v>
                      </c:pt>
                      <c:pt idx="15">
                        <c:v>0.6242757505189197</c:v>
                      </c:pt>
                      <c:pt idx="16">
                        <c:v>0.63650670086846906</c:v>
                      </c:pt>
                      <c:pt idx="17">
                        <c:v>0.64912982573812106</c:v>
                      </c:pt>
                      <c:pt idx="18">
                        <c:v>0.66209834053688055</c:v>
                      </c:pt>
                      <c:pt idx="19">
                        <c:v>0.67535933685315919</c:v>
                      </c:pt>
                      <c:pt idx="20">
                        <c:v>0.68885451974663314</c:v>
                      </c:pt>
                      <c:pt idx="21">
                        <c:v>0.70252114864958182</c:v>
                      </c:pt>
                      <c:pt idx="22">
                        <c:v>0.71629315358675483</c:v>
                      </c:pt>
                      <c:pt idx="23">
                        <c:v>0.73010238685598194</c:v>
                      </c:pt>
                      <c:pt idx="24">
                        <c:v>0.74387996100574205</c:v>
                      </c:pt>
                      <c:pt idx="25">
                        <c:v>0.75755761785984232</c:v>
                      </c:pt>
                      <c:pt idx="26">
                        <c:v>0.77106907112086653</c:v>
                      </c:pt>
                      <c:pt idx="27">
                        <c:v>0.7843512669729592</c:v>
                      </c:pt>
                      <c:pt idx="28">
                        <c:v>0.7973455128964857</c:v>
                      </c:pt>
                      <c:pt idx="29">
                        <c:v>0.80999843398468707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nba_win_totals!$P$57:$AS$57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0.3757242494810803</c:v>
                      </c:pt>
                      <c:pt idx="1">
                        <c:v>0.38037636027887983</c:v>
                      </c:pt>
                      <c:pt idx="2">
                        <c:v>0.38543773998344483</c:v>
                      </c:pt>
                      <c:pt idx="3">
                        <c:v>0.39093610094463382</c:v>
                      </c:pt>
                      <c:pt idx="4">
                        <c:v>0.39689939972439248</c:v>
                      </c:pt>
                      <c:pt idx="5">
                        <c:v>0.40335547843352565</c:v>
                      </c:pt>
                      <c:pt idx="6">
                        <c:v>0.41033163680946921</c:v>
                      </c:pt>
                      <c:pt idx="7">
                        <c:v>0.41785413239354047</c:v>
                      </c:pt>
                      <c:pt idx="8">
                        <c:v>0.42594760856593195</c:v>
                      </c:pt>
                      <c:pt idx="9">
                        <c:v>0.43463445333327816</c:v>
                      </c:pt>
                      <c:pt idx="10">
                        <c:v>0.44393409565485409</c:v>
                      </c:pt>
                      <c:pt idx="11">
                        <c:v>0.45386225069478586</c:v>
                      </c:pt>
                      <c:pt idx="12">
                        <c:v>0.46443013057186694</c:v>
                      </c:pt>
                      <c:pt idx="13">
                        <c:v>0.47564364271834947</c:v>
                      </c:pt>
                      <c:pt idx="14">
                        <c:v>0.48750260351578967</c:v>
                      </c:pt>
                      <c:pt idx="15">
                        <c:v>0.5</c:v>
                      </c:pt>
                      <c:pt idx="16">
                        <c:v>0.51312133657400605</c:v>
                      </c:pt>
                      <c:pt idx="17">
                        <c:v>0.52684410623475775</c:v>
                      </c:pt>
                      <c:pt idx="18">
                        <c:v>0.54113742620272576</c:v>
                      </c:pt>
                      <c:pt idx="19">
                        <c:v>0.55596187551632081</c:v>
                      </c:pt>
                      <c:pt idx="20">
                        <c:v>0.57126956675389373</c:v>
                      </c:pt>
                      <c:pt idx="21">
                        <c:v>0.5870044754684387</c:v>
                      </c:pt>
                      <c:pt idx="22">
                        <c:v>0.603103039385676</c:v>
                      </c:pt>
                      <c:pt idx="23">
                        <c:v>0.61949502551376889</c:v>
                      </c:pt>
                      <c:pt idx="24">
                        <c:v>0.63610464798823751</c:v>
                      </c:pt>
                      <c:pt idx="25">
                        <c:v>0.65285190396253867</c:v>
                      </c:pt>
                      <c:pt idx="26">
                        <c:v>0.66965408054991304</c:v>
                      </c:pt>
                      <c:pt idx="27">
                        <c:v>0.68642737411685506</c:v>
                      </c:pt>
                      <c:pt idx="28">
                        <c:v>0.70308855532348313</c:v>
                      </c:pt>
                      <c:pt idx="29">
                        <c:v>0.71955661004003546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15"/>
                <c:order val="15"/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>
                        <a:lumMod val="80000"/>
                        <a:lumOff val="20000"/>
                      </a:schemeClr>
                    </a:solidFill>
                    <a:ln w="9525">
                      <a:solidFill>
                        <a:schemeClr val="accent4">
                          <a:lumMod val="80000"/>
                          <a:lumOff val="2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nba_win_totals!$P$42:$AS$42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0.5</c:v>
                      </c:pt>
                      <c:pt idx="1">
                        <c:v>0.5049462403157613</c:v>
                      </c:pt>
                      <c:pt idx="2">
                        <c:v>0.5103000717980084</c:v>
                      </c:pt>
                      <c:pt idx="3">
                        <c:v>0.51608385353216846</c:v>
                      </c:pt>
                      <c:pt idx="4">
                        <c:v>0.52231903699980808</c:v>
                      </c:pt>
                      <c:pt idx="5">
                        <c:v>0.52902568929724392</c:v>
                      </c:pt>
                      <c:pt idx="6">
                        <c:v>0.53622195991228083</c:v>
                      </c:pt>
                      <c:pt idx="7">
                        <c:v>0.54392349704285703</c:v>
                      </c:pt>
                      <c:pt idx="8">
                        <c:v>0.5521428232847434</c:v>
                      </c:pt>
                      <c:pt idx="9">
                        <c:v>0.56088868482079979</c:v>
                      </c:pt>
                      <c:pt idx="10">
                        <c:v>0.57016539281455259</c:v>
                      </c:pt>
                      <c:pt idx="11">
                        <c:v>0.57997218025704711</c:v>
                      </c:pt>
                      <c:pt idx="12">
                        <c:v>0.59030260165854143</c:v>
                      </c:pt>
                      <c:pt idx="13">
                        <c:v>0.60114400626087006</c:v>
                      </c:pt>
                      <c:pt idx="14">
                        <c:v>0.6124771173739717</c:v>
                      </c:pt>
                      <c:pt idx="15">
                        <c:v>0.6242757505189197</c:v>
                      </c:pt>
                      <c:pt idx="16">
                        <c:v>0.63650670086846906</c:v>
                      </c:pt>
                      <c:pt idx="17">
                        <c:v>0.64912982573812106</c:v>
                      </c:pt>
                      <c:pt idx="18">
                        <c:v>0.66209834053688055</c:v>
                      </c:pt>
                      <c:pt idx="19">
                        <c:v>0.67535933685315919</c:v>
                      </c:pt>
                      <c:pt idx="20">
                        <c:v>0.68885451974663314</c:v>
                      </c:pt>
                      <c:pt idx="21">
                        <c:v>0.70252114864958182</c:v>
                      </c:pt>
                      <c:pt idx="22">
                        <c:v>0.71629315358675483</c:v>
                      </c:pt>
                      <c:pt idx="23">
                        <c:v>0.73010238685598194</c:v>
                      </c:pt>
                      <c:pt idx="24">
                        <c:v>0.74387996100574205</c:v>
                      </c:pt>
                      <c:pt idx="25">
                        <c:v>0.75755761785984232</c:v>
                      </c:pt>
                      <c:pt idx="26">
                        <c:v>0.77106907112086653</c:v>
                      </c:pt>
                      <c:pt idx="27">
                        <c:v>0.7843512669729592</c:v>
                      </c:pt>
                      <c:pt idx="28">
                        <c:v>0.7973455128964857</c:v>
                      </c:pt>
                      <c:pt idx="29">
                        <c:v>0.80999843398468707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nba_win_totals!$P$58:$AS$58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0.36349329913153089</c:v>
                      </c:pt>
                      <c:pt idx="1">
                        <c:v>0.36808326138583486</c:v>
                      </c:pt>
                      <c:pt idx="2">
                        <c:v>0.37307955571959134</c:v>
                      </c:pt>
                      <c:pt idx="3">
                        <c:v>0.37851020313129041</c:v>
                      </c:pt>
                      <c:pt idx="4">
                        <c:v>0.38440358663606417</c:v>
                      </c:pt>
                      <c:pt idx="5">
                        <c:v>0.39078811056084028</c:v>
                      </c:pt>
                      <c:pt idx="6">
                        <c:v>0.39769179081226008</c:v>
                      </c:pt>
                      <c:pt idx="7">
                        <c:v>0.40514177273214824</c:v>
                      </c:pt>
                      <c:pt idx="8">
                        <c:v>0.41316377534250398</c:v>
                      </c:pt>
                      <c:pt idx="9">
                        <c:v>0.42178146370054864</c:v>
                      </c:pt>
                      <c:pt idx="10">
                        <c:v>0.43101575477019799</c:v>
                      </c:pt>
                      <c:pt idx="11">
                        <c:v>0.44088406664907881</c:v>
                      </c:pt>
                      <c:pt idx="12">
                        <c:v>0.45139952607268569</c:v>
                      </c:pt>
                      <c:pt idx="13">
                        <c:v>0.4625701546562504</c:v>
                      </c:pt>
                      <c:pt idx="14">
                        <c:v>0.47439806002693663</c:v>
                      </c:pt>
                      <c:pt idx="15">
                        <c:v>0.4868786634259939</c:v>
                      </c:pt>
                      <c:pt idx="16">
                        <c:v>0.5</c:v>
                      </c:pt>
                      <c:pt idx="17">
                        <c:v>0.51374213125471302</c:v>
                      </c:pt>
                      <c:pt idx="18">
                        <c:v>0.52807671039273307</c:v>
                      </c:pt>
                      <c:pt idx="19">
                        <c:v>0.54296673992341715</c:v>
                      </c:pt>
                      <c:pt idx="20">
                        <c:v>0.55836655658203493</c:v>
                      </c:pt>
                      <c:pt idx="21">
                        <c:v>0.57422207101463918</c:v>
                      </c:pt>
                      <c:pt idx="22">
                        <c:v>0.59047127897548735</c:v>
                      </c:pt>
                      <c:pt idx="23">
                        <c:v>0.60704504740933996</c:v>
                      </c:pt>
                      <c:pt idx="24">
                        <c:v>0.62386816358907304</c:v>
                      </c:pt>
                      <c:pt idx="25">
                        <c:v>0.64086061961216512</c:v>
                      </c:pt>
                      <c:pt idx="26">
                        <c:v>0.65793908940705059</c:v>
                      </c:pt>
                      <c:pt idx="27">
                        <c:v>0.67501854240044945</c:v>
                      </c:pt>
                      <c:pt idx="28">
                        <c:v>0.69201392846109877</c:v>
                      </c:pt>
                      <c:pt idx="29">
                        <c:v>0.70884186366552659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16"/>
                <c:order val="16"/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>
                        <a:lumMod val="80000"/>
                        <a:lumOff val="20000"/>
                      </a:schemeClr>
                    </a:solidFill>
                    <a:ln w="9525">
                      <a:solidFill>
                        <a:schemeClr val="accent5">
                          <a:lumMod val="80000"/>
                          <a:lumOff val="2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nba_win_totals!$P$42:$AS$42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0.5</c:v>
                      </c:pt>
                      <c:pt idx="1">
                        <c:v>0.5049462403157613</c:v>
                      </c:pt>
                      <c:pt idx="2">
                        <c:v>0.5103000717980084</c:v>
                      </c:pt>
                      <c:pt idx="3">
                        <c:v>0.51608385353216846</c:v>
                      </c:pt>
                      <c:pt idx="4">
                        <c:v>0.52231903699980808</c:v>
                      </c:pt>
                      <c:pt idx="5">
                        <c:v>0.52902568929724392</c:v>
                      </c:pt>
                      <c:pt idx="6">
                        <c:v>0.53622195991228083</c:v>
                      </c:pt>
                      <c:pt idx="7">
                        <c:v>0.54392349704285703</c:v>
                      </c:pt>
                      <c:pt idx="8">
                        <c:v>0.5521428232847434</c:v>
                      </c:pt>
                      <c:pt idx="9">
                        <c:v>0.56088868482079979</c:v>
                      </c:pt>
                      <c:pt idx="10">
                        <c:v>0.57016539281455259</c:v>
                      </c:pt>
                      <c:pt idx="11">
                        <c:v>0.57997218025704711</c:v>
                      </c:pt>
                      <c:pt idx="12">
                        <c:v>0.59030260165854143</c:v>
                      </c:pt>
                      <c:pt idx="13">
                        <c:v>0.60114400626087006</c:v>
                      </c:pt>
                      <c:pt idx="14">
                        <c:v>0.6124771173739717</c:v>
                      </c:pt>
                      <c:pt idx="15">
                        <c:v>0.6242757505189197</c:v>
                      </c:pt>
                      <c:pt idx="16">
                        <c:v>0.63650670086846906</c:v>
                      </c:pt>
                      <c:pt idx="17">
                        <c:v>0.64912982573812106</c:v>
                      </c:pt>
                      <c:pt idx="18">
                        <c:v>0.66209834053688055</c:v>
                      </c:pt>
                      <c:pt idx="19">
                        <c:v>0.67535933685315919</c:v>
                      </c:pt>
                      <c:pt idx="20">
                        <c:v>0.68885451974663314</c:v>
                      </c:pt>
                      <c:pt idx="21">
                        <c:v>0.70252114864958182</c:v>
                      </c:pt>
                      <c:pt idx="22">
                        <c:v>0.71629315358675483</c:v>
                      </c:pt>
                      <c:pt idx="23">
                        <c:v>0.73010238685598194</c:v>
                      </c:pt>
                      <c:pt idx="24">
                        <c:v>0.74387996100574205</c:v>
                      </c:pt>
                      <c:pt idx="25">
                        <c:v>0.75755761785984232</c:v>
                      </c:pt>
                      <c:pt idx="26">
                        <c:v>0.77106907112086653</c:v>
                      </c:pt>
                      <c:pt idx="27">
                        <c:v>0.7843512669729592</c:v>
                      </c:pt>
                      <c:pt idx="28">
                        <c:v>0.7973455128964857</c:v>
                      </c:pt>
                      <c:pt idx="29">
                        <c:v>0.80999843398468707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nba_win_totals!$P$59:$AS$59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0.35087017426187905</c:v>
                      </c:pt>
                      <c:pt idx="1">
                        <c:v>0.35538973797570023</c:v>
                      </c:pt>
                      <c:pt idx="2">
                        <c:v>0.36031197606974674</c:v>
                      </c:pt>
                      <c:pt idx="3">
                        <c:v>0.36566517527635367</c:v>
                      </c:pt>
                      <c:pt idx="4">
                        <c:v>0.37147810462585762</c:v>
                      </c:pt>
                      <c:pt idx="5">
                        <c:v>0.37777969425937236</c:v>
                      </c:pt>
                      <c:pt idx="6">
                        <c:v>0.38459864577188729</c:v>
                      </c:pt>
                      <c:pt idx="7">
                        <c:v>0.39196296997858859</c:v>
                      </c:pt>
                      <c:pt idx="8">
                        <c:v>0.39989944995796567</c:v>
                      </c:pt>
                      <c:pt idx="9">
                        <c:v>0.40843302990522401</c:v>
                      </c:pt>
                      <c:pt idx="10">
                        <c:v>0.41758613378174975</c:v>
                      </c:pt>
                      <c:pt idx="11">
                        <c:v>0.42737792197427477</c:v>
                      </c:pt>
                      <c:pt idx="12">
                        <c:v>0.43782349911420193</c:v>
                      </c:pt>
                      <c:pt idx="13">
                        <c:v>0.4489330916958254</c:v>
                      </c:pt>
                      <c:pt idx="14">
                        <c:v>0.46071121990694175</c:v>
                      </c:pt>
                      <c:pt idx="15">
                        <c:v>0.47315589376524225</c:v>
                      </c:pt>
                      <c:pt idx="16">
                        <c:v>0.48625786874528693</c:v>
                      </c:pt>
                      <c:pt idx="17">
                        <c:v>0.5</c:v>
                      </c:pt>
                      <c:pt idx="18">
                        <c:v>0.51435673639692214</c:v>
                      </c:pt>
                      <c:pt idx="19">
                        <c:v>0.5292937952910397</c:v>
                      </c:pt>
                      <c:pt idx="20">
                        <c:v>0.54476805573373421</c:v>
                      </c:pt>
                      <c:pt idx="21">
                        <c:v>0.56072770135857142</c:v>
                      </c:pt>
                      <c:pt idx="22">
                        <c:v>0.57711263446281591</c:v>
                      </c:pt>
                      <c:pt idx="23">
                        <c:v>0.59385517014654077</c:v>
                      </c:pt>
                      <c:pt idx="24">
                        <c:v>0.61088100448941873</c:v>
                      </c:pt>
                      <c:pt idx="25">
                        <c:v>0.62811043470553318</c:v>
                      </c:pt>
                      <c:pt idx="26">
                        <c:v>0.64545979335474335</c:v>
                      </c:pt>
                      <c:pt idx="27">
                        <c:v>0.66284304446693665</c:v>
                      </c:pt>
                      <c:pt idx="28">
                        <c:v>0.6801734782587594</c:v>
                      </c:pt>
                      <c:pt idx="29">
                        <c:v>0.69736543414984997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17"/>
                <c:order val="17"/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>
                        <a:lumMod val="80000"/>
                        <a:lumOff val="20000"/>
                      </a:schemeClr>
                    </a:solidFill>
                    <a:ln w="9525">
                      <a:solidFill>
                        <a:schemeClr val="accent6">
                          <a:lumMod val="80000"/>
                          <a:lumOff val="2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nba_win_totals!$P$42:$AS$42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0.5</c:v>
                      </c:pt>
                      <c:pt idx="1">
                        <c:v>0.5049462403157613</c:v>
                      </c:pt>
                      <c:pt idx="2">
                        <c:v>0.5103000717980084</c:v>
                      </c:pt>
                      <c:pt idx="3">
                        <c:v>0.51608385353216846</c:v>
                      </c:pt>
                      <c:pt idx="4">
                        <c:v>0.52231903699980808</c:v>
                      </c:pt>
                      <c:pt idx="5">
                        <c:v>0.52902568929724392</c:v>
                      </c:pt>
                      <c:pt idx="6">
                        <c:v>0.53622195991228083</c:v>
                      </c:pt>
                      <c:pt idx="7">
                        <c:v>0.54392349704285703</c:v>
                      </c:pt>
                      <c:pt idx="8">
                        <c:v>0.5521428232847434</c:v>
                      </c:pt>
                      <c:pt idx="9">
                        <c:v>0.56088868482079979</c:v>
                      </c:pt>
                      <c:pt idx="10">
                        <c:v>0.57016539281455259</c:v>
                      </c:pt>
                      <c:pt idx="11">
                        <c:v>0.57997218025704711</c:v>
                      </c:pt>
                      <c:pt idx="12">
                        <c:v>0.59030260165854143</c:v>
                      </c:pt>
                      <c:pt idx="13">
                        <c:v>0.60114400626087006</c:v>
                      </c:pt>
                      <c:pt idx="14">
                        <c:v>0.6124771173739717</c:v>
                      </c:pt>
                      <c:pt idx="15">
                        <c:v>0.6242757505189197</c:v>
                      </c:pt>
                      <c:pt idx="16">
                        <c:v>0.63650670086846906</c:v>
                      </c:pt>
                      <c:pt idx="17">
                        <c:v>0.64912982573812106</c:v>
                      </c:pt>
                      <c:pt idx="18">
                        <c:v>0.66209834053688055</c:v>
                      </c:pt>
                      <c:pt idx="19">
                        <c:v>0.67535933685315919</c:v>
                      </c:pt>
                      <c:pt idx="20">
                        <c:v>0.68885451974663314</c:v>
                      </c:pt>
                      <c:pt idx="21">
                        <c:v>0.70252114864958182</c:v>
                      </c:pt>
                      <c:pt idx="22">
                        <c:v>0.71629315358675483</c:v>
                      </c:pt>
                      <c:pt idx="23">
                        <c:v>0.73010238685598194</c:v>
                      </c:pt>
                      <c:pt idx="24">
                        <c:v>0.74387996100574205</c:v>
                      </c:pt>
                      <c:pt idx="25">
                        <c:v>0.75755761785984232</c:v>
                      </c:pt>
                      <c:pt idx="26">
                        <c:v>0.77106907112086653</c:v>
                      </c:pt>
                      <c:pt idx="27">
                        <c:v>0.7843512669729592</c:v>
                      </c:pt>
                      <c:pt idx="28">
                        <c:v>0.7973455128964857</c:v>
                      </c:pt>
                      <c:pt idx="29">
                        <c:v>0.80999843398468707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nba_win_totals!$P$60:$AS$60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0.33790165946311934</c:v>
                      </c:pt>
                      <c:pt idx="1">
                        <c:v>0.34234227420634566</c:v>
                      </c:pt>
                      <c:pt idx="2">
                        <c:v>0.34718113072024276</c:v>
                      </c:pt>
                      <c:pt idx="3">
                        <c:v>0.35244672953498246</c:v>
                      </c:pt>
                      <c:pt idx="4">
                        <c:v>0.35816817501778558</c:v>
                      </c:pt>
                      <c:pt idx="5">
                        <c:v>0.36437487519461587</c:v>
                      </c:pt>
                      <c:pt idx="6">
                        <c:v>0.37109617401600598</c:v>
                      </c:pt>
                      <c:pt idx="7">
                        <c:v>0.37836091127334731</c:v>
                      </c:pt>
                      <c:pt idx="8">
                        <c:v>0.38619690709456994</c:v>
                      </c:pt>
                      <c:pt idx="9">
                        <c:v>0.39463037037093318</c:v>
                      </c:pt>
                      <c:pt idx="10">
                        <c:v>0.40368523365826248</c:v>
                      </c:pt>
                      <c:pt idx="11">
                        <c:v>0.41338242108266993</c:v>
                      </c:pt>
                      <c:pt idx="12">
                        <c:v>0.42373906052599375</c:v>
                      </c:pt>
                      <c:pt idx="13">
                        <c:v>0.43476765674926249</c:v>
                      </c:pt>
                      <c:pt idx="14">
                        <c:v>0.44647524790960197</c:v>
                      </c:pt>
                      <c:pt idx="15">
                        <c:v>0.45886257379727424</c:v>
                      </c:pt>
                      <c:pt idx="16">
                        <c:v>0.47192328960726693</c:v>
                      </c:pt>
                      <c:pt idx="17">
                        <c:v>0.48564326360307786</c:v>
                      </c:pt>
                      <c:pt idx="18">
                        <c:v>0.5</c:v>
                      </c:pt>
                      <c:pt idx="19">
                        <c:v>0.51496222915181122</c:v>
                      </c:pt>
                      <c:pt idx="20">
                        <c:v>0.53048970509709237</c:v>
                      </c:pt>
                      <c:pt idx="21">
                        <c:v>0.54653324529919223</c:v>
                      </c:pt>
                      <c:pt idx="22">
                        <c:v>0.56303503884290607</c:v>
                      </c:pt>
                      <c:pt idx="23">
                        <c:v>0.57992923761332282</c:v>
                      </c:pt>
                      <c:pt idx="24">
                        <c:v>0.59714283064373841</c:v>
                      </c:pt>
                      <c:pt idx="25">
                        <c:v>0.61459678582632993</c:v>
                      </c:pt>
                      <c:pt idx="26">
                        <c:v>0.6322074267947192</c:v>
                      </c:pt>
                      <c:pt idx="27">
                        <c:v>0.64988799746761383</c:v>
                      </c:pt>
                      <c:pt idx="28">
                        <c:v>0.66755035396402529</c:v>
                      </c:pt>
                      <c:pt idx="29">
                        <c:v>0.68510671466583217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18"/>
                <c:order val="18"/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80000"/>
                      </a:schemeClr>
                    </a:solidFill>
                    <a:ln w="9525">
                      <a:solidFill>
                        <a:schemeClr val="accent1">
                          <a:lumMod val="8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nba_win_totals!$P$42:$AS$42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0.5</c:v>
                      </c:pt>
                      <c:pt idx="1">
                        <c:v>0.5049462403157613</c:v>
                      </c:pt>
                      <c:pt idx="2">
                        <c:v>0.5103000717980084</c:v>
                      </c:pt>
                      <c:pt idx="3">
                        <c:v>0.51608385353216846</c:v>
                      </c:pt>
                      <c:pt idx="4">
                        <c:v>0.52231903699980808</c:v>
                      </c:pt>
                      <c:pt idx="5">
                        <c:v>0.52902568929724392</c:v>
                      </c:pt>
                      <c:pt idx="6">
                        <c:v>0.53622195991228083</c:v>
                      </c:pt>
                      <c:pt idx="7">
                        <c:v>0.54392349704285703</c:v>
                      </c:pt>
                      <c:pt idx="8">
                        <c:v>0.5521428232847434</c:v>
                      </c:pt>
                      <c:pt idx="9">
                        <c:v>0.56088868482079979</c:v>
                      </c:pt>
                      <c:pt idx="10">
                        <c:v>0.57016539281455259</c:v>
                      </c:pt>
                      <c:pt idx="11">
                        <c:v>0.57997218025704711</c:v>
                      </c:pt>
                      <c:pt idx="12">
                        <c:v>0.59030260165854143</c:v>
                      </c:pt>
                      <c:pt idx="13">
                        <c:v>0.60114400626087006</c:v>
                      </c:pt>
                      <c:pt idx="14">
                        <c:v>0.6124771173739717</c:v>
                      </c:pt>
                      <c:pt idx="15">
                        <c:v>0.6242757505189197</c:v>
                      </c:pt>
                      <c:pt idx="16">
                        <c:v>0.63650670086846906</c:v>
                      </c:pt>
                      <c:pt idx="17">
                        <c:v>0.64912982573812106</c:v>
                      </c:pt>
                      <c:pt idx="18">
                        <c:v>0.66209834053688055</c:v>
                      </c:pt>
                      <c:pt idx="19">
                        <c:v>0.67535933685315919</c:v>
                      </c:pt>
                      <c:pt idx="20">
                        <c:v>0.68885451974663314</c:v>
                      </c:pt>
                      <c:pt idx="21">
                        <c:v>0.70252114864958182</c:v>
                      </c:pt>
                      <c:pt idx="22">
                        <c:v>0.71629315358675483</c:v>
                      </c:pt>
                      <c:pt idx="23">
                        <c:v>0.73010238685598194</c:v>
                      </c:pt>
                      <c:pt idx="24">
                        <c:v>0.74387996100574205</c:v>
                      </c:pt>
                      <c:pt idx="25">
                        <c:v>0.75755761785984232</c:v>
                      </c:pt>
                      <c:pt idx="26">
                        <c:v>0.77106907112086653</c:v>
                      </c:pt>
                      <c:pt idx="27">
                        <c:v>0.7843512669729592</c:v>
                      </c:pt>
                      <c:pt idx="28">
                        <c:v>0.7973455128964857</c:v>
                      </c:pt>
                      <c:pt idx="29">
                        <c:v>0.80999843398468707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nba_win_totals!$P$61:$AS$61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0.32464066314684092</c:v>
                      </c:pt>
                      <c:pt idx="1">
                        <c:v>0.32899360057550692</c:v>
                      </c:pt>
                      <c:pt idx="2">
                        <c:v>0.33373952712945198</c:v>
                      </c:pt>
                      <c:pt idx="3">
                        <c:v>0.3389070962512491</c:v>
                      </c:pt>
                      <c:pt idx="4">
                        <c:v>0.34452568663119476</c:v>
                      </c:pt>
                      <c:pt idx="5">
                        <c:v>0.3506251244150837</c:v>
                      </c:pt>
                      <c:pt idx="6">
                        <c:v>0.35723533914989763</c:v>
                      </c:pt>
                      <c:pt idx="7">
                        <c:v>0.36438594803642982</c:v>
                      </c:pt>
                      <c:pt idx="8">
                        <c:v>0.37210576453395217</c:v>
                      </c:pt>
                      <c:pt idx="9">
                        <c:v>0.38042222951200211</c:v>
                      </c:pt>
                      <c:pt idx="10">
                        <c:v>0.38936076605077802</c:v>
                      </c:pt>
                      <c:pt idx="11">
                        <c:v>0.39894406270202759</c:v>
                      </c:pt>
                      <c:pt idx="12">
                        <c:v>0.40919129452943487</c:v>
                      </c:pt>
                      <c:pt idx="13">
                        <c:v>0.42011729646776719</c:v>
                      </c:pt>
                      <c:pt idx="14">
                        <c:v>0.43173170929267096</c:v>
                      </c:pt>
                      <c:pt idx="15">
                        <c:v>0.44403812448367919</c:v>
                      </c:pt>
                      <c:pt idx="16">
                        <c:v>0.45703326007658285</c:v>
                      </c:pt>
                      <c:pt idx="17">
                        <c:v>0.47070620470896035</c:v>
                      </c:pt>
                      <c:pt idx="18">
                        <c:v>0.48503777084818872</c:v>
                      </c:pt>
                      <c:pt idx="19">
                        <c:v>0.5</c:v>
                      </c:pt>
                      <c:pt idx="20">
                        <c:v>0.51555586190591096</c:v>
                      </c:pt>
                      <c:pt idx="21">
                        <c:v>0.53165918585029115</c:v>
                      </c:pt>
                      <c:pt idx="22">
                        <c:v>0.54825485493299386</c:v>
                      </c:pt>
                      <c:pt idx="23">
                        <c:v>0.56527928355213886</c:v>
                      </c:pt>
                      <c:pt idx="24">
                        <c:v>0.58266118478961515</c:v>
                      </c:pt>
                      <c:pt idx="25">
                        <c:v>0.60032261870061066</c:v>
                      </c:pt>
                      <c:pt idx="26">
                        <c:v>0.61818029583734879</c:v>
                      </c:pt>
                      <c:pt idx="27">
                        <c:v>0.63614709410267745</c:v>
                      </c:pt>
                      <c:pt idx="28">
                        <c:v>0.65413373274798248</c:v>
                      </c:pt>
                      <c:pt idx="29">
                        <c:v>0.67205053642728285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19"/>
                <c:order val="19"/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>
                        <a:lumMod val="80000"/>
                      </a:schemeClr>
                    </a:solidFill>
                    <a:ln w="9525">
                      <a:solidFill>
                        <a:schemeClr val="accent2">
                          <a:lumMod val="8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nba_win_totals!$P$42:$AS$42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0.5</c:v>
                      </c:pt>
                      <c:pt idx="1">
                        <c:v>0.5049462403157613</c:v>
                      </c:pt>
                      <c:pt idx="2">
                        <c:v>0.5103000717980084</c:v>
                      </c:pt>
                      <c:pt idx="3">
                        <c:v>0.51608385353216846</c:v>
                      </c:pt>
                      <c:pt idx="4">
                        <c:v>0.52231903699980808</c:v>
                      </c:pt>
                      <c:pt idx="5">
                        <c:v>0.52902568929724392</c:v>
                      </c:pt>
                      <c:pt idx="6">
                        <c:v>0.53622195991228083</c:v>
                      </c:pt>
                      <c:pt idx="7">
                        <c:v>0.54392349704285703</c:v>
                      </c:pt>
                      <c:pt idx="8">
                        <c:v>0.5521428232847434</c:v>
                      </c:pt>
                      <c:pt idx="9">
                        <c:v>0.56088868482079979</c:v>
                      </c:pt>
                      <c:pt idx="10">
                        <c:v>0.57016539281455259</c:v>
                      </c:pt>
                      <c:pt idx="11">
                        <c:v>0.57997218025704711</c:v>
                      </c:pt>
                      <c:pt idx="12">
                        <c:v>0.59030260165854143</c:v>
                      </c:pt>
                      <c:pt idx="13">
                        <c:v>0.60114400626087006</c:v>
                      </c:pt>
                      <c:pt idx="14">
                        <c:v>0.6124771173739717</c:v>
                      </c:pt>
                      <c:pt idx="15">
                        <c:v>0.6242757505189197</c:v>
                      </c:pt>
                      <c:pt idx="16">
                        <c:v>0.63650670086846906</c:v>
                      </c:pt>
                      <c:pt idx="17">
                        <c:v>0.64912982573812106</c:v>
                      </c:pt>
                      <c:pt idx="18">
                        <c:v>0.66209834053688055</c:v>
                      </c:pt>
                      <c:pt idx="19">
                        <c:v>0.67535933685315919</c:v>
                      </c:pt>
                      <c:pt idx="20">
                        <c:v>0.68885451974663314</c:v>
                      </c:pt>
                      <c:pt idx="21">
                        <c:v>0.70252114864958182</c:v>
                      </c:pt>
                      <c:pt idx="22">
                        <c:v>0.71629315358675483</c:v>
                      </c:pt>
                      <c:pt idx="23">
                        <c:v>0.73010238685598194</c:v>
                      </c:pt>
                      <c:pt idx="24">
                        <c:v>0.74387996100574205</c:v>
                      </c:pt>
                      <c:pt idx="25">
                        <c:v>0.75755761785984232</c:v>
                      </c:pt>
                      <c:pt idx="26">
                        <c:v>0.77106907112086653</c:v>
                      </c:pt>
                      <c:pt idx="27">
                        <c:v>0.7843512669729592</c:v>
                      </c:pt>
                      <c:pt idx="28">
                        <c:v>0.7973455128964857</c:v>
                      </c:pt>
                      <c:pt idx="29">
                        <c:v>0.80999843398468707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nba_win_totals!$P$62:$AS$62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0.31114548025336697</c:v>
                      </c:pt>
                      <c:pt idx="1">
                        <c:v>0.31540197385499513</c:v>
                      </c:pt>
                      <c:pt idx="2">
                        <c:v>0.32004535003245588</c:v>
                      </c:pt>
                      <c:pt idx="3">
                        <c:v>0.32510434568498336</c:v>
                      </c:pt>
                      <c:pt idx="4">
                        <c:v>0.33060854271819196</c:v>
                      </c:pt>
                      <c:pt idx="5">
                        <c:v>0.33658811385308857</c:v>
                      </c:pt>
                      <c:pt idx="6">
                        <c:v>0.34307350386175622</c:v>
                      </c:pt>
                      <c:pt idx="7">
                        <c:v>0.35009504022448074</c:v>
                      </c:pt>
                      <c:pt idx="8">
                        <c:v>0.35768246842791368</c:v>
                      </c:pt>
                      <c:pt idx="9">
                        <c:v>0.36586440898919931</c:v>
                      </c:pt>
                      <c:pt idx="10">
                        <c:v>0.37466773589115104</c:v>
                      </c:pt>
                      <c:pt idx="11">
                        <c:v>0.3841168795153142</c:v>
                      </c:pt>
                      <c:pt idx="12">
                        <c:v>0.39423306138355413</c:v>
                      </c:pt>
                      <c:pt idx="13">
                        <c:v>0.40503347301746906</c:v>
                      </c:pt>
                      <c:pt idx="14">
                        <c:v>0.41653041686165959</c:v>
                      </c:pt>
                      <c:pt idx="15">
                        <c:v>0.42873043324610621</c:v>
                      </c:pt>
                      <c:pt idx="16">
                        <c:v>0.44163344341796507</c:v>
                      </c:pt>
                      <c:pt idx="17">
                        <c:v>0.45523194426626579</c:v>
                      </c:pt>
                      <c:pt idx="18">
                        <c:v>0.46951029490290769</c:v>
                      </c:pt>
                      <c:pt idx="19">
                        <c:v>0.48444413809408898</c:v>
                      </c:pt>
                      <c:pt idx="20">
                        <c:v>0.5</c:v>
                      </c:pt>
                      <c:pt idx="21">
                        <c:v>0.51613510920097938</c:v>
                      </c:pt>
                      <c:pt idx="22">
                        <c:v>0.53279747016783385</c:v>
                      </c:pt>
                      <c:pt idx="23">
                        <c:v>0.54992621705116529</c:v>
                      </c:pt>
                      <c:pt idx="24">
                        <c:v>0.56745226115407632</c:v>
                      </c:pt>
                      <c:pt idx="25">
                        <c:v>0.58529923034884324</c:v>
                      </c:pt>
                      <c:pt idx="26">
                        <c:v>0.60338468202473983</c:v>
                      </c:pt>
                      <c:pt idx="27">
                        <c:v>0.62162155425050336</c:v>
                      </c:pt>
                      <c:pt idx="28">
                        <c:v>0.63991980422035699</c:v>
                      </c:pt>
                      <c:pt idx="29">
                        <c:v>0.65818817024414811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20"/>
                <c:order val="20"/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9525">
                      <a:solidFill>
                        <a:schemeClr val="accent3">
                          <a:lumMod val="8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nba_win_totals!$P$42:$AS$42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0.5</c:v>
                      </c:pt>
                      <c:pt idx="1">
                        <c:v>0.5049462403157613</c:v>
                      </c:pt>
                      <c:pt idx="2">
                        <c:v>0.5103000717980084</c:v>
                      </c:pt>
                      <c:pt idx="3">
                        <c:v>0.51608385353216846</c:v>
                      </c:pt>
                      <c:pt idx="4">
                        <c:v>0.52231903699980808</c:v>
                      </c:pt>
                      <c:pt idx="5">
                        <c:v>0.52902568929724392</c:v>
                      </c:pt>
                      <c:pt idx="6">
                        <c:v>0.53622195991228083</c:v>
                      </c:pt>
                      <c:pt idx="7">
                        <c:v>0.54392349704285703</c:v>
                      </c:pt>
                      <c:pt idx="8">
                        <c:v>0.5521428232847434</c:v>
                      </c:pt>
                      <c:pt idx="9">
                        <c:v>0.56088868482079979</c:v>
                      </c:pt>
                      <c:pt idx="10">
                        <c:v>0.57016539281455259</c:v>
                      </c:pt>
                      <c:pt idx="11">
                        <c:v>0.57997218025704711</c:v>
                      </c:pt>
                      <c:pt idx="12">
                        <c:v>0.59030260165854143</c:v>
                      </c:pt>
                      <c:pt idx="13">
                        <c:v>0.60114400626087006</c:v>
                      </c:pt>
                      <c:pt idx="14">
                        <c:v>0.6124771173739717</c:v>
                      </c:pt>
                      <c:pt idx="15">
                        <c:v>0.6242757505189197</c:v>
                      </c:pt>
                      <c:pt idx="16">
                        <c:v>0.63650670086846906</c:v>
                      </c:pt>
                      <c:pt idx="17">
                        <c:v>0.64912982573812106</c:v>
                      </c:pt>
                      <c:pt idx="18">
                        <c:v>0.66209834053688055</c:v>
                      </c:pt>
                      <c:pt idx="19">
                        <c:v>0.67535933685315919</c:v>
                      </c:pt>
                      <c:pt idx="20">
                        <c:v>0.68885451974663314</c:v>
                      </c:pt>
                      <c:pt idx="21">
                        <c:v>0.70252114864958182</c:v>
                      </c:pt>
                      <c:pt idx="22">
                        <c:v>0.71629315358675483</c:v>
                      </c:pt>
                      <c:pt idx="23">
                        <c:v>0.73010238685598194</c:v>
                      </c:pt>
                      <c:pt idx="24">
                        <c:v>0.74387996100574205</c:v>
                      </c:pt>
                      <c:pt idx="25">
                        <c:v>0.75755761785984232</c:v>
                      </c:pt>
                      <c:pt idx="26">
                        <c:v>0.77106907112086653</c:v>
                      </c:pt>
                      <c:pt idx="27">
                        <c:v>0.7843512669729592</c:v>
                      </c:pt>
                      <c:pt idx="28">
                        <c:v>0.7973455128964857</c:v>
                      </c:pt>
                      <c:pt idx="29">
                        <c:v>0.80999843398468707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nba_win_totals!$P$63:$AS$63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0.29747885135041813</c:v>
                      </c:pt>
                      <c:pt idx="1">
                        <c:v>0.30163024925182597</c:v>
                      </c:pt>
                      <c:pt idx="2">
                        <c:v>0.30616154877960861</c:v>
                      </c:pt>
                      <c:pt idx="3">
                        <c:v>0.31110149297113832</c:v>
                      </c:pt>
                      <c:pt idx="4">
                        <c:v>0.31647978635601037</c:v>
                      </c:pt>
                      <c:pt idx="5">
                        <c:v>0.32232686537235361</c:v>
                      </c:pt>
                      <c:pt idx="6">
                        <c:v>0.32867360629810738</c:v>
                      </c:pt>
                      <c:pt idx="7">
                        <c:v>0.33555096419381403</c:v>
                      </c:pt>
                      <c:pt idx="8">
                        <c:v>0.34298953732650117</c:v>
                      </c:pt>
                      <c:pt idx="9">
                        <c:v>0.35101905311773113</c:v>
                      </c:pt>
                      <c:pt idx="10">
                        <c:v>0.35966777393646027</c:v>
                      </c:pt>
                      <c:pt idx="11">
                        <c:v>0.36896182412241429</c:v>
                      </c:pt>
                      <c:pt idx="12">
                        <c:v>0.37892444352409055</c:v>
                      </c:pt>
                      <c:pt idx="13">
                        <c:v>0.38957517755485771</c:v>
                      </c:pt>
                      <c:pt idx="14">
                        <c:v>0.40092901921795154</c:v>
                      </c:pt>
                      <c:pt idx="15">
                        <c:v>0.4129955245315613</c:v>
                      </c:pt>
                      <c:pt idx="16">
                        <c:v>0.42577792898536088</c:v>
                      </c:pt>
                      <c:pt idx="17">
                        <c:v>0.43927229864142858</c:v>
                      </c:pt>
                      <c:pt idx="18">
                        <c:v>0.45346675470080783</c:v>
                      </c:pt>
                      <c:pt idx="19">
                        <c:v>0.46834081414970885</c:v>
                      </c:pt>
                      <c:pt idx="20">
                        <c:v>0.48386489079902056</c:v>
                      </c:pt>
                      <c:pt idx="21">
                        <c:v>0.5</c:v>
                      </c:pt>
                      <c:pt idx="22">
                        <c:v>0.51669770605406096</c:v>
                      </c:pt>
                      <c:pt idx="23">
                        <c:v>0.53390034356637961</c:v>
                      </c:pt>
                      <c:pt idx="24">
                        <c:v>0.55154153277934415</c:v>
                      </c:pt>
                      <c:pt idx="25">
                        <c:v>0.56954699471169057</c:v>
                      </c:pt>
                      <c:pt idx="26">
                        <c:v>0.58783565558007556</c:v>
                      </c:pt>
                      <c:pt idx="27">
                        <c:v>0.60632101271449668</c:v>
                      </c:pt>
                      <c:pt idx="28">
                        <c:v>0.62491271747606736</c:v>
                      </c:pt>
                      <c:pt idx="29">
                        <c:v>0.64351831611443899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21"/>
                <c:order val="21"/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>
                        <a:lumMod val="80000"/>
                      </a:schemeClr>
                    </a:solidFill>
                    <a:ln w="9525">
                      <a:solidFill>
                        <a:schemeClr val="accent4">
                          <a:lumMod val="8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nba_win_totals!$P$42:$AS$42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0.5</c:v>
                      </c:pt>
                      <c:pt idx="1">
                        <c:v>0.5049462403157613</c:v>
                      </c:pt>
                      <c:pt idx="2">
                        <c:v>0.5103000717980084</c:v>
                      </c:pt>
                      <c:pt idx="3">
                        <c:v>0.51608385353216846</c:v>
                      </c:pt>
                      <c:pt idx="4">
                        <c:v>0.52231903699980808</c:v>
                      </c:pt>
                      <c:pt idx="5">
                        <c:v>0.52902568929724392</c:v>
                      </c:pt>
                      <c:pt idx="6">
                        <c:v>0.53622195991228083</c:v>
                      </c:pt>
                      <c:pt idx="7">
                        <c:v>0.54392349704285703</c:v>
                      </c:pt>
                      <c:pt idx="8">
                        <c:v>0.5521428232847434</c:v>
                      </c:pt>
                      <c:pt idx="9">
                        <c:v>0.56088868482079979</c:v>
                      </c:pt>
                      <c:pt idx="10">
                        <c:v>0.57016539281455259</c:v>
                      </c:pt>
                      <c:pt idx="11">
                        <c:v>0.57997218025704711</c:v>
                      </c:pt>
                      <c:pt idx="12">
                        <c:v>0.59030260165854143</c:v>
                      </c:pt>
                      <c:pt idx="13">
                        <c:v>0.60114400626087006</c:v>
                      </c:pt>
                      <c:pt idx="14">
                        <c:v>0.6124771173739717</c:v>
                      </c:pt>
                      <c:pt idx="15">
                        <c:v>0.6242757505189197</c:v>
                      </c:pt>
                      <c:pt idx="16">
                        <c:v>0.63650670086846906</c:v>
                      </c:pt>
                      <c:pt idx="17">
                        <c:v>0.64912982573812106</c:v>
                      </c:pt>
                      <c:pt idx="18">
                        <c:v>0.66209834053688055</c:v>
                      </c:pt>
                      <c:pt idx="19">
                        <c:v>0.67535933685315919</c:v>
                      </c:pt>
                      <c:pt idx="20">
                        <c:v>0.68885451974663314</c:v>
                      </c:pt>
                      <c:pt idx="21">
                        <c:v>0.70252114864958182</c:v>
                      </c:pt>
                      <c:pt idx="22">
                        <c:v>0.71629315358675483</c:v>
                      </c:pt>
                      <c:pt idx="23">
                        <c:v>0.73010238685598194</c:v>
                      </c:pt>
                      <c:pt idx="24">
                        <c:v>0.74387996100574205</c:v>
                      </c:pt>
                      <c:pt idx="25">
                        <c:v>0.75755761785984232</c:v>
                      </c:pt>
                      <c:pt idx="26">
                        <c:v>0.77106907112086653</c:v>
                      </c:pt>
                      <c:pt idx="27">
                        <c:v>0.7843512669729592</c:v>
                      </c:pt>
                      <c:pt idx="28">
                        <c:v>0.7973455128964857</c:v>
                      </c:pt>
                      <c:pt idx="29">
                        <c:v>0.80999843398468707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nba_win_totals!$P$64:$AS$64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0.28370684641324517</c:v>
                      </c:pt>
                      <c:pt idx="1">
                        <c:v>0.2877447719654746</c:v>
                      </c:pt>
                      <c:pt idx="2">
                        <c:v>0.29215473840837614</c:v>
                      </c:pt>
                      <c:pt idx="3">
                        <c:v>0.29696541077497046</c:v>
                      </c:pt>
                      <c:pt idx="4">
                        <c:v>0.30220652713580148</c:v>
                      </c:pt>
                      <c:pt idx="5">
                        <c:v>0.30790869437595753</c:v>
                      </c:pt>
                      <c:pt idx="6">
                        <c:v>0.31410312396771667</c:v>
                      </c:pt>
                      <c:pt idx="7">
                        <c:v>0.32082130082460703</c:v>
                      </c:pt>
                      <c:pt idx="8">
                        <c:v>0.32809457904793099</c:v>
                      </c:pt>
                      <c:pt idx="9">
                        <c:v>0.3359536996565311</c:v>
                      </c:pt>
                      <c:pt idx="10">
                        <c:v>0.34442822733494199</c:v>
                      </c:pt>
                      <c:pt idx="11">
                        <c:v>0.35354590594117385</c:v>
                      </c:pt>
                      <c:pt idx="12">
                        <c:v>0.36333193605144004</c:v>
                      </c:pt>
                      <c:pt idx="13">
                        <c:v>0.37380818220506512</c:v>
                      </c:pt>
                      <c:pt idx="14">
                        <c:v>0.38499232269801659</c:v>
                      </c:pt>
                      <c:pt idx="15">
                        <c:v>0.396896960614324</c:v>
                      </c:pt>
                      <c:pt idx="16">
                        <c:v>0.40952872102451271</c:v>
                      </c:pt>
                      <c:pt idx="17">
                        <c:v>0.42288736553718415</c:v>
                      </c:pt>
                      <c:pt idx="18">
                        <c:v>0.43696496115709393</c:v>
                      </c:pt>
                      <c:pt idx="19">
                        <c:v>0.45174514506700608</c:v>
                      </c:pt>
                      <c:pt idx="20">
                        <c:v>0.46720252983216615</c:v>
                      </c:pt>
                      <c:pt idx="21">
                        <c:v>0.48330229394593899</c:v>
                      </c:pt>
                      <c:pt idx="22">
                        <c:v>0.5</c:v>
                      </c:pt>
                      <c:pt idx="23">
                        <c:v>0.51724167666642951</c:v>
                      </c:pt>
                      <c:pt idx="24">
                        <c:v>0.53496419100371084</c:v>
                      </c:pt>
                      <c:pt idx="25">
                        <c:v>0.55309592459529611</c:v>
                      </c:pt>
                      <c:pt idx="26">
                        <c:v>0.57155775136304665</c:v>
                      </c:pt>
                      <c:pt idx="27">
                        <c:v>0.59026429763515698</c:v>
                      </c:pt>
                      <c:pt idx="28">
                        <c:v>0.60912544757982423</c:v>
                      </c:pt>
                      <c:pt idx="29">
                        <c:v>0.62804804101525269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22"/>
                <c:order val="22"/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>
                        <a:lumMod val="80000"/>
                      </a:schemeClr>
                    </a:solidFill>
                    <a:ln w="9525">
                      <a:solidFill>
                        <a:schemeClr val="accent5">
                          <a:lumMod val="8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nba_win_totals!$P$42:$AS$42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0.5</c:v>
                      </c:pt>
                      <c:pt idx="1">
                        <c:v>0.5049462403157613</c:v>
                      </c:pt>
                      <c:pt idx="2">
                        <c:v>0.5103000717980084</c:v>
                      </c:pt>
                      <c:pt idx="3">
                        <c:v>0.51608385353216846</c:v>
                      </c:pt>
                      <c:pt idx="4">
                        <c:v>0.52231903699980808</c:v>
                      </c:pt>
                      <c:pt idx="5">
                        <c:v>0.52902568929724392</c:v>
                      </c:pt>
                      <c:pt idx="6">
                        <c:v>0.53622195991228083</c:v>
                      </c:pt>
                      <c:pt idx="7">
                        <c:v>0.54392349704285703</c:v>
                      </c:pt>
                      <c:pt idx="8">
                        <c:v>0.5521428232847434</c:v>
                      </c:pt>
                      <c:pt idx="9">
                        <c:v>0.56088868482079979</c:v>
                      </c:pt>
                      <c:pt idx="10">
                        <c:v>0.57016539281455259</c:v>
                      </c:pt>
                      <c:pt idx="11">
                        <c:v>0.57997218025704711</c:v>
                      </c:pt>
                      <c:pt idx="12">
                        <c:v>0.59030260165854143</c:v>
                      </c:pt>
                      <c:pt idx="13">
                        <c:v>0.60114400626087006</c:v>
                      </c:pt>
                      <c:pt idx="14">
                        <c:v>0.6124771173739717</c:v>
                      </c:pt>
                      <c:pt idx="15">
                        <c:v>0.6242757505189197</c:v>
                      </c:pt>
                      <c:pt idx="16">
                        <c:v>0.63650670086846906</c:v>
                      </c:pt>
                      <c:pt idx="17">
                        <c:v>0.64912982573812106</c:v>
                      </c:pt>
                      <c:pt idx="18">
                        <c:v>0.66209834053688055</c:v>
                      </c:pt>
                      <c:pt idx="19">
                        <c:v>0.67535933685315919</c:v>
                      </c:pt>
                      <c:pt idx="20">
                        <c:v>0.68885451974663314</c:v>
                      </c:pt>
                      <c:pt idx="21">
                        <c:v>0.70252114864958182</c:v>
                      </c:pt>
                      <c:pt idx="22">
                        <c:v>0.71629315358675483</c:v>
                      </c:pt>
                      <c:pt idx="23">
                        <c:v>0.73010238685598194</c:v>
                      </c:pt>
                      <c:pt idx="24">
                        <c:v>0.74387996100574205</c:v>
                      </c:pt>
                      <c:pt idx="25">
                        <c:v>0.75755761785984232</c:v>
                      </c:pt>
                      <c:pt idx="26">
                        <c:v>0.77106907112086653</c:v>
                      </c:pt>
                      <c:pt idx="27">
                        <c:v>0.7843512669729592</c:v>
                      </c:pt>
                      <c:pt idx="28">
                        <c:v>0.7973455128964857</c:v>
                      </c:pt>
                      <c:pt idx="29">
                        <c:v>0.80999843398468707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nba_win_totals!$P$65:$AS$65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0.269897613144018</c:v>
                      </c:pt>
                      <c:pt idx="1">
                        <c:v>0.27381412716209808</c:v>
                      </c:pt>
                      <c:pt idx="2">
                        <c:v>0.27809395249672492</c:v>
                      </c:pt>
                      <c:pt idx="3">
                        <c:v>0.28276558656236483</c:v>
                      </c:pt>
                      <c:pt idx="4">
                        <c:v>0.28785870475875486</c:v>
                      </c:pt>
                      <c:pt idx="5">
                        <c:v>0.29340398207222107</c:v>
                      </c:pt>
                      <c:pt idx="6">
                        <c:v>0.299432857526027</c:v>
                      </c:pt>
                      <c:pt idx="7">
                        <c:v>0.30597723425147094</c:v>
                      </c:pt>
                      <c:pt idx="8">
                        <c:v>0.31306910843766633</c:v>
                      </c:pt>
                      <c:pt idx="9">
                        <c:v>0.32074012140762154</c:v>
                      </c:pt>
                      <c:pt idx="10">
                        <c:v>0.32902103067531613</c:v>
                      </c:pt>
                      <c:pt idx="11">
                        <c:v>0.3379410981703963</c:v>
                      </c:pt>
                      <c:pt idx="12">
                        <c:v>0.34752739696091661</c:v>
                      </c:pt>
                      <c:pt idx="13">
                        <c:v>0.35780404180901998</c:v>
                      </c:pt>
                      <c:pt idx="14">
                        <c:v>0.36879135374878091</c:v>
                      </c:pt>
                      <c:pt idx="15">
                        <c:v>0.38050497448623116</c:v>
                      </c:pt>
                      <c:pt idx="16">
                        <c:v>0.3929549525906601</c:v>
                      </c:pt>
                      <c:pt idx="17">
                        <c:v>0.40614482985345918</c:v>
                      </c:pt>
                      <c:pt idx="18">
                        <c:v>0.42007076238667718</c:v>
                      </c:pt>
                      <c:pt idx="19">
                        <c:v>0.43472071644786109</c:v>
                      </c:pt>
                      <c:pt idx="20">
                        <c:v>0.45007378294883477</c:v>
                      </c:pt>
                      <c:pt idx="21">
                        <c:v>0.46609965643362039</c:v>
                      </c:pt>
                      <c:pt idx="22">
                        <c:v>0.48275832333357049</c:v>
                      </c:pt>
                      <c:pt idx="23">
                        <c:v>0.5</c:v>
                      </c:pt>
                      <c:pt idx="24">
                        <c:v>0.51776535308979577</c:v>
                      </c:pt>
                      <c:pt idx="25">
                        <c:v>0.53598602338663159</c:v>
                      </c:pt>
                      <c:pt idx="26">
                        <c:v>0.5545854595315719</c:v>
                      </c:pt>
                      <c:pt idx="27">
                        <c:v>0.57348005128667034</c:v>
                      </c:pt>
                      <c:pt idx="28">
                        <c:v>0.59258053411779887</c:v>
                      </c:pt>
                      <c:pt idx="29">
                        <c:v>0.61179361958126655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23"/>
                <c:order val="23"/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>
                        <a:lumMod val="80000"/>
                      </a:schemeClr>
                    </a:solidFill>
                    <a:ln w="9525">
                      <a:solidFill>
                        <a:schemeClr val="accent6">
                          <a:lumMod val="8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nba_win_totals!$P$42:$AS$42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0.5</c:v>
                      </c:pt>
                      <c:pt idx="1">
                        <c:v>0.5049462403157613</c:v>
                      </c:pt>
                      <c:pt idx="2">
                        <c:v>0.5103000717980084</c:v>
                      </c:pt>
                      <c:pt idx="3">
                        <c:v>0.51608385353216846</c:v>
                      </c:pt>
                      <c:pt idx="4">
                        <c:v>0.52231903699980808</c:v>
                      </c:pt>
                      <c:pt idx="5">
                        <c:v>0.52902568929724392</c:v>
                      </c:pt>
                      <c:pt idx="6">
                        <c:v>0.53622195991228083</c:v>
                      </c:pt>
                      <c:pt idx="7">
                        <c:v>0.54392349704285703</c:v>
                      </c:pt>
                      <c:pt idx="8">
                        <c:v>0.5521428232847434</c:v>
                      </c:pt>
                      <c:pt idx="9">
                        <c:v>0.56088868482079979</c:v>
                      </c:pt>
                      <c:pt idx="10">
                        <c:v>0.57016539281455259</c:v>
                      </c:pt>
                      <c:pt idx="11">
                        <c:v>0.57997218025704711</c:v>
                      </c:pt>
                      <c:pt idx="12">
                        <c:v>0.59030260165854143</c:v>
                      </c:pt>
                      <c:pt idx="13">
                        <c:v>0.60114400626087006</c:v>
                      </c:pt>
                      <c:pt idx="14">
                        <c:v>0.6124771173739717</c:v>
                      </c:pt>
                      <c:pt idx="15">
                        <c:v>0.6242757505189197</c:v>
                      </c:pt>
                      <c:pt idx="16">
                        <c:v>0.63650670086846906</c:v>
                      </c:pt>
                      <c:pt idx="17">
                        <c:v>0.64912982573812106</c:v>
                      </c:pt>
                      <c:pt idx="18">
                        <c:v>0.66209834053688055</c:v>
                      </c:pt>
                      <c:pt idx="19">
                        <c:v>0.67535933685315919</c:v>
                      </c:pt>
                      <c:pt idx="20">
                        <c:v>0.68885451974663314</c:v>
                      </c:pt>
                      <c:pt idx="21">
                        <c:v>0.70252114864958182</c:v>
                      </c:pt>
                      <c:pt idx="22">
                        <c:v>0.71629315358675483</c:v>
                      </c:pt>
                      <c:pt idx="23">
                        <c:v>0.73010238685598194</c:v>
                      </c:pt>
                      <c:pt idx="24">
                        <c:v>0.74387996100574205</c:v>
                      </c:pt>
                      <c:pt idx="25">
                        <c:v>0.75755761785984232</c:v>
                      </c:pt>
                      <c:pt idx="26">
                        <c:v>0.77106907112086653</c:v>
                      </c:pt>
                      <c:pt idx="27">
                        <c:v>0.7843512669729592</c:v>
                      </c:pt>
                      <c:pt idx="28">
                        <c:v>0.7973455128964857</c:v>
                      </c:pt>
                      <c:pt idx="29">
                        <c:v>0.80999843398468707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nba_win_totals!$P$66:$AS$66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0.25612003899425795</c:v>
                      </c:pt>
                      <c:pt idx="1">
                        <c:v>0.25990779707705136</c:v>
                      </c:pt>
                      <c:pt idx="2">
                        <c:v>0.26404929594784404</c:v>
                      </c:pt>
                      <c:pt idx="3">
                        <c:v>0.2685727719429179</c:v>
                      </c:pt>
                      <c:pt idx="4">
                        <c:v>0.27350773614952834</c:v>
                      </c:pt>
                      <c:pt idx="5">
                        <c:v>0.27888482197713693</c:v>
                      </c:pt>
                      <c:pt idx="6">
                        <c:v>0.28473557877177313</c:v>
                      </c:pt>
                      <c:pt idx="7">
                        <c:v>0.29109220403428415</c:v>
                      </c:pt>
                      <c:pt idx="8">
                        <c:v>0.29798720706370802</c:v>
                      </c:pt>
                      <c:pt idx="9">
                        <c:v>0.305452997556169</c:v>
                      </c:pt>
                      <c:pt idx="10">
                        <c:v>0.31352139396241918</c:v>
                      </c:pt>
                      <c:pt idx="11">
                        <c:v>0.32222304835771576</c:v>
                      </c:pt>
                      <c:pt idx="12">
                        <c:v>0.33158678730799973</c:v>
                      </c:pt>
                      <c:pt idx="13">
                        <c:v>0.34163887179980024</c:v>
                      </c:pt>
                      <c:pt idx="14">
                        <c:v>0.35240218376319032</c:v>
                      </c:pt>
                      <c:pt idx="15">
                        <c:v>0.36389535201176249</c:v>
                      </c:pt>
                      <c:pt idx="16">
                        <c:v>0.37613183641092696</c:v>
                      </c:pt>
                      <c:pt idx="17">
                        <c:v>0.38911899551058127</c:v>
                      </c:pt>
                      <c:pt idx="18">
                        <c:v>0.40285716935626165</c:v>
                      </c:pt>
                      <c:pt idx="19">
                        <c:v>0.41733881521038485</c:v>
                      </c:pt>
                      <c:pt idx="20">
                        <c:v>0.43254773884592373</c:v>
                      </c:pt>
                      <c:pt idx="21">
                        <c:v>0.44845846722065585</c:v>
                      </c:pt>
                      <c:pt idx="22">
                        <c:v>0.46503580899628916</c:v>
                      </c:pt>
                      <c:pt idx="23">
                        <c:v>0.48223464691020429</c:v>
                      </c:pt>
                      <c:pt idx="24">
                        <c:v>0.5</c:v>
                      </c:pt>
                      <c:pt idx="25">
                        <c:v>0.51826738397349825</c:v>
                      </c:pt>
                      <c:pt idx="26">
                        <c:v>0.53696348483678247</c:v>
                      </c:pt>
                      <c:pt idx="27">
                        <c:v>0.5560071448932028</c:v>
                      </c:pt>
                      <c:pt idx="28">
                        <c:v>0.57531064247824737</c:v>
                      </c:pt>
                      <c:pt idx="29">
                        <c:v>0.59478122871339911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24"/>
                <c:order val="24"/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  <a:lumOff val="40000"/>
                      </a:schemeClr>
                    </a:solidFill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nba_win_totals!$P$42:$AS$42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0.5</c:v>
                      </c:pt>
                      <c:pt idx="1">
                        <c:v>0.5049462403157613</c:v>
                      </c:pt>
                      <c:pt idx="2">
                        <c:v>0.5103000717980084</c:v>
                      </c:pt>
                      <c:pt idx="3">
                        <c:v>0.51608385353216846</c:v>
                      </c:pt>
                      <c:pt idx="4">
                        <c:v>0.52231903699980808</c:v>
                      </c:pt>
                      <c:pt idx="5">
                        <c:v>0.52902568929724392</c:v>
                      </c:pt>
                      <c:pt idx="6">
                        <c:v>0.53622195991228083</c:v>
                      </c:pt>
                      <c:pt idx="7">
                        <c:v>0.54392349704285703</c:v>
                      </c:pt>
                      <c:pt idx="8">
                        <c:v>0.5521428232847434</c:v>
                      </c:pt>
                      <c:pt idx="9">
                        <c:v>0.56088868482079979</c:v>
                      </c:pt>
                      <c:pt idx="10">
                        <c:v>0.57016539281455259</c:v>
                      </c:pt>
                      <c:pt idx="11">
                        <c:v>0.57997218025704711</c:v>
                      </c:pt>
                      <c:pt idx="12">
                        <c:v>0.59030260165854143</c:v>
                      </c:pt>
                      <c:pt idx="13">
                        <c:v>0.60114400626087006</c:v>
                      </c:pt>
                      <c:pt idx="14">
                        <c:v>0.6124771173739717</c:v>
                      </c:pt>
                      <c:pt idx="15">
                        <c:v>0.6242757505189197</c:v>
                      </c:pt>
                      <c:pt idx="16">
                        <c:v>0.63650670086846906</c:v>
                      </c:pt>
                      <c:pt idx="17">
                        <c:v>0.64912982573812106</c:v>
                      </c:pt>
                      <c:pt idx="18">
                        <c:v>0.66209834053688055</c:v>
                      </c:pt>
                      <c:pt idx="19">
                        <c:v>0.67535933685315919</c:v>
                      </c:pt>
                      <c:pt idx="20">
                        <c:v>0.68885451974663314</c:v>
                      </c:pt>
                      <c:pt idx="21">
                        <c:v>0.70252114864958182</c:v>
                      </c:pt>
                      <c:pt idx="22">
                        <c:v>0.71629315358675483</c:v>
                      </c:pt>
                      <c:pt idx="23">
                        <c:v>0.73010238685598194</c:v>
                      </c:pt>
                      <c:pt idx="24">
                        <c:v>0.74387996100574205</c:v>
                      </c:pt>
                      <c:pt idx="25">
                        <c:v>0.75755761785984232</c:v>
                      </c:pt>
                      <c:pt idx="26">
                        <c:v>0.77106907112086653</c:v>
                      </c:pt>
                      <c:pt idx="27">
                        <c:v>0.7843512669729592</c:v>
                      </c:pt>
                      <c:pt idx="28">
                        <c:v>0.7973455128964857</c:v>
                      </c:pt>
                      <c:pt idx="29">
                        <c:v>0.80999843398468707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nba_win_totals!$P$67:$AS$67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0.24244238214015779</c:v>
                      </c:pt>
                      <c:pt idx="1">
                        <c:v>0.24609478049221095</c:v>
                      </c:pt>
                      <c:pt idx="2">
                        <c:v>0.2500905528792392</c:v>
                      </c:pt>
                      <c:pt idx="3">
                        <c:v>0.25445757909498545</c:v>
                      </c:pt>
                      <c:pt idx="4">
                        <c:v>0.259225100817846</c:v>
                      </c:pt>
                      <c:pt idx="5">
                        <c:v>0.26442359496275097</c:v>
                      </c:pt>
                      <c:pt idx="6">
                        <c:v>0.27008459656724915</c:v>
                      </c:pt>
                      <c:pt idx="7">
                        <c:v>0.27624046366789401</c:v>
                      </c:pt>
                      <c:pt idx="8">
                        <c:v>0.28292407667528258</c:v>
                      </c:pt>
                      <c:pt idx="9">
                        <c:v>0.29016846519990758</c:v>
                      </c:pt>
                      <c:pt idx="10">
                        <c:v>0.29800635622940125</c:v>
                      </c:pt>
                      <c:pt idx="11">
                        <c:v>0.30646963912840919</c:v>
                      </c:pt>
                      <c:pt idx="12">
                        <c:v>0.31558874523764635</c:v>
                      </c:pt>
                      <c:pt idx="13">
                        <c:v>0.32539194298213031</c:v>
                      </c:pt>
                      <c:pt idx="14">
                        <c:v>0.33590455341667186</c:v>
                      </c:pt>
                      <c:pt idx="15">
                        <c:v>0.34714809603746133</c:v>
                      </c:pt>
                      <c:pt idx="16">
                        <c:v>0.35913938038783494</c:v>
                      </c:pt>
                      <c:pt idx="17">
                        <c:v>0.37188956529446682</c:v>
                      </c:pt>
                      <c:pt idx="18">
                        <c:v>0.38540321417367007</c:v>
                      </c:pt>
                      <c:pt idx="19">
                        <c:v>0.39967738129938934</c:v>
                      </c:pt>
                      <c:pt idx="20">
                        <c:v>0.41470076965115682</c:v>
                      </c:pt>
                      <c:pt idx="21">
                        <c:v>0.43045300528830938</c:v>
                      </c:pt>
                      <c:pt idx="22">
                        <c:v>0.44690407540470389</c:v>
                      </c:pt>
                      <c:pt idx="23">
                        <c:v>0.46401397661336835</c:v>
                      </c:pt>
                      <c:pt idx="24">
                        <c:v>0.48173261602650175</c:v>
                      </c:pt>
                      <c:pt idx="25">
                        <c:v>0.5</c:v>
                      </c:pt>
                      <c:pt idx="26">
                        <c:v>0.51874673400493132</c:v>
                      </c:pt>
                      <c:pt idx="27">
                        <c:v>0.53789484238217344</c:v>
                      </c:pt>
                      <c:pt idx="28">
                        <c:v>0.5573588995787</c:v>
                      </c:pt>
                      <c:pt idx="29">
                        <c:v>0.57704744610390912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25"/>
                <c:order val="25"/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>
                        <a:lumMod val="60000"/>
                        <a:lumOff val="40000"/>
                      </a:schemeClr>
                    </a:solidFill>
                    <a:ln w="9525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nba_win_totals!$P$42:$AS$42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0.5</c:v>
                      </c:pt>
                      <c:pt idx="1">
                        <c:v>0.5049462403157613</c:v>
                      </c:pt>
                      <c:pt idx="2">
                        <c:v>0.5103000717980084</c:v>
                      </c:pt>
                      <c:pt idx="3">
                        <c:v>0.51608385353216846</c:v>
                      </c:pt>
                      <c:pt idx="4">
                        <c:v>0.52231903699980808</c:v>
                      </c:pt>
                      <c:pt idx="5">
                        <c:v>0.52902568929724392</c:v>
                      </c:pt>
                      <c:pt idx="6">
                        <c:v>0.53622195991228083</c:v>
                      </c:pt>
                      <c:pt idx="7">
                        <c:v>0.54392349704285703</c:v>
                      </c:pt>
                      <c:pt idx="8">
                        <c:v>0.5521428232847434</c:v>
                      </c:pt>
                      <c:pt idx="9">
                        <c:v>0.56088868482079979</c:v>
                      </c:pt>
                      <c:pt idx="10">
                        <c:v>0.57016539281455259</c:v>
                      </c:pt>
                      <c:pt idx="11">
                        <c:v>0.57997218025704711</c:v>
                      </c:pt>
                      <c:pt idx="12">
                        <c:v>0.59030260165854143</c:v>
                      </c:pt>
                      <c:pt idx="13">
                        <c:v>0.60114400626087006</c:v>
                      </c:pt>
                      <c:pt idx="14">
                        <c:v>0.6124771173739717</c:v>
                      </c:pt>
                      <c:pt idx="15">
                        <c:v>0.6242757505189197</c:v>
                      </c:pt>
                      <c:pt idx="16">
                        <c:v>0.63650670086846906</c:v>
                      </c:pt>
                      <c:pt idx="17">
                        <c:v>0.64912982573812106</c:v>
                      </c:pt>
                      <c:pt idx="18">
                        <c:v>0.66209834053688055</c:v>
                      </c:pt>
                      <c:pt idx="19">
                        <c:v>0.67535933685315919</c:v>
                      </c:pt>
                      <c:pt idx="20">
                        <c:v>0.68885451974663314</c:v>
                      </c:pt>
                      <c:pt idx="21">
                        <c:v>0.70252114864958182</c:v>
                      </c:pt>
                      <c:pt idx="22">
                        <c:v>0.71629315358675483</c:v>
                      </c:pt>
                      <c:pt idx="23">
                        <c:v>0.73010238685598194</c:v>
                      </c:pt>
                      <c:pt idx="24">
                        <c:v>0.74387996100574205</c:v>
                      </c:pt>
                      <c:pt idx="25">
                        <c:v>0.75755761785984232</c:v>
                      </c:pt>
                      <c:pt idx="26">
                        <c:v>0.77106907112086653</c:v>
                      </c:pt>
                      <c:pt idx="27">
                        <c:v>0.7843512669729592</c:v>
                      </c:pt>
                      <c:pt idx="28">
                        <c:v>0.7973455128964857</c:v>
                      </c:pt>
                      <c:pt idx="29">
                        <c:v>0.80999843398468707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nba_win_totals!$P$68:$AS$68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0.22893092887913349</c:v>
                      </c:pt>
                      <c:pt idx="1">
                        <c:v>0.23244223252095431</c:v>
                      </c:pt>
                      <c:pt idx="2">
                        <c:v>0.23628580799123672</c:v>
                      </c:pt>
                      <c:pt idx="3">
                        <c:v>0.24048908305088901</c:v>
                      </c:pt>
                      <c:pt idx="4">
                        <c:v>0.24508092358960609</c:v>
                      </c:pt>
                      <c:pt idx="5">
                        <c:v>0.2500915322300597</c:v>
                      </c:pt>
                      <c:pt idx="6">
                        <c:v>0.25555230020051067</c:v>
                      </c:pt>
                      <c:pt idx="7">
                        <c:v>0.26149560493325757</c:v>
                      </c:pt>
                      <c:pt idx="8">
                        <c:v>0.26795454571153682</c:v>
                      </c:pt>
                      <c:pt idx="9">
                        <c:v>0.27496260988622268</c:v>
                      </c:pt>
                      <c:pt idx="10">
                        <c:v>0.28255326282471421</c:v>
                      </c:pt>
                      <c:pt idx="11">
                        <c:v>0.29075945595530656</c:v>
                      </c:pt>
                      <c:pt idx="12">
                        <c:v>0.29961304914981679</c:v>
                      </c:pt>
                      <c:pt idx="13">
                        <c:v>0.30914414635362719</c:v>
                      </c:pt>
                      <c:pt idx="14">
                        <c:v>0.31938034690791411</c:v>
                      </c:pt>
                      <c:pt idx="15">
                        <c:v>0.33034591945008701</c:v>
                      </c:pt>
                      <c:pt idx="16">
                        <c:v>0.34206091059294946</c:v>
                      </c:pt>
                      <c:pt idx="17">
                        <c:v>0.35454020664525671</c:v>
                      </c:pt>
                      <c:pt idx="18">
                        <c:v>0.3677925732052808</c:v>
                      </c:pt>
                      <c:pt idx="19">
                        <c:v>0.38181970416265126</c:v>
                      </c:pt>
                      <c:pt idx="20">
                        <c:v>0.39661531797526017</c:v>
                      </c:pt>
                      <c:pt idx="21">
                        <c:v>0.4121643444199245</c:v>
                      </c:pt>
                      <c:pt idx="22">
                        <c:v>0.42844224863695335</c:v>
                      </c:pt>
                      <c:pt idx="23">
                        <c:v>0.44541454046842816</c:v>
                      </c:pt>
                      <c:pt idx="24">
                        <c:v>0.46303651516321748</c:v>
                      </c:pt>
                      <c:pt idx="25">
                        <c:v>0.48125326599506874</c:v>
                      </c:pt>
                      <c:pt idx="26">
                        <c:v>0.5</c:v>
                      </c:pt>
                      <c:pt idx="27">
                        <c:v>0.51920267504662998</c:v>
                      </c:pt>
                      <c:pt idx="28">
                        <c:v>0.53877896040247764</c:v>
                      </c:pt>
                      <c:pt idx="29">
                        <c:v>0.5586395048824998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26"/>
                <c:order val="26"/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60000"/>
                        <a:lumOff val="40000"/>
                      </a:schemeClr>
                    </a:solidFill>
                    <a:ln w="9525">
                      <a:solidFill>
                        <a:schemeClr val="accent3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nba_win_totals!$P$42:$AS$42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0.5</c:v>
                      </c:pt>
                      <c:pt idx="1">
                        <c:v>0.5049462403157613</c:v>
                      </c:pt>
                      <c:pt idx="2">
                        <c:v>0.5103000717980084</c:v>
                      </c:pt>
                      <c:pt idx="3">
                        <c:v>0.51608385353216846</c:v>
                      </c:pt>
                      <c:pt idx="4">
                        <c:v>0.52231903699980808</c:v>
                      </c:pt>
                      <c:pt idx="5">
                        <c:v>0.52902568929724392</c:v>
                      </c:pt>
                      <c:pt idx="6">
                        <c:v>0.53622195991228083</c:v>
                      </c:pt>
                      <c:pt idx="7">
                        <c:v>0.54392349704285703</c:v>
                      </c:pt>
                      <c:pt idx="8">
                        <c:v>0.5521428232847434</c:v>
                      </c:pt>
                      <c:pt idx="9">
                        <c:v>0.56088868482079979</c:v>
                      </c:pt>
                      <c:pt idx="10">
                        <c:v>0.57016539281455259</c:v>
                      </c:pt>
                      <c:pt idx="11">
                        <c:v>0.57997218025704711</c:v>
                      </c:pt>
                      <c:pt idx="12">
                        <c:v>0.59030260165854143</c:v>
                      </c:pt>
                      <c:pt idx="13">
                        <c:v>0.60114400626087006</c:v>
                      </c:pt>
                      <c:pt idx="14">
                        <c:v>0.6124771173739717</c:v>
                      </c:pt>
                      <c:pt idx="15">
                        <c:v>0.6242757505189197</c:v>
                      </c:pt>
                      <c:pt idx="16">
                        <c:v>0.63650670086846906</c:v>
                      </c:pt>
                      <c:pt idx="17">
                        <c:v>0.64912982573812106</c:v>
                      </c:pt>
                      <c:pt idx="18">
                        <c:v>0.66209834053688055</c:v>
                      </c:pt>
                      <c:pt idx="19">
                        <c:v>0.67535933685315919</c:v>
                      </c:pt>
                      <c:pt idx="20">
                        <c:v>0.68885451974663314</c:v>
                      </c:pt>
                      <c:pt idx="21">
                        <c:v>0.70252114864958182</c:v>
                      </c:pt>
                      <c:pt idx="22">
                        <c:v>0.71629315358675483</c:v>
                      </c:pt>
                      <c:pt idx="23">
                        <c:v>0.73010238685598194</c:v>
                      </c:pt>
                      <c:pt idx="24">
                        <c:v>0.74387996100574205</c:v>
                      </c:pt>
                      <c:pt idx="25">
                        <c:v>0.75755761785984232</c:v>
                      </c:pt>
                      <c:pt idx="26">
                        <c:v>0.77106907112086653</c:v>
                      </c:pt>
                      <c:pt idx="27">
                        <c:v>0.7843512669729592</c:v>
                      </c:pt>
                      <c:pt idx="28">
                        <c:v>0.7973455128964857</c:v>
                      </c:pt>
                      <c:pt idx="29">
                        <c:v>0.80999843398468707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nba_win_totals!$P$69:$AS$69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0.21564873302704085</c:v>
                      </c:pt>
                      <c:pt idx="1">
                        <c:v>0.21901418118100136</c:v>
                      </c:pt>
                      <c:pt idx="2">
                        <c:v>0.22270013882530892</c:v>
                      </c:pt>
                      <c:pt idx="3">
                        <c:v>0.22673348820098749</c:v>
                      </c:pt>
                      <c:pt idx="4">
                        <c:v>0.23114261401714065</c:v>
                      </c:pt>
                      <c:pt idx="5">
                        <c:v>0.23595732644921025</c:v>
                      </c:pt>
                      <c:pt idx="6">
                        <c:v>0.24120874132126804</c:v>
                      </c:pt>
                      <c:pt idx="7">
                        <c:v>0.24692911003322113</c:v>
                      </c:pt>
                      <c:pt idx="8">
                        <c:v>0.25315159149597988</c:v>
                      </c:pt>
                      <c:pt idx="9">
                        <c:v>0.25990995831593727</c:v>
                      </c:pt>
                      <c:pt idx="10">
                        <c:v>0.267238229826881</c:v>
                      </c:pt>
                      <c:pt idx="11">
                        <c:v>0.27517022541711739</c:v>
                      </c:pt>
                      <c:pt idx="12">
                        <c:v>0.28373903306292714</c:v>
                      </c:pt>
                      <c:pt idx="13">
                        <c:v>0.29297639017457672</c:v>
                      </c:pt>
                      <c:pt idx="14">
                        <c:v>0.30291197689006377</c:v>
                      </c:pt>
                      <c:pt idx="15">
                        <c:v>0.313572625883145</c:v>
                      </c:pt>
                      <c:pt idx="16">
                        <c:v>0.32498145759955055</c:v>
                      </c:pt>
                      <c:pt idx="17">
                        <c:v>0.33715695553306341</c:v>
                      </c:pt>
                      <c:pt idx="18">
                        <c:v>0.35011200253238611</c:v>
                      </c:pt>
                      <c:pt idx="19">
                        <c:v>0.36385290589732255</c:v>
                      </c:pt>
                      <c:pt idx="20">
                        <c:v>0.37837844574949669</c:v>
                      </c:pt>
                      <c:pt idx="21">
                        <c:v>0.39367898728550332</c:v>
                      </c:pt>
                      <c:pt idx="22">
                        <c:v>0.40973570236484297</c:v>
                      </c:pt>
                      <c:pt idx="23">
                        <c:v>0.42651994871332966</c:v>
                      </c:pt>
                      <c:pt idx="24">
                        <c:v>0.44399285510679726</c:v>
                      </c:pt>
                      <c:pt idx="25">
                        <c:v>0.4621051576178265</c:v>
                      </c:pt>
                      <c:pt idx="26">
                        <c:v>0.48079732495336996</c:v>
                      </c:pt>
                      <c:pt idx="27">
                        <c:v>0.5</c:v>
                      </c:pt>
                      <c:pt idx="28">
                        <c:v>0.51963477025025462</c:v>
                      </c:pt>
                      <c:pt idx="29">
                        <c:v>0.53961526258126746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27"/>
                <c:order val="27"/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>
                        <a:lumMod val="60000"/>
                        <a:lumOff val="40000"/>
                      </a:schemeClr>
                    </a:solidFill>
                    <a:ln w="9525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nba_win_totals!$P$42:$AS$42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0.5</c:v>
                      </c:pt>
                      <c:pt idx="1">
                        <c:v>0.5049462403157613</c:v>
                      </c:pt>
                      <c:pt idx="2">
                        <c:v>0.5103000717980084</c:v>
                      </c:pt>
                      <c:pt idx="3">
                        <c:v>0.51608385353216846</c:v>
                      </c:pt>
                      <c:pt idx="4">
                        <c:v>0.52231903699980808</c:v>
                      </c:pt>
                      <c:pt idx="5">
                        <c:v>0.52902568929724392</c:v>
                      </c:pt>
                      <c:pt idx="6">
                        <c:v>0.53622195991228083</c:v>
                      </c:pt>
                      <c:pt idx="7">
                        <c:v>0.54392349704285703</c:v>
                      </c:pt>
                      <c:pt idx="8">
                        <c:v>0.5521428232847434</c:v>
                      </c:pt>
                      <c:pt idx="9">
                        <c:v>0.56088868482079979</c:v>
                      </c:pt>
                      <c:pt idx="10">
                        <c:v>0.57016539281455259</c:v>
                      </c:pt>
                      <c:pt idx="11">
                        <c:v>0.57997218025704711</c:v>
                      </c:pt>
                      <c:pt idx="12">
                        <c:v>0.59030260165854143</c:v>
                      </c:pt>
                      <c:pt idx="13">
                        <c:v>0.60114400626087006</c:v>
                      </c:pt>
                      <c:pt idx="14">
                        <c:v>0.6124771173739717</c:v>
                      </c:pt>
                      <c:pt idx="15">
                        <c:v>0.6242757505189197</c:v>
                      </c:pt>
                      <c:pt idx="16">
                        <c:v>0.63650670086846906</c:v>
                      </c:pt>
                      <c:pt idx="17">
                        <c:v>0.64912982573812106</c:v>
                      </c:pt>
                      <c:pt idx="18">
                        <c:v>0.66209834053688055</c:v>
                      </c:pt>
                      <c:pt idx="19">
                        <c:v>0.67535933685315919</c:v>
                      </c:pt>
                      <c:pt idx="20">
                        <c:v>0.68885451974663314</c:v>
                      </c:pt>
                      <c:pt idx="21">
                        <c:v>0.70252114864958182</c:v>
                      </c:pt>
                      <c:pt idx="22">
                        <c:v>0.71629315358675483</c:v>
                      </c:pt>
                      <c:pt idx="23">
                        <c:v>0.73010238685598194</c:v>
                      </c:pt>
                      <c:pt idx="24">
                        <c:v>0.74387996100574205</c:v>
                      </c:pt>
                      <c:pt idx="25">
                        <c:v>0.75755761785984232</c:v>
                      </c:pt>
                      <c:pt idx="26">
                        <c:v>0.77106907112086653</c:v>
                      </c:pt>
                      <c:pt idx="27">
                        <c:v>0.7843512669729592</c:v>
                      </c:pt>
                      <c:pt idx="28">
                        <c:v>0.7973455128964857</c:v>
                      </c:pt>
                      <c:pt idx="29">
                        <c:v>0.80999843398468707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nba_win_totals!$P$70:$AS$70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0.20265448710351422</c:v>
                      </c:pt>
                      <c:pt idx="1">
                        <c:v>0.20587037180094728</c:v>
                      </c:pt>
                      <c:pt idx="2">
                        <c:v>0.20939443129585517</c:v>
                      </c:pt>
                      <c:pt idx="3">
                        <c:v>0.21325291281282335</c:v>
                      </c:pt>
                      <c:pt idx="4">
                        <c:v>0.21747361774400317</c:v>
                      </c:pt>
                      <c:pt idx="5">
                        <c:v>0.22208584787548899</c:v>
                      </c:pt>
                      <c:pt idx="6">
                        <c:v>0.22712031282777123</c:v>
                      </c:pt>
                      <c:pt idx="7">
                        <c:v>0.23260899146963879</c:v>
                      </c:pt>
                      <c:pt idx="8">
                        <c:v>0.23858493962997393</c:v>
                      </c:pt>
                      <c:pt idx="9">
                        <c:v>0.24508203621774108</c:v>
                      </c:pt>
                      <c:pt idx="10">
                        <c:v>0.2521346599612917</c:v>
                      </c:pt>
                      <c:pt idx="11">
                        <c:v>0.25977728950245255</c:v>
                      </c:pt>
                      <c:pt idx="12">
                        <c:v>0.26804402064783006</c:v>
                      </c:pt>
                      <c:pt idx="13">
                        <c:v>0.27696799631214269</c:v>
                      </c:pt>
                      <c:pt idx="14">
                        <c:v>0.28658074720193538</c:v>
                      </c:pt>
                      <c:pt idx="15">
                        <c:v>0.29691144467651692</c:v>
                      </c:pt>
                      <c:pt idx="16">
                        <c:v>0.30798607153890117</c:v>
                      </c:pt>
                      <c:pt idx="17">
                        <c:v>0.31982652174124054</c:v>
                      </c:pt>
                      <c:pt idx="18">
                        <c:v>0.33244964603597466</c:v>
                      </c:pt>
                      <c:pt idx="19">
                        <c:v>0.34586626725201747</c:v>
                      </c:pt>
                      <c:pt idx="20">
                        <c:v>0.36008019577964306</c:v>
                      </c:pt>
                      <c:pt idx="21">
                        <c:v>0.37508728252393264</c:v>
                      </c:pt>
                      <c:pt idx="22">
                        <c:v>0.39087455242017571</c:v>
                      </c:pt>
                      <c:pt idx="23">
                        <c:v>0.40741946588220118</c:v>
                      </c:pt>
                      <c:pt idx="24">
                        <c:v>0.42468935752175258</c:v>
                      </c:pt>
                      <c:pt idx="25">
                        <c:v>0.4426411004213</c:v>
                      </c:pt>
                      <c:pt idx="26">
                        <c:v>0.46122103959752231</c:v>
                      </c:pt>
                      <c:pt idx="27">
                        <c:v>0.48036522974974538</c:v>
                      </c:pt>
                      <c:pt idx="28">
                        <c:v>0.5</c:v>
                      </c:pt>
                      <c:pt idx="29">
                        <c:v>0.52004285258658534</c:v>
                      </c:pt>
                    </c:numCache>
                  </c:numRef>
                </c:yVal>
                <c:smooth val="0"/>
              </c15:ser>
            </c15:filteredScatterSeries>
          </c:ext>
        </c:extLst>
      </c:scatterChart>
      <c:valAx>
        <c:axId val="729001000"/>
        <c:scaling>
          <c:orientation val="minMax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000608"/>
        <c:crosses val="autoZero"/>
        <c:crossBetween val="midCat"/>
      </c:valAx>
      <c:valAx>
        <c:axId val="729000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0010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23812</xdr:colOff>
      <xdr:row>41</xdr:row>
      <xdr:rowOff>122634</xdr:rowOff>
    </xdr:from>
    <xdr:to>
      <xdr:col>9</xdr:col>
      <xdr:colOff>345281</xdr:colOff>
      <xdr:row>56</xdr:row>
      <xdr:rowOff>8334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571499</xdr:colOff>
      <xdr:row>56</xdr:row>
      <xdr:rowOff>110728</xdr:rowOff>
    </xdr:from>
    <xdr:to>
      <xdr:col>9</xdr:col>
      <xdr:colOff>416718</xdr:colOff>
      <xdr:row>74</xdr:row>
      <xdr:rowOff>166688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231"/>
  <sheetViews>
    <sheetView workbookViewId="0">
      <selection activeCell="A2" sqref="A2"/>
    </sheetView>
  </sheetViews>
  <sheetFormatPr defaultRowHeight="15" x14ac:dyDescent="0.25"/>
  <cols>
    <col min="1" max="1" width="10.7109375" bestFit="1" customWidth="1"/>
  </cols>
  <sheetData>
    <row r="1" spans="1:3" x14ac:dyDescent="0.25">
      <c r="A1" t="s">
        <v>113</v>
      </c>
      <c r="B1" t="s">
        <v>114</v>
      </c>
      <c r="C1" t="s">
        <v>115</v>
      </c>
    </row>
    <row r="2" spans="1:3" x14ac:dyDescent="0.25">
      <c r="A2" s="1">
        <v>43025</v>
      </c>
      <c r="B2" t="s">
        <v>28</v>
      </c>
      <c r="C2" t="s">
        <v>10</v>
      </c>
    </row>
    <row r="3" spans="1:3" x14ac:dyDescent="0.25">
      <c r="A3" s="1">
        <v>43025</v>
      </c>
      <c r="B3" t="s">
        <v>24</v>
      </c>
      <c r="C3" t="s">
        <v>4</v>
      </c>
    </row>
    <row r="4" spans="1:3" x14ac:dyDescent="0.25">
      <c r="A4" s="1">
        <v>43026</v>
      </c>
      <c r="B4" t="s">
        <v>10</v>
      </c>
      <c r="C4" t="s">
        <v>7</v>
      </c>
    </row>
    <row r="5" spans="1:3" x14ac:dyDescent="0.25">
      <c r="A5" s="1">
        <v>43026</v>
      </c>
      <c r="B5" t="s">
        <v>2</v>
      </c>
      <c r="C5" t="s">
        <v>14</v>
      </c>
    </row>
    <row r="6" spans="1:3" x14ac:dyDescent="0.25">
      <c r="A6" s="1">
        <v>43026</v>
      </c>
      <c r="B6" t="s">
        <v>21</v>
      </c>
      <c r="C6" t="s">
        <v>6</v>
      </c>
    </row>
    <row r="7" spans="1:3" x14ac:dyDescent="0.25">
      <c r="A7" s="1">
        <v>43026</v>
      </c>
      <c r="B7" t="s">
        <v>8</v>
      </c>
      <c r="C7" t="s">
        <v>11</v>
      </c>
    </row>
    <row r="8" spans="1:3" x14ac:dyDescent="0.25">
      <c r="A8" s="1">
        <v>43026</v>
      </c>
      <c r="B8" t="s">
        <v>16</v>
      </c>
      <c r="C8" t="s">
        <v>0</v>
      </c>
    </row>
    <row r="9" spans="1:3" x14ac:dyDescent="0.25">
      <c r="A9" s="1">
        <v>43026</v>
      </c>
      <c r="B9" t="s">
        <v>1</v>
      </c>
      <c r="C9" t="s">
        <v>12</v>
      </c>
    </row>
    <row r="10" spans="1:3" x14ac:dyDescent="0.25">
      <c r="A10" s="1">
        <v>43026</v>
      </c>
      <c r="B10" t="s">
        <v>23</v>
      </c>
      <c r="C10" t="s">
        <v>27</v>
      </c>
    </row>
    <row r="11" spans="1:3" x14ac:dyDescent="0.25">
      <c r="A11" s="1">
        <v>43026</v>
      </c>
      <c r="B11" t="s">
        <v>25</v>
      </c>
      <c r="C11" t="s">
        <v>4</v>
      </c>
    </row>
    <row r="12" spans="1:3" x14ac:dyDescent="0.25">
      <c r="A12" s="1">
        <v>43026</v>
      </c>
      <c r="B12" t="s">
        <v>3</v>
      </c>
      <c r="C12" t="s">
        <v>17</v>
      </c>
    </row>
    <row r="13" spans="1:3" x14ac:dyDescent="0.25">
      <c r="A13" s="1">
        <v>43026</v>
      </c>
      <c r="B13" t="s">
        <v>22</v>
      </c>
      <c r="C13" t="s">
        <v>20</v>
      </c>
    </row>
    <row r="14" spans="1:3" x14ac:dyDescent="0.25">
      <c r="A14" s="1">
        <v>43026</v>
      </c>
      <c r="B14" t="s">
        <v>116</v>
      </c>
      <c r="C14" t="s">
        <v>9</v>
      </c>
    </row>
    <row r="15" spans="1:3" x14ac:dyDescent="0.25">
      <c r="A15" s="1">
        <v>43027</v>
      </c>
      <c r="B15" t="s">
        <v>5</v>
      </c>
      <c r="C15" t="s">
        <v>29</v>
      </c>
    </row>
    <row r="16" spans="1:3" x14ac:dyDescent="0.25">
      <c r="A16" s="1">
        <v>43027</v>
      </c>
      <c r="B16" t="s">
        <v>26</v>
      </c>
      <c r="C16" t="s">
        <v>19</v>
      </c>
    </row>
    <row r="17" spans="1:3" x14ac:dyDescent="0.25">
      <c r="A17" s="1">
        <v>43027</v>
      </c>
      <c r="B17" t="s">
        <v>15</v>
      </c>
      <c r="C17" t="s">
        <v>18</v>
      </c>
    </row>
    <row r="18" spans="1:3" x14ac:dyDescent="0.25">
      <c r="A18" s="1">
        <v>43028</v>
      </c>
      <c r="B18" t="s">
        <v>11</v>
      </c>
      <c r="C18" t="s">
        <v>1</v>
      </c>
    </row>
    <row r="19" spans="1:3" x14ac:dyDescent="0.25">
      <c r="A19" s="1">
        <v>43028</v>
      </c>
      <c r="B19" t="s">
        <v>6</v>
      </c>
      <c r="C19" t="s">
        <v>14</v>
      </c>
    </row>
    <row r="20" spans="1:3" x14ac:dyDescent="0.25">
      <c r="A20" s="1">
        <v>43028</v>
      </c>
      <c r="B20" t="s">
        <v>2</v>
      </c>
      <c r="C20" t="s">
        <v>25</v>
      </c>
    </row>
    <row r="21" spans="1:3" x14ac:dyDescent="0.25">
      <c r="A21" s="1">
        <v>43028</v>
      </c>
      <c r="B21" t="s">
        <v>8</v>
      </c>
      <c r="C21" t="s">
        <v>27</v>
      </c>
    </row>
    <row r="22" spans="1:3" x14ac:dyDescent="0.25">
      <c r="A22" s="1">
        <v>43028</v>
      </c>
      <c r="B22" t="s">
        <v>7</v>
      </c>
      <c r="C22" t="s">
        <v>28</v>
      </c>
    </row>
    <row r="23" spans="1:3" x14ac:dyDescent="0.25">
      <c r="A23" s="1">
        <v>43028</v>
      </c>
      <c r="B23" t="s">
        <v>17</v>
      </c>
      <c r="C23" t="s">
        <v>22</v>
      </c>
    </row>
    <row r="24" spans="1:3" x14ac:dyDescent="0.25">
      <c r="A24" s="1">
        <v>43028</v>
      </c>
      <c r="B24" t="s">
        <v>0</v>
      </c>
      <c r="C24" t="s">
        <v>24</v>
      </c>
    </row>
    <row r="25" spans="1:3" x14ac:dyDescent="0.25">
      <c r="A25" s="1">
        <v>43028</v>
      </c>
      <c r="B25" t="s">
        <v>9</v>
      </c>
      <c r="C25" t="s">
        <v>10</v>
      </c>
    </row>
    <row r="26" spans="1:3" x14ac:dyDescent="0.25">
      <c r="A26" s="1">
        <v>43028</v>
      </c>
      <c r="B26" t="s">
        <v>23</v>
      </c>
      <c r="C26" t="s">
        <v>5</v>
      </c>
    </row>
    <row r="27" spans="1:3" x14ac:dyDescent="0.25">
      <c r="A27" s="1">
        <v>43028</v>
      </c>
      <c r="B27" t="s">
        <v>116</v>
      </c>
      <c r="C27" t="s">
        <v>21</v>
      </c>
    </row>
    <row r="28" spans="1:3" x14ac:dyDescent="0.25">
      <c r="A28" s="1">
        <v>43029</v>
      </c>
      <c r="B28" t="s">
        <v>18</v>
      </c>
      <c r="C28" t="s">
        <v>3</v>
      </c>
    </row>
    <row r="29" spans="1:3" x14ac:dyDescent="0.25">
      <c r="A29" s="1">
        <v>43029</v>
      </c>
      <c r="B29" t="s">
        <v>28</v>
      </c>
      <c r="C29" t="s">
        <v>1</v>
      </c>
    </row>
    <row r="30" spans="1:3" x14ac:dyDescent="0.25">
      <c r="A30" s="1">
        <v>43029</v>
      </c>
      <c r="B30" t="s">
        <v>20</v>
      </c>
      <c r="C30" t="s">
        <v>25</v>
      </c>
    </row>
    <row r="31" spans="1:3" x14ac:dyDescent="0.25">
      <c r="A31" s="1">
        <v>43029</v>
      </c>
      <c r="B31" t="s">
        <v>4</v>
      </c>
      <c r="C31" t="s">
        <v>2</v>
      </c>
    </row>
    <row r="32" spans="1:3" x14ac:dyDescent="0.25">
      <c r="A32" s="1">
        <v>43029</v>
      </c>
      <c r="B32" t="s">
        <v>29</v>
      </c>
      <c r="C32" t="s">
        <v>23</v>
      </c>
    </row>
    <row r="33" spans="1:3" x14ac:dyDescent="0.25">
      <c r="A33" s="1">
        <v>43029</v>
      </c>
      <c r="B33" t="s">
        <v>16</v>
      </c>
      <c r="C33" t="s">
        <v>24</v>
      </c>
    </row>
    <row r="34" spans="1:3" x14ac:dyDescent="0.25">
      <c r="A34" s="1">
        <v>43029</v>
      </c>
      <c r="B34" t="s">
        <v>12</v>
      </c>
      <c r="C34" t="s">
        <v>8</v>
      </c>
    </row>
    <row r="35" spans="1:3" x14ac:dyDescent="0.25">
      <c r="A35" s="1">
        <v>43029</v>
      </c>
      <c r="B35" t="s">
        <v>7</v>
      </c>
      <c r="C35" t="s">
        <v>27</v>
      </c>
    </row>
    <row r="36" spans="1:3" x14ac:dyDescent="0.25">
      <c r="A36" s="1">
        <v>43029</v>
      </c>
      <c r="B36" t="s">
        <v>19</v>
      </c>
      <c r="C36" t="s">
        <v>21</v>
      </c>
    </row>
    <row r="37" spans="1:3" x14ac:dyDescent="0.25">
      <c r="A37" s="1">
        <v>43029</v>
      </c>
      <c r="B37" t="s">
        <v>15</v>
      </c>
      <c r="C37" t="s">
        <v>9</v>
      </c>
    </row>
    <row r="38" spans="1:3" x14ac:dyDescent="0.25">
      <c r="A38" s="1">
        <v>43029</v>
      </c>
      <c r="B38" t="s">
        <v>22</v>
      </c>
      <c r="C38" t="s">
        <v>26</v>
      </c>
    </row>
    <row r="39" spans="1:3" x14ac:dyDescent="0.25">
      <c r="A39" s="1">
        <v>43030</v>
      </c>
      <c r="B39" t="s">
        <v>11</v>
      </c>
      <c r="C39" t="s">
        <v>14</v>
      </c>
    </row>
    <row r="40" spans="1:3" x14ac:dyDescent="0.25">
      <c r="A40" s="1">
        <v>43030</v>
      </c>
      <c r="B40" t="s">
        <v>5</v>
      </c>
      <c r="C40" t="s">
        <v>0</v>
      </c>
    </row>
    <row r="41" spans="1:3" x14ac:dyDescent="0.25">
      <c r="A41" s="1">
        <v>43030</v>
      </c>
      <c r="B41" t="s">
        <v>26</v>
      </c>
      <c r="C41" t="s">
        <v>17</v>
      </c>
    </row>
    <row r="42" spans="1:3" x14ac:dyDescent="0.25">
      <c r="A42" s="1">
        <v>43031</v>
      </c>
      <c r="B42" t="s">
        <v>2</v>
      </c>
      <c r="C42" t="s">
        <v>24</v>
      </c>
    </row>
    <row r="43" spans="1:3" x14ac:dyDescent="0.25">
      <c r="A43" s="1">
        <v>43031</v>
      </c>
      <c r="B43" t="s">
        <v>20</v>
      </c>
      <c r="C43" t="s">
        <v>116</v>
      </c>
    </row>
    <row r="44" spans="1:3" x14ac:dyDescent="0.25">
      <c r="A44" s="1">
        <v>43031</v>
      </c>
      <c r="B44" t="s">
        <v>21</v>
      </c>
      <c r="C44" t="s">
        <v>9</v>
      </c>
    </row>
    <row r="45" spans="1:3" x14ac:dyDescent="0.25">
      <c r="A45" s="1">
        <v>43031</v>
      </c>
      <c r="B45" t="s">
        <v>4</v>
      </c>
      <c r="C45" t="s">
        <v>16</v>
      </c>
    </row>
    <row r="46" spans="1:3" x14ac:dyDescent="0.25">
      <c r="A46" s="1">
        <v>43031</v>
      </c>
      <c r="B46" t="s">
        <v>12</v>
      </c>
      <c r="C46" t="s">
        <v>14</v>
      </c>
    </row>
    <row r="47" spans="1:3" x14ac:dyDescent="0.25">
      <c r="A47" s="1">
        <v>43031</v>
      </c>
      <c r="B47" t="s">
        <v>7</v>
      </c>
      <c r="C47" t="s">
        <v>6</v>
      </c>
    </row>
    <row r="48" spans="1:3" x14ac:dyDescent="0.25">
      <c r="A48" s="1">
        <v>43031</v>
      </c>
      <c r="B48" t="s">
        <v>23</v>
      </c>
      <c r="C48" t="s">
        <v>25</v>
      </c>
    </row>
    <row r="49" spans="1:3" x14ac:dyDescent="0.25">
      <c r="A49" s="1">
        <v>43031</v>
      </c>
      <c r="B49" t="s">
        <v>3</v>
      </c>
      <c r="C49" t="s">
        <v>15</v>
      </c>
    </row>
    <row r="50" spans="1:3" x14ac:dyDescent="0.25">
      <c r="A50" s="1">
        <v>43032</v>
      </c>
      <c r="B50" t="s">
        <v>10</v>
      </c>
      <c r="C50" t="s">
        <v>19</v>
      </c>
    </row>
    <row r="51" spans="1:3" x14ac:dyDescent="0.25">
      <c r="A51" s="1">
        <v>43032</v>
      </c>
      <c r="B51" t="s">
        <v>28</v>
      </c>
      <c r="C51" t="s">
        <v>18</v>
      </c>
    </row>
    <row r="52" spans="1:3" x14ac:dyDescent="0.25">
      <c r="A52" s="1">
        <v>43032</v>
      </c>
      <c r="B52" t="s">
        <v>29</v>
      </c>
      <c r="C52" t="s">
        <v>22</v>
      </c>
    </row>
    <row r="53" spans="1:3" x14ac:dyDescent="0.25">
      <c r="A53" s="1">
        <v>43032</v>
      </c>
      <c r="B53" t="s">
        <v>17</v>
      </c>
      <c r="C53" t="s">
        <v>8</v>
      </c>
    </row>
    <row r="54" spans="1:3" x14ac:dyDescent="0.25">
      <c r="A54" s="1">
        <v>43032</v>
      </c>
      <c r="B54" t="s">
        <v>1</v>
      </c>
      <c r="C54" t="s">
        <v>11</v>
      </c>
    </row>
    <row r="55" spans="1:3" x14ac:dyDescent="0.25">
      <c r="A55" s="1">
        <v>43032</v>
      </c>
      <c r="B55" t="s">
        <v>27</v>
      </c>
      <c r="C55" t="s">
        <v>0</v>
      </c>
    </row>
    <row r="56" spans="1:3" x14ac:dyDescent="0.25">
      <c r="A56" s="1">
        <v>43033</v>
      </c>
      <c r="B56" t="s">
        <v>11</v>
      </c>
      <c r="C56" t="s">
        <v>28</v>
      </c>
    </row>
    <row r="57" spans="1:3" x14ac:dyDescent="0.25">
      <c r="A57" s="1">
        <v>43033</v>
      </c>
      <c r="B57" t="s">
        <v>6</v>
      </c>
      <c r="C57" t="s">
        <v>20</v>
      </c>
    </row>
    <row r="58" spans="1:3" x14ac:dyDescent="0.25">
      <c r="A58" s="1">
        <v>43033</v>
      </c>
      <c r="B58" t="s">
        <v>2</v>
      </c>
      <c r="C58" t="s">
        <v>16</v>
      </c>
    </row>
    <row r="59" spans="1:3" x14ac:dyDescent="0.25">
      <c r="A59" s="1">
        <v>43033</v>
      </c>
      <c r="B59" t="s">
        <v>21</v>
      </c>
      <c r="C59" t="s">
        <v>17</v>
      </c>
    </row>
    <row r="60" spans="1:3" x14ac:dyDescent="0.25">
      <c r="A60" s="1">
        <v>43033</v>
      </c>
      <c r="B60" t="s">
        <v>24</v>
      </c>
      <c r="C60" t="s">
        <v>15</v>
      </c>
    </row>
    <row r="61" spans="1:3" x14ac:dyDescent="0.25">
      <c r="A61" s="1">
        <v>43033</v>
      </c>
      <c r="B61" t="s">
        <v>5</v>
      </c>
      <c r="C61" t="s">
        <v>116</v>
      </c>
    </row>
    <row r="62" spans="1:3" x14ac:dyDescent="0.25">
      <c r="A62" s="1">
        <v>43033</v>
      </c>
      <c r="B62" t="s">
        <v>12</v>
      </c>
      <c r="C62" t="s">
        <v>3</v>
      </c>
    </row>
    <row r="63" spans="1:3" x14ac:dyDescent="0.25">
      <c r="A63" s="1">
        <v>43033</v>
      </c>
      <c r="B63" t="s">
        <v>26</v>
      </c>
      <c r="C63" t="s">
        <v>8</v>
      </c>
    </row>
    <row r="64" spans="1:3" x14ac:dyDescent="0.25">
      <c r="A64" s="1">
        <v>43033</v>
      </c>
      <c r="B64" t="s">
        <v>9</v>
      </c>
      <c r="C64" t="s">
        <v>4</v>
      </c>
    </row>
    <row r="65" spans="1:3" x14ac:dyDescent="0.25">
      <c r="A65" s="1">
        <v>43033</v>
      </c>
      <c r="B65" t="s">
        <v>23</v>
      </c>
      <c r="C65" t="s">
        <v>22</v>
      </c>
    </row>
    <row r="66" spans="1:3" x14ac:dyDescent="0.25">
      <c r="A66" s="1">
        <v>43034</v>
      </c>
      <c r="B66" t="s">
        <v>18</v>
      </c>
      <c r="C66" t="s">
        <v>14</v>
      </c>
    </row>
    <row r="67" spans="1:3" x14ac:dyDescent="0.25">
      <c r="A67" s="1">
        <v>43034</v>
      </c>
      <c r="B67" t="s">
        <v>16</v>
      </c>
      <c r="C67" t="s">
        <v>2</v>
      </c>
    </row>
    <row r="68" spans="1:3" x14ac:dyDescent="0.25">
      <c r="A68" s="1">
        <v>43034</v>
      </c>
      <c r="B68" t="s">
        <v>7</v>
      </c>
      <c r="C68" t="s">
        <v>10</v>
      </c>
    </row>
    <row r="69" spans="1:3" x14ac:dyDescent="0.25">
      <c r="A69" s="1">
        <v>43034</v>
      </c>
      <c r="B69" t="s">
        <v>27</v>
      </c>
      <c r="C69" t="s">
        <v>29</v>
      </c>
    </row>
    <row r="70" spans="1:3" x14ac:dyDescent="0.25">
      <c r="A70" s="1">
        <v>43034</v>
      </c>
      <c r="B70" t="s">
        <v>25</v>
      </c>
      <c r="C70" t="s">
        <v>0</v>
      </c>
    </row>
    <row r="71" spans="1:3" x14ac:dyDescent="0.25">
      <c r="A71" s="1">
        <v>43035</v>
      </c>
      <c r="B71" t="s">
        <v>14</v>
      </c>
      <c r="C71" t="s">
        <v>20</v>
      </c>
    </row>
    <row r="72" spans="1:3" x14ac:dyDescent="0.25">
      <c r="A72" s="1">
        <v>43035</v>
      </c>
      <c r="B72" t="s">
        <v>6</v>
      </c>
      <c r="C72" t="s">
        <v>4</v>
      </c>
    </row>
    <row r="73" spans="1:3" x14ac:dyDescent="0.25">
      <c r="A73" s="1">
        <v>43035</v>
      </c>
      <c r="B73" t="s">
        <v>24</v>
      </c>
      <c r="C73" t="s">
        <v>116</v>
      </c>
    </row>
    <row r="74" spans="1:3" x14ac:dyDescent="0.25">
      <c r="A74" s="1">
        <v>43035</v>
      </c>
      <c r="B74" t="s">
        <v>5</v>
      </c>
      <c r="C74" t="s">
        <v>15</v>
      </c>
    </row>
    <row r="75" spans="1:3" x14ac:dyDescent="0.25">
      <c r="A75" s="1">
        <v>43035</v>
      </c>
      <c r="B75" t="s">
        <v>17</v>
      </c>
      <c r="C75" t="s">
        <v>26</v>
      </c>
    </row>
    <row r="76" spans="1:3" x14ac:dyDescent="0.25">
      <c r="A76" s="1">
        <v>43035</v>
      </c>
      <c r="B76" t="s">
        <v>19</v>
      </c>
      <c r="C76" t="s">
        <v>11</v>
      </c>
    </row>
    <row r="77" spans="1:3" x14ac:dyDescent="0.25">
      <c r="A77" s="1">
        <v>43035</v>
      </c>
      <c r="B77" t="s">
        <v>1</v>
      </c>
      <c r="C77" t="s">
        <v>3</v>
      </c>
    </row>
    <row r="78" spans="1:3" x14ac:dyDescent="0.25">
      <c r="A78" s="1">
        <v>43036</v>
      </c>
      <c r="B78" t="s">
        <v>18</v>
      </c>
      <c r="C78" t="s">
        <v>26</v>
      </c>
    </row>
    <row r="79" spans="1:3" x14ac:dyDescent="0.25">
      <c r="A79" s="1">
        <v>43036</v>
      </c>
      <c r="B79" t="s">
        <v>2</v>
      </c>
      <c r="C79" t="s">
        <v>9</v>
      </c>
    </row>
    <row r="80" spans="1:3" x14ac:dyDescent="0.25">
      <c r="A80" s="1">
        <v>43036</v>
      </c>
      <c r="B80" t="s">
        <v>29</v>
      </c>
      <c r="C80" t="s">
        <v>21</v>
      </c>
    </row>
    <row r="81" spans="1:3" x14ac:dyDescent="0.25">
      <c r="A81" s="1">
        <v>43036</v>
      </c>
      <c r="B81" t="s">
        <v>16</v>
      </c>
      <c r="C81" t="s">
        <v>4</v>
      </c>
    </row>
    <row r="82" spans="1:3" x14ac:dyDescent="0.25">
      <c r="A82" s="1">
        <v>43036</v>
      </c>
      <c r="B82" t="s">
        <v>12</v>
      </c>
      <c r="C82" t="s">
        <v>10</v>
      </c>
    </row>
    <row r="83" spans="1:3" x14ac:dyDescent="0.25">
      <c r="A83" s="1">
        <v>43036</v>
      </c>
      <c r="B83" t="s">
        <v>0</v>
      </c>
      <c r="C83" t="s">
        <v>28</v>
      </c>
    </row>
    <row r="84" spans="1:3" x14ac:dyDescent="0.25">
      <c r="A84" s="1">
        <v>43036</v>
      </c>
      <c r="B84" t="s">
        <v>27</v>
      </c>
      <c r="C84" t="s">
        <v>23</v>
      </c>
    </row>
    <row r="85" spans="1:3" x14ac:dyDescent="0.25">
      <c r="A85" s="1">
        <v>43036</v>
      </c>
      <c r="B85" t="s">
        <v>22</v>
      </c>
      <c r="C85" t="s">
        <v>5</v>
      </c>
    </row>
    <row r="86" spans="1:3" x14ac:dyDescent="0.25">
      <c r="A86" s="1">
        <v>43037</v>
      </c>
      <c r="B86" t="s">
        <v>14</v>
      </c>
      <c r="C86" t="s">
        <v>7</v>
      </c>
    </row>
    <row r="87" spans="1:3" x14ac:dyDescent="0.25">
      <c r="A87" s="1">
        <v>43037</v>
      </c>
      <c r="B87" t="s">
        <v>11</v>
      </c>
      <c r="C87" t="s">
        <v>20</v>
      </c>
    </row>
    <row r="88" spans="1:3" x14ac:dyDescent="0.25">
      <c r="A88" s="1">
        <v>43037</v>
      </c>
      <c r="B88" t="s">
        <v>6</v>
      </c>
      <c r="C88" t="s">
        <v>1</v>
      </c>
    </row>
    <row r="89" spans="1:3" x14ac:dyDescent="0.25">
      <c r="A89" s="1">
        <v>43037</v>
      </c>
      <c r="B89" t="s">
        <v>28</v>
      </c>
      <c r="C89" t="s">
        <v>19</v>
      </c>
    </row>
    <row r="90" spans="1:3" x14ac:dyDescent="0.25">
      <c r="A90" s="1">
        <v>43037</v>
      </c>
      <c r="B90" t="s">
        <v>24</v>
      </c>
      <c r="C90" t="s">
        <v>21</v>
      </c>
    </row>
    <row r="91" spans="1:3" x14ac:dyDescent="0.25">
      <c r="A91" s="1">
        <v>43037</v>
      </c>
      <c r="B91" t="s">
        <v>8</v>
      </c>
      <c r="C91" t="s">
        <v>3</v>
      </c>
    </row>
    <row r="92" spans="1:3" x14ac:dyDescent="0.25">
      <c r="A92" s="1">
        <v>43037</v>
      </c>
      <c r="B92" t="s">
        <v>25</v>
      </c>
      <c r="C92" t="s">
        <v>116</v>
      </c>
    </row>
    <row r="93" spans="1:3" x14ac:dyDescent="0.25">
      <c r="A93" s="1">
        <v>43038</v>
      </c>
      <c r="B93" t="s">
        <v>10</v>
      </c>
      <c r="C93" t="s">
        <v>3</v>
      </c>
    </row>
    <row r="94" spans="1:3" x14ac:dyDescent="0.25">
      <c r="A94" s="1">
        <v>43038</v>
      </c>
      <c r="B94" t="s">
        <v>4</v>
      </c>
      <c r="C94" t="s">
        <v>9</v>
      </c>
    </row>
    <row r="95" spans="1:3" x14ac:dyDescent="0.25">
      <c r="A95" s="1">
        <v>43038</v>
      </c>
      <c r="B95" t="s">
        <v>29</v>
      </c>
      <c r="C95" t="s">
        <v>24</v>
      </c>
    </row>
    <row r="96" spans="1:3" x14ac:dyDescent="0.25">
      <c r="A96" s="1">
        <v>43038</v>
      </c>
      <c r="B96" t="s">
        <v>16</v>
      </c>
      <c r="C96" t="s">
        <v>6</v>
      </c>
    </row>
    <row r="97" spans="1:3" x14ac:dyDescent="0.25">
      <c r="A97" s="1">
        <v>43038</v>
      </c>
      <c r="B97" t="s">
        <v>12</v>
      </c>
      <c r="C97" t="s">
        <v>17</v>
      </c>
    </row>
    <row r="98" spans="1:3" x14ac:dyDescent="0.25">
      <c r="A98" s="1">
        <v>43038</v>
      </c>
      <c r="B98" t="s">
        <v>0</v>
      </c>
      <c r="C98" t="s">
        <v>1</v>
      </c>
    </row>
    <row r="99" spans="1:3" x14ac:dyDescent="0.25">
      <c r="A99" s="1">
        <v>43038</v>
      </c>
      <c r="B99" t="s">
        <v>19</v>
      </c>
      <c r="C99" t="s">
        <v>20</v>
      </c>
    </row>
    <row r="100" spans="1:3" x14ac:dyDescent="0.25">
      <c r="A100" s="1">
        <v>43038</v>
      </c>
      <c r="B100" t="s">
        <v>27</v>
      </c>
      <c r="C100" t="s">
        <v>15</v>
      </c>
    </row>
    <row r="101" spans="1:3" x14ac:dyDescent="0.25">
      <c r="A101" s="1">
        <v>43038</v>
      </c>
      <c r="B101" t="s">
        <v>22</v>
      </c>
      <c r="C101" t="s">
        <v>2</v>
      </c>
    </row>
    <row r="102" spans="1:3" x14ac:dyDescent="0.25">
      <c r="A102" s="1">
        <v>43039</v>
      </c>
      <c r="B102" t="s">
        <v>11</v>
      </c>
      <c r="C102" t="s">
        <v>23</v>
      </c>
    </row>
    <row r="103" spans="1:3" x14ac:dyDescent="0.25">
      <c r="A103" s="1">
        <v>43039</v>
      </c>
      <c r="B103" t="s">
        <v>8</v>
      </c>
      <c r="C103" t="s">
        <v>25</v>
      </c>
    </row>
    <row r="104" spans="1:3" x14ac:dyDescent="0.25">
      <c r="A104" s="1">
        <v>43039</v>
      </c>
      <c r="B104" t="s">
        <v>5</v>
      </c>
      <c r="C104" t="s">
        <v>21</v>
      </c>
    </row>
    <row r="105" spans="1:3" x14ac:dyDescent="0.25">
      <c r="A105" s="1">
        <v>43039</v>
      </c>
      <c r="B105" t="s">
        <v>7</v>
      </c>
      <c r="C105" t="s">
        <v>26</v>
      </c>
    </row>
    <row r="106" spans="1:3" x14ac:dyDescent="0.25">
      <c r="A106" s="1">
        <v>43040</v>
      </c>
      <c r="B106" t="s">
        <v>10</v>
      </c>
      <c r="C106" t="s">
        <v>25</v>
      </c>
    </row>
    <row r="107" spans="1:3" x14ac:dyDescent="0.25">
      <c r="A107" s="1">
        <v>43040</v>
      </c>
      <c r="B107" t="s">
        <v>6</v>
      </c>
      <c r="C107" t="s">
        <v>7</v>
      </c>
    </row>
    <row r="108" spans="1:3" x14ac:dyDescent="0.25">
      <c r="A108" s="1">
        <v>43040</v>
      </c>
      <c r="B108" t="s">
        <v>28</v>
      </c>
      <c r="C108" t="s">
        <v>8</v>
      </c>
    </row>
    <row r="109" spans="1:3" x14ac:dyDescent="0.25">
      <c r="A109" s="1">
        <v>43040</v>
      </c>
      <c r="B109" t="s">
        <v>20</v>
      </c>
      <c r="C109" t="s">
        <v>15</v>
      </c>
    </row>
    <row r="110" spans="1:3" x14ac:dyDescent="0.25">
      <c r="A110" s="1">
        <v>43040</v>
      </c>
      <c r="B110" t="s">
        <v>29</v>
      </c>
      <c r="C110" t="s">
        <v>2</v>
      </c>
    </row>
    <row r="111" spans="1:3" x14ac:dyDescent="0.25">
      <c r="A111" s="1">
        <v>43040</v>
      </c>
      <c r="B111" t="s">
        <v>16</v>
      </c>
      <c r="C111" t="s">
        <v>1</v>
      </c>
    </row>
    <row r="112" spans="1:3" x14ac:dyDescent="0.25">
      <c r="A112" s="1">
        <v>43040</v>
      </c>
      <c r="B112" t="s">
        <v>12</v>
      </c>
      <c r="C112" t="s">
        <v>18</v>
      </c>
    </row>
    <row r="113" spans="1:3" x14ac:dyDescent="0.25">
      <c r="A113" s="1">
        <v>43040</v>
      </c>
      <c r="B113" t="s">
        <v>0</v>
      </c>
      <c r="C113" t="s">
        <v>17</v>
      </c>
    </row>
    <row r="114" spans="1:3" x14ac:dyDescent="0.25">
      <c r="A114" s="1">
        <v>43040</v>
      </c>
      <c r="B114" t="s">
        <v>19</v>
      </c>
      <c r="C114" t="s">
        <v>4</v>
      </c>
    </row>
    <row r="115" spans="1:3" x14ac:dyDescent="0.25">
      <c r="A115" s="1">
        <v>43040</v>
      </c>
      <c r="B115" t="s">
        <v>9</v>
      </c>
      <c r="C115" t="s">
        <v>14</v>
      </c>
    </row>
    <row r="116" spans="1:3" x14ac:dyDescent="0.25">
      <c r="A116" s="1">
        <v>43040</v>
      </c>
      <c r="B116" t="s">
        <v>22</v>
      </c>
      <c r="C116" t="s">
        <v>27</v>
      </c>
    </row>
    <row r="117" spans="1:3" x14ac:dyDescent="0.25">
      <c r="A117" s="1">
        <v>43040</v>
      </c>
      <c r="B117" t="s">
        <v>116</v>
      </c>
      <c r="C117" t="s">
        <v>23</v>
      </c>
    </row>
    <row r="118" spans="1:3" x14ac:dyDescent="0.25">
      <c r="A118" s="1">
        <v>43041</v>
      </c>
      <c r="B118" t="s">
        <v>27</v>
      </c>
      <c r="C118" t="s">
        <v>5</v>
      </c>
    </row>
    <row r="119" spans="1:3" x14ac:dyDescent="0.25">
      <c r="A119" s="1">
        <v>43041</v>
      </c>
      <c r="B119" t="s">
        <v>3</v>
      </c>
      <c r="C119" t="s">
        <v>24</v>
      </c>
    </row>
    <row r="120" spans="1:3" x14ac:dyDescent="0.25">
      <c r="A120" s="1">
        <v>43042</v>
      </c>
      <c r="B120" t="s">
        <v>14</v>
      </c>
      <c r="C120" t="s">
        <v>4</v>
      </c>
    </row>
    <row r="121" spans="1:3" x14ac:dyDescent="0.25">
      <c r="A121" s="1">
        <v>43042</v>
      </c>
      <c r="B121" t="s">
        <v>2</v>
      </c>
      <c r="C121" t="s">
        <v>0</v>
      </c>
    </row>
    <row r="122" spans="1:3" x14ac:dyDescent="0.25">
      <c r="A122" s="1">
        <v>43042</v>
      </c>
      <c r="B122" t="s">
        <v>20</v>
      </c>
      <c r="C122" t="s">
        <v>12</v>
      </c>
    </row>
    <row r="123" spans="1:3" x14ac:dyDescent="0.25">
      <c r="A123" s="1">
        <v>43042</v>
      </c>
      <c r="B123" t="s">
        <v>21</v>
      </c>
      <c r="C123" t="s">
        <v>7</v>
      </c>
    </row>
    <row r="124" spans="1:3" x14ac:dyDescent="0.25">
      <c r="A124" s="1">
        <v>43042</v>
      </c>
      <c r="B124" t="s">
        <v>5</v>
      </c>
      <c r="C124" t="s">
        <v>11</v>
      </c>
    </row>
    <row r="125" spans="1:3" x14ac:dyDescent="0.25">
      <c r="A125" s="1">
        <v>43042</v>
      </c>
      <c r="B125" t="s">
        <v>19</v>
      </c>
      <c r="C125" t="s">
        <v>23</v>
      </c>
    </row>
    <row r="126" spans="1:3" x14ac:dyDescent="0.25">
      <c r="A126" s="1">
        <v>43042</v>
      </c>
      <c r="B126" t="s">
        <v>26</v>
      </c>
      <c r="C126" t="s">
        <v>10</v>
      </c>
    </row>
    <row r="127" spans="1:3" x14ac:dyDescent="0.25">
      <c r="A127" s="1">
        <v>43042</v>
      </c>
      <c r="B127" t="s">
        <v>1</v>
      </c>
      <c r="C127" t="s">
        <v>18</v>
      </c>
    </row>
    <row r="128" spans="1:3" x14ac:dyDescent="0.25">
      <c r="A128" s="1">
        <v>43042</v>
      </c>
      <c r="B128" t="s">
        <v>9</v>
      </c>
      <c r="C128" t="s">
        <v>8</v>
      </c>
    </row>
    <row r="129" spans="1:3" x14ac:dyDescent="0.25">
      <c r="A129" s="1">
        <v>43042</v>
      </c>
      <c r="B129" t="s">
        <v>3</v>
      </c>
      <c r="C129" t="s">
        <v>6</v>
      </c>
    </row>
    <row r="130" spans="1:3" x14ac:dyDescent="0.25">
      <c r="A130" s="1">
        <v>43042</v>
      </c>
      <c r="B130" t="s">
        <v>22</v>
      </c>
      <c r="C130" t="s">
        <v>15</v>
      </c>
    </row>
    <row r="131" spans="1:3" x14ac:dyDescent="0.25">
      <c r="A131" s="1">
        <v>43042</v>
      </c>
      <c r="B131" t="s">
        <v>116</v>
      </c>
      <c r="C131" t="s">
        <v>28</v>
      </c>
    </row>
    <row r="132" spans="1:3" x14ac:dyDescent="0.25">
      <c r="A132" s="1">
        <v>43043</v>
      </c>
      <c r="B132" t="s">
        <v>18</v>
      </c>
      <c r="C132" t="s">
        <v>0</v>
      </c>
    </row>
    <row r="133" spans="1:3" x14ac:dyDescent="0.25">
      <c r="A133" s="1">
        <v>43043</v>
      </c>
      <c r="B133" t="s">
        <v>20</v>
      </c>
      <c r="C133" t="s">
        <v>24</v>
      </c>
    </row>
    <row r="134" spans="1:3" x14ac:dyDescent="0.25">
      <c r="A134" s="1">
        <v>43043</v>
      </c>
      <c r="B134" t="s">
        <v>21</v>
      </c>
      <c r="C134" t="s">
        <v>25</v>
      </c>
    </row>
    <row r="135" spans="1:3" x14ac:dyDescent="0.25">
      <c r="A135" s="1">
        <v>43043</v>
      </c>
      <c r="B135" t="s">
        <v>29</v>
      </c>
      <c r="C135" t="s">
        <v>16</v>
      </c>
    </row>
    <row r="136" spans="1:3" x14ac:dyDescent="0.25">
      <c r="A136" s="1">
        <v>43043</v>
      </c>
      <c r="B136" t="s">
        <v>17</v>
      </c>
      <c r="C136" t="s">
        <v>2</v>
      </c>
    </row>
    <row r="137" spans="1:3" x14ac:dyDescent="0.25">
      <c r="A137" s="1">
        <v>43044</v>
      </c>
      <c r="B137" t="s">
        <v>28</v>
      </c>
      <c r="C137" t="s">
        <v>14</v>
      </c>
    </row>
    <row r="138" spans="1:3" x14ac:dyDescent="0.25">
      <c r="A138" s="1">
        <v>43044</v>
      </c>
      <c r="B138" t="s">
        <v>4</v>
      </c>
      <c r="C138" t="s">
        <v>22</v>
      </c>
    </row>
    <row r="139" spans="1:3" x14ac:dyDescent="0.25">
      <c r="A139" s="1">
        <v>43044</v>
      </c>
      <c r="B139" t="s">
        <v>29</v>
      </c>
      <c r="C139" t="s">
        <v>12</v>
      </c>
    </row>
    <row r="140" spans="1:3" x14ac:dyDescent="0.25">
      <c r="A140" s="1">
        <v>43044</v>
      </c>
      <c r="B140" t="s">
        <v>5</v>
      </c>
      <c r="C140" t="s">
        <v>16</v>
      </c>
    </row>
    <row r="141" spans="1:3" x14ac:dyDescent="0.25">
      <c r="A141" s="1">
        <v>43044</v>
      </c>
      <c r="B141" t="s">
        <v>17</v>
      </c>
      <c r="C141" t="s">
        <v>6</v>
      </c>
    </row>
    <row r="142" spans="1:3" x14ac:dyDescent="0.25">
      <c r="A142" s="1">
        <v>43044</v>
      </c>
      <c r="B142" t="s">
        <v>19</v>
      </c>
      <c r="C142" t="s">
        <v>8</v>
      </c>
    </row>
    <row r="143" spans="1:3" x14ac:dyDescent="0.25">
      <c r="A143" s="1">
        <v>43044</v>
      </c>
      <c r="B143" t="s">
        <v>1</v>
      </c>
      <c r="C143" t="s">
        <v>10</v>
      </c>
    </row>
    <row r="144" spans="1:3" x14ac:dyDescent="0.25">
      <c r="A144" s="1">
        <v>43044</v>
      </c>
      <c r="B144" t="s">
        <v>27</v>
      </c>
      <c r="C144" t="s">
        <v>26</v>
      </c>
    </row>
    <row r="145" spans="1:3" x14ac:dyDescent="0.25">
      <c r="A145" s="1">
        <v>43044</v>
      </c>
      <c r="B145" t="s">
        <v>3</v>
      </c>
      <c r="C145" t="s">
        <v>23</v>
      </c>
    </row>
    <row r="146" spans="1:3" x14ac:dyDescent="0.25">
      <c r="A146" s="1">
        <v>43044</v>
      </c>
      <c r="B146" t="s">
        <v>15</v>
      </c>
      <c r="C146" t="s">
        <v>116</v>
      </c>
    </row>
    <row r="147" spans="1:3" x14ac:dyDescent="0.25">
      <c r="A147" s="1">
        <v>43045</v>
      </c>
      <c r="B147" t="s">
        <v>14</v>
      </c>
      <c r="C147" t="s">
        <v>10</v>
      </c>
    </row>
    <row r="148" spans="1:3" x14ac:dyDescent="0.25">
      <c r="A148" s="1">
        <v>43045</v>
      </c>
      <c r="B148" t="s">
        <v>24</v>
      </c>
      <c r="C148" t="s">
        <v>12</v>
      </c>
    </row>
    <row r="149" spans="1:3" x14ac:dyDescent="0.25">
      <c r="A149" s="1">
        <v>43045</v>
      </c>
      <c r="B149" t="s">
        <v>23</v>
      </c>
      <c r="C149" t="s">
        <v>11</v>
      </c>
    </row>
    <row r="150" spans="1:3" x14ac:dyDescent="0.25">
      <c r="A150" s="1">
        <v>43046</v>
      </c>
      <c r="B150" t="s">
        <v>28</v>
      </c>
      <c r="C150" t="s">
        <v>7</v>
      </c>
    </row>
    <row r="151" spans="1:3" x14ac:dyDescent="0.25">
      <c r="A151" s="1">
        <v>43046</v>
      </c>
      <c r="B151" t="s">
        <v>20</v>
      </c>
      <c r="C151" t="s">
        <v>11</v>
      </c>
    </row>
    <row r="152" spans="1:3" x14ac:dyDescent="0.25">
      <c r="A152" s="1">
        <v>43046</v>
      </c>
      <c r="B152" t="s">
        <v>8</v>
      </c>
      <c r="C152" t="s">
        <v>0</v>
      </c>
    </row>
    <row r="153" spans="1:3" x14ac:dyDescent="0.25">
      <c r="A153" s="1">
        <v>43046</v>
      </c>
      <c r="B153" t="s">
        <v>19</v>
      </c>
      <c r="C153" t="s">
        <v>6</v>
      </c>
    </row>
    <row r="154" spans="1:3" x14ac:dyDescent="0.25">
      <c r="A154" s="1">
        <v>43046</v>
      </c>
      <c r="B154" t="s">
        <v>27</v>
      </c>
      <c r="C154" t="s">
        <v>16</v>
      </c>
    </row>
    <row r="155" spans="1:3" x14ac:dyDescent="0.25">
      <c r="A155" s="1">
        <v>43046</v>
      </c>
      <c r="B155" t="s">
        <v>25</v>
      </c>
      <c r="C155" t="s">
        <v>26</v>
      </c>
    </row>
    <row r="156" spans="1:3" x14ac:dyDescent="0.25">
      <c r="A156" s="1">
        <v>43046</v>
      </c>
      <c r="B156" t="s">
        <v>3</v>
      </c>
      <c r="C156" t="s">
        <v>29</v>
      </c>
    </row>
    <row r="157" spans="1:3" x14ac:dyDescent="0.25">
      <c r="A157" s="1">
        <v>43046</v>
      </c>
      <c r="B157" t="s">
        <v>15</v>
      </c>
      <c r="C157" t="s">
        <v>18</v>
      </c>
    </row>
    <row r="158" spans="1:3" x14ac:dyDescent="0.25">
      <c r="A158" s="1">
        <v>43046</v>
      </c>
      <c r="B158" t="s">
        <v>22</v>
      </c>
      <c r="C158" t="s">
        <v>9</v>
      </c>
    </row>
    <row r="159" spans="1:3" x14ac:dyDescent="0.25">
      <c r="A159" s="1">
        <v>43046</v>
      </c>
      <c r="B159" t="s">
        <v>116</v>
      </c>
      <c r="C159" t="s">
        <v>2</v>
      </c>
    </row>
    <row r="160" spans="1:3" x14ac:dyDescent="0.25">
      <c r="A160" s="1">
        <v>43047</v>
      </c>
      <c r="B160" t="s">
        <v>10</v>
      </c>
      <c r="C160" t="s">
        <v>5</v>
      </c>
    </row>
    <row r="161" spans="1:3" x14ac:dyDescent="0.25">
      <c r="A161" s="1">
        <v>43047</v>
      </c>
      <c r="B161" t="s">
        <v>21</v>
      </c>
      <c r="C161" t="s">
        <v>8</v>
      </c>
    </row>
    <row r="162" spans="1:3" x14ac:dyDescent="0.25">
      <c r="A162" s="1">
        <v>43047</v>
      </c>
      <c r="B162" t="s">
        <v>24</v>
      </c>
      <c r="C162" t="s">
        <v>17</v>
      </c>
    </row>
    <row r="163" spans="1:3" x14ac:dyDescent="0.25">
      <c r="A163" s="1">
        <v>43047</v>
      </c>
      <c r="B163" t="s">
        <v>1</v>
      </c>
      <c r="C163" t="s">
        <v>19</v>
      </c>
    </row>
    <row r="164" spans="1:3" x14ac:dyDescent="0.25">
      <c r="A164" s="1">
        <v>43047</v>
      </c>
      <c r="B164" t="s">
        <v>23</v>
      </c>
      <c r="C164" t="s">
        <v>12</v>
      </c>
    </row>
    <row r="165" spans="1:3" x14ac:dyDescent="0.25">
      <c r="A165" s="1">
        <v>43048</v>
      </c>
      <c r="B165" t="s">
        <v>20</v>
      </c>
      <c r="C165" t="s">
        <v>26</v>
      </c>
    </row>
    <row r="166" spans="1:3" x14ac:dyDescent="0.25">
      <c r="A166" s="1">
        <v>43048</v>
      </c>
      <c r="B166" t="s">
        <v>4</v>
      </c>
      <c r="C166" t="s">
        <v>28</v>
      </c>
    </row>
    <row r="167" spans="1:3" x14ac:dyDescent="0.25">
      <c r="A167" s="1">
        <v>43048</v>
      </c>
      <c r="B167" t="s">
        <v>25</v>
      </c>
      <c r="C167" t="s">
        <v>9</v>
      </c>
    </row>
    <row r="168" spans="1:3" x14ac:dyDescent="0.25">
      <c r="A168" s="1">
        <v>43048</v>
      </c>
      <c r="B168" t="s">
        <v>15</v>
      </c>
      <c r="C168" t="s">
        <v>0</v>
      </c>
    </row>
    <row r="169" spans="1:3" x14ac:dyDescent="0.25">
      <c r="A169" s="1">
        <v>43048</v>
      </c>
      <c r="B169" t="s">
        <v>116</v>
      </c>
      <c r="C169" t="s">
        <v>5</v>
      </c>
    </row>
    <row r="170" spans="1:3" x14ac:dyDescent="0.25">
      <c r="A170" s="1">
        <v>43049</v>
      </c>
      <c r="B170" t="s">
        <v>10</v>
      </c>
      <c r="C170" t="s">
        <v>6</v>
      </c>
    </row>
    <row r="171" spans="1:3" x14ac:dyDescent="0.25">
      <c r="A171" s="1">
        <v>43049</v>
      </c>
      <c r="B171" t="s">
        <v>18</v>
      </c>
      <c r="C171" t="s">
        <v>8</v>
      </c>
    </row>
    <row r="172" spans="1:3" x14ac:dyDescent="0.25">
      <c r="A172" s="1">
        <v>43049</v>
      </c>
      <c r="B172" t="s">
        <v>21</v>
      </c>
      <c r="C172" t="s">
        <v>14</v>
      </c>
    </row>
    <row r="173" spans="1:3" x14ac:dyDescent="0.25">
      <c r="A173" s="1">
        <v>43049</v>
      </c>
      <c r="B173" t="s">
        <v>26</v>
      </c>
      <c r="C173" t="s">
        <v>29</v>
      </c>
    </row>
    <row r="174" spans="1:3" x14ac:dyDescent="0.25">
      <c r="A174" s="1">
        <v>43049</v>
      </c>
      <c r="B174" t="s">
        <v>23</v>
      </c>
      <c r="C174" t="s">
        <v>1</v>
      </c>
    </row>
    <row r="175" spans="1:3" x14ac:dyDescent="0.25">
      <c r="A175" s="1">
        <v>43049</v>
      </c>
      <c r="B175" t="s">
        <v>27</v>
      </c>
      <c r="C175" t="s">
        <v>11</v>
      </c>
    </row>
    <row r="176" spans="1:3" x14ac:dyDescent="0.25">
      <c r="A176" s="1">
        <v>43049</v>
      </c>
      <c r="B176" t="s">
        <v>3</v>
      </c>
      <c r="C176" t="s">
        <v>7</v>
      </c>
    </row>
    <row r="177" spans="1:3" x14ac:dyDescent="0.25">
      <c r="A177" s="1">
        <v>43049</v>
      </c>
      <c r="B177" t="s">
        <v>22</v>
      </c>
      <c r="C177" t="s">
        <v>12</v>
      </c>
    </row>
    <row r="178" spans="1:3" x14ac:dyDescent="0.25">
      <c r="A178" s="1">
        <v>43050</v>
      </c>
      <c r="B178" t="s">
        <v>2</v>
      </c>
      <c r="C178" t="s">
        <v>28</v>
      </c>
    </row>
    <row r="179" spans="1:3" x14ac:dyDescent="0.25">
      <c r="A179" s="1">
        <v>43050</v>
      </c>
      <c r="B179" t="s">
        <v>20</v>
      </c>
      <c r="C179" t="s">
        <v>1</v>
      </c>
    </row>
    <row r="180" spans="1:3" x14ac:dyDescent="0.25">
      <c r="A180" s="1">
        <v>43050</v>
      </c>
      <c r="B180" t="s">
        <v>24</v>
      </c>
      <c r="C180" t="s">
        <v>9</v>
      </c>
    </row>
    <row r="181" spans="1:3" x14ac:dyDescent="0.25">
      <c r="A181" s="1">
        <v>43050</v>
      </c>
      <c r="B181" t="s">
        <v>4</v>
      </c>
      <c r="C181" t="s">
        <v>16</v>
      </c>
    </row>
    <row r="182" spans="1:3" x14ac:dyDescent="0.25">
      <c r="A182" s="1">
        <v>43050</v>
      </c>
      <c r="B182" t="s">
        <v>7</v>
      </c>
      <c r="C182" t="s">
        <v>5</v>
      </c>
    </row>
    <row r="183" spans="1:3" x14ac:dyDescent="0.25">
      <c r="A183" s="1">
        <v>43050</v>
      </c>
      <c r="B183" t="s">
        <v>0</v>
      </c>
      <c r="C183" t="s">
        <v>29</v>
      </c>
    </row>
    <row r="184" spans="1:3" x14ac:dyDescent="0.25">
      <c r="A184" s="1">
        <v>43050</v>
      </c>
      <c r="B184" t="s">
        <v>19</v>
      </c>
      <c r="C184" t="s">
        <v>25</v>
      </c>
    </row>
    <row r="185" spans="1:3" x14ac:dyDescent="0.25">
      <c r="A185" s="1">
        <v>43050</v>
      </c>
      <c r="B185" t="s">
        <v>23</v>
      </c>
      <c r="C185" t="s">
        <v>17</v>
      </c>
    </row>
    <row r="186" spans="1:3" x14ac:dyDescent="0.25">
      <c r="A186" s="1">
        <v>43050</v>
      </c>
      <c r="B186" t="s">
        <v>3</v>
      </c>
      <c r="C186" t="s">
        <v>18</v>
      </c>
    </row>
    <row r="187" spans="1:3" x14ac:dyDescent="0.25">
      <c r="A187" s="1">
        <v>43050</v>
      </c>
      <c r="B187" t="s">
        <v>22</v>
      </c>
      <c r="C187" t="s">
        <v>11</v>
      </c>
    </row>
    <row r="188" spans="1:3" x14ac:dyDescent="0.25">
      <c r="A188" s="1">
        <v>43050</v>
      </c>
      <c r="B188" t="s">
        <v>116</v>
      </c>
      <c r="C188" t="s">
        <v>14</v>
      </c>
    </row>
    <row r="189" spans="1:3" x14ac:dyDescent="0.25">
      <c r="A189" s="1">
        <v>43051</v>
      </c>
      <c r="B189" t="s">
        <v>10</v>
      </c>
      <c r="C189" t="s">
        <v>15</v>
      </c>
    </row>
    <row r="190" spans="1:3" x14ac:dyDescent="0.25">
      <c r="A190" s="1">
        <v>43051</v>
      </c>
      <c r="B190" t="s">
        <v>21</v>
      </c>
      <c r="C190" t="s">
        <v>12</v>
      </c>
    </row>
    <row r="191" spans="1:3" x14ac:dyDescent="0.25">
      <c r="A191" s="1">
        <v>43051</v>
      </c>
      <c r="B191" t="s">
        <v>8</v>
      </c>
      <c r="C191" t="s">
        <v>4</v>
      </c>
    </row>
    <row r="192" spans="1:3" x14ac:dyDescent="0.25">
      <c r="A192" s="1">
        <v>43051</v>
      </c>
      <c r="B192" t="s">
        <v>26</v>
      </c>
      <c r="C192" t="s">
        <v>2</v>
      </c>
    </row>
    <row r="193" spans="1:3" x14ac:dyDescent="0.25">
      <c r="A193" s="1">
        <v>43052</v>
      </c>
      <c r="B193" t="s">
        <v>24</v>
      </c>
      <c r="C193" t="s">
        <v>1</v>
      </c>
    </row>
    <row r="194" spans="1:3" x14ac:dyDescent="0.25">
      <c r="A194" s="1">
        <v>43052</v>
      </c>
      <c r="B194" t="s">
        <v>29</v>
      </c>
      <c r="C194" t="s">
        <v>9</v>
      </c>
    </row>
    <row r="195" spans="1:3" x14ac:dyDescent="0.25">
      <c r="A195" s="1">
        <v>43052</v>
      </c>
      <c r="B195" t="s">
        <v>7</v>
      </c>
      <c r="C195" t="s">
        <v>16</v>
      </c>
    </row>
    <row r="196" spans="1:3" x14ac:dyDescent="0.25">
      <c r="A196" s="1">
        <v>43052</v>
      </c>
      <c r="B196" t="s">
        <v>0</v>
      </c>
      <c r="C196" t="s">
        <v>14</v>
      </c>
    </row>
    <row r="197" spans="1:3" x14ac:dyDescent="0.25">
      <c r="A197" s="1">
        <v>43052</v>
      </c>
      <c r="B197" t="s">
        <v>19</v>
      </c>
      <c r="C197" t="s">
        <v>28</v>
      </c>
    </row>
    <row r="198" spans="1:3" x14ac:dyDescent="0.25">
      <c r="A198" s="1">
        <v>43052</v>
      </c>
      <c r="B198" t="s">
        <v>23</v>
      </c>
      <c r="C198" t="s">
        <v>5</v>
      </c>
    </row>
    <row r="199" spans="1:3" x14ac:dyDescent="0.25">
      <c r="A199" s="1">
        <v>43052</v>
      </c>
      <c r="B199" t="s">
        <v>27</v>
      </c>
      <c r="C199" t="s">
        <v>20</v>
      </c>
    </row>
    <row r="200" spans="1:3" x14ac:dyDescent="0.25">
      <c r="A200" s="1">
        <v>43052</v>
      </c>
      <c r="B200" t="s">
        <v>22</v>
      </c>
      <c r="C200" t="s">
        <v>17</v>
      </c>
    </row>
    <row r="201" spans="1:3" x14ac:dyDescent="0.25">
      <c r="A201" s="1">
        <v>43052</v>
      </c>
      <c r="B201" t="s">
        <v>116</v>
      </c>
      <c r="C201" t="s">
        <v>25</v>
      </c>
    </row>
    <row r="202" spans="1:3" x14ac:dyDescent="0.25">
      <c r="A202" s="1">
        <v>43053</v>
      </c>
      <c r="B202" t="s">
        <v>11</v>
      </c>
      <c r="C202" t="s">
        <v>10</v>
      </c>
    </row>
    <row r="203" spans="1:3" x14ac:dyDescent="0.25">
      <c r="A203" s="1">
        <v>43053</v>
      </c>
      <c r="B203" t="s">
        <v>2</v>
      </c>
      <c r="C203" t="s">
        <v>3</v>
      </c>
    </row>
    <row r="204" spans="1:3" x14ac:dyDescent="0.25">
      <c r="A204" s="1">
        <v>43053</v>
      </c>
      <c r="B204" t="s">
        <v>4</v>
      </c>
      <c r="C204" t="s">
        <v>15</v>
      </c>
    </row>
    <row r="205" spans="1:3" x14ac:dyDescent="0.25">
      <c r="A205" s="1">
        <v>43054</v>
      </c>
      <c r="B205" t="s">
        <v>14</v>
      </c>
      <c r="C205" t="s">
        <v>25</v>
      </c>
    </row>
    <row r="206" spans="1:3" x14ac:dyDescent="0.25">
      <c r="A206" s="1">
        <v>43054</v>
      </c>
      <c r="B206" t="s">
        <v>6</v>
      </c>
      <c r="C206" t="s">
        <v>28</v>
      </c>
    </row>
    <row r="207" spans="1:3" x14ac:dyDescent="0.25">
      <c r="A207" s="1">
        <v>43054</v>
      </c>
      <c r="B207" t="s">
        <v>5</v>
      </c>
      <c r="C207" t="s">
        <v>9</v>
      </c>
    </row>
    <row r="208" spans="1:3" x14ac:dyDescent="0.25">
      <c r="A208" s="1">
        <v>43054</v>
      </c>
      <c r="B208" t="s">
        <v>16</v>
      </c>
      <c r="C208" t="s">
        <v>8</v>
      </c>
    </row>
    <row r="209" spans="1:3" x14ac:dyDescent="0.25">
      <c r="A209" s="1">
        <v>43054</v>
      </c>
      <c r="B209" t="s">
        <v>12</v>
      </c>
      <c r="C209" t="s">
        <v>116</v>
      </c>
    </row>
    <row r="210" spans="1:3" x14ac:dyDescent="0.25">
      <c r="A210" s="1">
        <v>43054</v>
      </c>
      <c r="B210" t="s">
        <v>7</v>
      </c>
      <c r="C210" t="s">
        <v>21</v>
      </c>
    </row>
    <row r="211" spans="1:3" x14ac:dyDescent="0.25">
      <c r="A211" s="1">
        <v>43054</v>
      </c>
      <c r="B211" t="s">
        <v>17</v>
      </c>
      <c r="C211" t="s">
        <v>3</v>
      </c>
    </row>
    <row r="212" spans="1:3" x14ac:dyDescent="0.25">
      <c r="A212" s="1">
        <v>43054</v>
      </c>
      <c r="B212" t="s">
        <v>0</v>
      </c>
      <c r="C212" t="s">
        <v>15</v>
      </c>
    </row>
    <row r="213" spans="1:3" x14ac:dyDescent="0.25">
      <c r="A213" s="1">
        <v>43054</v>
      </c>
      <c r="B213" t="s">
        <v>19</v>
      </c>
      <c r="C213" t="s">
        <v>22</v>
      </c>
    </row>
    <row r="214" spans="1:3" x14ac:dyDescent="0.25">
      <c r="A214" s="1">
        <v>43054</v>
      </c>
      <c r="B214" t="s">
        <v>26</v>
      </c>
      <c r="C214" t="s">
        <v>18</v>
      </c>
    </row>
    <row r="215" spans="1:3" x14ac:dyDescent="0.25">
      <c r="A215" s="1">
        <v>43054</v>
      </c>
      <c r="B215" t="s">
        <v>27</v>
      </c>
      <c r="C215" t="s">
        <v>1</v>
      </c>
    </row>
    <row r="216" spans="1:3" x14ac:dyDescent="0.25">
      <c r="A216" s="1">
        <v>43055</v>
      </c>
      <c r="B216" t="s">
        <v>10</v>
      </c>
      <c r="C216" t="s">
        <v>24</v>
      </c>
    </row>
    <row r="217" spans="1:3" x14ac:dyDescent="0.25">
      <c r="A217" s="1">
        <v>43055</v>
      </c>
      <c r="B217" t="s">
        <v>23</v>
      </c>
      <c r="C217" t="s">
        <v>4</v>
      </c>
    </row>
    <row r="218" spans="1:3" x14ac:dyDescent="0.25">
      <c r="A218" s="1">
        <v>43056</v>
      </c>
      <c r="B218" t="s">
        <v>11</v>
      </c>
      <c r="C218" t="s">
        <v>22</v>
      </c>
    </row>
    <row r="219" spans="1:3" x14ac:dyDescent="0.25">
      <c r="A219" s="1">
        <v>43056</v>
      </c>
      <c r="B219" t="s">
        <v>18</v>
      </c>
      <c r="C219" t="s">
        <v>6</v>
      </c>
    </row>
    <row r="220" spans="1:3" x14ac:dyDescent="0.25">
      <c r="A220" s="1">
        <v>43056</v>
      </c>
      <c r="B220" t="s">
        <v>28</v>
      </c>
      <c r="C220" t="s">
        <v>29</v>
      </c>
    </row>
    <row r="221" spans="1:3" x14ac:dyDescent="0.25">
      <c r="A221" s="1">
        <v>43056</v>
      </c>
      <c r="B221" t="s">
        <v>2</v>
      </c>
      <c r="C221" t="s">
        <v>17</v>
      </c>
    </row>
    <row r="222" spans="1:3" x14ac:dyDescent="0.25">
      <c r="A222" s="1">
        <v>43056</v>
      </c>
      <c r="B222" t="s">
        <v>20</v>
      </c>
      <c r="C222" t="s">
        <v>0</v>
      </c>
    </row>
    <row r="223" spans="1:3" x14ac:dyDescent="0.25">
      <c r="A223" s="1">
        <v>43056</v>
      </c>
      <c r="B223" t="s">
        <v>8</v>
      </c>
      <c r="C223" t="s">
        <v>21</v>
      </c>
    </row>
    <row r="224" spans="1:3" x14ac:dyDescent="0.25">
      <c r="A224" s="1">
        <v>43056</v>
      </c>
      <c r="B224" t="s">
        <v>5</v>
      </c>
      <c r="C224" t="s">
        <v>23</v>
      </c>
    </row>
    <row r="225" spans="1:3" x14ac:dyDescent="0.25">
      <c r="A225" s="1">
        <v>43056</v>
      </c>
      <c r="B225" t="s">
        <v>25</v>
      </c>
      <c r="C225" t="s">
        <v>27</v>
      </c>
    </row>
    <row r="226" spans="1:3" x14ac:dyDescent="0.25">
      <c r="A226" s="1">
        <v>43056</v>
      </c>
      <c r="B226" t="s">
        <v>3</v>
      </c>
      <c r="C226" t="s">
        <v>26</v>
      </c>
    </row>
    <row r="227" spans="1:3" x14ac:dyDescent="0.25">
      <c r="A227" s="1">
        <v>43056</v>
      </c>
      <c r="B227" t="s">
        <v>15</v>
      </c>
      <c r="C227" t="s">
        <v>19</v>
      </c>
    </row>
    <row r="228" spans="1:3" x14ac:dyDescent="0.25">
      <c r="A228" s="1">
        <v>43056</v>
      </c>
      <c r="B228" t="s">
        <v>116</v>
      </c>
      <c r="C228" t="s">
        <v>12</v>
      </c>
    </row>
    <row r="229" spans="1:3" x14ac:dyDescent="0.25">
      <c r="A229" s="1">
        <v>43057</v>
      </c>
      <c r="B229" t="s">
        <v>14</v>
      </c>
      <c r="C229" t="s">
        <v>10</v>
      </c>
    </row>
    <row r="230" spans="1:3" x14ac:dyDescent="0.25">
      <c r="A230" s="1">
        <v>43057</v>
      </c>
      <c r="B230" t="s">
        <v>6</v>
      </c>
      <c r="C230" t="s">
        <v>29</v>
      </c>
    </row>
    <row r="231" spans="1:3" x14ac:dyDescent="0.25">
      <c r="A231" s="1">
        <v>43057</v>
      </c>
      <c r="B231" t="s">
        <v>2</v>
      </c>
      <c r="C231" t="s">
        <v>7</v>
      </c>
    </row>
    <row r="232" spans="1:3" x14ac:dyDescent="0.25">
      <c r="A232" s="1">
        <v>43057</v>
      </c>
      <c r="B232" t="s">
        <v>16</v>
      </c>
      <c r="C232" t="s">
        <v>4</v>
      </c>
    </row>
    <row r="233" spans="1:3" x14ac:dyDescent="0.25">
      <c r="A233" s="1">
        <v>43057</v>
      </c>
      <c r="B233" t="s">
        <v>1</v>
      </c>
      <c r="C233" t="s">
        <v>22</v>
      </c>
    </row>
    <row r="234" spans="1:3" x14ac:dyDescent="0.25">
      <c r="A234" s="1">
        <v>43057</v>
      </c>
      <c r="B234" t="s">
        <v>9</v>
      </c>
      <c r="C234" t="s">
        <v>24</v>
      </c>
    </row>
    <row r="235" spans="1:3" x14ac:dyDescent="0.25">
      <c r="A235" s="1">
        <v>43057</v>
      </c>
      <c r="B235" t="s">
        <v>27</v>
      </c>
      <c r="C235" t="s">
        <v>25</v>
      </c>
    </row>
    <row r="236" spans="1:3" x14ac:dyDescent="0.25">
      <c r="A236" s="1">
        <v>43058</v>
      </c>
      <c r="B236" t="s">
        <v>11</v>
      </c>
      <c r="C236" t="s">
        <v>24</v>
      </c>
    </row>
    <row r="237" spans="1:3" x14ac:dyDescent="0.25">
      <c r="A237" s="1">
        <v>43058</v>
      </c>
      <c r="B237" t="s">
        <v>5</v>
      </c>
      <c r="C237" t="s">
        <v>20</v>
      </c>
    </row>
    <row r="238" spans="1:3" x14ac:dyDescent="0.25">
      <c r="A238" s="1">
        <v>43058</v>
      </c>
      <c r="B238" t="s">
        <v>12</v>
      </c>
      <c r="C238" t="s">
        <v>8</v>
      </c>
    </row>
    <row r="239" spans="1:3" x14ac:dyDescent="0.25">
      <c r="A239" s="1">
        <v>43058</v>
      </c>
      <c r="B239" t="s">
        <v>17</v>
      </c>
      <c r="C239" t="s">
        <v>21</v>
      </c>
    </row>
    <row r="240" spans="1:3" x14ac:dyDescent="0.25">
      <c r="A240" s="1">
        <v>43058</v>
      </c>
      <c r="B240" t="s">
        <v>23</v>
      </c>
      <c r="C240" t="s">
        <v>18</v>
      </c>
    </row>
    <row r="241" spans="1:3" x14ac:dyDescent="0.25">
      <c r="A241" s="1">
        <v>43058</v>
      </c>
      <c r="B241" t="s">
        <v>15</v>
      </c>
      <c r="C241" t="s">
        <v>116</v>
      </c>
    </row>
    <row r="242" spans="1:3" x14ac:dyDescent="0.25">
      <c r="A242" s="1">
        <v>43059</v>
      </c>
      <c r="B242" t="s">
        <v>6</v>
      </c>
      <c r="C242" t="s">
        <v>17</v>
      </c>
    </row>
    <row r="243" spans="1:3" x14ac:dyDescent="0.25">
      <c r="A243" s="1">
        <v>43059</v>
      </c>
      <c r="B243" t="s">
        <v>2</v>
      </c>
      <c r="C243" t="s">
        <v>10</v>
      </c>
    </row>
    <row r="244" spans="1:3" x14ac:dyDescent="0.25">
      <c r="A244" s="1">
        <v>43059</v>
      </c>
      <c r="B244" t="s">
        <v>21</v>
      </c>
      <c r="C244" t="s">
        <v>28</v>
      </c>
    </row>
    <row r="245" spans="1:3" x14ac:dyDescent="0.25">
      <c r="A245" s="1">
        <v>43059</v>
      </c>
      <c r="B245" t="s">
        <v>16</v>
      </c>
      <c r="C245" t="s">
        <v>27</v>
      </c>
    </row>
    <row r="246" spans="1:3" x14ac:dyDescent="0.25">
      <c r="A246" s="1">
        <v>43059</v>
      </c>
      <c r="B246" t="s">
        <v>7</v>
      </c>
      <c r="C246" t="s">
        <v>116</v>
      </c>
    </row>
    <row r="247" spans="1:3" x14ac:dyDescent="0.25">
      <c r="A247" s="1">
        <v>43059</v>
      </c>
      <c r="B247" t="s">
        <v>0</v>
      </c>
      <c r="C247" t="s">
        <v>26</v>
      </c>
    </row>
    <row r="248" spans="1:3" x14ac:dyDescent="0.25">
      <c r="A248" s="1">
        <v>43059</v>
      </c>
      <c r="B248" t="s">
        <v>19</v>
      </c>
      <c r="C248" t="s">
        <v>29</v>
      </c>
    </row>
    <row r="249" spans="1:3" x14ac:dyDescent="0.25">
      <c r="A249" s="1">
        <v>43059</v>
      </c>
      <c r="B249" t="s">
        <v>1</v>
      </c>
      <c r="C249" t="s">
        <v>8</v>
      </c>
    </row>
    <row r="250" spans="1:3" x14ac:dyDescent="0.25">
      <c r="A250" s="1">
        <v>43059</v>
      </c>
      <c r="B250" t="s">
        <v>9</v>
      </c>
      <c r="C250" t="s">
        <v>22</v>
      </c>
    </row>
    <row r="251" spans="1:3" x14ac:dyDescent="0.25">
      <c r="A251" s="1">
        <v>43059</v>
      </c>
      <c r="B251" t="s">
        <v>25</v>
      </c>
      <c r="C251" t="s">
        <v>20</v>
      </c>
    </row>
    <row r="252" spans="1:3" x14ac:dyDescent="0.25">
      <c r="A252" s="1">
        <v>43059</v>
      </c>
      <c r="B252" t="s">
        <v>3</v>
      </c>
      <c r="C252" t="s">
        <v>14</v>
      </c>
    </row>
    <row r="253" spans="1:3" x14ac:dyDescent="0.25">
      <c r="A253" s="1">
        <v>43060</v>
      </c>
      <c r="B253" t="s">
        <v>5</v>
      </c>
      <c r="C253" t="s">
        <v>18</v>
      </c>
    </row>
    <row r="254" spans="1:3" x14ac:dyDescent="0.25">
      <c r="A254" s="1">
        <v>43061</v>
      </c>
      <c r="B254" t="s">
        <v>14</v>
      </c>
      <c r="C254" t="s">
        <v>29</v>
      </c>
    </row>
    <row r="255" spans="1:3" x14ac:dyDescent="0.25">
      <c r="A255" s="1">
        <v>43061</v>
      </c>
      <c r="B255" t="s">
        <v>6</v>
      </c>
      <c r="C255" t="s">
        <v>116</v>
      </c>
    </row>
    <row r="256" spans="1:3" x14ac:dyDescent="0.25">
      <c r="A256" s="1">
        <v>43061</v>
      </c>
      <c r="B256" t="s">
        <v>28</v>
      </c>
      <c r="C256" t="s">
        <v>11</v>
      </c>
    </row>
    <row r="257" spans="1:3" x14ac:dyDescent="0.25">
      <c r="A257" s="1">
        <v>43061</v>
      </c>
      <c r="B257" t="s">
        <v>4</v>
      </c>
      <c r="C257" t="s">
        <v>20</v>
      </c>
    </row>
    <row r="258" spans="1:3" x14ac:dyDescent="0.25">
      <c r="A258" s="1">
        <v>43061</v>
      </c>
      <c r="B258" t="s">
        <v>16</v>
      </c>
      <c r="C258" t="s">
        <v>2</v>
      </c>
    </row>
    <row r="259" spans="1:3" x14ac:dyDescent="0.25">
      <c r="A259" s="1">
        <v>43061</v>
      </c>
      <c r="B259" t="s">
        <v>12</v>
      </c>
      <c r="C259" t="s">
        <v>10</v>
      </c>
    </row>
    <row r="260" spans="1:3" x14ac:dyDescent="0.25">
      <c r="A260" s="1">
        <v>43061</v>
      </c>
      <c r="B260" t="s">
        <v>17</v>
      </c>
      <c r="C260" t="s">
        <v>1</v>
      </c>
    </row>
    <row r="261" spans="1:3" x14ac:dyDescent="0.25">
      <c r="A261" s="1">
        <v>43061</v>
      </c>
      <c r="B261" t="s">
        <v>0</v>
      </c>
      <c r="C261" t="s">
        <v>3</v>
      </c>
    </row>
    <row r="262" spans="1:3" x14ac:dyDescent="0.25">
      <c r="A262" s="1">
        <v>43061</v>
      </c>
      <c r="B262" t="s">
        <v>19</v>
      </c>
      <c r="C262" t="s">
        <v>15</v>
      </c>
    </row>
    <row r="263" spans="1:3" x14ac:dyDescent="0.25">
      <c r="A263" s="1">
        <v>43061</v>
      </c>
      <c r="B263" t="s">
        <v>26</v>
      </c>
      <c r="C263" t="s">
        <v>24</v>
      </c>
    </row>
    <row r="264" spans="1:3" x14ac:dyDescent="0.25">
      <c r="A264" s="1">
        <v>43061</v>
      </c>
      <c r="B264" t="s">
        <v>9</v>
      </c>
      <c r="C264" t="s">
        <v>27</v>
      </c>
    </row>
    <row r="265" spans="1:3" x14ac:dyDescent="0.25">
      <c r="A265" s="1">
        <v>43061</v>
      </c>
      <c r="B265" t="s">
        <v>23</v>
      </c>
      <c r="C265" t="s">
        <v>7</v>
      </c>
    </row>
    <row r="266" spans="1:3" x14ac:dyDescent="0.25">
      <c r="A266" s="1">
        <v>43061</v>
      </c>
      <c r="B266" t="s">
        <v>25</v>
      </c>
      <c r="C266" t="s">
        <v>5</v>
      </c>
    </row>
    <row r="267" spans="1:3" x14ac:dyDescent="0.25">
      <c r="A267" s="1">
        <v>43061</v>
      </c>
      <c r="B267" t="s">
        <v>22</v>
      </c>
      <c r="C267" t="s">
        <v>18</v>
      </c>
    </row>
    <row r="268" spans="1:3" x14ac:dyDescent="0.25">
      <c r="A268" s="1">
        <v>43063</v>
      </c>
      <c r="B268" t="s">
        <v>14</v>
      </c>
      <c r="C268" t="s">
        <v>19</v>
      </c>
    </row>
    <row r="269" spans="1:3" x14ac:dyDescent="0.25">
      <c r="A269" s="1">
        <v>43063</v>
      </c>
      <c r="B269" t="s">
        <v>10</v>
      </c>
      <c r="C269" t="s">
        <v>1</v>
      </c>
    </row>
    <row r="270" spans="1:3" x14ac:dyDescent="0.25">
      <c r="A270" s="1">
        <v>43063</v>
      </c>
      <c r="B270" t="s">
        <v>11</v>
      </c>
      <c r="C270" t="s">
        <v>27</v>
      </c>
    </row>
    <row r="271" spans="1:3" x14ac:dyDescent="0.25">
      <c r="A271" s="1">
        <v>43063</v>
      </c>
      <c r="B271" t="s">
        <v>28</v>
      </c>
      <c r="C271" t="s">
        <v>6</v>
      </c>
    </row>
    <row r="272" spans="1:3" x14ac:dyDescent="0.25">
      <c r="A272" s="1">
        <v>43063</v>
      </c>
      <c r="B272" t="s">
        <v>20</v>
      </c>
      <c r="C272" t="s">
        <v>16</v>
      </c>
    </row>
    <row r="273" spans="1:3" x14ac:dyDescent="0.25">
      <c r="A273" s="1">
        <v>43063</v>
      </c>
      <c r="B273" t="s">
        <v>24</v>
      </c>
      <c r="C273" t="s">
        <v>18</v>
      </c>
    </row>
    <row r="274" spans="1:3" x14ac:dyDescent="0.25">
      <c r="A274" s="1">
        <v>43063</v>
      </c>
      <c r="B274" t="s">
        <v>8</v>
      </c>
      <c r="C274" t="s">
        <v>15</v>
      </c>
    </row>
    <row r="275" spans="1:3" x14ac:dyDescent="0.25">
      <c r="A275" s="1">
        <v>43063</v>
      </c>
      <c r="B275" t="s">
        <v>17</v>
      </c>
      <c r="C275" t="s">
        <v>12</v>
      </c>
    </row>
    <row r="276" spans="1:3" x14ac:dyDescent="0.25">
      <c r="A276" s="1">
        <v>43063</v>
      </c>
      <c r="B276" t="s">
        <v>26</v>
      </c>
      <c r="C276" t="s">
        <v>21</v>
      </c>
    </row>
    <row r="277" spans="1:3" x14ac:dyDescent="0.25">
      <c r="A277" s="1">
        <v>43063</v>
      </c>
      <c r="B277" t="s">
        <v>23</v>
      </c>
      <c r="C277" t="s">
        <v>0</v>
      </c>
    </row>
    <row r="278" spans="1:3" x14ac:dyDescent="0.25">
      <c r="A278" s="1">
        <v>43064</v>
      </c>
      <c r="B278" t="s">
        <v>14</v>
      </c>
      <c r="C278" t="s">
        <v>15</v>
      </c>
    </row>
    <row r="279" spans="1:3" x14ac:dyDescent="0.25">
      <c r="A279" s="1">
        <v>43064</v>
      </c>
      <c r="B279" t="s">
        <v>6</v>
      </c>
      <c r="C279" t="s">
        <v>3</v>
      </c>
    </row>
    <row r="280" spans="1:3" x14ac:dyDescent="0.25">
      <c r="A280" s="1">
        <v>43064</v>
      </c>
      <c r="B280" t="s">
        <v>2</v>
      </c>
      <c r="C280" t="s">
        <v>26</v>
      </c>
    </row>
    <row r="281" spans="1:3" x14ac:dyDescent="0.25">
      <c r="A281" s="1">
        <v>43064</v>
      </c>
      <c r="B281" t="s">
        <v>24</v>
      </c>
      <c r="C281" t="s">
        <v>0</v>
      </c>
    </row>
    <row r="282" spans="1:3" x14ac:dyDescent="0.25">
      <c r="A282" s="1">
        <v>43064</v>
      </c>
      <c r="B282" t="s">
        <v>4</v>
      </c>
      <c r="C282" t="s">
        <v>19</v>
      </c>
    </row>
    <row r="283" spans="1:3" x14ac:dyDescent="0.25">
      <c r="A283" s="1">
        <v>43064</v>
      </c>
      <c r="B283" t="s">
        <v>8</v>
      </c>
      <c r="C283" t="s">
        <v>10</v>
      </c>
    </row>
    <row r="284" spans="1:3" x14ac:dyDescent="0.25">
      <c r="A284" s="1">
        <v>43064</v>
      </c>
      <c r="B284" t="s">
        <v>9</v>
      </c>
      <c r="C284" t="s">
        <v>1</v>
      </c>
    </row>
    <row r="285" spans="1:3" x14ac:dyDescent="0.25">
      <c r="A285" s="1">
        <v>43064</v>
      </c>
      <c r="B285" t="s">
        <v>25</v>
      </c>
      <c r="C285" t="s">
        <v>29</v>
      </c>
    </row>
    <row r="286" spans="1:3" x14ac:dyDescent="0.25">
      <c r="A286" s="1">
        <v>43064</v>
      </c>
      <c r="B286" t="s">
        <v>22</v>
      </c>
      <c r="C286" t="s">
        <v>7</v>
      </c>
    </row>
    <row r="287" spans="1:3" x14ac:dyDescent="0.25">
      <c r="A287" s="1">
        <v>43064</v>
      </c>
      <c r="B287" t="s">
        <v>116</v>
      </c>
      <c r="C287" t="s">
        <v>27</v>
      </c>
    </row>
    <row r="288" spans="1:3" x14ac:dyDescent="0.25">
      <c r="A288" s="1">
        <v>43065</v>
      </c>
      <c r="B288" t="s">
        <v>18</v>
      </c>
      <c r="C288" t="s">
        <v>12</v>
      </c>
    </row>
    <row r="289" spans="1:3" x14ac:dyDescent="0.25">
      <c r="A289" s="1">
        <v>43065</v>
      </c>
      <c r="B289" t="s">
        <v>16</v>
      </c>
      <c r="C289" t="s">
        <v>11</v>
      </c>
    </row>
    <row r="290" spans="1:3" x14ac:dyDescent="0.25">
      <c r="A290" s="1">
        <v>43065</v>
      </c>
      <c r="B290" t="s">
        <v>17</v>
      </c>
      <c r="C290" t="s">
        <v>23</v>
      </c>
    </row>
    <row r="291" spans="1:3" x14ac:dyDescent="0.25">
      <c r="A291" s="1">
        <v>43066</v>
      </c>
      <c r="B291" t="s">
        <v>10</v>
      </c>
      <c r="C291" t="s">
        <v>21</v>
      </c>
    </row>
    <row r="292" spans="1:3" x14ac:dyDescent="0.25">
      <c r="A292" s="1">
        <v>43066</v>
      </c>
      <c r="B292" t="s">
        <v>24</v>
      </c>
      <c r="C292" t="s">
        <v>25</v>
      </c>
    </row>
    <row r="293" spans="1:3" x14ac:dyDescent="0.25">
      <c r="A293" s="1">
        <v>43066</v>
      </c>
      <c r="B293" t="s">
        <v>4</v>
      </c>
      <c r="C293" t="s">
        <v>11</v>
      </c>
    </row>
    <row r="294" spans="1:3" x14ac:dyDescent="0.25">
      <c r="A294" s="1">
        <v>43066</v>
      </c>
      <c r="B294" t="s">
        <v>8</v>
      </c>
      <c r="C294" t="s">
        <v>1</v>
      </c>
    </row>
    <row r="295" spans="1:3" x14ac:dyDescent="0.25">
      <c r="A295" s="1">
        <v>43066</v>
      </c>
      <c r="B295" t="s">
        <v>29</v>
      </c>
      <c r="C295" t="s">
        <v>5</v>
      </c>
    </row>
    <row r="296" spans="1:3" x14ac:dyDescent="0.25">
      <c r="A296" s="1">
        <v>43066</v>
      </c>
      <c r="B296" t="s">
        <v>19</v>
      </c>
      <c r="C296" t="s">
        <v>27</v>
      </c>
    </row>
    <row r="297" spans="1:3" x14ac:dyDescent="0.25">
      <c r="A297" s="1">
        <v>43066</v>
      </c>
      <c r="B297" t="s">
        <v>9</v>
      </c>
      <c r="C297" t="s">
        <v>28</v>
      </c>
    </row>
    <row r="298" spans="1:3" x14ac:dyDescent="0.25">
      <c r="A298" s="1">
        <v>43066</v>
      </c>
      <c r="B298" t="s">
        <v>3</v>
      </c>
      <c r="C298" t="s">
        <v>2</v>
      </c>
    </row>
    <row r="299" spans="1:3" x14ac:dyDescent="0.25">
      <c r="A299" s="1">
        <v>43067</v>
      </c>
      <c r="B299" t="s">
        <v>18</v>
      </c>
      <c r="C299" t="s">
        <v>23</v>
      </c>
    </row>
    <row r="300" spans="1:3" x14ac:dyDescent="0.25">
      <c r="A300" s="1">
        <v>43067</v>
      </c>
      <c r="B300" t="s">
        <v>28</v>
      </c>
      <c r="C300" t="s">
        <v>12</v>
      </c>
    </row>
    <row r="301" spans="1:3" x14ac:dyDescent="0.25">
      <c r="A301" s="1">
        <v>43067</v>
      </c>
      <c r="B301" t="s">
        <v>17</v>
      </c>
      <c r="C301" t="s">
        <v>116</v>
      </c>
    </row>
    <row r="302" spans="1:3" x14ac:dyDescent="0.25">
      <c r="A302" s="1">
        <v>43067</v>
      </c>
      <c r="B302" t="s">
        <v>25</v>
      </c>
      <c r="C302" t="s">
        <v>7</v>
      </c>
    </row>
    <row r="303" spans="1:3" x14ac:dyDescent="0.25">
      <c r="A303" s="1">
        <v>43067</v>
      </c>
      <c r="B303" t="s">
        <v>22</v>
      </c>
      <c r="C303" t="s">
        <v>20</v>
      </c>
    </row>
    <row r="304" spans="1:3" x14ac:dyDescent="0.25">
      <c r="A304" s="1">
        <v>43068</v>
      </c>
      <c r="B304" t="s">
        <v>2</v>
      </c>
      <c r="C304" t="s">
        <v>11</v>
      </c>
    </row>
    <row r="305" spans="1:3" x14ac:dyDescent="0.25">
      <c r="A305" s="1">
        <v>43068</v>
      </c>
      <c r="B305" t="s">
        <v>21</v>
      </c>
      <c r="C305" t="s">
        <v>23</v>
      </c>
    </row>
    <row r="306" spans="1:3" x14ac:dyDescent="0.25">
      <c r="A306" s="1">
        <v>43068</v>
      </c>
      <c r="B306" t="s">
        <v>4</v>
      </c>
      <c r="C306" t="s">
        <v>8</v>
      </c>
    </row>
    <row r="307" spans="1:3" x14ac:dyDescent="0.25">
      <c r="A307" s="1">
        <v>43068</v>
      </c>
      <c r="B307" t="s">
        <v>5</v>
      </c>
      <c r="C307" t="s">
        <v>24</v>
      </c>
    </row>
    <row r="308" spans="1:3" x14ac:dyDescent="0.25">
      <c r="A308" s="1">
        <v>43068</v>
      </c>
      <c r="B308" t="s">
        <v>0</v>
      </c>
      <c r="C308" t="s">
        <v>17</v>
      </c>
    </row>
    <row r="309" spans="1:3" x14ac:dyDescent="0.25">
      <c r="A309" s="1">
        <v>43068</v>
      </c>
      <c r="B309" t="s">
        <v>19</v>
      </c>
      <c r="C309" t="s">
        <v>12</v>
      </c>
    </row>
    <row r="310" spans="1:3" x14ac:dyDescent="0.25">
      <c r="A310" s="1">
        <v>43068</v>
      </c>
      <c r="B310" t="s">
        <v>1</v>
      </c>
      <c r="C310" t="s">
        <v>26</v>
      </c>
    </row>
    <row r="311" spans="1:3" x14ac:dyDescent="0.25">
      <c r="A311" s="1">
        <v>43068</v>
      </c>
      <c r="B311" t="s">
        <v>9</v>
      </c>
      <c r="C311" t="s">
        <v>116</v>
      </c>
    </row>
    <row r="312" spans="1:3" x14ac:dyDescent="0.25">
      <c r="A312" s="1">
        <v>43068</v>
      </c>
      <c r="B312" t="s">
        <v>3</v>
      </c>
      <c r="C312" t="s">
        <v>16</v>
      </c>
    </row>
    <row r="313" spans="1:3" x14ac:dyDescent="0.25">
      <c r="A313" s="1">
        <v>43068</v>
      </c>
      <c r="B313" t="s">
        <v>15</v>
      </c>
      <c r="C313" t="s">
        <v>6</v>
      </c>
    </row>
    <row r="314" spans="1:3" x14ac:dyDescent="0.25">
      <c r="A314" s="1">
        <v>43069</v>
      </c>
      <c r="B314" t="s">
        <v>14</v>
      </c>
      <c r="C314" t="s">
        <v>28</v>
      </c>
    </row>
    <row r="315" spans="1:3" x14ac:dyDescent="0.25">
      <c r="A315" s="1">
        <v>43069</v>
      </c>
      <c r="B315" t="s">
        <v>10</v>
      </c>
      <c r="C315" t="s">
        <v>9</v>
      </c>
    </row>
    <row r="316" spans="1:3" x14ac:dyDescent="0.25">
      <c r="A316" s="1">
        <v>43069</v>
      </c>
      <c r="B316" t="s">
        <v>20</v>
      </c>
      <c r="C316" t="s">
        <v>18</v>
      </c>
    </row>
    <row r="317" spans="1:3" x14ac:dyDescent="0.25">
      <c r="A317" s="1">
        <v>43069</v>
      </c>
      <c r="B317" t="s">
        <v>29</v>
      </c>
      <c r="C317" t="s">
        <v>22</v>
      </c>
    </row>
    <row r="318" spans="1:3" x14ac:dyDescent="0.25">
      <c r="A318" s="1">
        <v>43069</v>
      </c>
      <c r="B318" t="s">
        <v>27</v>
      </c>
      <c r="C318" t="s">
        <v>7</v>
      </c>
    </row>
    <row r="319" spans="1:3" x14ac:dyDescent="0.25">
      <c r="A319" s="1">
        <v>43070</v>
      </c>
      <c r="B319" t="s">
        <v>18</v>
      </c>
      <c r="C319" t="s">
        <v>25</v>
      </c>
    </row>
    <row r="320" spans="1:3" x14ac:dyDescent="0.25">
      <c r="A320" s="1">
        <v>43070</v>
      </c>
      <c r="B320" t="s">
        <v>16</v>
      </c>
      <c r="C320" t="s">
        <v>3</v>
      </c>
    </row>
    <row r="321" spans="1:3" x14ac:dyDescent="0.25">
      <c r="A321" s="1">
        <v>43070</v>
      </c>
      <c r="B321" t="s">
        <v>12</v>
      </c>
      <c r="C321" t="s">
        <v>6</v>
      </c>
    </row>
    <row r="322" spans="1:3" x14ac:dyDescent="0.25">
      <c r="A322" s="1">
        <v>43070</v>
      </c>
      <c r="B322" t="s">
        <v>26</v>
      </c>
      <c r="C322" t="s">
        <v>17</v>
      </c>
    </row>
    <row r="323" spans="1:3" x14ac:dyDescent="0.25">
      <c r="A323" s="1">
        <v>43070</v>
      </c>
      <c r="B323" t="s">
        <v>1</v>
      </c>
      <c r="C323" t="s">
        <v>24</v>
      </c>
    </row>
    <row r="324" spans="1:3" x14ac:dyDescent="0.25">
      <c r="A324" s="1">
        <v>43070</v>
      </c>
      <c r="B324" t="s">
        <v>15</v>
      </c>
      <c r="C324" t="s">
        <v>8</v>
      </c>
    </row>
    <row r="325" spans="1:3" x14ac:dyDescent="0.25">
      <c r="A325" s="1">
        <v>43070</v>
      </c>
      <c r="B325" t="s">
        <v>22</v>
      </c>
      <c r="C325" t="s">
        <v>0</v>
      </c>
    </row>
    <row r="326" spans="1:3" x14ac:dyDescent="0.25">
      <c r="A326" s="1">
        <v>43070</v>
      </c>
      <c r="B326" t="s">
        <v>116</v>
      </c>
      <c r="C326" t="s">
        <v>21</v>
      </c>
    </row>
    <row r="327" spans="1:3" x14ac:dyDescent="0.25">
      <c r="A327" s="1">
        <v>43071</v>
      </c>
      <c r="B327" t="s">
        <v>10</v>
      </c>
      <c r="C327" t="s">
        <v>23</v>
      </c>
    </row>
    <row r="328" spans="1:3" x14ac:dyDescent="0.25">
      <c r="A328" s="1">
        <v>43071</v>
      </c>
      <c r="B328" t="s">
        <v>11</v>
      </c>
      <c r="C328" t="s">
        <v>14</v>
      </c>
    </row>
    <row r="329" spans="1:3" x14ac:dyDescent="0.25">
      <c r="A329" s="1">
        <v>43071</v>
      </c>
      <c r="B329" t="s">
        <v>28</v>
      </c>
      <c r="C329" t="s">
        <v>16</v>
      </c>
    </row>
    <row r="330" spans="1:3" x14ac:dyDescent="0.25">
      <c r="A330" s="1">
        <v>43071</v>
      </c>
      <c r="B330" t="s">
        <v>2</v>
      </c>
      <c r="C330" t="s">
        <v>29</v>
      </c>
    </row>
    <row r="331" spans="1:3" x14ac:dyDescent="0.25">
      <c r="A331" s="1">
        <v>43071</v>
      </c>
      <c r="B331" t="s">
        <v>20</v>
      </c>
      <c r="C331" t="s">
        <v>5</v>
      </c>
    </row>
    <row r="332" spans="1:3" x14ac:dyDescent="0.25">
      <c r="A332" s="1">
        <v>43071</v>
      </c>
      <c r="B332" t="s">
        <v>7</v>
      </c>
      <c r="C332" t="s">
        <v>25</v>
      </c>
    </row>
    <row r="333" spans="1:3" x14ac:dyDescent="0.25">
      <c r="A333" s="1">
        <v>43071</v>
      </c>
      <c r="B333" t="s">
        <v>9</v>
      </c>
      <c r="C333" t="s">
        <v>21</v>
      </c>
    </row>
    <row r="334" spans="1:3" x14ac:dyDescent="0.25">
      <c r="A334" s="1">
        <v>43071</v>
      </c>
      <c r="B334" t="s">
        <v>27</v>
      </c>
      <c r="C334" t="s">
        <v>0</v>
      </c>
    </row>
    <row r="335" spans="1:3" x14ac:dyDescent="0.25">
      <c r="A335" s="1">
        <v>43072</v>
      </c>
      <c r="B335" t="s">
        <v>5</v>
      </c>
      <c r="C335" t="s">
        <v>4</v>
      </c>
    </row>
    <row r="336" spans="1:3" x14ac:dyDescent="0.25">
      <c r="A336" s="1">
        <v>43072</v>
      </c>
      <c r="B336" t="s">
        <v>12</v>
      </c>
      <c r="C336" t="s">
        <v>24</v>
      </c>
    </row>
    <row r="337" spans="1:3" x14ac:dyDescent="0.25">
      <c r="A337" s="1">
        <v>43072</v>
      </c>
      <c r="B337" t="s">
        <v>17</v>
      </c>
      <c r="C337" t="s">
        <v>29</v>
      </c>
    </row>
    <row r="338" spans="1:3" x14ac:dyDescent="0.25">
      <c r="A338" s="1">
        <v>43072</v>
      </c>
      <c r="B338" t="s">
        <v>19</v>
      </c>
      <c r="C338" t="s">
        <v>1</v>
      </c>
    </row>
    <row r="339" spans="1:3" x14ac:dyDescent="0.25">
      <c r="A339" s="1">
        <v>43072</v>
      </c>
      <c r="B339" t="s">
        <v>26</v>
      </c>
      <c r="C339" t="s">
        <v>3</v>
      </c>
    </row>
    <row r="340" spans="1:3" x14ac:dyDescent="0.25">
      <c r="A340" s="1">
        <v>43073</v>
      </c>
      <c r="B340" t="s">
        <v>14</v>
      </c>
      <c r="C340" t="s">
        <v>11</v>
      </c>
    </row>
    <row r="341" spans="1:3" x14ac:dyDescent="0.25">
      <c r="A341" s="1">
        <v>43073</v>
      </c>
      <c r="B341" t="s">
        <v>10</v>
      </c>
      <c r="C341" t="s">
        <v>7</v>
      </c>
    </row>
    <row r="342" spans="1:3" x14ac:dyDescent="0.25">
      <c r="A342" s="1">
        <v>43073</v>
      </c>
      <c r="B342" t="s">
        <v>18</v>
      </c>
      <c r="C342" t="s">
        <v>28</v>
      </c>
    </row>
    <row r="343" spans="1:3" x14ac:dyDescent="0.25">
      <c r="A343" s="1">
        <v>43073</v>
      </c>
      <c r="B343" t="s">
        <v>6</v>
      </c>
      <c r="C343" t="s">
        <v>1</v>
      </c>
    </row>
    <row r="344" spans="1:3" x14ac:dyDescent="0.25">
      <c r="A344" s="1">
        <v>43073</v>
      </c>
      <c r="B344" t="s">
        <v>2</v>
      </c>
      <c r="C344" t="s">
        <v>20</v>
      </c>
    </row>
    <row r="345" spans="1:3" x14ac:dyDescent="0.25">
      <c r="A345" s="1">
        <v>43073</v>
      </c>
      <c r="B345" t="s">
        <v>8</v>
      </c>
      <c r="C345" t="s">
        <v>19</v>
      </c>
    </row>
    <row r="346" spans="1:3" x14ac:dyDescent="0.25">
      <c r="A346" s="1">
        <v>43073</v>
      </c>
      <c r="B346" t="s">
        <v>16</v>
      </c>
      <c r="C346" t="s">
        <v>17</v>
      </c>
    </row>
    <row r="347" spans="1:3" x14ac:dyDescent="0.25">
      <c r="A347" s="1">
        <v>43073</v>
      </c>
      <c r="B347" t="s">
        <v>0</v>
      </c>
      <c r="C347" t="s">
        <v>24</v>
      </c>
    </row>
    <row r="348" spans="1:3" x14ac:dyDescent="0.25">
      <c r="A348" s="1">
        <v>43073</v>
      </c>
      <c r="B348" t="s">
        <v>9</v>
      </c>
      <c r="C348" t="s">
        <v>23</v>
      </c>
    </row>
    <row r="349" spans="1:3" x14ac:dyDescent="0.25">
      <c r="A349" s="1">
        <v>43073</v>
      </c>
      <c r="B349" t="s">
        <v>3</v>
      </c>
      <c r="C349" t="s">
        <v>21</v>
      </c>
    </row>
    <row r="350" spans="1:3" x14ac:dyDescent="0.25">
      <c r="A350" s="1">
        <v>43073</v>
      </c>
      <c r="B350" t="s">
        <v>22</v>
      </c>
      <c r="C350" t="s">
        <v>116</v>
      </c>
    </row>
    <row r="351" spans="1:3" x14ac:dyDescent="0.25">
      <c r="A351" s="1">
        <v>43074</v>
      </c>
      <c r="B351" t="s">
        <v>26</v>
      </c>
      <c r="C351" t="s">
        <v>22</v>
      </c>
    </row>
    <row r="352" spans="1:3" x14ac:dyDescent="0.25">
      <c r="A352" s="1">
        <v>43074</v>
      </c>
      <c r="B352" t="s">
        <v>27</v>
      </c>
      <c r="C352" t="s">
        <v>116</v>
      </c>
    </row>
    <row r="353" spans="1:3" x14ac:dyDescent="0.25">
      <c r="A353" s="1">
        <v>43074</v>
      </c>
      <c r="B353" t="s">
        <v>15</v>
      </c>
      <c r="C353" t="s">
        <v>23</v>
      </c>
    </row>
    <row r="354" spans="1:3" x14ac:dyDescent="0.25">
      <c r="A354" s="1">
        <v>43075</v>
      </c>
      <c r="B354" t="s">
        <v>10</v>
      </c>
      <c r="C354" t="s">
        <v>2</v>
      </c>
    </row>
    <row r="355" spans="1:3" x14ac:dyDescent="0.25">
      <c r="A355" s="1">
        <v>43075</v>
      </c>
      <c r="B355" t="s">
        <v>6</v>
      </c>
      <c r="C355" t="s">
        <v>24</v>
      </c>
    </row>
    <row r="356" spans="1:3" x14ac:dyDescent="0.25">
      <c r="A356" s="1">
        <v>43075</v>
      </c>
      <c r="B356" t="s">
        <v>28</v>
      </c>
      <c r="C356" t="s">
        <v>25</v>
      </c>
    </row>
    <row r="357" spans="1:3" x14ac:dyDescent="0.25">
      <c r="A357" s="1">
        <v>43075</v>
      </c>
      <c r="B357" t="s">
        <v>8</v>
      </c>
      <c r="C357" t="s">
        <v>18</v>
      </c>
    </row>
    <row r="358" spans="1:3" x14ac:dyDescent="0.25">
      <c r="A358" s="1">
        <v>43075</v>
      </c>
      <c r="B358" t="s">
        <v>29</v>
      </c>
      <c r="C358" t="s">
        <v>17</v>
      </c>
    </row>
    <row r="359" spans="1:3" x14ac:dyDescent="0.25">
      <c r="A359" s="1">
        <v>43075</v>
      </c>
      <c r="B359" t="s">
        <v>7</v>
      </c>
      <c r="C359" t="s">
        <v>21</v>
      </c>
    </row>
    <row r="360" spans="1:3" x14ac:dyDescent="0.25">
      <c r="A360" s="1">
        <v>43075</v>
      </c>
      <c r="B360" t="s">
        <v>0</v>
      </c>
      <c r="C360" t="s">
        <v>20</v>
      </c>
    </row>
    <row r="361" spans="1:3" x14ac:dyDescent="0.25">
      <c r="A361" s="1">
        <v>43075</v>
      </c>
      <c r="B361" t="s">
        <v>19</v>
      </c>
      <c r="C361" t="s">
        <v>16</v>
      </c>
    </row>
    <row r="362" spans="1:3" x14ac:dyDescent="0.25">
      <c r="A362" s="1">
        <v>43075</v>
      </c>
      <c r="B362" t="s">
        <v>1</v>
      </c>
      <c r="C362" t="s">
        <v>14</v>
      </c>
    </row>
    <row r="363" spans="1:3" x14ac:dyDescent="0.25">
      <c r="A363" s="1">
        <v>43075</v>
      </c>
      <c r="B363" t="s">
        <v>3</v>
      </c>
      <c r="C363" t="s">
        <v>12</v>
      </c>
    </row>
    <row r="364" spans="1:3" x14ac:dyDescent="0.25">
      <c r="A364" s="1">
        <v>43076</v>
      </c>
      <c r="B364" t="s">
        <v>11</v>
      </c>
      <c r="C364" t="s">
        <v>26</v>
      </c>
    </row>
    <row r="365" spans="1:3" x14ac:dyDescent="0.25">
      <c r="A365" s="1">
        <v>43076</v>
      </c>
      <c r="B365" t="s">
        <v>9</v>
      </c>
      <c r="C365" t="s">
        <v>5</v>
      </c>
    </row>
    <row r="366" spans="1:3" x14ac:dyDescent="0.25">
      <c r="A366" s="1">
        <v>43076</v>
      </c>
      <c r="B366" t="s">
        <v>23</v>
      </c>
      <c r="C366" t="s">
        <v>116</v>
      </c>
    </row>
    <row r="367" spans="1:3" x14ac:dyDescent="0.25">
      <c r="A367" s="1">
        <v>43076</v>
      </c>
      <c r="B367" t="s">
        <v>22</v>
      </c>
      <c r="C367" t="s">
        <v>4</v>
      </c>
    </row>
    <row r="368" spans="1:3" x14ac:dyDescent="0.25">
      <c r="A368" s="1">
        <v>43077</v>
      </c>
      <c r="B368" t="s">
        <v>6</v>
      </c>
      <c r="C368" t="s">
        <v>18</v>
      </c>
    </row>
    <row r="369" spans="1:3" x14ac:dyDescent="0.25">
      <c r="A369" s="1">
        <v>43077</v>
      </c>
      <c r="B369" t="s">
        <v>21</v>
      </c>
      <c r="C369" t="s">
        <v>24</v>
      </c>
    </row>
    <row r="370" spans="1:3" x14ac:dyDescent="0.25">
      <c r="A370" s="1">
        <v>43077</v>
      </c>
      <c r="B370" t="s">
        <v>8</v>
      </c>
      <c r="C370" t="s">
        <v>28</v>
      </c>
    </row>
    <row r="371" spans="1:3" x14ac:dyDescent="0.25">
      <c r="A371" s="1">
        <v>43077</v>
      </c>
      <c r="B371" t="s">
        <v>16</v>
      </c>
      <c r="C371" t="s">
        <v>15</v>
      </c>
    </row>
    <row r="372" spans="1:3" x14ac:dyDescent="0.25">
      <c r="A372" s="1">
        <v>43077</v>
      </c>
      <c r="B372" t="s">
        <v>7</v>
      </c>
      <c r="C372" t="s">
        <v>2</v>
      </c>
    </row>
    <row r="373" spans="1:3" x14ac:dyDescent="0.25">
      <c r="A373" s="1">
        <v>43077</v>
      </c>
      <c r="B373" t="s">
        <v>0</v>
      </c>
      <c r="C373" t="s">
        <v>25</v>
      </c>
    </row>
    <row r="374" spans="1:3" x14ac:dyDescent="0.25">
      <c r="A374" s="1">
        <v>43077</v>
      </c>
      <c r="B374" t="s">
        <v>1</v>
      </c>
      <c r="C374" t="s">
        <v>20</v>
      </c>
    </row>
    <row r="375" spans="1:3" x14ac:dyDescent="0.25">
      <c r="A375" s="1">
        <v>43077</v>
      </c>
      <c r="B375" t="s">
        <v>3</v>
      </c>
      <c r="C375" t="s">
        <v>10</v>
      </c>
    </row>
    <row r="376" spans="1:3" x14ac:dyDescent="0.25">
      <c r="A376" s="1">
        <v>43078</v>
      </c>
      <c r="B376" t="s">
        <v>14</v>
      </c>
      <c r="C376" t="s">
        <v>1</v>
      </c>
    </row>
    <row r="377" spans="1:3" x14ac:dyDescent="0.25">
      <c r="A377" s="1">
        <v>43078</v>
      </c>
      <c r="B377" t="s">
        <v>11</v>
      </c>
      <c r="C377" t="s">
        <v>12</v>
      </c>
    </row>
    <row r="378" spans="1:3" x14ac:dyDescent="0.25">
      <c r="A378" s="1">
        <v>43078</v>
      </c>
      <c r="B378" t="s">
        <v>18</v>
      </c>
      <c r="C378" t="s">
        <v>19</v>
      </c>
    </row>
    <row r="379" spans="1:3" x14ac:dyDescent="0.25">
      <c r="A379" s="1">
        <v>43078</v>
      </c>
      <c r="B379" t="s">
        <v>6</v>
      </c>
      <c r="C379" t="s">
        <v>5</v>
      </c>
    </row>
    <row r="380" spans="1:3" x14ac:dyDescent="0.25">
      <c r="A380" s="1">
        <v>43078</v>
      </c>
      <c r="B380" t="s">
        <v>28</v>
      </c>
      <c r="C380" t="s">
        <v>9</v>
      </c>
    </row>
    <row r="381" spans="1:3" x14ac:dyDescent="0.25">
      <c r="A381" s="1">
        <v>43078</v>
      </c>
      <c r="B381" t="s">
        <v>29</v>
      </c>
      <c r="C381" t="s">
        <v>116</v>
      </c>
    </row>
    <row r="382" spans="1:3" x14ac:dyDescent="0.25">
      <c r="A382" s="1">
        <v>43078</v>
      </c>
      <c r="B382" t="s">
        <v>16</v>
      </c>
      <c r="C382" t="s">
        <v>26</v>
      </c>
    </row>
    <row r="383" spans="1:3" x14ac:dyDescent="0.25">
      <c r="A383" s="1">
        <v>43078</v>
      </c>
      <c r="B383" t="s">
        <v>7</v>
      </c>
      <c r="C383" t="s">
        <v>22</v>
      </c>
    </row>
    <row r="384" spans="1:3" x14ac:dyDescent="0.25">
      <c r="A384" s="1">
        <v>43078</v>
      </c>
      <c r="B384" t="s">
        <v>23</v>
      </c>
      <c r="C384" t="s">
        <v>3</v>
      </c>
    </row>
    <row r="385" spans="1:3" x14ac:dyDescent="0.25">
      <c r="A385" s="1">
        <v>43078</v>
      </c>
      <c r="B385" t="s">
        <v>27</v>
      </c>
      <c r="C385" t="s">
        <v>4</v>
      </c>
    </row>
    <row r="386" spans="1:3" x14ac:dyDescent="0.25">
      <c r="A386" s="1">
        <v>43079</v>
      </c>
      <c r="B386" t="s">
        <v>21</v>
      </c>
      <c r="C386" t="s">
        <v>10</v>
      </c>
    </row>
    <row r="387" spans="1:3" x14ac:dyDescent="0.25">
      <c r="A387" s="1">
        <v>43079</v>
      </c>
      <c r="B387" t="s">
        <v>8</v>
      </c>
      <c r="C387" t="s">
        <v>20</v>
      </c>
    </row>
    <row r="388" spans="1:3" x14ac:dyDescent="0.25">
      <c r="A388" s="1">
        <v>43079</v>
      </c>
      <c r="B388" t="s">
        <v>17</v>
      </c>
      <c r="C388" t="s">
        <v>2</v>
      </c>
    </row>
    <row r="389" spans="1:3" x14ac:dyDescent="0.25">
      <c r="A389" s="1">
        <v>43079</v>
      </c>
      <c r="B389" t="s">
        <v>0</v>
      </c>
      <c r="C389" t="s">
        <v>9</v>
      </c>
    </row>
    <row r="390" spans="1:3" x14ac:dyDescent="0.25">
      <c r="A390" s="1">
        <v>43079</v>
      </c>
      <c r="B390" t="s">
        <v>19</v>
      </c>
      <c r="C390" t="s">
        <v>14</v>
      </c>
    </row>
    <row r="391" spans="1:3" x14ac:dyDescent="0.25">
      <c r="A391" s="1">
        <v>43079</v>
      </c>
      <c r="B391" t="s">
        <v>25</v>
      </c>
      <c r="C391" t="s">
        <v>15</v>
      </c>
    </row>
    <row r="392" spans="1:3" x14ac:dyDescent="0.25">
      <c r="A392" s="1">
        <v>43080</v>
      </c>
      <c r="B392" t="s">
        <v>18</v>
      </c>
      <c r="C392" t="s">
        <v>10</v>
      </c>
    </row>
    <row r="393" spans="1:3" x14ac:dyDescent="0.25">
      <c r="A393" s="1">
        <v>43080</v>
      </c>
      <c r="B393" t="s">
        <v>24</v>
      </c>
      <c r="C393" t="s">
        <v>27</v>
      </c>
    </row>
    <row r="394" spans="1:3" x14ac:dyDescent="0.25">
      <c r="A394" s="1">
        <v>43080</v>
      </c>
      <c r="B394" t="s">
        <v>4</v>
      </c>
      <c r="C394" t="s">
        <v>0</v>
      </c>
    </row>
    <row r="395" spans="1:3" x14ac:dyDescent="0.25">
      <c r="A395" s="1">
        <v>43080</v>
      </c>
      <c r="B395" t="s">
        <v>29</v>
      </c>
      <c r="C395" t="s">
        <v>15</v>
      </c>
    </row>
    <row r="396" spans="1:3" x14ac:dyDescent="0.25">
      <c r="A396" s="1">
        <v>43080</v>
      </c>
      <c r="B396" t="s">
        <v>16</v>
      </c>
      <c r="C396" t="s">
        <v>12</v>
      </c>
    </row>
    <row r="397" spans="1:3" x14ac:dyDescent="0.25">
      <c r="A397" s="1">
        <v>43080</v>
      </c>
      <c r="B397" t="s">
        <v>26</v>
      </c>
      <c r="C397" t="s">
        <v>6</v>
      </c>
    </row>
    <row r="398" spans="1:3" x14ac:dyDescent="0.25">
      <c r="A398" s="1">
        <v>43081</v>
      </c>
      <c r="B398" t="s">
        <v>11</v>
      </c>
      <c r="C398" t="s">
        <v>116</v>
      </c>
    </row>
    <row r="399" spans="1:3" x14ac:dyDescent="0.25">
      <c r="A399" s="1">
        <v>43081</v>
      </c>
      <c r="B399" t="s">
        <v>28</v>
      </c>
      <c r="C399" t="s">
        <v>14</v>
      </c>
    </row>
    <row r="400" spans="1:3" x14ac:dyDescent="0.25">
      <c r="A400" s="1">
        <v>43081</v>
      </c>
      <c r="B400" t="s">
        <v>2</v>
      </c>
      <c r="C400" t="s">
        <v>3</v>
      </c>
    </row>
    <row r="401" spans="1:3" x14ac:dyDescent="0.25">
      <c r="A401" s="1">
        <v>43081</v>
      </c>
      <c r="B401" t="s">
        <v>21</v>
      </c>
      <c r="C401" t="s">
        <v>20</v>
      </c>
    </row>
    <row r="402" spans="1:3" x14ac:dyDescent="0.25">
      <c r="A402" s="1">
        <v>43081</v>
      </c>
      <c r="B402" t="s">
        <v>17</v>
      </c>
      <c r="C402" t="s">
        <v>9</v>
      </c>
    </row>
    <row r="403" spans="1:3" x14ac:dyDescent="0.25">
      <c r="A403" s="1">
        <v>43081</v>
      </c>
      <c r="B403" t="s">
        <v>19</v>
      </c>
      <c r="C403" t="s">
        <v>5</v>
      </c>
    </row>
    <row r="404" spans="1:3" x14ac:dyDescent="0.25">
      <c r="A404" s="1">
        <v>43081</v>
      </c>
      <c r="B404" t="s">
        <v>25</v>
      </c>
      <c r="C404" t="s">
        <v>23</v>
      </c>
    </row>
    <row r="405" spans="1:3" x14ac:dyDescent="0.25">
      <c r="A405" s="1">
        <v>43082</v>
      </c>
      <c r="B405" t="s">
        <v>10</v>
      </c>
      <c r="C405" t="s">
        <v>20</v>
      </c>
    </row>
    <row r="406" spans="1:3" x14ac:dyDescent="0.25">
      <c r="A406" s="1">
        <v>43082</v>
      </c>
      <c r="B406" t="s">
        <v>18</v>
      </c>
      <c r="C406" t="s">
        <v>22</v>
      </c>
    </row>
    <row r="407" spans="1:3" x14ac:dyDescent="0.25">
      <c r="A407" s="1">
        <v>43082</v>
      </c>
      <c r="B407" t="s">
        <v>4</v>
      </c>
      <c r="C407" t="s">
        <v>6</v>
      </c>
    </row>
    <row r="408" spans="1:3" x14ac:dyDescent="0.25">
      <c r="A408" s="1">
        <v>43082</v>
      </c>
      <c r="B408" t="s">
        <v>8</v>
      </c>
      <c r="C408" t="s">
        <v>26</v>
      </c>
    </row>
    <row r="409" spans="1:3" x14ac:dyDescent="0.25">
      <c r="A409" s="1">
        <v>43082</v>
      </c>
      <c r="B409" t="s">
        <v>12</v>
      </c>
      <c r="C409" t="s">
        <v>27</v>
      </c>
    </row>
    <row r="410" spans="1:3" x14ac:dyDescent="0.25">
      <c r="A410" s="1">
        <v>43082</v>
      </c>
      <c r="B410" t="s">
        <v>0</v>
      </c>
      <c r="C410" t="s">
        <v>7</v>
      </c>
    </row>
    <row r="411" spans="1:3" x14ac:dyDescent="0.25">
      <c r="A411" s="1">
        <v>43082</v>
      </c>
      <c r="B411" t="s">
        <v>1</v>
      </c>
      <c r="C411" t="s">
        <v>29</v>
      </c>
    </row>
    <row r="412" spans="1:3" x14ac:dyDescent="0.25">
      <c r="A412" s="1">
        <v>43082</v>
      </c>
      <c r="B412" t="s">
        <v>23</v>
      </c>
      <c r="C412" t="s">
        <v>15</v>
      </c>
    </row>
    <row r="413" spans="1:3" x14ac:dyDescent="0.25">
      <c r="A413" s="1">
        <v>43082</v>
      </c>
      <c r="B413" t="s">
        <v>116</v>
      </c>
      <c r="C413" t="s">
        <v>16</v>
      </c>
    </row>
    <row r="414" spans="1:3" x14ac:dyDescent="0.25">
      <c r="A414" s="1">
        <v>43083</v>
      </c>
      <c r="B414" t="s">
        <v>14</v>
      </c>
      <c r="C414" t="s">
        <v>21</v>
      </c>
    </row>
    <row r="415" spans="1:3" x14ac:dyDescent="0.25">
      <c r="A415" s="1">
        <v>43083</v>
      </c>
      <c r="B415" t="s">
        <v>11</v>
      </c>
      <c r="C415" t="s">
        <v>19</v>
      </c>
    </row>
    <row r="416" spans="1:3" x14ac:dyDescent="0.25">
      <c r="A416" s="1">
        <v>43083</v>
      </c>
      <c r="B416" t="s">
        <v>28</v>
      </c>
      <c r="C416" t="s">
        <v>5</v>
      </c>
    </row>
    <row r="417" spans="1:3" x14ac:dyDescent="0.25">
      <c r="A417" s="1">
        <v>43083</v>
      </c>
      <c r="B417" t="s">
        <v>24</v>
      </c>
      <c r="C417" t="s">
        <v>2</v>
      </c>
    </row>
    <row r="418" spans="1:3" x14ac:dyDescent="0.25">
      <c r="A418" s="1">
        <v>43083</v>
      </c>
      <c r="B418" t="s">
        <v>17</v>
      </c>
      <c r="C418" t="s">
        <v>25</v>
      </c>
    </row>
    <row r="419" spans="1:3" x14ac:dyDescent="0.25">
      <c r="A419" s="1">
        <v>43084</v>
      </c>
      <c r="B419" t="s">
        <v>10</v>
      </c>
      <c r="C419" t="s">
        <v>22</v>
      </c>
    </row>
    <row r="420" spans="1:3" x14ac:dyDescent="0.25">
      <c r="A420" s="1">
        <v>43084</v>
      </c>
      <c r="B420" t="s">
        <v>6</v>
      </c>
      <c r="C420" t="s">
        <v>12</v>
      </c>
    </row>
    <row r="421" spans="1:3" x14ac:dyDescent="0.25">
      <c r="A421" s="1">
        <v>43084</v>
      </c>
      <c r="B421" t="s">
        <v>20</v>
      </c>
      <c r="C421" t="s">
        <v>0</v>
      </c>
    </row>
    <row r="422" spans="1:3" x14ac:dyDescent="0.25">
      <c r="A422" s="1">
        <v>43084</v>
      </c>
      <c r="B422" t="s">
        <v>4</v>
      </c>
      <c r="C422" t="s">
        <v>3</v>
      </c>
    </row>
    <row r="423" spans="1:3" x14ac:dyDescent="0.25">
      <c r="A423" s="1">
        <v>43084</v>
      </c>
      <c r="B423" t="s">
        <v>8</v>
      </c>
      <c r="C423" t="s">
        <v>21</v>
      </c>
    </row>
    <row r="424" spans="1:3" x14ac:dyDescent="0.25">
      <c r="A424" s="1">
        <v>43084</v>
      </c>
      <c r="B424" t="s">
        <v>16</v>
      </c>
      <c r="C424" t="s">
        <v>14</v>
      </c>
    </row>
    <row r="425" spans="1:3" x14ac:dyDescent="0.25">
      <c r="A425" s="1">
        <v>43084</v>
      </c>
      <c r="B425" t="s">
        <v>7</v>
      </c>
      <c r="C425" t="s">
        <v>18</v>
      </c>
    </row>
    <row r="426" spans="1:3" x14ac:dyDescent="0.25">
      <c r="A426" s="1">
        <v>43084</v>
      </c>
      <c r="B426" t="s">
        <v>1</v>
      </c>
      <c r="C426" t="s">
        <v>27</v>
      </c>
    </row>
    <row r="427" spans="1:3" x14ac:dyDescent="0.25">
      <c r="A427" s="1">
        <v>43084</v>
      </c>
      <c r="B427" t="s">
        <v>9</v>
      </c>
      <c r="C427" t="s">
        <v>26</v>
      </c>
    </row>
    <row r="428" spans="1:3" x14ac:dyDescent="0.25">
      <c r="A428" s="1">
        <v>43084</v>
      </c>
      <c r="B428" t="s">
        <v>15</v>
      </c>
      <c r="C428" t="s">
        <v>11</v>
      </c>
    </row>
    <row r="429" spans="1:3" x14ac:dyDescent="0.25">
      <c r="A429" s="1">
        <v>43084</v>
      </c>
      <c r="B429" t="s">
        <v>116</v>
      </c>
      <c r="C429" t="s">
        <v>29</v>
      </c>
    </row>
    <row r="430" spans="1:3" x14ac:dyDescent="0.25">
      <c r="A430" s="1">
        <v>43085</v>
      </c>
      <c r="B430" t="s">
        <v>6</v>
      </c>
      <c r="C430" t="s">
        <v>27</v>
      </c>
    </row>
    <row r="431" spans="1:3" x14ac:dyDescent="0.25">
      <c r="A431" s="1">
        <v>43085</v>
      </c>
      <c r="B431" t="s">
        <v>28</v>
      </c>
      <c r="C431" t="s">
        <v>22</v>
      </c>
    </row>
    <row r="432" spans="1:3" x14ac:dyDescent="0.25">
      <c r="A432" s="1">
        <v>43085</v>
      </c>
      <c r="B432" t="s">
        <v>4</v>
      </c>
      <c r="C432" t="s">
        <v>7</v>
      </c>
    </row>
    <row r="433" spans="1:3" x14ac:dyDescent="0.25">
      <c r="A433" s="1">
        <v>43085</v>
      </c>
      <c r="B433" t="s">
        <v>16</v>
      </c>
      <c r="C433" t="s">
        <v>10</v>
      </c>
    </row>
    <row r="434" spans="1:3" x14ac:dyDescent="0.25">
      <c r="A434" s="1">
        <v>43085</v>
      </c>
      <c r="B434" t="s">
        <v>12</v>
      </c>
      <c r="C434" t="s">
        <v>29</v>
      </c>
    </row>
    <row r="435" spans="1:3" x14ac:dyDescent="0.25">
      <c r="A435" s="1">
        <v>43085</v>
      </c>
      <c r="B435" t="s">
        <v>17</v>
      </c>
      <c r="C435" t="s">
        <v>23</v>
      </c>
    </row>
    <row r="436" spans="1:3" x14ac:dyDescent="0.25">
      <c r="A436" s="1">
        <v>43085</v>
      </c>
      <c r="B436" t="s">
        <v>19</v>
      </c>
      <c r="C436" t="s">
        <v>26</v>
      </c>
    </row>
    <row r="437" spans="1:3" x14ac:dyDescent="0.25">
      <c r="A437" s="1">
        <v>43085</v>
      </c>
      <c r="B437" t="s">
        <v>3</v>
      </c>
      <c r="C437" t="s">
        <v>2</v>
      </c>
    </row>
    <row r="438" spans="1:3" x14ac:dyDescent="0.25">
      <c r="A438" s="1">
        <v>43086</v>
      </c>
      <c r="B438" t="s">
        <v>11</v>
      </c>
      <c r="C438" t="s">
        <v>8</v>
      </c>
    </row>
    <row r="439" spans="1:3" x14ac:dyDescent="0.25">
      <c r="A439" s="1">
        <v>43086</v>
      </c>
      <c r="B439" t="s">
        <v>21</v>
      </c>
      <c r="C439" t="s">
        <v>1</v>
      </c>
    </row>
    <row r="440" spans="1:3" x14ac:dyDescent="0.25">
      <c r="A440" s="1">
        <v>43086</v>
      </c>
      <c r="B440" t="s">
        <v>15</v>
      </c>
      <c r="C440" t="s">
        <v>25</v>
      </c>
    </row>
    <row r="441" spans="1:3" x14ac:dyDescent="0.25">
      <c r="A441" s="1">
        <v>43086</v>
      </c>
      <c r="B441" t="s">
        <v>116</v>
      </c>
      <c r="C441" t="s">
        <v>28</v>
      </c>
    </row>
    <row r="442" spans="1:3" x14ac:dyDescent="0.25">
      <c r="A442" s="1">
        <v>43087</v>
      </c>
      <c r="B442" t="s">
        <v>14</v>
      </c>
      <c r="C442" t="s">
        <v>12</v>
      </c>
    </row>
    <row r="443" spans="1:3" x14ac:dyDescent="0.25">
      <c r="A443" s="1">
        <v>43087</v>
      </c>
      <c r="B443" t="s">
        <v>18</v>
      </c>
      <c r="C443" t="s">
        <v>9</v>
      </c>
    </row>
    <row r="444" spans="1:3" x14ac:dyDescent="0.25">
      <c r="A444" s="1">
        <v>43087</v>
      </c>
      <c r="B444" t="s">
        <v>6</v>
      </c>
      <c r="C444" t="s">
        <v>19</v>
      </c>
    </row>
    <row r="445" spans="1:3" x14ac:dyDescent="0.25">
      <c r="A445" s="1">
        <v>43087</v>
      </c>
      <c r="B445" t="s">
        <v>2</v>
      </c>
      <c r="C445" t="s">
        <v>23</v>
      </c>
    </row>
    <row r="446" spans="1:3" x14ac:dyDescent="0.25">
      <c r="A446" s="1">
        <v>43087</v>
      </c>
      <c r="B446" t="s">
        <v>4</v>
      </c>
      <c r="C446" t="s">
        <v>22</v>
      </c>
    </row>
    <row r="447" spans="1:3" x14ac:dyDescent="0.25">
      <c r="A447" s="1">
        <v>43087</v>
      </c>
      <c r="B447" t="s">
        <v>8</v>
      </c>
      <c r="C447" t="s">
        <v>10</v>
      </c>
    </row>
    <row r="448" spans="1:3" x14ac:dyDescent="0.25">
      <c r="A448" s="1">
        <v>43087</v>
      </c>
      <c r="B448" t="s">
        <v>5</v>
      </c>
      <c r="C448" t="s">
        <v>24</v>
      </c>
    </row>
    <row r="449" spans="1:3" x14ac:dyDescent="0.25">
      <c r="A449" s="1">
        <v>43087</v>
      </c>
      <c r="B449" t="s">
        <v>17</v>
      </c>
      <c r="C449" t="s">
        <v>27</v>
      </c>
    </row>
    <row r="450" spans="1:3" x14ac:dyDescent="0.25">
      <c r="A450" s="1">
        <v>43087</v>
      </c>
      <c r="B450" t="s">
        <v>26</v>
      </c>
      <c r="C450" t="s">
        <v>20</v>
      </c>
    </row>
    <row r="451" spans="1:3" x14ac:dyDescent="0.25">
      <c r="A451" s="1">
        <v>43087</v>
      </c>
      <c r="B451" t="s">
        <v>3</v>
      </c>
      <c r="C451" t="s">
        <v>29</v>
      </c>
    </row>
    <row r="452" spans="1:3" x14ac:dyDescent="0.25">
      <c r="A452" s="1">
        <v>43088</v>
      </c>
      <c r="B452" t="s">
        <v>7</v>
      </c>
      <c r="C452" t="s">
        <v>28</v>
      </c>
    </row>
    <row r="453" spans="1:3" x14ac:dyDescent="0.25">
      <c r="A453" s="1">
        <v>43088</v>
      </c>
      <c r="B453" t="s">
        <v>9</v>
      </c>
      <c r="C453" t="s">
        <v>25</v>
      </c>
    </row>
    <row r="454" spans="1:3" x14ac:dyDescent="0.25">
      <c r="A454" s="1">
        <v>43088</v>
      </c>
      <c r="B454" t="s">
        <v>116</v>
      </c>
      <c r="C454" t="s">
        <v>0</v>
      </c>
    </row>
    <row r="455" spans="1:3" x14ac:dyDescent="0.25">
      <c r="A455" s="1">
        <v>43089</v>
      </c>
      <c r="B455" t="s">
        <v>14</v>
      </c>
      <c r="C455" t="s">
        <v>8</v>
      </c>
    </row>
    <row r="456" spans="1:3" x14ac:dyDescent="0.25">
      <c r="A456" s="1">
        <v>43089</v>
      </c>
      <c r="B456" t="s">
        <v>10</v>
      </c>
      <c r="C456" t="s">
        <v>12</v>
      </c>
    </row>
    <row r="457" spans="1:3" x14ac:dyDescent="0.25">
      <c r="A457" s="1">
        <v>43089</v>
      </c>
      <c r="B457" t="s">
        <v>11</v>
      </c>
      <c r="C457" t="s">
        <v>25</v>
      </c>
    </row>
    <row r="458" spans="1:3" x14ac:dyDescent="0.25">
      <c r="A458" s="1">
        <v>43089</v>
      </c>
      <c r="B458" t="s">
        <v>18</v>
      </c>
      <c r="C458" t="s">
        <v>1</v>
      </c>
    </row>
    <row r="459" spans="1:3" x14ac:dyDescent="0.25">
      <c r="A459" s="1">
        <v>43089</v>
      </c>
      <c r="B459" t="s">
        <v>6</v>
      </c>
      <c r="C459" t="s">
        <v>15</v>
      </c>
    </row>
    <row r="460" spans="1:3" x14ac:dyDescent="0.25">
      <c r="A460" s="1">
        <v>43089</v>
      </c>
      <c r="B460" t="s">
        <v>2</v>
      </c>
      <c r="C460" t="s">
        <v>21</v>
      </c>
    </row>
    <row r="461" spans="1:3" x14ac:dyDescent="0.25">
      <c r="A461" s="1">
        <v>43089</v>
      </c>
      <c r="B461" t="s">
        <v>20</v>
      </c>
      <c r="C461" t="s">
        <v>17</v>
      </c>
    </row>
    <row r="462" spans="1:3" x14ac:dyDescent="0.25">
      <c r="A462" s="1">
        <v>43089</v>
      </c>
      <c r="B462" t="s">
        <v>24</v>
      </c>
      <c r="C462" t="s">
        <v>16</v>
      </c>
    </row>
    <row r="463" spans="1:3" x14ac:dyDescent="0.25">
      <c r="A463" s="1">
        <v>43089</v>
      </c>
      <c r="B463" t="s">
        <v>4</v>
      </c>
      <c r="C463" t="s">
        <v>5</v>
      </c>
    </row>
    <row r="464" spans="1:3" x14ac:dyDescent="0.25">
      <c r="A464" s="1">
        <v>43089</v>
      </c>
      <c r="B464" t="s">
        <v>29</v>
      </c>
      <c r="C464" t="s">
        <v>23</v>
      </c>
    </row>
    <row r="465" spans="1:3" x14ac:dyDescent="0.25">
      <c r="A465" s="1">
        <v>43089</v>
      </c>
      <c r="B465" t="s">
        <v>26</v>
      </c>
      <c r="C465" t="s">
        <v>22</v>
      </c>
    </row>
    <row r="466" spans="1:3" x14ac:dyDescent="0.25">
      <c r="A466" s="1">
        <v>43089</v>
      </c>
      <c r="B466" t="s">
        <v>27</v>
      </c>
      <c r="C466" t="s">
        <v>3</v>
      </c>
    </row>
    <row r="467" spans="1:3" x14ac:dyDescent="0.25">
      <c r="A467" s="1">
        <v>43090</v>
      </c>
      <c r="B467" t="s">
        <v>28</v>
      </c>
      <c r="C467" t="s">
        <v>18</v>
      </c>
    </row>
    <row r="468" spans="1:3" x14ac:dyDescent="0.25">
      <c r="A468" s="1">
        <v>43090</v>
      </c>
      <c r="B468" t="s">
        <v>19</v>
      </c>
      <c r="C468" t="s">
        <v>10</v>
      </c>
    </row>
    <row r="469" spans="1:3" x14ac:dyDescent="0.25">
      <c r="A469" s="1">
        <v>43090</v>
      </c>
      <c r="B469" t="s">
        <v>9</v>
      </c>
      <c r="C469" t="s">
        <v>15</v>
      </c>
    </row>
    <row r="470" spans="1:3" x14ac:dyDescent="0.25">
      <c r="A470" s="1">
        <v>43090</v>
      </c>
      <c r="B470" t="s">
        <v>23</v>
      </c>
      <c r="C470" t="s">
        <v>16</v>
      </c>
    </row>
    <row r="471" spans="1:3" x14ac:dyDescent="0.25">
      <c r="A471" s="1">
        <v>43090</v>
      </c>
      <c r="B471" t="s">
        <v>22</v>
      </c>
      <c r="C471" t="s">
        <v>3</v>
      </c>
    </row>
    <row r="472" spans="1:3" x14ac:dyDescent="0.25">
      <c r="A472" s="1">
        <v>43091</v>
      </c>
      <c r="B472" t="s">
        <v>11</v>
      </c>
      <c r="C472" t="s">
        <v>116</v>
      </c>
    </row>
    <row r="473" spans="1:3" x14ac:dyDescent="0.25">
      <c r="A473" s="1">
        <v>43091</v>
      </c>
      <c r="B473" t="s">
        <v>21</v>
      </c>
      <c r="C473" t="s">
        <v>19</v>
      </c>
    </row>
    <row r="474" spans="1:3" x14ac:dyDescent="0.25">
      <c r="A474" s="1">
        <v>43091</v>
      </c>
      <c r="B474" t="s">
        <v>24</v>
      </c>
      <c r="C474" t="s">
        <v>5</v>
      </c>
    </row>
    <row r="475" spans="1:3" x14ac:dyDescent="0.25">
      <c r="A475" s="1">
        <v>43091</v>
      </c>
      <c r="B475" t="s">
        <v>4</v>
      </c>
      <c r="C475" t="s">
        <v>29</v>
      </c>
    </row>
    <row r="476" spans="1:3" x14ac:dyDescent="0.25">
      <c r="A476" s="1">
        <v>43091</v>
      </c>
      <c r="B476" t="s">
        <v>12</v>
      </c>
      <c r="C476" t="s">
        <v>2</v>
      </c>
    </row>
    <row r="477" spans="1:3" x14ac:dyDescent="0.25">
      <c r="A477" s="1">
        <v>43091</v>
      </c>
      <c r="B477" t="s">
        <v>7</v>
      </c>
      <c r="C477" t="s">
        <v>6</v>
      </c>
    </row>
    <row r="478" spans="1:3" x14ac:dyDescent="0.25">
      <c r="A478" s="1">
        <v>43091</v>
      </c>
      <c r="B478" t="s">
        <v>26</v>
      </c>
      <c r="C478" t="s">
        <v>14</v>
      </c>
    </row>
    <row r="479" spans="1:3" x14ac:dyDescent="0.25">
      <c r="A479" s="1">
        <v>43091</v>
      </c>
      <c r="B479" t="s">
        <v>1</v>
      </c>
      <c r="C479" t="s">
        <v>0</v>
      </c>
    </row>
    <row r="480" spans="1:3" x14ac:dyDescent="0.25">
      <c r="A480" s="1">
        <v>43091</v>
      </c>
      <c r="B480" t="s">
        <v>27</v>
      </c>
      <c r="C480" t="s">
        <v>20</v>
      </c>
    </row>
    <row r="481" spans="1:3" x14ac:dyDescent="0.25">
      <c r="A481" s="1">
        <v>43092</v>
      </c>
      <c r="B481" t="s">
        <v>14</v>
      </c>
      <c r="C481" t="s">
        <v>2</v>
      </c>
    </row>
    <row r="482" spans="1:3" x14ac:dyDescent="0.25">
      <c r="A482" s="1">
        <v>43092</v>
      </c>
      <c r="B482" t="s">
        <v>10</v>
      </c>
      <c r="C482" t="s">
        <v>18</v>
      </c>
    </row>
    <row r="483" spans="1:3" x14ac:dyDescent="0.25">
      <c r="A483" s="1">
        <v>43092</v>
      </c>
      <c r="B483" t="s">
        <v>6</v>
      </c>
      <c r="C483" t="s">
        <v>7</v>
      </c>
    </row>
    <row r="484" spans="1:3" x14ac:dyDescent="0.25">
      <c r="A484" s="1">
        <v>43092</v>
      </c>
      <c r="B484" t="s">
        <v>24</v>
      </c>
      <c r="C484" t="s">
        <v>20</v>
      </c>
    </row>
    <row r="485" spans="1:3" x14ac:dyDescent="0.25">
      <c r="A485" s="1">
        <v>43092</v>
      </c>
      <c r="B485" t="s">
        <v>8</v>
      </c>
      <c r="C485" t="s">
        <v>11</v>
      </c>
    </row>
    <row r="486" spans="1:3" x14ac:dyDescent="0.25">
      <c r="A486" s="1">
        <v>43092</v>
      </c>
      <c r="B486" t="s">
        <v>5</v>
      </c>
      <c r="C486" t="s">
        <v>27</v>
      </c>
    </row>
    <row r="487" spans="1:3" x14ac:dyDescent="0.25">
      <c r="A487" s="1">
        <v>43092</v>
      </c>
      <c r="B487" t="s">
        <v>16</v>
      </c>
      <c r="C487" t="s">
        <v>29</v>
      </c>
    </row>
    <row r="488" spans="1:3" x14ac:dyDescent="0.25">
      <c r="A488" s="1">
        <v>43092</v>
      </c>
      <c r="B488" t="s">
        <v>12</v>
      </c>
      <c r="C488" t="s">
        <v>0</v>
      </c>
    </row>
    <row r="489" spans="1:3" x14ac:dyDescent="0.25">
      <c r="A489" s="1">
        <v>43092</v>
      </c>
      <c r="B489" t="s">
        <v>23</v>
      </c>
      <c r="C489" t="s">
        <v>17</v>
      </c>
    </row>
    <row r="490" spans="1:3" x14ac:dyDescent="0.25">
      <c r="A490" s="1">
        <v>43092</v>
      </c>
      <c r="B490" t="s">
        <v>25</v>
      </c>
      <c r="C490" t="s">
        <v>3</v>
      </c>
    </row>
    <row r="491" spans="1:3" x14ac:dyDescent="0.25">
      <c r="A491" s="1">
        <v>43092</v>
      </c>
      <c r="B491" t="s">
        <v>15</v>
      </c>
      <c r="C491" t="s">
        <v>9</v>
      </c>
    </row>
    <row r="492" spans="1:3" x14ac:dyDescent="0.25">
      <c r="A492" s="1">
        <v>43092</v>
      </c>
      <c r="B492" t="s">
        <v>22</v>
      </c>
      <c r="C492" t="s">
        <v>26</v>
      </c>
    </row>
    <row r="493" spans="1:3" x14ac:dyDescent="0.25">
      <c r="A493" s="1">
        <v>43092</v>
      </c>
      <c r="B493" t="s">
        <v>116</v>
      </c>
      <c r="C493" t="s">
        <v>1</v>
      </c>
    </row>
    <row r="494" spans="1:3" x14ac:dyDescent="0.25">
      <c r="A494" s="1">
        <v>43094</v>
      </c>
      <c r="B494" t="s">
        <v>10</v>
      </c>
      <c r="C494" t="s">
        <v>116</v>
      </c>
    </row>
    <row r="495" spans="1:3" x14ac:dyDescent="0.25">
      <c r="A495" s="1">
        <v>43094</v>
      </c>
      <c r="B495" t="s">
        <v>24</v>
      </c>
      <c r="C495" t="s">
        <v>28</v>
      </c>
    </row>
    <row r="496" spans="1:3" x14ac:dyDescent="0.25">
      <c r="A496" s="1">
        <v>43094</v>
      </c>
      <c r="B496" t="s">
        <v>5</v>
      </c>
      <c r="C496" t="s">
        <v>17</v>
      </c>
    </row>
    <row r="497" spans="1:3" x14ac:dyDescent="0.25">
      <c r="A497" s="1">
        <v>43094</v>
      </c>
      <c r="B497" t="s">
        <v>19</v>
      </c>
      <c r="C497" t="s">
        <v>9</v>
      </c>
    </row>
    <row r="498" spans="1:3" x14ac:dyDescent="0.25">
      <c r="A498" s="1">
        <v>43094</v>
      </c>
      <c r="B498" t="s">
        <v>26</v>
      </c>
      <c r="C498" t="s">
        <v>4</v>
      </c>
    </row>
    <row r="499" spans="1:3" x14ac:dyDescent="0.25">
      <c r="A499" s="1">
        <v>43095</v>
      </c>
      <c r="B499" t="s">
        <v>2</v>
      </c>
      <c r="C499" t="s">
        <v>15</v>
      </c>
    </row>
    <row r="500" spans="1:3" x14ac:dyDescent="0.25">
      <c r="A500" s="1">
        <v>43095</v>
      </c>
      <c r="B500" t="s">
        <v>20</v>
      </c>
      <c r="C500" t="s">
        <v>22</v>
      </c>
    </row>
    <row r="501" spans="1:3" x14ac:dyDescent="0.25">
      <c r="A501" s="1">
        <v>43095</v>
      </c>
      <c r="B501" t="s">
        <v>21</v>
      </c>
      <c r="C501" t="s">
        <v>8</v>
      </c>
    </row>
    <row r="502" spans="1:3" x14ac:dyDescent="0.25">
      <c r="A502" s="1">
        <v>43095</v>
      </c>
      <c r="B502" t="s">
        <v>29</v>
      </c>
      <c r="C502" t="s">
        <v>25</v>
      </c>
    </row>
    <row r="503" spans="1:3" x14ac:dyDescent="0.25">
      <c r="A503" s="1">
        <v>43095</v>
      </c>
      <c r="B503" t="s">
        <v>12</v>
      </c>
      <c r="C503" t="s">
        <v>1</v>
      </c>
    </row>
    <row r="504" spans="1:3" x14ac:dyDescent="0.25">
      <c r="A504" s="1">
        <v>43095</v>
      </c>
      <c r="B504" t="s">
        <v>7</v>
      </c>
      <c r="C504" t="s">
        <v>18</v>
      </c>
    </row>
    <row r="505" spans="1:3" x14ac:dyDescent="0.25">
      <c r="A505" s="1">
        <v>43095</v>
      </c>
      <c r="B505" t="s">
        <v>23</v>
      </c>
      <c r="C505" t="s">
        <v>16</v>
      </c>
    </row>
    <row r="506" spans="1:3" x14ac:dyDescent="0.25">
      <c r="A506" s="1">
        <v>43095</v>
      </c>
      <c r="B506" t="s">
        <v>3</v>
      </c>
      <c r="C506" t="s">
        <v>11</v>
      </c>
    </row>
    <row r="507" spans="1:3" x14ac:dyDescent="0.25">
      <c r="A507" s="1">
        <v>43096</v>
      </c>
      <c r="B507" t="s">
        <v>14</v>
      </c>
      <c r="C507" t="s">
        <v>116</v>
      </c>
    </row>
    <row r="508" spans="1:3" x14ac:dyDescent="0.25">
      <c r="A508" s="1">
        <v>43096</v>
      </c>
      <c r="B508" t="s">
        <v>18</v>
      </c>
      <c r="C508" t="s">
        <v>19</v>
      </c>
    </row>
    <row r="509" spans="1:3" x14ac:dyDescent="0.25">
      <c r="A509" s="1">
        <v>43096</v>
      </c>
      <c r="B509" t="s">
        <v>6</v>
      </c>
      <c r="C509" t="s">
        <v>10</v>
      </c>
    </row>
    <row r="510" spans="1:3" x14ac:dyDescent="0.25">
      <c r="A510" s="1">
        <v>43096</v>
      </c>
      <c r="B510" t="s">
        <v>24</v>
      </c>
      <c r="C510" t="s">
        <v>22</v>
      </c>
    </row>
    <row r="511" spans="1:3" x14ac:dyDescent="0.25">
      <c r="A511" s="1">
        <v>43096</v>
      </c>
      <c r="B511" t="s">
        <v>8</v>
      </c>
      <c r="C511" t="s">
        <v>2</v>
      </c>
    </row>
    <row r="512" spans="1:3" x14ac:dyDescent="0.25">
      <c r="A512" s="1">
        <v>43096</v>
      </c>
      <c r="B512" t="s">
        <v>5</v>
      </c>
      <c r="C512" t="s">
        <v>16</v>
      </c>
    </row>
    <row r="513" spans="1:3" x14ac:dyDescent="0.25">
      <c r="A513" s="1">
        <v>43096</v>
      </c>
      <c r="B513" t="s">
        <v>17</v>
      </c>
      <c r="C513" t="s">
        <v>20</v>
      </c>
    </row>
    <row r="514" spans="1:3" x14ac:dyDescent="0.25">
      <c r="A514" s="1">
        <v>43096</v>
      </c>
      <c r="B514" t="s">
        <v>0</v>
      </c>
      <c r="C514" t="s">
        <v>11</v>
      </c>
    </row>
    <row r="515" spans="1:3" x14ac:dyDescent="0.25">
      <c r="A515" s="1">
        <v>43096</v>
      </c>
      <c r="B515" t="s">
        <v>26</v>
      </c>
      <c r="C515" t="s">
        <v>15</v>
      </c>
    </row>
    <row r="516" spans="1:3" x14ac:dyDescent="0.25">
      <c r="A516" s="1">
        <v>43096</v>
      </c>
      <c r="B516" t="s">
        <v>25</v>
      </c>
      <c r="C516" t="s">
        <v>28</v>
      </c>
    </row>
    <row r="517" spans="1:3" x14ac:dyDescent="0.25">
      <c r="A517" s="1">
        <v>43097</v>
      </c>
      <c r="B517" t="s">
        <v>10</v>
      </c>
      <c r="C517" t="s">
        <v>4</v>
      </c>
    </row>
    <row r="518" spans="1:3" x14ac:dyDescent="0.25">
      <c r="A518" s="1">
        <v>43097</v>
      </c>
      <c r="B518" t="s">
        <v>7</v>
      </c>
      <c r="C518" t="s">
        <v>17</v>
      </c>
    </row>
    <row r="519" spans="1:3" x14ac:dyDescent="0.25">
      <c r="A519" s="1">
        <v>43097</v>
      </c>
      <c r="B519" t="s">
        <v>1</v>
      </c>
      <c r="C519" t="s">
        <v>21</v>
      </c>
    </row>
    <row r="520" spans="1:3" x14ac:dyDescent="0.25">
      <c r="A520" s="1">
        <v>43097</v>
      </c>
      <c r="B520" t="s">
        <v>27</v>
      </c>
      <c r="C520" t="s">
        <v>9</v>
      </c>
    </row>
    <row r="521" spans="1:3" x14ac:dyDescent="0.25">
      <c r="A521" s="1">
        <v>43097</v>
      </c>
      <c r="B521" t="s">
        <v>3</v>
      </c>
      <c r="C521" t="s">
        <v>19</v>
      </c>
    </row>
    <row r="522" spans="1:3" x14ac:dyDescent="0.25">
      <c r="A522" s="1">
        <v>43098</v>
      </c>
      <c r="B522" t="s">
        <v>18</v>
      </c>
      <c r="C522" t="s">
        <v>8</v>
      </c>
    </row>
    <row r="523" spans="1:3" x14ac:dyDescent="0.25">
      <c r="A523" s="1">
        <v>43098</v>
      </c>
      <c r="B523" t="s">
        <v>24</v>
      </c>
      <c r="C523" t="s">
        <v>6</v>
      </c>
    </row>
    <row r="524" spans="1:3" x14ac:dyDescent="0.25">
      <c r="A524" s="1">
        <v>43098</v>
      </c>
      <c r="B524" t="s">
        <v>5</v>
      </c>
      <c r="C524" t="s">
        <v>29</v>
      </c>
    </row>
    <row r="525" spans="1:3" x14ac:dyDescent="0.25">
      <c r="A525" s="1">
        <v>43098</v>
      </c>
      <c r="B525" t="s">
        <v>12</v>
      </c>
      <c r="C525" t="s">
        <v>11</v>
      </c>
    </row>
    <row r="526" spans="1:3" x14ac:dyDescent="0.25">
      <c r="A526" s="1">
        <v>43098</v>
      </c>
      <c r="B526" t="s">
        <v>0</v>
      </c>
      <c r="C526" t="s">
        <v>2</v>
      </c>
    </row>
    <row r="527" spans="1:3" x14ac:dyDescent="0.25">
      <c r="A527" s="1">
        <v>43098</v>
      </c>
      <c r="B527" t="s">
        <v>26</v>
      </c>
      <c r="C527" t="s">
        <v>7</v>
      </c>
    </row>
    <row r="528" spans="1:3" x14ac:dyDescent="0.25">
      <c r="A528" s="1">
        <v>43098</v>
      </c>
      <c r="B528" t="s">
        <v>25</v>
      </c>
      <c r="C528" t="s">
        <v>23</v>
      </c>
    </row>
    <row r="529" spans="1:3" x14ac:dyDescent="0.25">
      <c r="A529" s="1">
        <v>43098</v>
      </c>
      <c r="B529" t="s">
        <v>15</v>
      </c>
      <c r="C529" t="s">
        <v>14</v>
      </c>
    </row>
    <row r="530" spans="1:3" x14ac:dyDescent="0.25">
      <c r="A530" s="1">
        <v>43098</v>
      </c>
      <c r="B530" t="s">
        <v>116</v>
      </c>
      <c r="C530" t="s">
        <v>4</v>
      </c>
    </row>
    <row r="531" spans="1:3" x14ac:dyDescent="0.25">
      <c r="A531" s="1">
        <v>43099</v>
      </c>
      <c r="B531" t="s">
        <v>14</v>
      </c>
      <c r="C531" t="s">
        <v>27</v>
      </c>
    </row>
    <row r="532" spans="1:3" x14ac:dyDescent="0.25">
      <c r="A532" s="1">
        <v>43099</v>
      </c>
      <c r="B532" t="s">
        <v>20</v>
      </c>
      <c r="C532" t="s">
        <v>9</v>
      </c>
    </row>
    <row r="533" spans="1:3" x14ac:dyDescent="0.25">
      <c r="A533" s="1">
        <v>43099</v>
      </c>
      <c r="B533" t="s">
        <v>21</v>
      </c>
      <c r="C533" t="s">
        <v>3</v>
      </c>
    </row>
    <row r="534" spans="1:3" x14ac:dyDescent="0.25">
      <c r="A534" s="1">
        <v>43099</v>
      </c>
      <c r="B534" t="s">
        <v>24</v>
      </c>
      <c r="C534" t="s">
        <v>16</v>
      </c>
    </row>
    <row r="535" spans="1:3" x14ac:dyDescent="0.25">
      <c r="A535" s="1">
        <v>43099</v>
      </c>
      <c r="B535" t="s">
        <v>0</v>
      </c>
      <c r="C535" t="s">
        <v>19</v>
      </c>
    </row>
    <row r="536" spans="1:3" x14ac:dyDescent="0.25">
      <c r="A536" s="1">
        <v>43099</v>
      </c>
      <c r="B536" t="s">
        <v>1</v>
      </c>
      <c r="C536" t="s">
        <v>12</v>
      </c>
    </row>
    <row r="537" spans="1:3" x14ac:dyDescent="0.25">
      <c r="A537" s="1">
        <v>43099</v>
      </c>
      <c r="B537" t="s">
        <v>22</v>
      </c>
      <c r="C537" t="s">
        <v>28</v>
      </c>
    </row>
    <row r="538" spans="1:3" x14ac:dyDescent="0.25">
      <c r="A538" s="1">
        <v>43100</v>
      </c>
      <c r="B538" t="s">
        <v>10</v>
      </c>
      <c r="C538" t="s">
        <v>11</v>
      </c>
    </row>
    <row r="539" spans="1:3" x14ac:dyDescent="0.25">
      <c r="A539" s="1">
        <v>43100</v>
      </c>
      <c r="B539" t="s">
        <v>4</v>
      </c>
      <c r="C539" t="s">
        <v>5</v>
      </c>
    </row>
    <row r="540" spans="1:3" x14ac:dyDescent="0.25">
      <c r="A540" s="1">
        <v>43100</v>
      </c>
      <c r="B540" t="s">
        <v>8</v>
      </c>
      <c r="C540" t="s">
        <v>17</v>
      </c>
    </row>
    <row r="541" spans="1:3" x14ac:dyDescent="0.25">
      <c r="A541" s="1">
        <v>43100</v>
      </c>
      <c r="B541" t="s">
        <v>29</v>
      </c>
      <c r="C541" t="s">
        <v>6</v>
      </c>
    </row>
    <row r="542" spans="1:3" x14ac:dyDescent="0.25">
      <c r="A542" s="1">
        <v>43100</v>
      </c>
      <c r="B542" t="s">
        <v>26</v>
      </c>
      <c r="C542" t="s">
        <v>2</v>
      </c>
    </row>
    <row r="543" spans="1:3" x14ac:dyDescent="0.25">
      <c r="A543" s="1">
        <v>43100</v>
      </c>
      <c r="B543" t="s">
        <v>23</v>
      </c>
      <c r="C543" t="s">
        <v>9</v>
      </c>
    </row>
    <row r="544" spans="1:3" x14ac:dyDescent="0.25">
      <c r="A544" s="1">
        <v>43100</v>
      </c>
      <c r="B544" t="s">
        <v>25</v>
      </c>
      <c r="C544" t="s">
        <v>16</v>
      </c>
    </row>
    <row r="545" spans="1:3" x14ac:dyDescent="0.25">
      <c r="A545" s="1">
        <v>43100</v>
      </c>
      <c r="B545" t="s">
        <v>116</v>
      </c>
      <c r="C545" t="s">
        <v>18</v>
      </c>
    </row>
    <row r="546" spans="1:3" x14ac:dyDescent="0.25">
      <c r="A546" s="1">
        <v>43101</v>
      </c>
      <c r="B546" t="s">
        <v>11</v>
      </c>
      <c r="C546" t="s">
        <v>1</v>
      </c>
    </row>
    <row r="547" spans="1:3" x14ac:dyDescent="0.25">
      <c r="A547" s="1">
        <v>43101</v>
      </c>
      <c r="B547" t="s">
        <v>18</v>
      </c>
      <c r="C547" t="s">
        <v>27</v>
      </c>
    </row>
    <row r="548" spans="1:3" x14ac:dyDescent="0.25">
      <c r="A548" s="1">
        <v>43101</v>
      </c>
      <c r="B548" t="s">
        <v>17</v>
      </c>
      <c r="C548" t="s">
        <v>5</v>
      </c>
    </row>
    <row r="549" spans="1:3" x14ac:dyDescent="0.25">
      <c r="A549" s="1">
        <v>43101</v>
      </c>
      <c r="B549" t="s">
        <v>15</v>
      </c>
      <c r="C549" t="s">
        <v>7</v>
      </c>
    </row>
    <row r="550" spans="1:3" x14ac:dyDescent="0.25">
      <c r="A550" s="1">
        <v>43102</v>
      </c>
      <c r="B550" t="s">
        <v>28</v>
      </c>
      <c r="C550" t="s">
        <v>27</v>
      </c>
    </row>
    <row r="551" spans="1:3" x14ac:dyDescent="0.25">
      <c r="A551" s="1">
        <v>43102</v>
      </c>
      <c r="B551" t="s">
        <v>29</v>
      </c>
      <c r="C551" t="s">
        <v>16</v>
      </c>
    </row>
    <row r="552" spans="1:3" x14ac:dyDescent="0.25">
      <c r="A552" s="1">
        <v>43102</v>
      </c>
      <c r="B552" t="s">
        <v>19</v>
      </c>
      <c r="C552" t="s">
        <v>3</v>
      </c>
    </row>
    <row r="553" spans="1:3" x14ac:dyDescent="0.25">
      <c r="A553" s="1">
        <v>43102</v>
      </c>
      <c r="B553" t="s">
        <v>23</v>
      </c>
      <c r="C553" t="s">
        <v>14</v>
      </c>
    </row>
    <row r="554" spans="1:3" x14ac:dyDescent="0.25">
      <c r="A554" s="1">
        <v>43102</v>
      </c>
      <c r="B554" t="s">
        <v>25</v>
      </c>
      <c r="C554" t="s">
        <v>6</v>
      </c>
    </row>
    <row r="555" spans="1:3" x14ac:dyDescent="0.25">
      <c r="A555" s="1">
        <v>43103</v>
      </c>
      <c r="B555" t="s">
        <v>10</v>
      </c>
      <c r="C555" t="s">
        <v>28</v>
      </c>
    </row>
    <row r="556" spans="1:3" x14ac:dyDescent="0.25">
      <c r="A556" s="1">
        <v>43103</v>
      </c>
      <c r="B556" t="s">
        <v>11</v>
      </c>
      <c r="C556" t="s">
        <v>17</v>
      </c>
    </row>
    <row r="557" spans="1:3" x14ac:dyDescent="0.25">
      <c r="A557" s="1">
        <v>43103</v>
      </c>
      <c r="B557" t="s">
        <v>18</v>
      </c>
      <c r="C557" t="s">
        <v>15</v>
      </c>
    </row>
    <row r="558" spans="1:3" x14ac:dyDescent="0.25">
      <c r="A558" s="1">
        <v>43103</v>
      </c>
      <c r="B558" t="s">
        <v>2</v>
      </c>
      <c r="C558" t="s">
        <v>24</v>
      </c>
    </row>
    <row r="559" spans="1:3" x14ac:dyDescent="0.25">
      <c r="A559" s="1">
        <v>43103</v>
      </c>
      <c r="B559" t="s">
        <v>20</v>
      </c>
      <c r="C559" t="s">
        <v>23</v>
      </c>
    </row>
    <row r="560" spans="1:3" x14ac:dyDescent="0.25">
      <c r="A560" s="1">
        <v>43103</v>
      </c>
      <c r="B560" t="s">
        <v>5</v>
      </c>
      <c r="C560" t="s">
        <v>26</v>
      </c>
    </row>
    <row r="561" spans="1:3" x14ac:dyDescent="0.25">
      <c r="A561" s="1">
        <v>43103</v>
      </c>
      <c r="B561" t="s">
        <v>12</v>
      </c>
      <c r="C561" t="s">
        <v>21</v>
      </c>
    </row>
    <row r="562" spans="1:3" x14ac:dyDescent="0.25">
      <c r="A562" s="1">
        <v>43103</v>
      </c>
      <c r="B562" t="s">
        <v>7</v>
      </c>
      <c r="C562" t="s">
        <v>8</v>
      </c>
    </row>
    <row r="563" spans="1:3" x14ac:dyDescent="0.25">
      <c r="A563" s="1">
        <v>43103</v>
      </c>
      <c r="B563" t="s">
        <v>1</v>
      </c>
      <c r="C563" t="s">
        <v>4</v>
      </c>
    </row>
    <row r="564" spans="1:3" x14ac:dyDescent="0.25">
      <c r="A564" s="1">
        <v>43103</v>
      </c>
      <c r="B564" t="s">
        <v>9</v>
      </c>
      <c r="C564" t="s">
        <v>3</v>
      </c>
    </row>
    <row r="565" spans="1:3" x14ac:dyDescent="0.25">
      <c r="A565" s="1">
        <v>43103</v>
      </c>
      <c r="B565" t="s">
        <v>22</v>
      </c>
      <c r="C565" t="s">
        <v>0</v>
      </c>
    </row>
    <row r="566" spans="1:3" x14ac:dyDescent="0.25">
      <c r="A566" s="1">
        <v>43103</v>
      </c>
      <c r="B566" t="s">
        <v>116</v>
      </c>
      <c r="C566" t="s">
        <v>19</v>
      </c>
    </row>
    <row r="567" spans="1:3" x14ac:dyDescent="0.25">
      <c r="A567" s="1">
        <v>43104</v>
      </c>
      <c r="B567" t="s">
        <v>4</v>
      </c>
      <c r="C567" t="s">
        <v>24</v>
      </c>
    </row>
    <row r="568" spans="1:3" x14ac:dyDescent="0.25">
      <c r="A568" s="1">
        <v>43104</v>
      </c>
      <c r="B568" t="s">
        <v>29</v>
      </c>
      <c r="C568" t="s">
        <v>26</v>
      </c>
    </row>
    <row r="569" spans="1:3" x14ac:dyDescent="0.25">
      <c r="A569" s="1">
        <v>43105</v>
      </c>
      <c r="B569" t="s">
        <v>10</v>
      </c>
      <c r="C569" t="s">
        <v>17</v>
      </c>
    </row>
    <row r="570" spans="1:3" x14ac:dyDescent="0.25">
      <c r="A570" s="1">
        <v>43105</v>
      </c>
      <c r="B570" t="s">
        <v>2</v>
      </c>
      <c r="C570" t="s">
        <v>18</v>
      </c>
    </row>
    <row r="571" spans="1:3" x14ac:dyDescent="0.25">
      <c r="A571" s="1">
        <v>43105</v>
      </c>
      <c r="B571" t="s">
        <v>20</v>
      </c>
      <c r="C571" t="s">
        <v>22</v>
      </c>
    </row>
    <row r="572" spans="1:3" x14ac:dyDescent="0.25">
      <c r="A572" s="1">
        <v>43105</v>
      </c>
      <c r="B572" t="s">
        <v>5</v>
      </c>
      <c r="C572" t="s">
        <v>6</v>
      </c>
    </row>
    <row r="573" spans="1:3" x14ac:dyDescent="0.25">
      <c r="A573" s="1">
        <v>43105</v>
      </c>
      <c r="B573" t="s">
        <v>16</v>
      </c>
      <c r="C573" t="s">
        <v>116</v>
      </c>
    </row>
    <row r="574" spans="1:3" x14ac:dyDescent="0.25">
      <c r="A574" s="1">
        <v>43105</v>
      </c>
      <c r="B574" t="s">
        <v>12</v>
      </c>
      <c r="C574" t="s">
        <v>19</v>
      </c>
    </row>
    <row r="575" spans="1:3" x14ac:dyDescent="0.25">
      <c r="A575" s="1">
        <v>43105</v>
      </c>
      <c r="B575" t="s">
        <v>7</v>
      </c>
      <c r="C575" t="s">
        <v>15</v>
      </c>
    </row>
    <row r="576" spans="1:3" x14ac:dyDescent="0.25">
      <c r="A576" s="1">
        <v>43105</v>
      </c>
      <c r="B576" t="s">
        <v>9</v>
      </c>
      <c r="C576" t="s">
        <v>21</v>
      </c>
    </row>
    <row r="577" spans="1:3" x14ac:dyDescent="0.25">
      <c r="A577" s="1">
        <v>43105</v>
      </c>
      <c r="B577" t="s">
        <v>27</v>
      </c>
      <c r="C577" t="s">
        <v>14</v>
      </c>
    </row>
    <row r="578" spans="1:3" x14ac:dyDescent="0.25">
      <c r="A578" s="1">
        <v>43105</v>
      </c>
      <c r="B578" t="s">
        <v>3</v>
      </c>
      <c r="C578" t="s">
        <v>23</v>
      </c>
    </row>
    <row r="579" spans="1:3" x14ac:dyDescent="0.25">
      <c r="A579" s="1">
        <v>43106</v>
      </c>
      <c r="B579" t="s">
        <v>11</v>
      </c>
      <c r="C579" t="s">
        <v>10</v>
      </c>
    </row>
    <row r="580" spans="1:3" x14ac:dyDescent="0.25">
      <c r="A580" s="1">
        <v>43106</v>
      </c>
      <c r="B580" t="s">
        <v>21</v>
      </c>
      <c r="C580" t="s">
        <v>4</v>
      </c>
    </row>
    <row r="581" spans="1:3" x14ac:dyDescent="0.25">
      <c r="A581" s="1">
        <v>43106</v>
      </c>
      <c r="B581" t="s">
        <v>8</v>
      </c>
      <c r="C581" t="s">
        <v>18</v>
      </c>
    </row>
    <row r="582" spans="1:3" x14ac:dyDescent="0.25">
      <c r="A582" s="1">
        <v>43106</v>
      </c>
      <c r="B582" t="s">
        <v>29</v>
      </c>
      <c r="C582" t="s">
        <v>24</v>
      </c>
    </row>
    <row r="583" spans="1:3" x14ac:dyDescent="0.25">
      <c r="A583" s="1">
        <v>43106</v>
      </c>
      <c r="B583" t="s">
        <v>17</v>
      </c>
      <c r="C583" t="s">
        <v>0</v>
      </c>
    </row>
    <row r="584" spans="1:3" x14ac:dyDescent="0.25">
      <c r="A584" s="1">
        <v>43106</v>
      </c>
      <c r="B584" t="s">
        <v>1</v>
      </c>
      <c r="C584" t="s">
        <v>28</v>
      </c>
    </row>
    <row r="585" spans="1:3" x14ac:dyDescent="0.25">
      <c r="A585" s="1">
        <v>43106</v>
      </c>
      <c r="B585" t="s">
        <v>25</v>
      </c>
      <c r="C585" t="s">
        <v>20</v>
      </c>
    </row>
    <row r="586" spans="1:3" x14ac:dyDescent="0.25">
      <c r="A586" s="1">
        <v>43106</v>
      </c>
      <c r="B586" t="s">
        <v>116</v>
      </c>
      <c r="C586" t="s">
        <v>7</v>
      </c>
    </row>
    <row r="587" spans="1:3" x14ac:dyDescent="0.25">
      <c r="A587" s="1">
        <v>43107</v>
      </c>
      <c r="B587" t="s">
        <v>2</v>
      </c>
      <c r="C587" t="s">
        <v>19</v>
      </c>
    </row>
    <row r="588" spans="1:3" x14ac:dyDescent="0.25">
      <c r="A588" s="1">
        <v>43107</v>
      </c>
      <c r="B588" t="s">
        <v>5</v>
      </c>
      <c r="C588" t="s">
        <v>14</v>
      </c>
    </row>
    <row r="589" spans="1:3" x14ac:dyDescent="0.25">
      <c r="A589" s="1">
        <v>43107</v>
      </c>
      <c r="B589" t="s">
        <v>12</v>
      </c>
      <c r="C589" t="s">
        <v>22</v>
      </c>
    </row>
    <row r="590" spans="1:3" x14ac:dyDescent="0.25">
      <c r="A590" s="1">
        <v>43107</v>
      </c>
      <c r="B590" t="s">
        <v>23</v>
      </c>
      <c r="C590" t="s">
        <v>26</v>
      </c>
    </row>
    <row r="591" spans="1:3" x14ac:dyDescent="0.25">
      <c r="A591" s="1">
        <v>43107</v>
      </c>
      <c r="B591" t="s">
        <v>27</v>
      </c>
      <c r="C591" t="s">
        <v>3</v>
      </c>
    </row>
    <row r="592" spans="1:3" x14ac:dyDescent="0.25">
      <c r="A592" s="1">
        <v>43108</v>
      </c>
      <c r="B592" t="s">
        <v>11</v>
      </c>
      <c r="C592" t="s">
        <v>15</v>
      </c>
    </row>
    <row r="593" spans="1:3" x14ac:dyDescent="0.25">
      <c r="A593" s="1">
        <v>43108</v>
      </c>
      <c r="B593" t="s">
        <v>18</v>
      </c>
      <c r="C593" t="s">
        <v>4</v>
      </c>
    </row>
    <row r="594" spans="1:3" x14ac:dyDescent="0.25">
      <c r="A594" s="1">
        <v>43108</v>
      </c>
      <c r="B594" t="s">
        <v>24</v>
      </c>
      <c r="C594" t="s">
        <v>20</v>
      </c>
    </row>
    <row r="595" spans="1:3" x14ac:dyDescent="0.25">
      <c r="A595" s="1">
        <v>43108</v>
      </c>
      <c r="B595" t="s">
        <v>8</v>
      </c>
      <c r="C595" t="s">
        <v>7</v>
      </c>
    </row>
    <row r="596" spans="1:3" x14ac:dyDescent="0.25">
      <c r="A596" s="1">
        <v>43108</v>
      </c>
      <c r="B596" t="s">
        <v>29</v>
      </c>
      <c r="C596" t="s">
        <v>14</v>
      </c>
    </row>
    <row r="597" spans="1:3" x14ac:dyDescent="0.25">
      <c r="A597" s="1">
        <v>43108</v>
      </c>
      <c r="B597" t="s">
        <v>17</v>
      </c>
      <c r="C597" t="s">
        <v>28</v>
      </c>
    </row>
    <row r="598" spans="1:3" x14ac:dyDescent="0.25">
      <c r="A598" s="1">
        <v>43108</v>
      </c>
      <c r="B598" t="s">
        <v>0</v>
      </c>
      <c r="C598" t="s">
        <v>21</v>
      </c>
    </row>
    <row r="599" spans="1:3" x14ac:dyDescent="0.25">
      <c r="A599" s="1">
        <v>43108</v>
      </c>
      <c r="B599" t="s">
        <v>25</v>
      </c>
      <c r="C599" t="s">
        <v>3</v>
      </c>
    </row>
    <row r="600" spans="1:3" x14ac:dyDescent="0.25">
      <c r="A600" s="1">
        <v>43109</v>
      </c>
      <c r="B600" t="s">
        <v>2</v>
      </c>
      <c r="C600" t="s">
        <v>1</v>
      </c>
    </row>
    <row r="601" spans="1:3" x14ac:dyDescent="0.25">
      <c r="A601" s="1">
        <v>43109</v>
      </c>
      <c r="B601" t="s">
        <v>5</v>
      </c>
      <c r="C601" t="s">
        <v>25</v>
      </c>
    </row>
    <row r="602" spans="1:3" x14ac:dyDescent="0.25">
      <c r="A602" s="1">
        <v>43109</v>
      </c>
      <c r="B602" t="s">
        <v>26</v>
      </c>
      <c r="C602" t="s">
        <v>27</v>
      </c>
    </row>
    <row r="603" spans="1:3" x14ac:dyDescent="0.25">
      <c r="A603" s="1">
        <v>43109</v>
      </c>
      <c r="B603" t="s">
        <v>15</v>
      </c>
      <c r="C603" t="s">
        <v>12</v>
      </c>
    </row>
    <row r="604" spans="1:3" x14ac:dyDescent="0.25">
      <c r="A604" s="1">
        <v>43110</v>
      </c>
      <c r="B604" t="s">
        <v>11</v>
      </c>
      <c r="C604" t="s">
        <v>21</v>
      </c>
    </row>
    <row r="605" spans="1:3" x14ac:dyDescent="0.25">
      <c r="A605" s="1">
        <v>43110</v>
      </c>
      <c r="B605" t="s">
        <v>6</v>
      </c>
      <c r="C605" t="s">
        <v>2</v>
      </c>
    </row>
    <row r="606" spans="1:3" x14ac:dyDescent="0.25">
      <c r="A606" s="1">
        <v>43110</v>
      </c>
      <c r="B606" t="s">
        <v>20</v>
      </c>
      <c r="C606" t="s">
        <v>14</v>
      </c>
    </row>
    <row r="607" spans="1:3" x14ac:dyDescent="0.25">
      <c r="A607" s="1">
        <v>43110</v>
      </c>
      <c r="B607" t="s">
        <v>24</v>
      </c>
      <c r="C607" t="s">
        <v>29</v>
      </c>
    </row>
    <row r="608" spans="1:3" x14ac:dyDescent="0.25">
      <c r="A608" s="1">
        <v>43110</v>
      </c>
      <c r="B608" t="s">
        <v>4</v>
      </c>
      <c r="C608" t="s">
        <v>27</v>
      </c>
    </row>
    <row r="609" spans="1:3" x14ac:dyDescent="0.25">
      <c r="A609" s="1">
        <v>43110</v>
      </c>
      <c r="B609" t="s">
        <v>8</v>
      </c>
      <c r="C609" t="s">
        <v>12</v>
      </c>
    </row>
    <row r="610" spans="1:3" x14ac:dyDescent="0.25">
      <c r="A610" s="1">
        <v>43110</v>
      </c>
      <c r="B610" t="s">
        <v>16</v>
      </c>
      <c r="C610" t="s">
        <v>0</v>
      </c>
    </row>
    <row r="611" spans="1:3" x14ac:dyDescent="0.25">
      <c r="A611" s="1">
        <v>43110</v>
      </c>
      <c r="B611" t="s">
        <v>7</v>
      </c>
      <c r="C611" t="s">
        <v>1</v>
      </c>
    </row>
    <row r="612" spans="1:3" x14ac:dyDescent="0.25">
      <c r="A612" s="1">
        <v>43110</v>
      </c>
      <c r="B612" t="s">
        <v>17</v>
      </c>
      <c r="C612" t="s">
        <v>26</v>
      </c>
    </row>
    <row r="613" spans="1:3" x14ac:dyDescent="0.25">
      <c r="A613" s="1">
        <v>43110</v>
      </c>
      <c r="B613" t="s">
        <v>19</v>
      </c>
      <c r="C613" t="s">
        <v>18</v>
      </c>
    </row>
    <row r="614" spans="1:3" x14ac:dyDescent="0.25">
      <c r="A614" s="1">
        <v>43110</v>
      </c>
      <c r="B614" t="s">
        <v>116</v>
      </c>
      <c r="C614" t="s">
        <v>22</v>
      </c>
    </row>
    <row r="615" spans="1:3" x14ac:dyDescent="0.25">
      <c r="A615" s="1">
        <v>43111</v>
      </c>
      <c r="B615" t="s">
        <v>5</v>
      </c>
      <c r="C615" t="s">
        <v>3</v>
      </c>
    </row>
    <row r="616" spans="1:3" x14ac:dyDescent="0.25">
      <c r="A616" s="1">
        <v>43111</v>
      </c>
      <c r="B616" t="s">
        <v>9</v>
      </c>
      <c r="C616" t="s">
        <v>10</v>
      </c>
    </row>
    <row r="617" spans="1:3" x14ac:dyDescent="0.25">
      <c r="A617" s="1">
        <v>43111</v>
      </c>
      <c r="B617" t="s">
        <v>25</v>
      </c>
      <c r="C617" t="s">
        <v>29</v>
      </c>
    </row>
    <row r="618" spans="1:3" x14ac:dyDescent="0.25">
      <c r="A618" s="1">
        <v>43111</v>
      </c>
      <c r="B618" t="s">
        <v>15</v>
      </c>
      <c r="C618" t="s">
        <v>28</v>
      </c>
    </row>
    <row r="619" spans="1:3" x14ac:dyDescent="0.25">
      <c r="A619" s="1">
        <v>43112</v>
      </c>
      <c r="B619" t="s">
        <v>14</v>
      </c>
      <c r="C619" t="s">
        <v>11</v>
      </c>
    </row>
    <row r="620" spans="1:3" x14ac:dyDescent="0.25">
      <c r="A620" s="1">
        <v>43112</v>
      </c>
      <c r="B620" t="s">
        <v>6</v>
      </c>
      <c r="C620" t="s">
        <v>22</v>
      </c>
    </row>
    <row r="621" spans="1:3" x14ac:dyDescent="0.25">
      <c r="A621" s="1">
        <v>43112</v>
      </c>
      <c r="B621" t="s">
        <v>20</v>
      </c>
      <c r="C621" t="s">
        <v>16</v>
      </c>
    </row>
    <row r="622" spans="1:3" x14ac:dyDescent="0.25">
      <c r="A622" s="1">
        <v>43112</v>
      </c>
      <c r="B622" t="s">
        <v>8</v>
      </c>
      <c r="C622" t="s">
        <v>28</v>
      </c>
    </row>
    <row r="623" spans="1:3" x14ac:dyDescent="0.25">
      <c r="A623" s="1">
        <v>43112</v>
      </c>
      <c r="B623" t="s">
        <v>7</v>
      </c>
      <c r="C623" t="s">
        <v>24</v>
      </c>
    </row>
    <row r="624" spans="1:3" x14ac:dyDescent="0.25">
      <c r="A624" s="1">
        <v>43112</v>
      </c>
      <c r="B624" t="s">
        <v>17</v>
      </c>
      <c r="C624" t="s">
        <v>19</v>
      </c>
    </row>
    <row r="625" spans="1:3" x14ac:dyDescent="0.25">
      <c r="A625" s="1">
        <v>43112</v>
      </c>
      <c r="B625" t="s">
        <v>0</v>
      </c>
      <c r="C625" t="s">
        <v>27</v>
      </c>
    </row>
    <row r="626" spans="1:3" x14ac:dyDescent="0.25">
      <c r="A626" s="1">
        <v>43112</v>
      </c>
      <c r="B626" t="s">
        <v>23</v>
      </c>
      <c r="C626" t="s">
        <v>4</v>
      </c>
    </row>
    <row r="627" spans="1:3" x14ac:dyDescent="0.25">
      <c r="A627" s="1">
        <v>43112</v>
      </c>
      <c r="B627" t="s">
        <v>116</v>
      </c>
      <c r="C627" t="s">
        <v>1</v>
      </c>
    </row>
    <row r="628" spans="1:3" x14ac:dyDescent="0.25">
      <c r="A628" s="1">
        <v>43113</v>
      </c>
      <c r="B628" t="s">
        <v>18</v>
      </c>
      <c r="C628" t="s">
        <v>21</v>
      </c>
    </row>
    <row r="629" spans="1:3" x14ac:dyDescent="0.25">
      <c r="A629" s="1">
        <v>43113</v>
      </c>
      <c r="B629" t="s">
        <v>6</v>
      </c>
      <c r="C629" t="s">
        <v>26</v>
      </c>
    </row>
    <row r="630" spans="1:3" x14ac:dyDescent="0.25">
      <c r="A630" s="1">
        <v>43113</v>
      </c>
      <c r="B630" t="s">
        <v>2</v>
      </c>
      <c r="C630" t="s">
        <v>5</v>
      </c>
    </row>
    <row r="631" spans="1:3" x14ac:dyDescent="0.25">
      <c r="A631" s="1">
        <v>43113</v>
      </c>
      <c r="B631" t="s">
        <v>29</v>
      </c>
      <c r="C631" t="s">
        <v>25</v>
      </c>
    </row>
    <row r="632" spans="1:3" x14ac:dyDescent="0.25">
      <c r="A632" s="1">
        <v>43113</v>
      </c>
      <c r="B632" t="s">
        <v>3</v>
      </c>
      <c r="C632" t="s">
        <v>20</v>
      </c>
    </row>
    <row r="633" spans="1:3" x14ac:dyDescent="0.25">
      <c r="A633" s="1">
        <v>43113</v>
      </c>
      <c r="B633" t="s">
        <v>15</v>
      </c>
      <c r="C633" t="s">
        <v>24</v>
      </c>
    </row>
    <row r="634" spans="1:3" x14ac:dyDescent="0.25">
      <c r="A634" s="1">
        <v>43113</v>
      </c>
      <c r="B634" t="s">
        <v>116</v>
      </c>
      <c r="C634" t="s">
        <v>11</v>
      </c>
    </row>
    <row r="635" spans="1:3" x14ac:dyDescent="0.25">
      <c r="A635" s="1">
        <v>43114</v>
      </c>
      <c r="B635" t="s">
        <v>12</v>
      </c>
      <c r="C635" t="s">
        <v>7</v>
      </c>
    </row>
    <row r="636" spans="1:3" x14ac:dyDescent="0.25">
      <c r="A636" s="1">
        <v>43114</v>
      </c>
      <c r="B636" t="s">
        <v>17</v>
      </c>
      <c r="C636" t="s">
        <v>27</v>
      </c>
    </row>
    <row r="637" spans="1:3" x14ac:dyDescent="0.25">
      <c r="A637" s="1">
        <v>43114</v>
      </c>
      <c r="B637" t="s">
        <v>19</v>
      </c>
      <c r="C637" t="s">
        <v>0</v>
      </c>
    </row>
    <row r="638" spans="1:3" x14ac:dyDescent="0.25">
      <c r="A638" s="1">
        <v>43114</v>
      </c>
      <c r="B638" t="s">
        <v>23</v>
      </c>
      <c r="C638" t="s">
        <v>8</v>
      </c>
    </row>
    <row r="639" spans="1:3" x14ac:dyDescent="0.25">
      <c r="A639" s="1">
        <v>43115</v>
      </c>
      <c r="B639" t="s">
        <v>14</v>
      </c>
      <c r="C639" t="s">
        <v>3</v>
      </c>
    </row>
    <row r="640" spans="1:3" x14ac:dyDescent="0.25">
      <c r="A640" s="1">
        <v>43115</v>
      </c>
      <c r="B640" t="s">
        <v>11</v>
      </c>
      <c r="C640" t="s">
        <v>19</v>
      </c>
    </row>
    <row r="641" spans="1:3" x14ac:dyDescent="0.25">
      <c r="A641" s="1">
        <v>43115</v>
      </c>
      <c r="B641" t="s">
        <v>18</v>
      </c>
      <c r="C641" t="s">
        <v>12</v>
      </c>
    </row>
    <row r="642" spans="1:3" x14ac:dyDescent="0.25">
      <c r="A642" s="1">
        <v>43115</v>
      </c>
      <c r="B642" t="s">
        <v>28</v>
      </c>
      <c r="C642" t="s">
        <v>24</v>
      </c>
    </row>
    <row r="643" spans="1:3" x14ac:dyDescent="0.25">
      <c r="A643" s="1">
        <v>43115</v>
      </c>
      <c r="B643" t="s">
        <v>21</v>
      </c>
      <c r="C643" t="s">
        <v>6</v>
      </c>
    </row>
    <row r="644" spans="1:3" x14ac:dyDescent="0.25">
      <c r="A644" s="1">
        <v>43115</v>
      </c>
      <c r="B644" t="s">
        <v>29</v>
      </c>
      <c r="C644" t="s">
        <v>4</v>
      </c>
    </row>
    <row r="645" spans="1:3" x14ac:dyDescent="0.25">
      <c r="A645" s="1">
        <v>43115</v>
      </c>
      <c r="B645" t="s">
        <v>16</v>
      </c>
      <c r="C645" t="s">
        <v>5</v>
      </c>
    </row>
    <row r="646" spans="1:3" x14ac:dyDescent="0.25">
      <c r="A646" s="1">
        <v>43115</v>
      </c>
      <c r="B646" t="s">
        <v>26</v>
      </c>
      <c r="C646" t="s">
        <v>25</v>
      </c>
    </row>
    <row r="647" spans="1:3" x14ac:dyDescent="0.25">
      <c r="A647" s="1">
        <v>43115</v>
      </c>
      <c r="B647" t="s">
        <v>9</v>
      </c>
      <c r="C647" t="s">
        <v>15</v>
      </c>
    </row>
    <row r="648" spans="1:3" x14ac:dyDescent="0.25">
      <c r="A648" s="1">
        <v>43115</v>
      </c>
      <c r="B648" t="s">
        <v>22</v>
      </c>
      <c r="C648" t="s">
        <v>8</v>
      </c>
    </row>
    <row r="649" spans="1:3" x14ac:dyDescent="0.25">
      <c r="A649" s="1">
        <v>43115</v>
      </c>
      <c r="B649" t="s">
        <v>116</v>
      </c>
      <c r="C649" t="s">
        <v>7</v>
      </c>
    </row>
    <row r="650" spans="1:3" x14ac:dyDescent="0.25">
      <c r="A650" s="1">
        <v>43116</v>
      </c>
      <c r="B650" t="s">
        <v>10</v>
      </c>
      <c r="C650" t="s">
        <v>0</v>
      </c>
    </row>
    <row r="651" spans="1:3" x14ac:dyDescent="0.25">
      <c r="A651" s="1">
        <v>43116</v>
      </c>
      <c r="B651" t="s">
        <v>20</v>
      </c>
      <c r="C651" t="s">
        <v>2</v>
      </c>
    </row>
    <row r="652" spans="1:3" x14ac:dyDescent="0.25">
      <c r="A652" s="1">
        <v>43116</v>
      </c>
      <c r="B652" t="s">
        <v>1</v>
      </c>
      <c r="C652" t="s">
        <v>17</v>
      </c>
    </row>
    <row r="653" spans="1:3" x14ac:dyDescent="0.25">
      <c r="A653" s="1">
        <v>43116</v>
      </c>
      <c r="B653" t="s">
        <v>27</v>
      </c>
      <c r="C653" t="s">
        <v>23</v>
      </c>
    </row>
    <row r="654" spans="1:3" x14ac:dyDescent="0.25">
      <c r="A654" s="1">
        <v>43117</v>
      </c>
      <c r="B654" t="s">
        <v>14</v>
      </c>
      <c r="C654" t="s">
        <v>0</v>
      </c>
    </row>
    <row r="655" spans="1:3" x14ac:dyDescent="0.25">
      <c r="A655" s="1">
        <v>43117</v>
      </c>
      <c r="B655" t="s">
        <v>11</v>
      </c>
      <c r="C655" t="s">
        <v>3</v>
      </c>
    </row>
    <row r="656" spans="1:3" x14ac:dyDescent="0.25">
      <c r="A656" s="1">
        <v>43117</v>
      </c>
      <c r="B656" t="s">
        <v>18</v>
      </c>
      <c r="C656" t="s">
        <v>24</v>
      </c>
    </row>
    <row r="657" spans="1:3" x14ac:dyDescent="0.25">
      <c r="A657" s="1">
        <v>43117</v>
      </c>
      <c r="B657" t="s">
        <v>6</v>
      </c>
      <c r="C657" t="s">
        <v>116</v>
      </c>
    </row>
    <row r="658" spans="1:3" x14ac:dyDescent="0.25">
      <c r="A658" s="1">
        <v>43117</v>
      </c>
      <c r="B658" t="s">
        <v>29</v>
      </c>
      <c r="C658" t="s">
        <v>20</v>
      </c>
    </row>
    <row r="659" spans="1:3" x14ac:dyDescent="0.25">
      <c r="A659" s="1">
        <v>43117</v>
      </c>
      <c r="B659" t="s">
        <v>16</v>
      </c>
      <c r="C659" t="s">
        <v>19</v>
      </c>
    </row>
    <row r="660" spans="1:3" x14ac:dyDescent="0.25">
      <c r="A660" s="1">
        <v>43117</v>
      </c>
      <c r="B660" t="s">
        <v>7</v>
      </c>
      <c r="C660" t="s">
        <v>12</v>
      </c>
    </row>
    <row r="661" spans="1:3" x14ac:dyDescent="0.25">
      <c r="A661" s="1">
        <v>43117</v>
      </c>
      <c r="B661" t="s">
        <v>26</v>
      </c>
      <c r="C661" t="s">
        <v>5</v>
      </c>
    </row>
    <row r="662" spans="1:3" x14ac:dyDescent="0.25">
      <c r="A662" s="1">
        <v>43117</v>
      </c>
      <c r="B662" t="s">
        <v>25</v>
      </c>
      <c r="C662" t="s">
        <v>22</v>
      </c>
    </row>
    <row r="663" spans="1:3" x14ac:dyDescent="0.25">
      <c r="A663" s="1">
        <v>43117</v>
      </c>
      <c r="B663" t="s">
        <v>15</v>
      </c>
      <c r="C663" t="s">
        <v>21</v>
      </c>
    </row>
    <row r="664" spans="1:3" x14ac:dyDescent="0.25">
      <c r="A664" s="1">
        <v>43118</v>
      </c>
      <c r="B664" t="s">
        <v>10</v>
      </c>
      <c r="C664" t="s">
        <v>9</v>
      </c>
    </row>
    <row r="665" spans="1:3" x14ac:dyDescent="0.25">
      <c r="A665" s="1">
        <v>43118</v>
      </c>
      <c r="B665" t="s">
        <v>28</v>
      </c>
      <c r="C665" t="s">
        <v>1</v>
      </c>
    </row>
    <row r="666" spans="1:3" x14ac:dyDescent="0.25">
      <c r="A666" s="1">
        <v>43118</v>
      </c>
      <c r="B666" t="s">
        <v>4</v>
      </c>
      <c r="C666" t="s">
        <v>17</v>
      </c>
    </row>
    <row r="667" spans="1:3" x14ac:dyDescent="0.25">
      <c r="A667" s="1">
        <v>43118</v>
      </c>
      <c r="B667" t="s">
        <v>27</v>
      </c>
      <c r="C667" t="s">
        <v>8</v>
      </c>
    </row>
    <row r="668" spans="1:3" x14ac:dyDescent="0.25">
      <c r="A668" s="1">
        <v>43119</v>
      </c>
      <c r="B668" t="s">
        <v>11</v>
      </c>
      <c r="C668" t="s">
        <v>12</v>
      </c>
    </row>
    <row r="669" spans="1:3" x14ac:dyDescent="0.25">
      <c r="A669" s="1">
        <v>43119</v>
      </c>
      <c r="B669" t="s">
        <v>20</v>
      </c>
      <c r="C669" t="s">
        <v>23</v>
      </c>
    </row>
    <row r="670" spans="1:3" x14ac:dyDescent="0.25">
      <c r="A670" s="1">
        <v>43119</v>
      </c>
      <c r="B670" t="s">
        <v>21</v>
      </c>
      <c r="C670" t="s">
        <v>116</v>
      </c>
    </row>
    <row r="671" spans="1:3" x14ac:dyDescent="0.25">
      <c r="A671" s="1">
        <v>43119</v>
      </c>
      <c r="B671" t="s">
        <v>5</v>
      </c>
      <c r="C671" t="s">
        <v>8</v>
      </c>
    </row>
    <row r="672" spans="1:3" x14ac:dyDescent="0.25">
      <c r="A672" s="1">
        <v>43119</v>
      </c>
      <c r="B672" t="s">
        <v>16</v>
      </c>
      <c r="C672" t="s">
        <v>25</v>
      </c>
    </row>
    <row r="673" spans="1:3" x14ac:dyDescent="0.25">
      <c r="A673" s="1">
        <v>43119</v>
      </c>
      <c r="B673" t="s">
        <v>15</v>
      </c>
      <c r="C673" t="s">
        <v>3</v>
      </c>
    </row>
    <row r="674" spans="1:3" x14ac:dyDescent="0.25">
      <c r="A674" s="1">
        <v>43119</v>
      </c>
      <c r="B674" t="s">
        <v>22</v>
      </c>
      <c r="C674" t="s">
        <v>19</v>
      </c>
    </row>
    <row r="675" spans="1:3" x14ac:dyDescent="0.25">
      <c r="A675" s="1">
        <v>43120</v>
      </c>
      <c r="B675" t="s">
        <v>14</v>
      </c>
      <c r="C675" t="s">
        <v>18</v>
      </c>
    </row>
    <row r="676" spans="1:3" x14ac:dyDescent="0.25">
      <c r="A676" s="1">
        <v>43120</v>
      </c>
      <c r="B676" t="s">
        <v>6</v>
      </c>
      <c r="C676" t="s">
        <v>12</v>
      </c>
    </row>
    <row r="677" spans="1:3" x14ac:dyDescent="0.25">
      <c r="A677" s="1">
        <v>43120</v>
      </c>
      <c r="B677" t="s">
        <v>28</v>
      </c>
      <c r="C677" t="s">
        <v>26</v>
      </c>
    </row>
    <row r="678" spans="1:3" x14ac:dyDescent="0.25">
      <c r="A678" s="1">
        <v>43120</v>
      </c>
      <c r="B678" t="s">
        <v>4</v>
      </c>
      <c r="C678" t="s">
        <v>24</v>
      </c>
    </row>
    <row r="679" spans="1:3" x14ac:dyDescent="0.25">
      <c r="A679" s="1">
        <v>43120</v>
      </c>
      <c r="B679" t="s">
        <v>17</v>
      </c>
      <c r="C679" t="s">
        <v>15</v>
      </c>
    </row>
    <row r="680" spans="1:3" x14ac:dyDescent="0.25">
      <c r="A680" s="1">
        <v>43120</v>
      </c>
      <c r="B680" t="s">
        <v>0</v>
      </c>
      <c r="C680" t="s">
        <v>16</v>
      </c>
    </row>
    <row r="681" spans="1:3" x14ac:dyDescent="0.25">
      <c r="A681" s="1">
        <v>43120</v>
      </c>
      <c r="B681" t="s">
        <v>9</v>
      </c>
      <c r="C681" t="s">
        <v>7</v>
      </c>
    </row>
    <row r="682" spans="1:3" x14ac:dyDescent="0.25">
      <c r="A682" s="1">
        <v>43120</v>
      </c>
      <c r="B682" t="s">
        <v>27</v>
      </c>
      <c r="C682" t="s">
        <v>2</v>
      </c>
    </row>
    <row r="683" spans="1:3" x14ac:dyDescent="0.25">
      <c r="A683" s="1">
        <v>43120</v>
      </c>
      <c r="B683" t="s">
        <v>22</v>
      </c>
      <c r="C683" t="s">
        <v>29</v>
      </c>
    </row>
    <row r="684" spans="1:3" x14ac:dyDescent="0.25">
      <c r="A684" s="1">
        <v>43121</v>
      </c>
      <c r="B684" t="s">
        <v>10</v>
      </c>
      <c r="C684" t="s">
        <v>1</v>
      </c>
    </row>
    <row r="685" spans="1:3" x14ac:dyDescent="0.25">
      <c r="A685" s="1">
        <v>43121</v>
      </c>
      <c r="B685" t="s">
        <v>21</v>
      </c>
      <c r="C685" t="s">
        <v>11</v>
      </c>
    </row>
    <row r="686" spans="1:3" x14ac:dyDescent="0.25">
      <c r="A686" s="1">
        <v>43121</v>
      </c>
      <c r="B686" t="s">
        <v>5</v>
      </c>
      <c r="C686" t="s">
        <v>19</v>
      </c>
    </row>
    <row r="687" spans="1:3" x14ac:dyDescent="0.25">
      <c r="A687" s="1">
        <v>43121</v>
      </c>
      <c r="B687" t="s">
        <v>3</v>
      </c>
      <c r="C687" t="s">
        <v>8</v>
      </c>
    </row>
    <row r="688" spans="1:3" x14ac:dyDescent="0.25">
      <c r="A688" s="1">
        <v>43122</v>
      </c>
      <c r="B688" t="s">
        <v>14</v>
      </c>
      <c r="C688" t="s">
        <v>22</v>
      </c>
    </row>
    <row r="689" spans="1:3" x14ac:dyDescent="0.25">
      <c r="A689" s="1">
        <v>43122</v>
      </c>
      <c r="B689" t="s">
        <v>6</v>
      </c>
      <c r="C689" t="s">
        <v>25</v>
      </c>
    </row>
    <row r="690" spans="1:3" x14ac:dyDescent="0.25">
      <c r="A690" s="1">
        <v>43122</v>
      </c>
      <c r="B690" t="s">
        <v>2</v>
      </c>
      <c r="C690" t="s">
        <v>116</v>
      </c>
    </row>
    <row r="691" spans="1:3" x14ac:dyDescent="0.25">
      <c r="A691" s="1">
        <v>43122</v>
      </c>
      <c r="B691" t="s">
        <v>20</v>
      </c>
      <c r="C691" t="s">
        <v>27</v>
      </c>
    </row>
    <row r="692" spans="1:3" x14ac:dyDescent="0.25">
      <c r="A692" s="1">
        <v>43122</v>
      </c>
      <c r="B692" t="s">
        <v>4</v>
      </c>
      <c r="C692" t="s">
        <v>12</v>
      </c>
    </row>
    <row r="693" spans="1:3" x14ac:dyDescent="0.25">
      <c r="A693" s="1">
        <v>43122</v>
      </c>
      <c r="B693" t="s">
        <v>29</v>
      </c>
      <c r="C693" t="s">
        <v>17</v>
      </c>
    </row>
    <row r="694" spans="1:3" x14ac:dyDescent="0.25">
      <c r="A694" s="1">
        <v>43122</v>
      </c>
      <c r="B694" t="s">
        <v>16</v>
      </c>
      <c r="C694" t="s">
        <v>9</v>
      </c>
    </row>
    <row r="695" spans="1:3" x14ac:dyDescent="0.25">
      <c r="A695" s="1">
        <v>43122</v>
      </c>
      <c r="B695" t="s">
        <v>7</v>
      </c>
      <c r="C695" t="s">
        <v>23</v>
      </c>
    </row>
    <row r="696" spans="1:3" x14ac:dyDescent="0.25">
      <c r="A696" s="1">
        <v>43122</v>
      </c>
      <c r="B696" t="s">
        <v>0</v>
      </c>
      <c r="C696" t="s">
        <v>18</v>
      </c>
    </row>
    <row r="697" spans="1:3" x14ac:dyDescent="0.25">
      <c r="A697" s="1">
        <v>43123</v>
      </c>
      <c r="B697" t="s">
        <v>24</v>
      </c>
      <c r="C697" t="s">
        <v>19</v>
      </c>
    </row>
    <row r="698" spans="1:3" x14ac:dyDescent="0.25">
      <c r="A698" s="1">
        <v>43123</v>
      </c>
      <c r="B698" t="s">
        <v>5</v>
      </c>
      <c r="C698" t="s">
        <v>10</v>
      </c>
    </row>
    <row r="699" spans="1:3" x14ac:dyDescent="0.25">
      <c r="A699" s="1">
        <v>43123</v>
      </c>
      <c r="B699" t="s">
        <v>26</v>
      </c>
      <c r="C699" t="s">
        <v>11</v>
      </c>
    </row>
    <row r="700" spans="1:3" x14ac:dyDescent="0.25">
      <c r="A700" s="1">
        <v>43123</v>
      </c>
      <c r="B700" t="s">
        <v>1</v>
      </c>
      <c r="C700" t="s">
        <v>25</v>
      </c>
    </row>
    <row r="701" spans="1:3" x14ac:dyDescent="0.25">
      <c r="A701" s="1">
        <v>43123</v>
      </c>
      <c r="B701" t="s">
        <v>3</v>
      </c>
      <c r="C701" t="s">
        <v>28</v>
      </c>
    </row>
    <row r="702" spans="1:3" x14ac:dyDescent="0.25">
      <c r="A702" s="1">
        <v>43124</v>
      </c>
      <c r="B702" t="s">
        <v>14</v>
      </c>
      <c r="C702" t="s">
        <v>15</v>
      </c>
    </row>
    <row r="703" spans="1:3" x14ac:dyDescent="0.25">
      <c r="A703" s="1">
        <v>43124</v>
      </c>
      <c r="B703" t="s">
        <v>6</v>
      </c>
      <c r="C703" t="s">
        <v>0</v>
      </c>
    </row>
    <row r="704" spans="1:3" x14ac:dyDescent="0.25">
      <c r="A704" s="1">
        <v>43124</v>
      </c>
      <c r="B704" t="s">
        <v>2</v>
      </c>
      <c r="C704" t="s">
        <v>4</v>
      </c>
    </row>
    <row r="705" spans="1:3" x14ac:dyDescent="0.25">
      <c r="A705" s="1">
        <v>43124</v>
      </c>
      <c r="B705" t="s">
        <v>21</v>
      </c>
      <c r="C705" t="s">
        <v>22</v>
      </c>
    </row>
    <row r="706" spans="1:3" x14ac:dyDescent="0.25">
      <c r="A706" s="1">
        <v>43124</v>
      </c>
      <c r="B706" t="s">
        <v>8</v>
      </c>
      <c r="C706" t="s">
        <v>23</v>
      </c>
    </row>
    <row r="707" spans="1:3" x14ac:dyDescent="0.25">
      <c r="A707" s="1">
        <v>43124</v>
      </c>
      <c r="B707" t="s">
        <v>29</v>
      </c>
      <c r="C707" t="s">
        <v>10</v>
      </c>
    </row>
    <row r="708" spans="1:3" x14ac:dyDescent="0.25">
      <c r="A708" s="1">
        <v>43124</v>
      </c>
      <c r="B708" t="s">
        <v>16</v>
      </c>
      <c r="C708" t="s">
        <v>3</v>
      </c>
    </row>
    <row r="709" spans="1:3" x14ac:dyDescent="0.25">
      <c r="A709" s="1">
        <v>43124</v>
      </c>
      <c r="B709" t="s">
        <v>9</v>
      </c>
      <c r="C709" t="s">
        <v>18</v>
      </c>
    </row>
    <row r="710" spans="1:3" x14ac:dyDescent="0.25">
      <c r="A710" s="1">
        <v>43124</v>
      </c>
      <c r="B710" t="s">
        <v>27</v>
      </c>
      <c r="C710" t="s">
        <v>17</v>
      </c>
    </row>
    <row r="711" spans="1:3" x14ac:dyDescent="0.25">
      <c r="A711" s="1">
        <v>43125</v>
      </c>
      <c r="B711" t="s">
        <v>20</v>
      </c>
      <c r="C711" t="s">
        <v>19</v>
      </c>
    </row>
    <row r="712" spans="1:3" x14ac:dyDescent="0.25">
      <c r="A712" s="1">
        <v>43125</v>
      </c>
      <c r="B712" t="s">
        <v>24</v>
      </c>
      <c r="C712" t="s">
        <v>17</v>
      </c>
    </row>
    <row r="713" spans="1:3" x14ac:dyDescent="0.25">
      <c r="A713" s="1">
        <v>43125</v>
      </c>
      <c r="B713" t="s">
        <v>12</v>
      </c>
      <c r="C713" t="s">
        <v>25</v>
      </c>
    </row>
    <row r="714" spans="1:3" x14ac:dyDescent="0.25">
      <c r="A714" s="1">
        <v>43125</v>
      </c>
      <c r="B714" t="s">
        <v>26</v>
      </c>
      <c r="C714" t="s">
        <v>116</v>
      </c>
    </row>
    <row r="715" spans="1:3" x14ac:dyDescent="0.25">
      <c r="A715" s="1">
        <v>43126</v>
      </c>
      <c r="B715" t="s">
        <v>18</v>
      </c>
      <c r="C715" t="s">
        <v>5</v>
      </c>
    </row>
    <row r="716" spans="1:3" x14ac:dyDescent="0.25">
      <c r="A716" s="1">
        <v>43126</v>
      </c>
      <c r="B716" t="s">
        <v>6</v>
      </c>
      <c r="C716" t="s">
        <v>14</v>
      </c>
    </row>
    <row r="717" spans="1:3" x14ac:dyDescent="0.25">
      <c r="A717" s="1">
        <v>43126</v>
      </c>
      <c r="B717" t="s">
        <v>28</v>
      </c>
      <c r="C717" t="s">
        <v>8</v>
      </c>
    </row>
    <row r="718" spans="1:3" x14ac:dyDescent="0.25">
      <c r="A718" s="1">
        <v>43126</v>
      </c>
      <c r="B718" t="s">
        <v>2</v>
      </c>
      <c r="C718" t="s">
        <v>27</v>
      </c>
    </row>
    <row r="719" spans="1:3" x14ac:dyDescent="0.25">
      <c r="A719" s="1">
        <v>43126</v>
      </c>
      <c r="B719" t="s">
        <v>16</v>
      </c>
      <c r="C719" t="s">
        <v>29</v>
      </c>
    </row>
    <row r="720" spans="1:3" x14ac:dyDescent="0.25">
      <c r="A720" s="1">
        <v>43126</v>
      </c>
      <c r="B720" t="s">
        <v>7</v>
      </c>
      <c r="C720" t="s">
        <v>11</v>
      </c>
    </row>
    <row r="721" spans="1:3" x14ac:dyDescent="0.25">
      <c r="A721" s="1">
        <v>43126</v>
      </c>
      <c r="B721" t="s">
        <v>0</v>
      </c>
      <c r="C721" t="s">
        <v>4</v>
      </c>
    </row>
    <row r="722" spans="1:3" x14ac:dyDescent="0.25">
      <c r="A722" s="1">
        <v>43126</v>
      </c>
      <c r="B722" t="s">
        <v>23</v>
      </c>
      <c r="C722" t="s">
        <v>19</v>
      </c>
    </row>
    <row r="723" spans="1:3" x14ac:dyDescent="0.25">
      <c r="A723" s="1">
        <v>43126</v>
      </c>
      <c r="B723" t="s">
        <v>3</v>
      </c>
      <c r="C723" t="s">
        <v>9</v>
      </c>
    </row>
    <row r="724" spans="1:3" x14ac:dyDescent="0.25">
      <c r="A724" s="1">
        <v>43126</v>
      </c>
      <c r="B724" t="s">
        <v>15</v>
      </c>
      <c r="C724" t="s">
        <v>22</v>
      </c>
    </row>
    <row r="725" spans="1:3" x14ac:dyDescent="0.25">
      <c r="A725" s="1">
        <v>43127</v>
      </c>
      <c r="B725" t="s">
        <v>14</v>
      </c>
      <c r="C725" t="s">
        <v>116</v>
      </c>
    </row>
    <row r="726" spans="1:3" x14ac:dyDescent="0.25">
      <c r="A726" s="1">
        <v>43127</v>
      </c>
      <c r="B726" t="s">
        <v>20</v>
      </c>
      <c r="C726" t="s">
        <v>2</v>
      </c>
    </row>
    <row r="727" spans="1:3" x14ac:dyDescent="0.25">
      <c r="A727" s="1">
        <v>43127</v>
      </c>
      <c r="B727" t="s">
        <v>21</v>
      </c>
      <c r="C727" t="s">
        <v>26</v>
      </c>
    </row>
    <row r="728" spans="1:3" x14ac:dyDescent="0.25">
      <c r="A728" s="1">
        <v>43127</v>
      </c>
      <c r="B728" t="s">
        <v>24</v>
      </c>
      <c r="C728" t="s">
        <v>10</v>
      </c>
    </row>
    <row r="729" spans="1:3" x14ac:dyDescent="0.25">
      <c r="A729" s="1">
        <v>43127</v>
      </c>
      <c r="B729" t="s">
        <v>8</v>
      </c>
      <c r="C729" t="s">
        <v>1</v>
      </c>
    </row>
    <row r="730" spans="1:3" x14ac:dyDescent="0.25">
      <c r="A730" s="1">
        <v>43127</v>
      </c>
      <c r="B730" t="s">
        <v>12</v>
      </c>
      <c r="C730" t="s">
        <v>6</v>
      </c>
    </row>
    <row r="731" spans="1:3" x14ac:dyDescent="0.25">
      <c r="A731" s="1">
        <v>43127</v>
      </c>
      <c r="B731" t="s">
        <v>17</v>
      </c>
      <c r="C731" t="s">
        <v>11</v>
      </c>
    </row>
    <row r="732" spans="1:3" x14ac:dyDescent="0.25">
      <c r="A732" s="1">
        <v>43128</v>
      </c>
      <c r="B732" t="s">
        <v>18</v>
      </c>
      <c r="C732" t="s">
        <v>7</v>
      </c>
    </row>
    <row r="733" spans="1:3" x14ac:dyDescent="0.25">
      <c r="A733" s="1">
        <v>43128</v>
      </c>
      <c r="B733" t="s">
        <v>28</v>
      </c>
      <c r="C733" t="s">
        <v>21</v>
      </c>
    </row>
    <row r="734" spans="1:3" x14ac:dyDescent="0.25">
      <c r="A734" s="1">
        <v>43128</v>
      </c>
      <c r="B734" t="s">
        <v>4</v>
      </c>
      <c r="C734" t="s">
        <v>23</v>
      </c>
    </row>
    <row r="735" spans="1:3" x14ac:dyDescent="0.25">
      <c r="A735" s="1">
        <v>43128</v>
      </c>
      <c r="B735" t="s">
        <v>0</v>
      </c>
      <c r="C735" t="s">
        <v>29</v>
      </c>
    </row>
    <row r="736" spans="1:3" x14ac:dyDescent="0.25">
      <c r="A736" s="1">
        <v>43128</v>
      </c>
      <c r="B736" t="s">
        <v>26</v>
      </c>
      <c r="C736" t="s">
        <v>9</v>
      </c>
    </row>
    <row r="737" spans="1:3" x14ac:dyDescent="0.25">
      <c r="A737" s="1">
        <v>43128</v>
      </c>
      <c r="B737" t="s">
        <v>3</v>
      </c>
      <c r="C737" t="s">
        <v>25</v>
      </c>
    </row>
    <row r="738" spans="1:3" x14ac:dyDescent="0.25">
      <c r="A738" s="1">
        <v>43128</v>
      </c>
      <c r="B738" t="s">
        <v>15</v>
      </c>
      <c r="C738" t="s">
        <v>5</v>
      </c>
    </row>
    <row r="739" spans="1:3" x14ac:dyDescent="0.25">
      <c r="A739" s="1">
        <v>43129</v>
      </c>
      <c r="B739" t="s">
        <v>14</v>
      </c>
      <c r="C739" t="s">
        <v>17</v>
      </c>
    </row>
    <row r="740" spans="1:3" x14ac:dyDescent="0.25">
      <c r="A740" s="1">
        <v>43129</v>
      </c>
      <c r="B740" t="s">
        <v>2</v>
      </c>
      <c r="C740" t="s">
        <v>12</v>
      </c>
    </row>
    <row r="741" spans="1:3" x14ac:dyDescent="0.25">
      <c r="A741" s="1">
        <v>43129</v>
      </c>
      <c r="B741" t="s">
        <v>20</v>
      </c>
      <c r="C741" t="s">
        <v>10</v>
      </c>
    </row>
    <row r="742" spans="1:3" x14ac:dyDescent="0.25">
      <c r="A742" s="1">
        <v>43129</v>
      </c>
      <c r="B742" t="s">
        <v>8</v>
      </c>
      <c r="C742" t="s">
        <v>6</v>
      </c>
    </row>
    <row r="743" spans="1:3" x14ac:dyDescent="0.25">
      <c r="A743" s="1">
        <v>43129</v>
      </c>
      <c r="B743" t="s">
        <v>16</v>
      </c>
      <c r="C743" t="s">
        <v>23</v>
      </c>
    </row>
    <row r="744" spans="1:3" x14ac:dyDescent="0.25">
      <c r="A744" s="1">
        <v>43129</v>
      </c>
      <c r="B744" t="s">
        <v>7</v>
      </c>
      <c r="C744" t="s">
        <v>9</v>
      </c>
    </row>
    <row r="745" spans="1:3" x14ac:dyDescent="0.25">
      <c r="A745" s="1">
        <v>43130</v>
      </c>
      <c r="B745" t="s">
        <v>21</v>
      </c>
      <c r="C745" t="s">
        <v>28</v>
      </c>
    </row>
    <row r="746" spans="1:3" x14ac:dyDescent="0.25">
      <c r="A746" s="1">
        <v>43130</v>
      </c>
      <c r="B746" t="s">
        <v>4</v>
      </c>
      <c r="C746" t="s">
        <v>1</v>
      </c>
    </row>
    <row r="747" spans="1:3" x14ac:dyDescent="0.25">
      <c r="A747" s="1">
        <v>43130</v>
      </c>
      <c r="B747" t="s">
        <v>29</v>
      </c>
      <c r="C747" t="s">
        <v>27</v>
      </c>
    </row>
    <row r="748" spans="1:3" x14ac:dyDescent="0.25">
      <c r="A748" s="1">
        <v>43130</v>
      </c>
      <c r="B748" t="s">
        <v>0</v>
      </c>
      <c r="C748" t="s">
        <v>25</v>
      </c>
    </row>
    <row r="749" spans="1:3" x14ac:dyDescent="0.25">
      <c r="A749" s="1">
        <v>43130</v>
      </c>
      <c r="B749" t="s">
        <v>19</v>
      </c>
      <c r="C749" t="s">
        <v>11</v>
      </c>
    </row>
    <row r="750" spans="1:3" x14ac:dyDescent="0.25">
      <c r="A750" s="1">
        <v>43130</v>
      </c>
      <c r="B750" t="s">
        <v>3</v>
      </c>
      <c r="C750" t="s">
        <v>20</v>
      </c>
    </row>
    <row r="751" spans="1:3" x14ac:dyDescent="0.25">
      <c r="A751" s="1">
        <v>43130</v>
      </c>
      <c r="B751" t="s">
        <v>15</v>
      </c>
      <c r="C751" t="s">
        <v>17</v>
      </c>
    </row>
    <row r="752" spans="1:3" x14ac:dyDescent="0.25">
      <c r="A752" s="1">
        <v>43130</v>
      </c>
      <c r="B752" t="s">
        <v>22</v>
      </c>
      <c r="C752" t="s">
        <v>24</v>
      </c>
    </row>
    <row r="753" spans="1:3" x14ac:dyDescent="0.25">
      <c r="A753" s="1">
        <v>43130</v>
      </c>
      <c r="B753" t="s">
        <v>116</v>
      </c>
      <c r="C753" t="s">
        <v>26</v>
      </c>
    </row>
    <row r="754" spans="1:3" x14ac:dyDescent="0.25">
      <c r="A754" s="1">
        <v>43131</v>
      </c>
      <c r="B754" t="s">
        <v>14</v>
      </c>
      <c r="C754" t="s">
        <v>6</v>
      </c>
    </row>
    <row r="755" spans="1:3" x14ac:dyDescent="0.25">
      <c r="A755" s="1">
        <v>43131</v>
      </c>
      <c r="B755" t="s">
        <v>10</v>
      </c>
      <c r="C755" t="s">
        <v>19</v>
      </c>
    </row>
    <row r="756" spans="1:3" x14ac:dyDescent="0.25">
      <c r="A756" s="1">
        <v>43131</v>
      </c>
      <c r="B756" t="s">
        <v>11</v>
      </c>
      <c r="C756" t="s">
        <v>9</v>
      </c>
    </row>
    <row r="757" spans="1:3" x14ac:dyDescent="0.25">
      <c r="A757" s="1">
        <v>43131</v>
      </c>
      <c r="B757" t="s">
        <v>28</v>
      </c>
      <c r="C757" t="s">
        <v>12</v>
      </c>
    </row>
    <row r="758" spans="1:3" x14ac:dyDescent="0.25">
      <c r="A758" s="1">
        <v>43131</v>
      </c>
      <c r="B758" t="s">
        <v>8</v>
      </c>
      <c r="C758" t="s">
        <v>16</v>
      </c>
    </row>
    <row r="759" spans="1:3" x14ac:dyDescent="0.25">
      <c r="A759" s="1">
        <v>43131</v>
      </c>
      <c r="B759" t="s">
        <v>1</v>
      </c>
      <c r="C759" t="s">
        <v>5</v>
      </c>
    </row>
    <row r="760" spans="1:3" x14ac:dyDescent="0.25">
      <c r="A760" s="1">
        <v>43131</v>
      </c>
      <c r="B760" t="s">
        <v>23</v>
      </c>
      <c r="C760" t="s">
        <v>2</v>
      </c>
    </row>
    <row r="761" spans="1:3" x14ac:dyDescent="0.25">
      <c r="A761" s="1">
        <v>43131</v>
      </c>
      <c r="B761" t="s">
        <v>27</v>
      </c>
      <c r="C761" t="s">
        <v>18</v>
      </c>
    </row>
    <row r="762" spans="1:3" x14ac:dyDescent="0.25">
      <c r="A762" s="1">
        <v>43132</v>
      </c>
      <c r="B762" t="s">
        <v>20</v>
      </c>
      <c r="C762" t="s">
        <v>26</v>
      </c>
    </row>
    <row r="763" spans="1:3" x14ac:dyDescent="0.25">
      <c r="A763" s="1">
        <v>43132</v>
      </c>
      <c r="B763" t="s">
        <v>21</v>
      </c>
      <c r="C763" t="s">
        <v>16</v>
      </c>
    </row>
    <row r="764" spans="1:3" x14ac:dyDescent="0.25">
      <c r="A764" s="1">
        <v>43132</v>
      </c>
      <c r="B764" t="s">
        <v>17</v>
      </c>
      <c r="C764" t="s">
        <v>7</v>
      </c>
    </row>
    <row r="765" spans="1:3" x14ac:dyDescent="0.25">
      <c r="A765" s="1">
        <v>43132</v>
      </c>
      <c r="B765" t="s">
        <v>3</v>
      </c>
      <c r="C765" t="s">
        <v>4</v>
      </c>
    </row>
    <row r="766" spans="1:3" x14ac:dyDescent="0.25">
      <c r="A766" s="1">
        <v>43132</v>
      </c>
      <c r="B766" t="s">
        <v>116</v>
      </c>
      <c r="C766" t="s">
        <v>15</v>
      </c>
    </row>
    <row r="767" spans="1:3" x14ac:dyDescent="0.25">
      <c r="A767" s="1">
        <v>43133</v>
      </c>
      <c r="B767" t="s">
        <v>10</v>
      </c>
      <c r="C767" t="s">
        <v>14</v>
      </c>
    </row>
    <row r="768" spans="1:3" x14ac:dyDescent="0.25">
      <c r="A768" s="1">
        <v>43133</v>
      </c>
      <c r="B768" t="s">
        <v>11</v>
      </c>
      <c r="C768" t="s">
        <v>5</v>
      </c>
    </row>
    <row r="769" spans="1:3" x14ac:dyDescent="0.25">
      <c r="A769" s="1">
        <v>43133</v>
      </c>
      <c r="B769" t="s">
        <v>6</v>
      </c>
      <c r="C769" t="s">
        <v>8</v>
      </c>
    </row>
    <row r="770" spans="1:3" x14ac:dyDescent="0.25">
      <c r="A770" s="1">
        <v>43133</v>
      </c>
      <c r="B770" t="s">
        <v>7</v>
      </c>
      <c r="C770" t="s">
        <v>19</v>
      </c>
    </row>
    <row r="771" spans="1:3" x14ac:dyDescent="0.25">
      <c r="A771" s="1">
        <v>43133</v>
      </c>
      <c r="B771" t="s">
        <v>26</v>
      </c>
      <c r="C771" t="s">
        <v>0</v>
      </c>
    </row>
    <row r="772" spans="1:3" x14ac:dyDescent="0.25">
      <c r="A772" s="1">
        <v>43133</v>
      </c>
      <c r="B772" t="s">
        <v>9</v>
      </c>
      <c r="C772" t="s">
        <v>12</v>
      </c>
    </row>
    <row r="773" spans="1:3" x14ac:dyDescent="0.25">
      <c r="A773" s="1">
        <v>43133</v>
      </c>
      <c r="B773" t="s">
        <v>23</v>
      </c>
      <c r="C773" t="s">
        <v>22</v>
      </c>
    </row>
    <row r="774" spans="1:3" x14ac:dyDescent="0.25">
      <c r="A774" s="1">
        <v>43133</v>
      </c>
      <c r="B774" t="s">
        <v>25</v>
      </c>
      <c r="C774" t="s">
        <v>24</v>
      </c>
    </row>
    <row r="775" spans="1:3" x14ac:dyDescent="0.25">
      <c r="A775" s="1">
        <v>43133</v>
      </c>
      <c r="B775" t="s">
        <v>15</v>
      </c>
      <c r="C775" t="s">
        <v>27</v>
      </c>
    </row>
    <row r="776" spans="1:3" x14ac:dyDescent="0.25">
      <c r="A776" s="1">
        <v>43134</v>
      </c>
      <c r="B776" t="s">
        <v>28</v>
      </c>
      <c r="C776" t="s">
        <v>4</v>
      </c>
    </row>
    <row r="777" spans="1:3" x14ac:dyDescent="0.25">
      <c r="A777" s="1">
        <v>43134</v>
      </c>
      <c r="B777" t="s">
        <v>20</v>
      </c>
      <c r="C777" t="s">
        <v>24</v>
      </c>
    </row>
    <row r="778" spans="1:3" x14ac:dyDescent="0.25">
      <c r="A778" s="1">
        <v>43134</v>
      </c>
      <c r="B778" t="s">
        <v>21</v>
      </c>
      <c r="C778" t="s">
        <v>12</v>
      </c>
    </row>
    <row r="779" spans="1:3" x14ac:dyDescent="0.25">
      <c r="A779" s="1">
        <v>43134</v>
      </c>
      <c r="B779" t="s">
        <v>8</v>
      </c>
      <c r="C779" t="s">
        <v>9</v>
      </c>
    </row>
    <row r="780" spans="1:3" x14ac:dyDescent="0.25">
      <c r="A780" s="1">
        <v>43134</v>
      </c>
      <c r="B780" t="s">
        <v>29</v>
      </c>
      <c r="C780" t="s">
        <v>18</v>
      </c>
    </row>
    <row r="781" spans="1:3" x14ac:dyDescent="0.25">
      <c r="A781" s="1">
        <v>43134</v>
      </c>
      <c r="B781" t="s">
        <v>17</v>
      </c>
      <c r="C781" t="s">
        <v>0</v>
      </c>
    </row>
    <row r="782" spans="1:3" x14ac:dyDescent="0.25">
      <c r="A782" s="1">
        <v>43134</v>
      </c>
      <c r="B782" t="s">
        <v>1</v>
      </c>
      <c r="C782" t="s">
        <v>116</v>
      </c>
    </row>
    <row r="783" spans="1:3" x14ac:dyDescent="0.25">
      <c r="A783" s="1">
        <v>43134</v>
      </c>
      <c r="B783" t="s">
        <v>25</v>
      </c>
      <c r="C783" t="s">
        <v>2</v>
      </c>
    </row>
    <row r="784" spans="1:3" x14ac:dyDescent="0.25">
      <c r="A784" s="1">
        <v>43134</v>
      </c>
      <c r="B784" t="s">
        <v>3</v>
      </c>
      <c r="C784" t="s">
        <v>22</v>
      </c>
    </row>
    <row r="785" spans="1:3" x14ac:dyDescent="0.25">
      <c r="A785" s="1">
        <v>43135</v>
      </c>
      <c r="B785" t="s">
        <v>10</v>
      </c>
      <c r="C785" t="s">
        <v>27</v>
      </c>
    </row>
    <row r="786" spans="1:3" x14ac:dyDescent="0.25">
      <c r="A786" s="1">
        <v>43135</v>
      </c>
      <c r="B786" t="s">
        <v>11</v>
      </c>
      <c r="C786" t="s">
        <v>7</v>
      </c>
    </row>
    <row r="787" spans="1:3" x14ac:dyDescent="0.25">
      <c r="A787" s="1">
        <v>43135</v>
      </c>
      <c r="B787" t="s">
        <v>19</v>
      </c>
      <c r="C787" t="s">
        <v>14</v>
      </c>
    </row>
    <row r="788" spans="1:3" x14ac:dyDescent="0.25">
      <c r="A788" s="1">
        <v>43135</v>
      </c>
      <c r="B788" t="s">
        <v>26</v>
      </c>
      <c r="C788" t="s">
        <v>5</v>
      </c>
    </row>
    <row r="789" spans="1:3" x14ac:dyDescent="0.25">
      <c r="A789" s="1">
        <v>43135</v>
      </c>
      <c r="B789" t="s">
        <v>23</v>
      </c>
      <c r="C789" t="s">
        <v>6</v>
      </c>
    </row>
    <row r="790" spans="1:3" x14ac:dyDescent="0.25">
      <c r="A790" s="1">
        <v>43135</v>
      </c>
      <c r="B790" t="s">
        <v>15</v>
      </c>
      <c r="C790" t="s">
        <v>16</v>
      </c>
    </row>
    <row r="791" spans="1:3" x14ac:dyDescent="0.25">
      <c r="A791" s="1">
        <v>43136</v>
      </c>
      <c r="B791" t="s">
        <v>20</v>
      </c>
      <c r="C791" t="s">
        <v>6</v>
      </c>
    </row>
    <row r="792" spans="1:3" x14ac:dyDescent="0.25">
      <c r="A792" s="1">
        <v>43136</v>
      </c>
      <c r="B792" t="s">
        <v>21</v>
      </c>
      <c r="C792" t="s">
        <v>27</v>
      </c>
    </row>
    <row r="793" spans="1:3" x14ac:dyDescent="0.25">
      <c r="A793" s="1">
        <v>43136</v>
      </c>
      <c r="B793" t="s">
        <v>8</v>
      </c>
      <c r="C793" t="s">
        <v>116</v>
      </c>
    </row>
    <row r="794" spans="1:3" x14ac:dyDescent="0.25">
      <c r="A794" s="1">
        <v>43136</v>
      </c>
      <c r="B794" t="s">
        <v>29</v>
      </c>
      <c r="C794" t="s">
        <v>2</v>
      </c>
    </row>
    <row r="795" spans="1:3" x14ac:dyDescent="0.25">
      <c r="A795" s="1">
        <v>43136</v>
      </c>
      <c r="B795" t="s">
        <v>12</v>
      </c>
      <c r="C795" t="s">
        <v>1</v>
      </c>
    </row>
    <row r="796" spans="1:3" x14ac:dyDescent="0.25">
      <c r="A796" s="1">
        <v>43136</v>
      </c>
      <c r="B796" t="s">
        <v>0</v>
      </c>
      <c r="C796" t="s">
        <v>22</v>
      </c>
    </row>
    <row r="797" spans="1:3" x14ac:dyDescent="0.25">
      <c r="A797" s="1">
        <v>43136</v>
      </c>
      <c r="B797" t="s">
        <v>25</v>
      </c>
      <c r="C797" t="s">
        <v>18</v>
      </c>
    </row>
    <row r="798" spans="1:3" x14ac:dyDescent="0.25">
      <c r="A798" s="1">
        <v>43137</v>
      </c>
      <c r="B798" t="s">
        <v>14</v>
      </c>
      <c r="C798" t="s">
        <v>16</v>
      </c>
    </row>
    <row r="799" spans="1:3" x14ac:dyDescent="0.25">
      <c r="A799" s="1">
        <v>43137</v>
      </c>
      <c r="B799" t="s">
        <v>11</v>
      </c>
      <c r="C799" t="s">
        <v>4</v>
      </c>
    </row>
    <row r="800" spans="1:3" x14ac:dyDescent="0.25">
      <c r="A800" s="1">
        <v>43137</v>
      </c>
      <c r="B800" t="s">
        <v>24</v>
      </c>
      <c r="C800" t="s">
        <v>26</v>
      </c>
    </row>
    <row r="801" spans="1:3" x14ac:dyDescent="0.25">
      <c r="A801" s="1">
        <v>43137</v>
      </c>
      <c r="B801" t="s">
        <v>5</v>
      </c>
      <c r="C801" t="s">
        <v>23</v>
      </c>
    </row>
    <row r="802" spans="1:3" x14ac:dyDescent="0.25">
      <c r="A802" s="1">
        <v>43137</v>
      </c>
      <c r="B802" t="s">
        <v>19</v>
      </c>
      <c r="C802" t="s">
        <v>7</v>
      </c>
    </row>
    <row r="803" spans="1:3" x14ac:dyDescent="0.25">
      <c r="A803" s="1">
        <v>43137</v>
      </c>
      <c r="B803" t="s">
        <v>1</v>
      </c>
      <c r="C803" t="s">
        <v>28</v>
      </c>
    </row>
    <row r="804" spans="1:3" x14ac:dyDescent="0.25">
      <c r="A804" s="1">
        <v>43137</v>
      </c>
      <c r="B804" t="s">
        <v>9</v>
      </c>
      <c r="C804" t="s">
        <v>116</v>
      </c>
    </row>
    <row r="805" spans="1:3" x14ac:dyDescent="0.25">
      <c r="A805" s="1">
        <v>43137</v>
      </c>
      <c r="B805" t="s">
        <v>15</v>
      </c>
      <c r="C805" t="s">
        <v>10</v>
      </c>
    </row>
    <row r="806" spans="1:3" x14ac:dyDescent="0.25">
      <c r="A806" s="1">
        <v>43138</v>
      </c>
      <c r="B806" t="s">
        <v>28</v>
      </c>
      <c r="C806" t="s">
        <v>17</v>
      </c>
    </row>
    <row r="807" spans="1:3" x14ac:dyDescent="0.25">
      <c r="A807" s="1">
        <v>43138</v>
      </c>
      <c r="B807" t="s">
        <v>21</v>
      </c>
      <c r="C807" t="s">
        <v>11</v>
      </c>
    </row>
    <row r="808" spans="1:3" x14ac:dyDescent="0.25">
      <c r="A808" s="1">
        <v>43138</v>
      </c>
      <c r="B808" t="s">
        <v>16</v>
      </c>
      <c r="C808" t="s">
        <v>22</v>
      </c>
    </row>
    <row r="809" spans="1:3" x14ac:dyDescent="0.25">
      <c r="A809" s="1">
        <v>43138</v>
      </c>
      <c r="B809" t="s">
        <v>12</v>
      </c>
      <c r="C809" t="s">
        <v>4</v>
      </c>
    </row>
    <row r="810" spans="1:3" x14ac:dyDescent="0.25">
      <c r="A810" s="1">
        <v>43138</v>
      </c>
      <c r="B810" t="s">
        <v>0</v>
      </c>
      <c r="C810" t="s">
        <v>8</v>
      </c>
    </row>
    <row r="811" spans="1:3" x14ac:dyDescent="0.25">
      <c r="A811" s="1">
        <v>43138</v>
      </c>
      <c r="B811" t="s">
        <v>23</v>
      </c>
      <c r="C811" t="s">
        <v>3</v>
      </c>
    </row>
    <row r="812" spans="1:3" x14ac:dyDescent="0.25">
      <c r="A812" s="1">
        <v>43139</v>
      </c>
      <c r="B812" t="s">
        <v>24</v>
      </c>
      <c r="C812" t="s">
        <v>2</v>
      </c>
    </row>
    <row r="813" spans="1:3" x14ac:dyDescent="0.25">
      <c r="A813" s="1">
        <v>43139</v>
      </c>
      <c r="B813" t="s">
        <v>5</v>
      </c>
      <c r="C813" t="s">
        <v>26</v>
      </c>
    </row>
    <row r="814" spans="1:3" x14ac:dyDescent="0.25">
      <c r="A814" s="1">
        <v>43139</v>
      </c>
      <c r="B814" t="s">
        <v>1</v>
      </c>
      <c r="C814" t="s">
        <v>14</v>
      </c>
    </row>
    <row r="815" spans="1:3" x14ac:dyDescent="0.25">
      <c r="A815" s="1">
        <v>43139</v>
      </c>
      <c r="B815" t="s">
        <v>27</v>
      </c>
      <c r="C815" t="s">
        <v>6</v>
      </c>
    </row>
    <row r="816" spans="1:3" x14ac:dyDescent="0.25">
      <c r="A816" s="1">
        <v>43139</v>
      </c>
      <c r="B816" t="s">
        <v>15</v>
      </c>
      <c r="C816" t="s">
        <v>19</v>
      </c>
    </row>
    <row r="817" spans="1:3" x14ac:dyDescent="0.25">
      <c r="A817" s="1">
        <v>43139</v>
      </c>
      <c r="B817" t="s">
        <v>116</v>
      </c>
      <c r="C817" t="s">
        <v>10</v>
      </c>
    </row>
    <row r="818" spans="1:3" x14ac:dyDescent="0.25">
      <c r="A818" s="1">
        <v>43140</v>
      </c>
      <c r="B818" t="s">
        <v>14</v>
      </c>
      <c r="C818" t="s">
        <v>28</v>
      </c>
    </row>
    <row r="819" spans="1:3" x14ac:dyDescent="0.25">
      <c r="A819" s="1">
        <v>43140</v>
      </c>
      <c r="B819" t="s">
        <v>10</v>
      </c>
      <c r="C819" t="s">
        <v>8</v>
      </c>
    </row>
    <row r="820" spans="1:3" x14ac:dyDescent="0.25">
      <c r="A820" s="1">
        <v>43140</v>
      </c>
      <c r="B820" t="s">
        <v>18</v>
      </c>
      <c r="C820" t="s">
        <v>17</v>
      </c>
    </row>
    <row r="821" spans="1:3" x14ac:dyDescent="0.25">
      <c r="A821" s="1">
        <v>43140</v>
      </c>
      <c r="B821" t="s">
        <v>21</v>
      </c>
      <c r="C821" t="s">
        <v>29</v>
      </c>
    </row>
    <row r="822" spans="1:3" x14ac:dyDescent="0.25">
      <c r="A822" s="1">
        <v>43140</v>
      </c>
      <c r="B822" t="s">
        <v>4</v>
      </c>
      <c r="C822" t="s">
        <v>20</v>
      </c>
    </row>
    <row r="823" spans="1:3" x14ac:dyDescent="0.25">
      <c r="A823" s="1">
        <v>43140</v>
      </c>
      <c r="B823" t="s">
        <v>12</v>
      </c>
      <c r="C823" t="s">
        <v>7</v>
      </c>
    </row>
    <row r="824" spans="1:3" x14ac:dyDescent="0.25">
      <c r="A824" s="1">
        <v>43140</v>
      </c>
      <c r="B824" t="s">
        <v>9</v>
      </c>
      <c r="C824" t="s">
        <v>0</v>
      </c>
    </row>
    <row r="825" spans="1:3" x14ac:dyDescent="0.25">
      <c r="A825" s="1">
        <v>43140</v>
      </c>
      <c r="B825" t="s">
        <v>25</v>
      </c>
      <c r="C825" t="s">
        <v>27</v>
      </c>
    </row>
    <row r="826" spans="1:3" x14ac:dyDescent="0.25">
      <c r="A826" s="1">
        <v>43140</v>
      </c>
      <c r="B826" t="s">
        <v>22</v>
      </c>
      <c r="C826" t="s">
        <v>6</v>
      </c>
    </row>
    <row r="827" spans="1:3" x14ac:dyDescent="0.25">
      <c r="A827" s="1">
        <v>43141</v>
      </c>
      <c r="B827" t="s">
        <v>11</v>
      </c>
      <c r="C827" t="s">
        <v>0</v>
      </c>
    </row>
    <row r="828" spans="1:3" x14ac:dyDescent="0.25">
      <c r="A828" s="1">
        <v>43141</v>
      </c>
      <c r="B828" t="s">
        <v>18</v>
      </c>
      <c r="C828" t="s">
        <v>116</v>
      </c>
    </row>
    <row r="829" spans="1:3" x14ac:dyDescent="0.25">
      <c r="A829" s="1">
        <v>43141</v>
      </c>
      <c r="B829" t="s">
        <v>2</v>
      </c>
      <c r="C829" t="s">
        <v>5</v>
      </c>
    </row>
    <row r="830" spans="1:3" x14ac:dyDescent="0.25">
      <c r="A830" s="1">
        <v>43141</v>
      </c>
      <c r="B830" t="s">
        <v>24</v>
      </c>
      <c r="C830" t="s">
        <v>3</v>
      </c>
    </row>
    <row r="831" spans="1:3" x14ac:dyDescent="0.25">
      <c r="A831" s="1">
        <v>43141</v>
      </c>
      <c r="B831" t="s">
        <v>1</v>
      </c>
      <c r="C831" t="s">
        <v>7</v>
      </c>
    </row>
    <row r="832" spans="1:3" x14ac:dyDescent="0.25">
      <c r="A832" s="1">
        <v>43141</v>
      </c>
      <c r="B832" t="s">
        <v>9</v>
      </c>
      <c r="C832" t="s">
        <v>29</v>
      </c>
    </row>
    <row r="833" spans="1:3" x14ac:dyDescent="0.25">
      <c r="A833" s="1">
        <v>43141</v>
      </c>
      <c r="B833" t="s">
        <v>23</v>
      </c>
      <c r="C833" t="s">
        <v>20</v>
      </c>
    </row>
    <row r="834" spans="1:3" x14ac:dyDescent="0.25">
      <c r="A834" s="1">
        <v>43142</v>
      </c>
      <c r="B834" t="s">
        <v>14</v>
      </c>
      <c r="C834" t="s">
        <v>21</v>
      </c>
    </row>
    <row r="835" spans="1:3" x14ac:dyDescent="0.25">
      <c r="A835" s="1">
        <v>43142</v>
      </c>
      <c r="B835" t="s">
        <v>10</v>
      </c>
      <c r="C835" t="s">
        <v>28</v>
      </c>
    </row>
    <row r="836" spans="1:3" x14ac:dyDescent="0.25">
      <c r="A836" s="1">
        <v>43142</v>
      </c>
      <c r="B836" t="s">
        <v>6</v>
      </c>
      <c r="C836" t="s">
        <v>15</v>
      </c>
    </row>
    <row r="837" spans="1:3" x14ac:dyDescent="0.25">
      <c r="A837" s="1">
        <v>43142</v>
      </c>
      <c r="B837" t="s">
        <v>4</v>
      </c>
      <c r="C837" t="s">
        <v>2</v>
      </c>
    </row>
    <row r="838" spans="1:3" x14ac:dyDescent="0.25">
      <c r="A838" s="1">
        <v>43142</v>
      </c>
      <c r="B838" t="s">
        <v>8</v>
      </c>
      <c r="C838" t="s">
        <v>19</v>
      </c>
    </row>
    <row r="839" spans="1:3" x14ac:dyDescent="0.25">
      <c r="A839" s="1">
        <v>43142</v>
      </c>
      <c r="B839" t="s">
        <v>17</v>
      </c>
      <c r="C839" t="s">
        <v>25</v>
      </c>
    </row>
    <row r="840" spans="1:3" x14ac:dyDescent="0.25">
      <c r="A840" s="1">
        <v>43142</v>
      </c>
      <c r="B840" t="s">
        <v>26</v>
      </c>
      <c r="C840" t="s">
        <v>16</v>
      </c>
    </row>
    <row r="841" spans="1:3" x14ac:dyDescent="0.25">
      <c r="A841" s="1">
        <v>43142</v>
      </c>
      <c r="B841" t="s">
        <v>27</v>
      </c>
      <c r="C841" t="s">
        <v>22</v>
      </c>
    </row>
    <row r="842" spans="1:3" x14ac:dyDescent="0.25">
      <c r="A842" s="1">
        <v>43143</v>
      </c>
      <c r="B842" t="s">
        <v>11</v>
      </c>
      <c r="C842" t="s">
        <v>29</v>
      </c>
    </row>
    <row r="843" spans="1:3" x14ac:dyDescent="0.25">
      <c r="A843" s="1">
        <v>43143</v>
      </c>
      <c r="B843" t="s">
        <v>18</v>
      </c>
      <c r="C843" t="s">
        <v>1</v>
      </c>
    </row>
    <row r="844" spans="1:3" x14ac:dyDescent="0.25">
      <c r="A844" s="1">
        <v>43143</v>
      </c>
      <c r="B844" t="s">
        <v>21</v>
      </c>
      <c r="C844" t="s">
        <v>0</v>
      </c>
    </row>
    <row r="845" spans="1:3" x14ac:dyDescent="0.25">
      <c r="A845" s="1">
        <v>43143</v>
      </c>
      <c r="B845" t="s">
        <v>24</v>
      </c>
      <c r="C845" t="s">
        <v>23</v>
      </c>
    </row>
    <row r="846" spans="1:3" x14ac:dyDescent="0.25">
      <c r="A846" s="1">
        <v>43143</v>
      </c>
      <c r="B846" t="s">
        <v>9</v>
      </c>
      <c r="C846" t="s">
        <v>19</v>
      </c>
    </row>
    <row r="847" spans="1:3" x14ac:dyDescent="0.25">
      <c r="A847" s="1">
        <v>43143</v>
      </c>
      <c r="B847" t="s">
        <v>22</v>
      </c>
      <c r="C847" t="s">
        <v>3</v>
      </c>
    </row>
    <row r="848" spans="1:3" x14ac:dyDescent="0.25">
      <c r="A848" s="1">
        <v>43144</v>
      </c>
      <c r="B848" t="s">
        <v>2</v>
      </c>
      <c r="C848" t="s">
        <v>25</v>
      </c>
    </row>
    <row r="849" spans="1:3" x14ac:dyDescent="0.25">
      <c r="A849" s="1">
        <v>43144</v>
      </c>
      <c r="B849" t="s">
        <v>20</v>
      </c>
      <c r="C849" t="s">
        <v>3</v>
      </c>
    </row>
    <row r="850" spans="1:3" x14ac:dyDescent="0.25">
      <c r="A850" s="1">
        <v>43144</v>
      </c>
      <c r="B850" t="s">
        <v>7</v>
      </c>
      <c r="C850" t="s">
        <v>14</v>
      </c>
    </row>
    <row r="851" spans="1:3" x14ac:dyDescent="0.25">
      <c r="A851" s="1">
        <v>43144</v>
      </c>
      <c r="B851" t="s">
        <v>17</v>
      </c>
      <c r="C851" t="s">
        <v>4</v>
      </c>
    </row>
    <row r="852" spans="1:3" x14ac:dyDescent="0.25">
      <c r="A852" s="1">
        <v>43144</v>
      </c>
      <c r="B852" t="s">
        <v>26</v>
      </c>
      <c r="C852" t="s">
        <v>28</v>
      </c>
    </row>
    <row r="853" spans="1:3" x14ac:dyDescent="0.25">
      <c r="A853" s="1">
        <v>43144</v>
      </c>
      <c r="B853" t="s">
        <v>15</v>
      </c>
      <c r="C853" t="s">
        <v>12</v>
      </c>
    </row>
    <row r="854" spans="1:3" x14ac:dyDescent="0.25">
      <c r="A854" s="1">
        <v>43145</v>
      </c>
      <c r="B854" t="s">
        <v>10</v>
      </c>
      <c r="C854" t="s">
        <v>29</v>
      </c>
    </row>
    <row r="855" spans="1:3" x14ac:dyDescent="0.25">
      <c r="A855" s="1">
        <v>43145</v>
      </c>
      <c r="B855" t="s">
        <v>11</v>
      </c>
      <c r="C855" t="s">
        <v>8</v>
      </c>
    </row>
    <row r="856" spans="1:3" x14ac:dyDescent="0.25">
      <c r="A856" s="1">
        <v>43145</v>
      </c>
      <c r="B856" t="s">
        <v>18</v>
      </c>
      <c r="C856" t="s">
        <v>15</v>
      </c>
    </row>
    <row r="857" spans="1:3" x14ac:dyDescent="0.25">
      <c r="A857" s="1">
        <v>43145</v>
      </c>
      <c r="B857" t="s">
        <v>21</v>
      </c>
      <c r="C857" t="s">
        <v>14</v>
      </c>
    </row>
    <row r="858" spans="1:3" x14ac:dyDescent="0.25">
      <c r="A858" s="1">
        <v>43145</v>
      </c>
      <c r="B858" t="s">
        <v>4</v>
      </c>
      <c r="C858" t="s">
        <v>25</v>
      </c>
    </row>
    <row r="859" spans="1:3" x14ac:dyDescent="0.25">
      <c r="A859" s="1">
        <v>43145</v>
      </c>
      <c r="B859" t="s">
        <v>16</v>
      </c>
      <c r="C859" t="s">
        <v>26</v>
      </c>
    </row>
    <row r="860" spans="1:3" x14ac:dyDescent="0.25">
      <c r="A860" s="1">
        <v>43145</v>
      </c>
      <c r="B860" t="s">
        <v>0</v>
      </c>
      <c r="C860" t="s">
        <v>5</v>
      </c>
    </row>
    <row r="861" spans="1:3" x14ac:dyDescent="0.25">
      <c r="A861" s="1">
        <v>43145</v>
      </c>
      <c r="B861" t="s">
        <v>19</v>
      </c>
      <c r="C861" t="s">
        <v>116</v>
      </c>
    </row>
    <row r="862" spans="1:3" x14ac:dyDescent="0.25">
      <c r="A862" s="1">
        <v>43145</v>
      </c>
      <c r="B862" t="s">
        <v>1</v>
      </c>
      <c r="C862" t="s">
        <v>6</v>
      </c>
    </row>
    <row r="863" spans="1:3" x14ac:dyDescent="0.25">
      <c r="A863" s="1">
        <v>43145</v>
      </c>
      <c r="B863" t="s">
        <v>9</v>
      </c>
      <c r="C863" t="s">
        <v>12</v>
      </c>
    </row>
    <row r="864" spans="1:3" x14ac:dyDescent="0.25">
      <c r="A864" s="1">
        <v>43145</v>
      </c>
      <c r="B864" t="s">
        <v>27</v>
      </c>
      <c r="C864" t="s">
        <v>24</v>
      </c>
    </row>
    <row r="865" spans="1:3" x14ac:dyDescent="0.25">
      <c r="A865" s="1">
        <v>43145</v>
      </c>
      <c r="B865" t="s">
        <v>22</v>
      </c>
      <c r="C865" t="s">
        <v>23</v>
      </c>
    </row>
    <row r="866" spans="1:3" x14ac:dyDescent="0.25">
      <c r="A866" s="1">
        <v>43146</v>
      </c>
      <c r="B866" t="s">
        <v>7</v>
      </c>
      <c r="C866" t="s">
        <v>20</v>
      </c>
    </row>
    <row r="867" spans="1:3" x14ac:dyDescent="0.25">
      <c r="A867" s="1">
        <v>43146</v>
      </c>
      <c r="B867" t="s">
        <v>17</v>
      </c>
      <c r="C867" t="s">
        <v>5</v>
      </c>
    </row>
    <row r="868" spans="1:3" x14ac:dyDescent="0.25">
      <c r="A868" s="1">
        <v>43153</v>
      </c>
      <c r="B868" t="s">
        <v>18</v>
      </c>
      <c r="C868" t="s">
        <v>9</v>
      </c>
    </row>
    <row r="869" spans="1:3" x14ac:dyDescent="0.25">
      <c r="A869" s="1">
        <v>43153</v>
      </c>
      <c r="B869" t="s">
        <v>6</v>
      </c>
      <c r="C869" t="s">
        <v>11</v>
      </c>
    </row>
    <row r="870" spans="1:3" x14ac:dyDescent="0.25">
      <c r="A870" s="1">
        <v>43153</v>
      </c>
      <c r="B870" t="s">
        <v>28</v>
      </c>
      <c r="C870" t="s">
        <v>116</v>
      </c>
    </row>
    <row r="871" spans="1:3" x14ac:dyDescent="0.25">
      <c r="A871" s="1">
        <v>43153</v>
      </c>
      <c r="B871" t="s">
        <v>24</v>
      </c>
      <c r="C871" t="s">
        <v>29</v>
      </c>
    </row>
    <row r="872" spans="1:3" x14ac:dyDescent="0.25">
      <c r="A872" s="1">
        <v>43153</v>
      </c>
      <c r="B872" t="s">
        <v>1</v>
      </c>
      <c r="C872" t="s">
        <v>19</v>
      </c>
    </row>
    <row r="873" spans="1:3" x14ac:dyDescent="0.25">
      <c r="A873" s="1">
        <v>43153</v>
      </c>
      <c r="B873" t="s">
        <v>25</v>
      </c>
      <c r="C873" t="s">
        <v>26</v>
      </c>
    </row>
    <row r="874" spans="1:3" x14ac:dyDescent="0.25">
      <c r="A874" s="1">
        <v>43154</v>
      </c>
      <c r="B874" t="s">
        <v>20</v>
      </c>
      <c r="C874" t="s">
        <v>3</v>
      </c>
    </row>
    <row r="875" spans="1:3" x14ac:dyDescent="0.25">
      <c r="A875" s="1">
        <v>43154</v>
      </c>
      <c r="B875" t="s">
        <v>21</v>
      </c>
      <c r="C875" t="s">
        <v>10</v>
      </c>
    </row>
    <row r="876" spans="1:3" x14ac:dyDescent="0.25">
      <c r="A876" s="1">
        <v>43154</v>
      </c>
      <c r="B876" t="s">
        <v>4</v>
      </c>
      <c r="C876" t="s">
        <v>17</v>
      </c>
    </row>
    <row r="877" spans="1:3" x14ac:dyDescent="0.25">
      <c r="A877" s="1">
        <v>43154</v>
      </c>
      <c r="B877" t="s">
        <v>8</v>
      </c>
      <c r="C877" t="s">
        <v>14</v>
      </c>
    </row>
    <row r="878" spans="1:3" x14ac:dyDescent="0.25">
      <c r="A878" s="1">
        <v>43154</v>
      </c>
      <c r="B878" t="s">
        <v>5</v>
      </c>
      <c r="C878" t="s">
        <v>2</v>
      </c>
    </row>
    <row r="879" spans="1:3" x14ac:dyDescent="0.25">
      <c r="A879" s="1">
        <v>43154</v>
      </c>
      <c r="B879" t="s">
        <v>16</v>
      </c>
      <c r="C879" t="s">
        <v>28</v>
      </c>
    </row>
    <row r="880" spans="1:3" x14ac:dyDescent="0.25">
      <c r="A880" s="1">
        <v>43154</v>
      </c>
      <c r="B880" t="s">
        <v>0</v>
      </c>
      <c r="C880" t="s">
        <v>12</v>
      </c>
    </row>
    <row r="881" spans="1:3" x14ac:dyDescent="0.25">
      <c r="A881" s="1">
        <v>43154</v>
      </c>
      <c r="B881" t="s">
        <v>23</v>
      </c>
      <c r="C881" t="s">
        <v>29</v>
      </c>
    </row>
    <row r="882" spans="1:3" x14ac:dyDescent="0.25">
      <c r="A882" s="1">
        <v>43154</v>
      </c>
      <c r="B882" t="s">
        <v>15</v>
      </c>
      <c r="C882" t="s">
        <v>7</v>
      </c>
    </row>
    <row r="883" spans="1:3" x14ac:dyDescent="0.25">
      <c r="A883" s="1">
        <v>43154</v>
      </c>
      <c r="B883" t="s">
        <v>22</v>
      </c>
      <c r="C883" t="s">
        <v>27</v>
      </c>
    </row>
    <row r="884" spans="1:3" x14ac:dyDescent="0.25">
      <c r="A884" s="1">
        <v>43154</v>
      </c>
      <c r="B884" t="s">
        <v>116</v>
      </c>
      <c r="C884" t="s">
        <v>6</v>
      </c>
    </row>
    <row r="885" spans="1:3" x14ac:dyDescent="0.25">
      <c r="A885" s="1">
        <v>43155</v>
      </c>
      <c r="B885" t="s">
        <v>24</v>
      </c>
      <c r="C885" t="s">
        <v>26</v>
      </c>
    </row>
    <row r="886" spans="1:3" x14ac:dyDescent="0.25">
      <c r="A886" s="1">
        <v>43155</v>
      </c>
      <c r="B886" t="s">
        <v>12</v>
      </c>
      <c r="C886" t="s">
        <v>16</v>
      </c>
    </row>
    <row r="887" spans="1:3" x14ac:dyDescent="0.25">
      <c r="A887" s="1">
        <v>43155</v>
      </c>
      <c r="B887" t="s">
        <v>17</v>
      </c>
      <c r="C887" t="s">
        <v>18</v>
      </c>
    </row>
    <row r="888" spans="1:3" x14ac:dyDescent="0.25">
      <c r="A888" s="1">
        <v>43155</v>
      </c>
      <c r="B888" t="s">
        <v>19</v>
      </c>
      <c r="C888" t="s">
        <v>10</v>
      </c>
    </row>
    <row r="889" spans="1:3" x14ac:dyDescent="0.25">
      <c r="A889" s="1">
        <v>43155</v>
      </c>
      <c r="B889" t="s">
        <v>9</v>
      </c>
      <c r="C889" t="s">
        <v>1</v>
      </c>
    </row>
    <row r="890" spans="1:3" x14ac:dyDescent="0.25">
      <c r="A890" s="1">
        <v>43155</v>
      </c>
      <c r="B890" t="s">
        <v>23</v>
      </c>
      <c r="C890" t="s">
        <v>27</v>
      </c>
    </row>
    <row r="891" spans="1:3" x14ac:dyDescent="0.25">
      <c r="A891" s="1">
        <v>43155</v>
      </c>
      <c r="B891" t="s">
        <v>25</v>
      </c>
      <c r="C891" t="s">
        <v>5</v>
      </c>
    </row>
    <row r="892" spans="1:3" x14ac:dyDescent="0.25">
      <c r="A892" s="1">
        <v>43155</v>
      </c>
      <c r="B892" t="s">
        <v>22</v>
      </c>
      <c r="C892" t="s">
        <v>2</v>
      </c>
    </row>
    <row r="893" spans="1:3" x14ac:dyDescent="0.25">
      <c r="A893" s="1">
        <v>43156</v>
      </c>
      <c r="B893" t="s">
        <v>6</v>
      </c>
      <c r="C893" t="s">
        <v>21</v>
      </c>
    </row>
    <row r="894" spans="1:3" x14ac:dyDescent="0.25">
      <c r="A894" s="1">
        <v>43156</v>
      </c>
      <c r="B894" t="s">
        <v>28</v>
      </c>
      <c r="C894" t="s">
        <v>3</v>
      </c>
    </row>
    <row r="895" spans="1:3" x14ac:dyDescent="0.25">
      <c r="A895" s="1">
        <v>43156</v>
      </c>
      <c r="B895" t="s">
        <v>20</v>
      </c>
      <c r="C895" t="s">
        <v>4</v>
      </c>
    </row>
    <row r="896" spans="1:3" x14ac:dyDescent="0.25">
      <c r="A896" s="1">
        <v>43156</v>
      </c>
      <c r="B896" t="s">
        <v>7</v>
      </c>
      <c r="C896" t="s">
        <v>0</v>
      </c>
    </row>
    <row r="897" spans="1:3" x14ac:dyDescent="0.25">
      <c r="A897" s="1">
        <v>43156</v>
      </c>
      <c r="B897" t="s">
        <v>116</v>
      </c>
      <c r="C897" t="s">
        <v>9</v>
      </c>
    </row>
    <row r="898" spans="1:3" x14ac:dyDescent="0.25">
      <c r="A898" s="1">
        <v>43157</v>
      </c>
      <c r="B898" t="s">
        <v>14</v>
      </c>
      <c r="C898" t="s">
        <v>5</v>
      </c>
    </row>
    <row r="899" spans="1:3" x14ac:dyDescent="0.25">
      <c r="A899" s="1">
        <v>43157</v>
      </c>
      <c r="B899" t="s">
        <v>10</v>
      </c>
      <c r="C899" t="s">
        <v>16</v>
      </c>
    </row>
    <row r="900" spans="1:3" x14ac:dyDescent="0.25">
      <c r="A900" s="1">
        <v>43157</v>
      </c>
      <c r="B900" t="s">
        <v>11</v>
      </c>
      <c r="C900" t="s">
        <v>18</v>
      </c>
    </row>
    <row r="901" spans="1:3" x14ac:dyDescent="0.25">
      <c r="A901" s="1">
        <v>43157</v>
      </c>
      <c r="B901" t="s">
        <v>2</v>
      </c>
      <c r="C901" t="s">
        <v>8</v>
      </c>
    </row>
    <row r="902" spans="1:3" x14ac:dyDescent="0.25">
      <c r="A902" s="1">
        <v>43157</v>
      </c>
      <c r="B902" t="s">
        <v>0</v>
      </c>
      <c r="C902" t="s">
        <v>23</v>
      </c>
    </row>
    <row r="903" spans="1:3" x14ac:dyDescent="0.25">
      <c r="A903" s="1">
        <v>43157</v>
      </c>
      <c r="B903" t="s">
        <v>19</v>
      </c>
      <c r="C903" t="s">
        <v>24</v>
      </c>
    </row>
    <row r="904" spans="1:3" x14ac:dyDescent="0.25">
      <c r="A904" s="1">
        <v>43157</v>
      </c>
      <c r="B904" t="s">
        <v>26</v>
      </c>
      <c r="C904" t="s">
        <v>1</v>
      </c>
    </row>
    <row r="905" spans="1:3" x14ac:dyDescent="0.25">
      <c r="A905" s="1">
        <v>43157</v>
      </c>
      <c r="B905" t="s">
        <v>25</v>
      </c>
      <c r="C905" t="s">
        <v>17</v>
      </c>
    </row>
    <row r="906" spans="1:3" x14ac:dyDescent="0.25">
      <c r="A906" s="1">
        <v>43157</v>
      </c>
      <c r="B906" t="s">
        <v>15</v>
      </c>
      <c r="C906" t="s">
        <v>21</v>
      </c>
    </row>
    <row r="907" spans="1:3" x14ac:dyDescent="0.25">
      <c r="A907" s="1">
        <v>43157</v>
      </c>
      <c r="B907" t="s">
        <v>22</v>
      </c>
      <c r="C907" t="s">
        <v>4</v>
      </c>
    </row>
    <row r="908" spans="1:3" x14ac:dyDescent="0.25">
      <c r="A908" s="1">
        <v>43158</v>
      </c>
      <c r="B908" t="s">
        <v>6</v>
      </c>
      <c r="C908" t="s">
        <v>18</v>
      </c>
    </row>
    <row r="909" spans="1:3" x14ac:dyDescent="0.25">
      <c r="A909" s="1">
        <v>43158</v>
      </c>
      <c r="B909" t="s">
        <v>28</v>
      </c>
      <c r="C909" t="s">
        <v>11</v>
      </c>
    </row>
    <row r="910" spans="1:3" x14ac:dyDescent="0.25">
      <c r="A910" s="1">
        <v>43158</v>
      </c>
      <c r="B910" t="s">
        <v>20</v>
      </c>
      <c r="C910" t="s">
        <v>29</v>
      </c>
    </row>
    <row r="911" spans="1:3" x14ac:dyDescent="0.25">
      <c r="A911" s="1">
        <v>43158</v>
      </c>
      <c r="B911" t="s">
        <v>12</v>
      </c>
      <c r="C911" t="s">
        <v>9</v>
      </c>
    </row>
    <row r="912" spans="1:3" x14ac:dyDescent="0.25">
      <c r="A912" s="1">
        <v>43158</v>
      </c>
      <c r="B912" t="s">
        <v>7</v>
      </c>
      <c r="C912" t="s">
        <v>116</v>
      </c>
    </row>
    <row r="913" spans="1:3" x14ac:dyDescent="0.25">
      <c r="A913" s="1">
        <v>43158</v>
      </c>
      <c r="B913" t="s">
        <v>27</v>
      </c>
      <c r="C913" t="s">
        <v>25</v>
      </c>
    </row>
    <row r="914" spans="1:3" x14ac:dyDescent="0.25">
      <c r="A914" s="1">
        <v>43159</v>
      </c>
      <c r="B914" t="s">
        <v>14</v>
      </c>
      <c r="C914" t="s">
        <v>8</v>
      </c>
    </row>
    <row r="915" spans="1:3" x14ac:dyDescent="0.25">
      <c r="A915" s="1">
        <v>43159</v>
      </c>
      <c r="B915" t="s">
        <v>10</v>
      </c>
      <c r="C915" t="s">
        <v>6</v>
      </c>
    </row>
    <row r="916" spans="1:3" x14ac:dyDescent="0.25">
      <c r="A916" s="1">
        <v>43159</v>
      </c>
      <c r="B916" t="s">
        <v>2</v>
      </c>
      <c r="C916" t="s">
        <v>26</v>
      </c>
    </row>
    <row r="917" spans="1:3" x14ac:dyDescent="0.25">
      <c r="A917" s="1">
        <v>43159</v>
      </c>
      <c r="B917" t="s">
        <v>21</v>
      </c>
      <c r="C917" t="s">
        <v>7</v>
      </c>
    </row>
    <row r="918" spans="1:3" x14ac:dyDescent="0.25">
      <c r="A918" s="1">
        <v>43159</v>
      </c>
      <c r="B918" t="s">
        <v>29</v>
      </c>
      <c r="C918" t="s">
        <v>4</v>
      </c>
    </row>
    <row r="919" spans="1:3" x14ac:dyDescent="0.25">
      <c r="A919" s="1">
        <v>43159</v>
      </c>
      <c r="B919" t="s">
        <v>16</v>
      </c>
      <c r="C919" t="s">
        <v>23</v>
      </c>
    </row>
    <row r="920" spans="1:3" x14ac:dyDescent="0.25">
      <c r="A920" s="1">
        <v>43159</v>
      </c>
      <c r="B920" t="s">
        <v>1</v>
      </c>
      <c r="C920" t="s">
        <v>15</v>
      </c>
    </row>
    <row r="921" spans="1:3" x14ac:dyDescent="0.25">
      <c r="A921" s="1">
        <v>43159</v>
      </c>
      <c r="B921" t="s">
        <v>3</v>
      </c>
      <c r="C921" t="s">
        <v>0</v>
      </c>
    </row>
    <row r="922" spans="1:3" x14ac:dyDescent="0.25">
      <c r="A922" s="1">
        <v>43159</v>
      </c>
      <c r="B922" t="s">
        <v>116</v>
      </c>
      <c r="C922" t="s">
        <v>24</v>
      </c>
    </row>
    <row r="923" spans="1:3" x14ac:dyDescent="0.25">
      <c r="A923" s="1">
        <v>43160</v>
      </c>
      <c r="B923" t="s">
        <v>28</v>
      </c>
      <c r="C923" t="s">
        <v>9</v>
      </c>
    </row>
    <row r="924" spans="1:3" x14ac:dyDescent="0.25">
      <c r="A924" s="1">
        <v>43160</v>
      </c>
      <c r="B924" t="s">
        <v>12</v>
      </c>
      <c r="C924" t="s">
        <v>5</v>
      </c>
    </row>
    <row r="925" spans="1:3" x14ac:dyDescent="0.25">
      <c r="A925" s="1">
        <v>43160</v>
      </c>
      <c r="B925" t="s">
        <v>27</v>
      </c>
      <c r="C925" t="s">
        <v>17</v>
      </c>
    </row>
    <row r="926" spans="1:3" x14ac:dyDescent="0.25">
      <c r="A926" s="1">
        <v>43160</v>
      </c>
      <c r="B926" t="s">
        <v>25</v>
      </c>
      <c r="C926" t="s">
        <v>11</v>
      </c>
    </row>
    <row r="927" spans="1:3" x14ac:dyDescent="0.25">
      <c r="A927" s="1">
        <v>43161</v>
      </c>
      <c r="B927" t="s">
        <v>14</v>
      </c>
      <c r="C927" t="s">
        <v>24</v>
      </c>
    </row>
    <row r="928" spans="1:3" x14ac:dyDescent="0.25">
      <c r="A928" s="1">
        <v>43161</v>
      </c>
      <c r="B928" t="s">
        <v>18</v>
      </c>
      <c r="C928" t="s">
        <v>2</v>
      </c>
    </row>
    <row r="929" spans="1:3" x14ac:dyDescent="0.25">
      <c r="A929" s="1">
        <v>43161</v>
      </c>
      <c r="B929" t="s">
        <v>29</v>
      </c>
      <c r="C929" t="s">
        <v>19</v>
      </c>
    </row>
    <row r="930" spans="1:3" x14ac:dyDescent="0.25">
      <c r="A930" s="1">
        <v>43161</v>
      </c>
      <c r="B930" t="s">
        <v>16</v>
      </c>
      <c r="C930" t="s">
        <v>20</v>
      </c>
    </row>
    <row r="931" spans="1:3" x14ac:dyDescent="0.25">
      <c r="A931" s="1">
        <v>43161</v>
      </c>
      <c r="B931" t="s">
        <v>7</v>
      </c>
      <c r="C931" t="s">
        <v>8</v>
      </c>
    </row>
    <row r="932" spans="1:3" x14ac:dyDescent="0.25">
      <c r="A932" s="1">
        <v>43161</v>
      </c>
      <c r="B932" t="s">
        <v>1</v>
      </c>
      <c r="C932" t="s">
        <v>21</v>
      </c>
    </row>
    <row r="933" spans="1:3" x14ac:dyDescent="0.25">
      <c r="A933" s="1">
        <v>43161</v>
      </c>
      <c r="B933" t="s">
        <v>9</v>
      </c>
      <c r="C933" t="s">
        <v>6</v>
      </c>
    </row>
    <row r="934" spans="1:3" x14ac:dyDescent="0.25">
      <c r="A934" s="1">
        <v>43161</v>
      </c>
      <c r="B934" t="s">
        <v>23</v>
      </c>
      <c r="C934" t="s">
        <v>26</v>
      </c>
    </row>
    <row r="935" spans="1:3" x14ac:dyDescent="0.25">
      <c r="A935" s="1">
        <v>43161</v>
      </c>
      <c r="B935" t="s">
        <v>22</v>
      </c>
      <c r="C935" t="s">
        <v>17</v>
      </c>
    </row>
    <row r="936" spans="1:3" x14ac:dyDescent="0.25">
      <c r="A936" s="1">
        <v>43161</v>
      </c>
      <c r="B936" t="s">
        <v>116</v>
      </c>
      <c r="C936" t="s">
        <v>15</v>
      </c>
    </row>
    <row r="937" spans="1:3" x14ac:dyDescent="0.25">
      <c r="A937" s="1">
        <v>43162</v>
      </c>
      <c r="B937" t="s">
        <v>28</v>
      </c>
      <c r="C937" t="s">
        <v>20</v>
      </c>
    </row>
    <row r="938" spans="1:3" x14ac:dyDescent="0.25">
      <c r="A938" s="1">
        <v>43162</v>
      </c>
      <c r="B938" t="s">
        <v>4</v>
      </c>
      <c r="C938" t="s">
        <v>10</v>
      </c>
    </row>
    <row r="939" spans="1:3" x14ac:dyDescent="0.25">
      <c r="A939" s="1">
        <v>43162</v>
      </c>
      <c r="B939" t="s">
        <v>12</v>
      </c>
      <c r="C939" t="s">
        <v>21</v>
      </c>
    </row>
    <row r="940" spans="1:3" x14ac:dyDescent="0.25">
      <c r="A940" s="1">
        <v>43162</v>
      </c>
      <c r="B940" t="s">
        <v>1</v>
      </c>
      <c r="C940" t="s">
        <v>16</v>
      </c>
    </row>
    <row r="941" spans="1:3" x14ac:dyDescent="0.25">
      <c r="A941" s="1">
        <v>43162</v>
      </c>
      <c r="B941" t="s">
        <v>27</v>
      </c>
      <c r="C941" t="s">
        <v>26</v>
      </c>
    </row>
    <row r="942" spans="1:3" x14ac:dyDescent="0.25">
      <c r="A942" s="1">
        <v>43162</v>
      </c>
      <c r="B942" t="s">
        <v>25</v>
      </c>
      <c r="C942" t="s">
        <v>22</v>
      </c>
    </row>
    <row r="943" spans="1:3" x14ac:dyDescent="0.25">
      <c r="A943" s="1">
        <v>43162</v>
      </c>
      <c r="B943" t="s">
        <v>3</v>
      </c>
      <c r="C943" t="s">
        <v>5</v>
      </c>
    </row>
    <row r="944" spans="1:3" x14ac:dyDescent="0.25">
      <c r="A944" s="1">
        <v>43163</v>
      </c>
      <c r="B944" t="s">
        <v>14</v>
      </c>
      <c r="C944" t="s">
        <v>23</v>
      </c>
    </row>
    <row r="945" spans="1:3" x14ac:dyDescent="0.25">
      <c r="A945" s="1">
        <v>43163</v>
      </c>
      <c r="B945" t="s">
        <v>2</v>
      </c>
      <c r="C945" t="s">
        <v>0</v>
      </c>
    </row>
    <row r="946" spans="1:3" x14ac:dyDescent="0.25">
      <c r="A946" s="1">
        <v>43163</v>
      </c>
      <c r="B946" t="s">
        <v>29</v>
      </c>
      <c r="C946" t="s">
        <v>11</v>
      </c>
    </row>
    <row r="947" spans="1:3" x14ac:dyDescent="0.25">
      <c r="A947" s="1">
        <v>43163</v>
      </c>
      <c r="B947" t="s">
        <v>7</v>
      </c>
      <c r="C947" t="s">
        <v>9</v>
      </c>
    </row>
    <row r="948" spans="1:3" x14ac:dyDescent="0.25">
      <c r="A948" s="1">
        <v>43163</v>
      </c>
      <c r="B948" t="s">
        <v>25</v>
      </c>
      <c r="C948" t="s">
        <v>19</v>
      </c>
    </row>
    <row r="949" spans="1:3" x14ac:dyDescent="0.25">
      <c r="A949" s="1">
        <v>43163</v>
      </c>
      <c r="B949" t="s">
        <v>15</v>
      </c>
      <c r="C949" t="s">
        <v>6</v>
      </c>
    </row>
    <row r="950" spans="1:3" x14ac:dyDescent="0.25">
      <c r="A950" s="1">
        <v>43163</v>
      </c>
      <c r="B950" t="s">
        <v>116</v>
      </c>
      <c r="C950" t="s">
        <v>8</v>
      </c>
    </row>
    <row r="951" spans="1:3" x14ac:dyDescent="0.25">
      <c r="A951" s="1">
        <v>43164</v>
      </c>
      <c r="B951" t="s">
        <v>18</v>
      </c>
      <c r="C951" t="s">
        <v>10</v>
      </c>
    </row>
    <row r="952" spans="1:3" x14ac:dyDescent="0.25">
      <c r="A952" s="1">
        <v>43164</v>
      </c>
      <c r="B952" t="s">
        <v>28</v>
      </c>
      <c r="C952" t="s">
        <v>21</v>
      </c>
    </row>
    <row r="953" spans="1:3" x14ac:dyDescent="0.25">
      <c r="A953" s="1">
        <v>43164</v>
      </c>
      <c r="B953" t="s">
        <v>8</v>
      </c>
      <c r="C953" t="s">
        <v>7</v>
      </c>
    </row>
    <row r="954" spans="1:3" x14ac:dyDescent="0.25">
      <c r="A954" s="1">
        <v>43164</v>
      </c>
      <c r="B954" t="s">
        <v>5</v>
      </c>
      <c r="C954" t="s">
        <v>27</v>
      </c>
    </row>
    <row r="955" spans="1:3" x14ac:dyDescent="0.25">
      <c r="A955" s="1">
        <v>43164</v>
      </c>
      <c r="B955" t="s">
        <v>12</v>
      </c>
      <c r="C955" t="s">
        <v>23</v>
      </c>
    </row>
    <row r="956" spans="1:3" x14ac:dyDescent="0.25">
      <c r="A956" s="1">
        <v>43164</v>
      </c>
      <c r="B956" t="s">
        <v>3</v>
      </c>
      <c r="C956" t="s">
        <v>16</v>
      </c>
    </row>
    <row r="957" spans="1:3" x14ac:dyDescent="0.25">
      <c r="A957" s="1">
        <v>43164</v>
      </c>
      <c r="B957" t="s">
        <v>22</v>
      </c>
      <c r="C957" t="s">
        <v>1</v>
      </c>
    </row>
    <row r="958" spans="1:3" x14ac:dyDescent="0.25">
      <c r="A958" s="1">
        <v>43165</v>
      </c>
      <c r="B958" t="s">
        <v>6</v>
      </c>
      <c r="C958" t="s">
        <v>9</v>
      </c>
    </row>
    <row r="959" spans="1:3" x14ac:dyDescent="0.25">
      <c r="A959" s="1">
        <v>43165</v>
      </c>
      <c r="B959" t="s">
        <v>2</v>
      </c>
      <c r="C959" t="s">
        <v>20</v>
      </c>
    </row>
    <row r="960" spans="1:3" x14ac:dyDescent="0.25">
      <c r="A960" s="1">
        <v>43165</v>
      </c>
      <c r="B960" t="s">
        <v>24</v>
      </c>
      <c r="C960" t="s">
        <v>11</v>
      </c>
    </row>
    <row r="961" spans="1:3" x14ac:dyDescent="0.25">
      <c r="A961" s="1">
        <v>43165</v>
      </c>
      <c r="B961" t="s">
        <v>29</v>
      </c>
      <c r="C961" t="s">
        <v>0</v>
      </c>
    </row>
    <row r="962" spans="1:3" x14ac:dyDescent="0.25">
      <c r="A962" s="1">
        <v>43165</v>
      </c>
      <c r="B962" t="s">
        <v>26</v>
      </c>
      <c r="C962" t="s">
        <v>4</v>
      </c>
    </row>
    <row r="963" spans="1:3" x14ac:dyDescent="0.25">
      <c r="A963" s="1">
        <v>43165</v>
      </c>
      <c r="B963" t="s">
        <v>27</v>
      </c>
      <c r="C963" t="s">
        <v>19</v>
      </c>
    </row>
    <row r="964" spans="1:3" x14ac:dyDescent="0.25">
      <c r="A964" s="1">
        <v>43165</v>
      </c>
      <c r="B964" t="s">
        <v>15</v>
      </c>
      <c r="C964" t="s">
        <v>14</v>
      </c>
    </row>
    <row r="965" spans="1:3" x14ac:dyDescent="0.25">
      <c r="A965" s="1">
        <v>43165</v>
      </c>
      <c r="B965" t="s">
        <v>116</v>
      </c>
      <c r="C965" t="s">
        <v>12</v>
      </c>
    </row>
    <row r="966" spans="1:3" x14ac:dyDescent="0.25">
      <c r="A966" s="1">
        <v>43166</v>
      </c>
      <c r="B966" t="s">
        <v>18</v>
      </c>
      <c r="C966" t="s">
        <v>16</v>
      </c>
    </row>
    <row r="967" spans="1:3" x14ac:dyDescent="0.25">
      <c r="A967" s="1">
        <v>43166</v>
      </c>
      <c r="B967" t="s">
        <v>20</v>
      </c>
      <c r="C967" t="s">
        <v>28</v>
      </c>
    </row>
    <row r="968" spans="1:3" x14ac:dyDescent="0.25">
      <c r="A968" s="1">
        <v>43166</v>
      </c>
      <c r="B968" t="s">
        <v>21</v>
      </c>
      <c r="C968" t="s">
        <v>15</v>
      </c>
    </row>
    <row r="969" spans="1:3" x14ac:dyDescent="0.25">
      <c r="A969" s="1">
        <v>43166</v>
      </c>
      <c r="B969" t="s">
        <v>8</v>
      </c>
      <c r="C969" t="s">
        <v>22</v>
      </c>
    </row>
    <row r="970" spans="1:3" x14ac:dyDescent="0.25">
      <c r="A970" s="1">
        <v>43166</v>
      </c>
      <c r="B970" t="s">
        <v>5</v>
      </c>
      <c r="C970" t="s">
        <v>1</v>
      </c>
    </row>
    <row r="971" spans="1:3" x14ac:dyDescent="0.25">
      <c r="A971" s="1">
        <v>43166</v>
      </c>
      <c r="B971" t="s">
        <v>7</v>
      </c>
      <c r="C971" t="s">
        <v>4</v>
      </c>
    </row>
    <row r="972" spans="1:3" x14ac:dyDescent="0.25">
      <c r="A972" s="1">
        <v>43166</v>
      </c>
      <c r="B972" t="s">
        <v>25</v>
      </c>
      <c r="C972" t="s">
        <v>0</v>
      </c>
    </row>
    <row r="973" spans="1:3" x14ac:dyDescent="0.25">
      <c r="A973" s="1">
        <v>43167</v>
      </c>
      <c r="B973" t="s">
        <v>6</v>
      </c>
      <c r="C973" t="s">
        <v>11</v>
      </c>
    </row>
    <row r="974" spans="1:3" x14ac:dyDescent="0.25">
      <c r="A974" s="1">
        <v>43167</v>
      </c>
      <c r="B974" t="s">
        <v>24</v>
      </c>
      <c r="C974" t="s">
        <v>3</v>
      </c>
    </row>
    <row r="975" spans="1:3" x14ac:dyDescent="0.25">
      <c r="A975" s="1">
        <v>43167</v>
      </c>
      <c r="B975" t="s">
        <v>12</v>
      </c>
      <c r="C975" t="s">
        <v>9</v>
      </c>
    </row>
    <row r="976" spans="1:3" x14ac:dyDescent="0.25">
      <c r="A976" s="1">
        <v>43167</v>
      </c>
      <c r="B976" t="s">
        <v>17</v>
      </c>
      <c r="C976" t="s">
        <v>10</v>
      </c>
    </row>
    <row r="977" spans="1:3" x14ac:dyDescent="0.25">
      <c r="A977" s="1">
        <v>43167</v>
      </c>
      <c r="B977" t="s">
        <v>26</v>
      </c>
      <c r="C977" t="s">
        <v>23</v>
      </c>
    </row>
    <row r="978" spans="1:3" x14ac:dyDescent="0.25">
      <c r="A978" s="1">
        <v>43168</v>
      </c>
      <c r="B978" t="s">
        <v>20</v>
      </c>
      <c r="C978" t="s">
        <v>5</v>
      </c>
    </row>
    <row r="979" spans="1:3" x14ac:dyDescent="0.25">
      <c r="A979" s="1">
        <v>43168</v>
      </c>
      <c r="B979" t="s">
        <v>21</v>
      </c>
      <c r="C979" t="s">
        <v>18</v>
      </c>
    </row>
    <row r="980" spans="1:3" x14ac:dyDescent="0.25">
      <c r="A980" s="1">
        <v>43168</v>
      </c>
      <c r="B980" t="s">
        <v>8</v>
      </c>
      <c r="C980" t="s">
        <v>14</v>
      </c>
    </row>
    <row r="981" spans="1:3" x14ac:dyDescent="0.25">
      <c r="A981" s="1">
        <v>43168</v>
      </c>
      <c r="B981" t="s">
        <v>29</v>
      </c>
      <c r="C981" t="s">
        <v>28</v>
      </c>
    </row>
    <row r="982" spans="1:3" x14ac:dyDescent="0.25">
      <c r="A982" s="1">
        <v>43168</v>
      </c>
      <c r="B982" t="s">
        <v>16</v>
      </c>
      <c r="C982" t="s">
        <v>22</v>
      </c>
    </row>
    <row r="983" spans="1:3" x14ac:dyDescent="0.25">
      <c r="A983" s="1">
        <v>43168</v>
      </c>
      <c r="B983" t="s">
        <v>7</v>
      </c>
      <c r="C983" t="s">
        <v>19</v>
      </c>
    </row>
    <row r="984" spans="1:3" x14ac:dyDescent="0.25">
      <c r="A984" s="1">
        <v>43168</v>
      </c>
      <c r="B984" t="s">
        <v>0</v>
      </c>
      <c r="C984" t="s">
        <v>116</v>
      </c>
    </row>
    <row r="985" spans="1:3" x14ac:dyDescent="0.25">
      <c r="A985" s="1">
        <v>43168</v>
      </c>
      <c r="B985" t="s">
        <v>27</v>
      </c>
      <c r="C985" t="s">
        <v>24</v>
      </c>
    </row>
    <row r="986" spans="1:3" x14ac:dyDescent="0.25">
      <c r="A986" s="1">
        <v>43168</v>
      </c>
      <c r="B986" t="s">
        <v>25</v>
      </c>
      <c r="C986" t="s">
        <v>1</v>
      </c>
    </row>
    <row r="987" spans="1:3" x14ac:dyDescent="0.25">
      <c r="A987" s="1">
        <v>43168</v>
      </c>
      <c r="B987" t="s">
        <v>15</v>
      </c>
      <c r="C987" t="s">
        <v>4</v>
      </c>
    </row>
    <row r="988" spans="1:3" x14ac:dyDescent="0.25">
      <c r="A988" s="1">
        <v>43169</v>
      </c>
      <c r="B988" t="s">
        <v>6</v>
      </c>
      <c r="C988" t="s">
        <v>23</v>
      </c>
    </row>
    <row r="989" spans="1:3" x14ac:dyDescent="0.25">
      <c r="A989" s="1">
        <v>43169</v>
      </c>
      <c r="B989" t="s">
        <v>2</v>
      </c>
      <c r="C989" t="s">
        <v>16</v>
      </c>
    </row>
    <row r="990" spans="1:3" x14ac:dyDescent="0.25">
      <c r="A990" s="1">
        <v>43169</v>
      </c>
      <c r="B990" t="s">
        <v>29</v>
      </c>
      <c r="C990" t="s">
        <v>1</v>
      </c>
    </row>
    <row r="991" spans="1:3" x14ac:dyDescent="0.25">
      <c r="A991" s="1">
        <v>43169</v>
      </c>
      <c r="B991" t="s">
        <v>12</v>
      </c>
      <c r="C991" t="s">
        <v>116</v>
      </c>
    </row>
    <row r="992" spans="1:3" x14ac:dyDescent="0.25">
      <c r="A992" s="1">
        <v>43169</v>
      </c>
      <c r="B992" t="s">
        <v>26</v>
      </c>
      <c r="C992" t="s">
        <v>3</v>
      </c>
    </row>
    <row r="993" spans="1:3" x14ac:dyDescent="0.25">
      <c r="A993" s="1">
        <v>43170</v>
      </c>
      <c r="B993" t="s">
        <v>14</v>
      </c>
      <c r="C993" t="s">
        <v>18</v>
      </c>
    </row>
    <row r="994" spans="1:3" x14ac:dyDescent="0.25">
      <c r="A994" s="1">
        <v>43170</v>
      </c>
      <c r="B994" t="s">
        <v>10</v>
      </c>
      <c r="C994" t="s">
        <v>8</v>
      </c>
    </row>
    <row r="995" spans="1:3" x14ac:dyDescent="0.25">
      <c r="A995" s="1">
        <v>43170</v>
      </c>
      <c r="B995" t="s">
        <v>11</v>
      </c>
      <c r="C995" t="s">
        <v>9</v>
      </c>
    </row>
    <row r="996" spans="1:3" x14ac:dyDescent="0.25">
      <c r="A996" s="1">
        <v>43170</v>
      </c>
      <c r="B996" t="s">
        <v>2</v>
      </c>
      <c r="C996" t="s">
        <v>4</v>
      </c>
    </row>
    <row r="997" spans="1:3" x14ac:dyDescent="0.25">
      <c r="A997" s="1">
        <v>43170</v>
      </c>
      <c r="B997" t="s">
        <v>20</v>
      </c>
      <c r="C997" t="s">
        <v>25</v>
      </c>
    </row>
    <row r="998" spans="1:3" x14ac:dyDescent="0.25">
      <c r="A998" s="1">
        <v>43170</v>
      </c>
      <c r="B998" t="s">
        <v>5</v>
      </c>
      <c r="C998" t="s">
        <v>28</v>
      </c>
    </row>
    <row r="999" spans="1:3" x14ac:dyDescent="0.25">
      <c r="A999" s="1">
        <v>43170</v>
      </c>
      <c r="B999" t="s">
        <v>17</v>
      </c>
      <c r="C999" t="s">
        <v>24</v>
      </c>
    </row>
    <row r="1000" spans="1:3" x14ac:dyDescent="0.25">
      <c r="A1000" s="1">
        <v>43170</v>
      </c>
      <c r="B1000" t="s">
        <v>0</v>
      </c>
      <c r="C1000" t="s">
        <v>22</v>
      </c>
    </row>
    <row r="1001" spans="1:3" x14ac:dyDescent="0.25">
      <c r="A1001" s="1">
        <v>43170</v>
      </c>
      <c r="B1001" t="s">
        <v>19</v>
      </c>
      <c r="C1001" t="s">
        <v>15</v>
      </c>
    </row>
    <row r="1002" spans="1:3" x14ac:dyDescent="0.25">
      <c r="A1002" s="1">
        <v>43171</v>
      </c>
      <c r="B1002" t="s">
        <v>4</v>
      </c>
      <c r="C1002" t="s">
        <v>3</v>
      </c>
    </row>
    <row r="1003" spans="1:3" x14ac:dyDescent="0.25">
      <c r="A1003" s="1">
        <v>43171</v>
      </c>
      <c r="B1003" t="s">
        <v>16</v>
      </c>
      <c r="C1003" t="s">
        <v>7</v>
      </c>
    </row>
    <row r="1004" spans="1:3" x14ac:dyDescent="0.25">
      <c r="A1004" s="1">
        <v>43171</v>
      </c>
      <c r="B1004" t="s">
        <v>26</v>
      </c>
      <c r="C1004" t="s">
        <v>25</v>
      </c>
    </row>
    <row r="1005" spans="1:3" x14ac:dyDescent="0.25">
      <c r="A1005" s="1">
        <v>43171</v>
      </c>
      <c r="B1005" t="s">
        <v>27</v>
      </c>
      <c r="C1005" t="s">
        <v>12</v>
      </c>
    </row>
    <row r="1006" spans="1:3" x14ac:dyDescent="0.25">
      <c r="A1006" s="1">
        <v>43172</v>
      </c>
      <c r="B1006" t="s">
        <v>14</v>
      </c>
      <c r="C1006" t="s">
        <v>26</v>
      </c>
    </row>
    <row r="1007" spans="1:3" x14ac:dyDescent="0.25">
      <c r="A1007" s="1">
        <v>43172</v>
      </c>
      <c r="B1007" t="s">
        <v>11</v>
      </c>
      <c r="C1007" t="s">
        <v>15</v>
      </c>
    </row>
    <row r="1008" spans="1:3" x14ac:dyDescent="0.25">
      <c r="A1008" s="1">
        <v>43172</v>
      </c>
      <c r="B1008" t="s">
        <v>18</v>
      </c>
      <c r="C1008" t="s">
        <v>29</v>
      </c>
    </row>
    <row r="1009" spans="1:3" x14ac:dyDescent="0.25">
      <c r="A1009" s="1">
        <v>43172</v>
      </c>
      <c r="B1009" t="s">
        <v>5</v>
      </c>
      <c r="C1009" t="s">
        <v>20</v>
      </c>
    </row>
    <row r="1010" spans="1:3" x14ac:dyDescent="0.25">
      <c r="A1010" s="1">
        <v>43172</v>
      </c>
      <c r="B1010" t="s">
        <v>0</v>
      </c>
      <c r="C1010" t="s">
        <v>6</v>
      </c>
    </row>
    <row r="1011" spans="1:3" x14ac:dyDescent="0.25">
      <c r="A1011" s="1">
        <v>43172</v>
      </c>
      <c r="B1011" t="s">
        <v>19</v>
      </c>
      <c r="C1011" t="s">
        <v>2</v>
      </c>
    </row>
    <row r="1012" spans="1:3" x14ac:dyDescent="0.25">
      <c r="A1012" s="1">
        <v>43172</v>
      </c>
      <c r="B1012" t="s">
        <v>9</v>
      </c>
      <c r="C1012" t="s">
        <v>8</v>
      </c>
    </row>
    <row r="1013" spans="1:3" x14ac:dyDescent="0.25">
      <c r="A1013" s="1">
        <v>43172</v>
      </c>
      <c r="B1013" t="s">
        <v>23</v>
      </c>
      <c r="C1013" t="s">
        <v>28</v>
      </c>
    </row>
    <row r="1014" spans="1:3" x14ac:dyDescent="0.25">
      <c r="A1014" s="1">
        <v>43172</v>
      </c>
      <c r="B1014" t="s">
        <v>3</v>
      </c>
      <c r="C1014" t="s">
        <v>1</v>
      </c>
    </row>
    <row r="1015" spans="1:3" x14ac:dyDescent="0.25">
      <c r="A1015" s="1">
        <v>43172</v>
      </c>
      <c r="B1015" t="s">
        <v>22</v>
      </c>
      <c r="C1015" t="s">
        <v>21</v>
      </c>
    </row>
    <row r="1016" spans="1:3" x14ac:dyDescent="0.25">
      <c r="A1016" s="1">
        <v>43172</v>
      </c>
      <c r="B1016" t="s">
        <v>116</v>
      </c>
      <c r="C1016" t="s">
        <v>17</v>
      </c>
    </row>
    <row r="1017" spans="1:3" x14ac:dyDescent="0.25">
      <c r="A1017" s="1">
        <v>43173</v>
      </c>
      <c r="B1017" t="s">
        <v>10</v>
      </c>
      <c r="C1017" t="s">
        <v>116</v>
      </c>
    </row>
    <row r="1018" spans="1:3" x14ac:dyDescent="0.25">
      <c r="A1018" s="1">
        <v>43173</v>
      </c>
      <c r="B1018" t="s">
        <v>24</v>
      </c>
      <c r="C1018" t="s">
        <v>5</v>
      </c>
    </row>
    <row r="1019" spans="1:3" x14ac:dyDescent="0.25">
      <c r="A1019" s="1">
        <v>43173</v>
      </c>
      <c r="B1019" t="s">
        <v>1</v>
      </c>
      <c r="C1019" t="s">
        <v>7</v>
      </c>
    </row>
    <row r="1020" spans="1:3" x14ac:dyDescent="0.25">
      <c r="A1020" s="1">
        <v>43173</v>
      </c>
      <c r="B1020" t="s">
        <v>25</v>
      </c>
      <c r="C1020" t="s">
        <v>12</v>
      </c>
    </row>
    <row r="1021" spans="1:3" x14ac:dyDescent="0.25">
      <c r="A1021" s="1">
        <v>43174</v>
      </c>
      <c r="B1021" t="s">
        <v>14</v>
      </c>
      <c r="C1021" t="s">
        <v>6</v>
      </c>
    </row>
    <row r="1022" spans="1:3" x14ac:dyDescent="0.25">
      <c r="A1022" s="1">
        <v>43174</v>
      </c>
      <c r="B1022" t="s">
        <v>20</v>
      </c>
      <c r="C1022" t="s">
        <v>21</v>
      </c>
    </row>
    <row r="1023" spans="1:3" x14ac:dyDescent="0.25">
      <c r="A1023" s="1">
        <v>43174</v>
      </c>
      <c r="B1023" t="s">
        <v>4</v>
      </c>
      <c r="C1023" t="s">
        <v>29</v>
      </c>
    </row>
    <row r="1024" spans="1:3" x14ac:dyDescent="0.25">
      <c r="A1024" s="1">
        <v>43174</v>
      </c>
      <c r="B1024" t="s">
        <v>8</v>
      </c>
      <c r="C1024" t="s">
        <v>15</v>
      </c>
    </row>
    <row r="1025" spans="1:3" x14ac:dyDescent="0.25">
      <c r="A1025" s="1">
        <v>43174</v>
      </c>
      <c r="B1025" t="s">
        <v>16</v>
      </c>
      <c r="C1025" t="s">
        <v>18</v>
      </c>
    </row>
    <row r="1026" spans="1:3" x14ac:dyDescent="0.25">
      <c r="A1026" s="1">
        <v>43174</v>
      </c>
      <c r="B1026" t="s">
        <v>19</v>
      </c>
      <c r="C1026" t="s">
        <v>9</v>
      </c>
    </row>
    <row r="1027" spans="1:3" x14ac:dyDescent="0.25">
      <c r="A1027" s="1">
        <v>43174</v>
      </c>
      <c r="B1027" t="s">
        <v>27</v>
      </c>
      <c r="C1027" t="s">
        <v>28</v>
      </c>
    </row>
    <row r="1028" spans="1:3" x14ac:dyDescent="0.25">
      <c r="A1028" s="1">
        <v>43174</v>
      </c>
      <c r="B1028" t="s">
        <v>3</v>
      </c>
      <c r="C1028" t="s">
        <v>0</v>
      </c>
    </row>
    <row r="1029" spans="1:3" x14ac:dyDescent="0.25">
      <c r="A1029" s="1">
        <v>43174</v>
      </c>
      <c r="B1029" t="s">
        <v>22</v>
      </c>
      <c r="C1029" t="s">
        <v>23</v>
      </c>
    </row>
    <row r="1030" spans="1:3" x14ac:dyDescent="0.25">
      <c r="A1030" s="1">
        <v>43175</v>
      </c>
      <c r="B1030" t="s">
        <v>24</v>
      </c>
      <c r="C1030" t="s">
        <v>25</v>
      </c>
    </row>
    <row r="1031" spans="1:3" x14ac:dyDescent="0.25">
      <c r="A1031" s="1">
        <v>43175</v>
      </c>
      <c r="B1031" t="s">
        <v>5</v>
      </c>
      <c r="C1031" t="s">
        <v>12</v>
      </c>
    </row>
    <row r="1032" spans="1:3" x14ac:dyDescent="0.25">
      <c r="A1032" s="1">
        <v>43175</v>
      </c>
      <c r="B1032" t="s">
        <v>26</v>
      </c>
      <c r="C1032" t="s">
        <v>29</v>
      </c>
    </row>
    <row r="1033" spans="1:3" x14ac:dyDescent="0.25">
      <c r="A1033" s="1">
        <v>43175</v>
      </c>
      <c r="B1033" t="s">
        <v>1</v>
      </c>
      <c r="C1033" t="s">
        <v>10</v>
      </c>
    </row>
    <row r="1034" spans="1:3" x14ac:dyDescent="0.25">
      <c r="A1034" s="1">
        <v>43175</v>
      </c>
      <c r="B1034" t="s">
        <v>9</v>
      </c>
      <c r="C1034" t="s">
        <v>11</v>
      </c>
    </row>
    <row r="1035" spans="1:3" x14ac:dyDescent="0.25">
      <c r="A1035" s="1">
        <v>43175</v>
      </c>
      <c r="B1035" t="s">
        <v>15</v>
      </c>
      <c r="C1035" t="s">
        <v>2</v>
      </c>
    </row>
    <row r="1036" spans="1:3" x14ac:dyDescent="0.25">
      <c r="A1036" s="1">
        <v>43176</v>
      </c>
      <c r="B1036" t="s">
        <v>11</v>
      </c>
      <c r="C1036" t="s">
        <v>2</v>
      </c>
    </row>
    <row r="1037" spans="1:3" x14ac:dyDescent="0.25">
      <c r="A1037" s="1">
        <v>43176</v>
      </c>
      <c r="B1037" t="s">
        <v>18</v>
      </c>
      <c r="C1037" t="s">
        <v>28</v>
      </c>
    </row>
    <row r="1038" spans="1:3" x14ac:dyDescent="0.25">
      <c r="A1038" s="1">
        <v>43176</v>
      </c>
      <c r="B1038" t="s">
        <v>16</v>
      </c>
      <c r="C1038" t="s">
        <v>20</v>
      </c>
    </row>
    <row r="1039" spans="1:3" x14ac:dyDescent="0.25">
      <c r="A1039" s="1">
        <v>43176</v>
      </c>
      <c r="B1039" t="s">
        <v>7</v>
      </c>
      <c r="C1039" t="s">
        <v>14</v>
      </c>
    </row>
    <row r="1040" spans="1:3" x14ac:dyDescent="0.25">
      <c r="A1040" s="1">
        <v>43176</v>
      </c>
      <c r="B1040" t="s">
        <v>0</v>
      </c>
      <c r="C1040" t="s">
        <v>4</v>
      </c>
    </row>
    <row r="1041" spans="1:3" x14ac:dyDescent="0.25">
      <c r="A1041" s="1">
        <v>43176</v>
      </c>
      <c r="B1041" t="s">
        <v>19</v>
      </c>
      <c r="C1041" t="s">
        <v>6</v>
      </c>
    </row>
    <row r="1042" spans="1:3" x14ac:dyDescent="0.25">
      <c r="A1042" s="1">
        <v>43176</v>
      </c>
      <c r="B1042" t="s">
        <v>23</v>
      </c>
      <c r="C1042" t="s">
        <v>24</v>
      </c>
    </row>
    <row r="1043" spans="1:3" x14ac:dyDescent="0.25">
      <c r="A1043" s="1">
        <v>43176</v>
      </c>
      <c r="B1043" t="s">
        <v>27</v>
      </c>
      <c r="C1043" t="s">
        <v>21</v>
      </c>
    </row>
    <row r="1044" spans="1:3" x14ac:dyDescent="0.25">
      <c r="A1044" s="1">
        <v>43176</v>
      </c>
      <c r="B1044" t="s">
        <v>3</v>
      </c>
      <c r="C1044" t="s">
        <v>17</v>
      </c>
    </row>
    <row r="1045" spans="1:3" x14ac:dyDescent="0.25">
      <c r="A1045" s="1">
        <v>43176</v>
      </c>
      <c r="B1045" t="s">
        <v>22</v>
      </c>
      <c r="C1045" t="s">
        <v>25</v>
      </c>
    </row>
    <row r="1046" spans="1:3" x14ac:dyDescent="0.25">
      <c r="A1046" s="1">
        <v>43176</v>
      </c>
      <c r="B1046" t="s">
        <v>116</v>
      </c>
      <c r="C1046" t="s">
        <v>8</v>
      </c>
    </row>
    <row r="1047" spans="1:3" x14ac:dyDescent="0.25">
      <c r="A1047" s="1">
        <v>43177</v>
      </c>
      <c r="B1047" t="s">
        <v>29</v>
      </c>
      <c r="C1047" t="s">
        <v>27</v>
      </c>
    </row>
    <row r="1048" spans="1:3" x14ac:dyDescent="0.25">
      <c r="A1048" s="1">
        <v>43177</v>
      </c>
      <c r="B1048" t="s">
        <v>17</v>
      </c>
      <c r="C1048" t="s">
        <v>4</v>
      </c>
    </row>
    <row r="1049" spans="1:3" x14ac:dyDescent="0.25">
      <c r="A1049" s="1">
        <v>43177</v>
      </c>
      <c r="B1049" t="s">
        <v>0</v>
      </c>
      <c r="C1049" t="s">
        <v>10</v>
      </c>
    </row>
    <row r="1050" spans="1:3" x14ac:dyDescent="0.25">
      <c r="A1050" s="1">
        <v>43177</v>
      </c>
      <c r="B1050" t="s">
        <v>15</v>
      </c>
      <c r="C1050" t="s">
        <v>26</v>
      </c>
    </row>
    <row r="1051" spans="1:3" x14ac:dyDescent="0.25">
      <c r="A1051" s="1">
        <v>43178</v>
      </c>
      <c r="B1051" t="s">
        <v>11</v>
      </c>
      <c r="C1051" t="s">
        <v>16</v>
      </c>
    </row>
    <row r="1052" spans="1:3" x14ac:dyDescent="0.25">
      <c r="A1052" s="1">
        <v>43178</v>
      </c>
      <c r="B1052" t="s">
        <v>28</v>
      </c>
      <c r="C1052" t="s">
        <v>7</v>
      </c>
    </row>
    <row r="1053" spans="1:3" x14ac:dyDescent="0.25">
      <c r="A1053" s="1">
        <v>43178</v>
      </c>
      <c r="B1053" t="s">
        <v>8</v>
      </c>
      <c r="C1053" t="s">
        <v>5</v>
      </c>
    </row>
    <row r="1054" spans="1:3" x14ac:dyDescent="0.25">
      <c r="A1054" s="1">
        <v>43178</v>
      </c>
      <c r="B1054" t="s">
        <v>12</v>
      </c>
      <c r="C1054" t="s">
        <v>20</v>
      </c>
    </row>
    <row r="1055" spans="1:3" x14ac:dyDescent="0.25">
      <c r="A1055" s="1">
        <v>43178</v>
      </c>
      <c r="B1055" t="s">
        <v>19</v>
      </c>
      <c r="C1055" t="s">
        <v>18</v>
      </c>
    </row>
    <row r="1056" spans="1:3" x14ac:dyDescent="0.25">
      <c r="A1056" s="1">
        <v>43178</v>
      </c>
      <c r="B1056" t="s">
        <v>9</v>
      </c>
      <c r="C1056" t="s">
        <v>6</v>
      </c>
    </row>
    <row r="1057" spans="1:3" x14ac:dyDescent="0.25">
      <c r="A1057" s="1">
        <v>43178</v>
      </c>
      <c r="B1057" t="s">
        <v>25</v>
      </c>
      <c r="C1057" t="s">
        <v>21</v>
      </c>
    </row>
    <row r="1058" spans="1:3" x14ac:dyDescent="0.25">
      <c r="A1058" s="1">
        <v>43178</v>
      </c>
      <c r="B1058" t="s">
        <v>3</v>
      </c>
      <c r="C1058" t="s">
        <v>24</v>
      </c>
    </row>
    <row r="1059" spans="1:3" x14ac:dyDescent="0.25">
      <c r="A1059" s="1">
        <v>43179</v>
      </c>
      <c r="B1059" t="s">
        <v>10</v>
      </c>
      <c r="C1059" t="s">
        <v>26</v>
      </c>
    </row>
    <row r="1060" spans="1:3" x14ac:dyDescent="0.25">
      <c r="A1060" s="1">
        <v>43179</v>
      </c>
      <c r="B1060" t="s">
        <v>17</v>
      </c>
      <c r="C1060" t="s">
        <v>29</v>
      </c>
    </row>
    <row r="1061" spans="1:3" x14ac:dyDescent="0.25">
      <c r="A1061" s="1">
        <v>43179</v>
      </c>
      <c r="B1061" t="s">
        <v>0</v>
      </c>
      <c r="C1061" t="s">
        <v>2</v>
      </c>
    </row>
    <row r="1062" spans="1:3" x14ac:dyDescent="0.25">
      <c r="A1062" s="1">
        <v>43179</v>
      </c>
      <c r="B1062" t="s">
        <v>1</v>
      </c>
      <c r="C1062" t="s">
        <v>15</v>
      </c>
    </row>
    <row r="1063" spans="1:3" x14ac:dyDescent="0.25">
      <c r="A1063" s="1">
        <v>43179</v>
      </c>
      <c r="B1063" t="s">
        <v>23</v>
      </c>
      <c r="C1063" t="s">
        <v>21</v>
      </c>
    </row>
    <row r="1064" spans="1:3" x14ac:dyDescent="0.25">
      <c r="A1064" s="1">
        <v>43179</v>
      </c>
      <c r="B1064" t="s">
        <v>27</v>
      </c>
      <c r="C1064" t="s">
        <v>4</v>
      </c>
    </row>
    <row r="1065" spans="1:3" x14ac:dyDescent="0.25">
      <c r="A1065" s="1">
        <v>43179</v>
      </c>
      <c r="B1065" t="s">
        <v>22</v>
      </c>
      <c r="C1065" t="s">
        <v>14</v>
      </c>
    </row>
    <row r="1066" spans="1:3" x14ac:dyDescent="0.25">
      <c r="A1066" s="1">
        <v>43180</v>
      </c>
      <c r="B1066" t="s">
        <v>11</v>
      </c>
      <c r="C1066" t="s">
        <v>6</v>
      </c>
    </row>
    <row r="1067" spans="1:3" x14ac:dyDescent="0.25">
      <c r="A1067" s="1">
        <v>43180</v>
      </c>
      <c r="B1067" t="s">
        <v>18</v>
      </c>
      <c r="C1067" t="s">
        <v>20</v>
      </c>
    </row>
    <row r="1068" spans="1:3" x14ac:dyDescent="0.25">
      <c r="A1068" s="1">
        <v>43180</v>
      </c>
      <c r="B1068" t="s">
        <v>28</v>
      </c>
      <c r="C1068" t="s">
        <v>15</v>
      </c>
    </row>
    <row r="1069" spans="1:3" x14ac:dyDescent="0.25">
      <c r="A1069" s="1">
        <v>43180</v>
      </c>
      <c r="B1069" t="s">
        <v>12</v>
      </c>
      <c r="C1069" t="s">
        <v>19</v>
      </c>
    </row>
    <row r="1070" spans="1:3" x14ac:dyDescent="0.25">
      <c r="A1070" s="1">
        <v>43180</v>
      </c>
      <c r="B1070" t="s">
        <v>7</v>
      </c>
      <c r="C1070" t="s">
        <v>29</v>
      </c>
    </row>
    <row r="1071" spans="1:3" x14ac:dyDescent="0.25">
      <c r="A1071" s="1">
        <v>43180</v>
      </c>
      <c r="B1071" t="s">
        <v>9</v>
      </c>
      <c r="C1071" t="s">
        <v>16</v>
      </c>
    </row>
    <row r="1072" spans="1:3" x14ac:dyDescent="0.25">
      <c r="A1072" s="1">
        <v>43180</v>
      </c>
      <c r="B1072" t="s">
        <v>3</v>
      </c>
      <c r="C1072" t="s">
        <v>116</v>
      </c>
    </row>
    <row r="1073" spans="1:3" x14ac:dyDescent="0.25">
      <c r="A1073" s="1">
        <v>43181</v>
      </c>
      <c r="B1073" t="s">
        <v>6</v>
      </c>
      <c r="C1073" t="s">
        <v>16</v>
      </c>
    </row>
    <row r="1074" spans="1:3" x14ac:dyDescent="0.25">
      <c r="A1074" s="1">
        <v>43181</v>
      </c>
      <c r="B1074" t="s">
        <v>2</v>
      </c>
      <c r="C1074" t="s">
        <v>22</v>
      </c>
    </row>
    <row r="1075" spans="1:3" x14ac:dyDescent="0.25">
      <c r="A1075" s="1">
        <v>43181</v>
      </c>
      <c r="B1075" t="s">
        <v>4</v>
      </c>
      <c r="C1075" t="s">
        <v>21</v>
      </c>
    </row>
    <row r="1076" spans="1:3" x14ac:dyDescent="0.25">
      <c r="A1076" s="1">
        <v>43181</v>
      </c>
      <c r="B1076" t="s">
        <v>0</v>
      </c>
      <c r="C1076" t="s">
        <v>5</v>
      </c>
    </row>
    <row r="1077" spans="1:3" x14ac:dyDescent="0.25">
      <c r="A1077" s="1">
        <v>43181</v>
      </c>
      <c r="B1077" t="s">
        <v>1</v>
      </c>
      <c r="C1077" t="s">
        <v>9</v>
      </c>
    </row>
    <row r="1078" spans="1:3" x14ac:dyDescent="0.25">
      <c r="A1078" s="1">
        <v>43181</v>
      </c>
      <c r="B1078" t="s">
        <v>25</v>
      </c>
      <c r="C1078" t="s">
        <v>14</v>
      </c>
    </row>
    <row r="1079" spans="1:3" x14ac:dyDescent="0.25">
      <c r="A1079" s="1">
        <v>43182</v>
      </c>
      <c r="B1079" t="s">
        <v>18</v>
      </c>
      <c r="C1079" t="s">
        <v>7</v>
      </c>
    </row>
    <row r="1080" spans="1:3" x14ac:dyDescent="0.25">
      <c r="A1080" s="1">
        <v>43182</v>
      </c>
      <c r="B1080" t="s">
        <v>28</v>
      </c>
      <c r="C1080" t="s">
        <v>23</v>
      </c>
    </row>
    <row r="1081" spans="1:3" x14ac:dyDescent="0.25">
      <c r="A1081" s="1">
        <v>43182</v>
      </c>
      <c r="B1081" t="s">
        <v>24</v>
      </c>
      <c r="C1081" t="s">
        <v>14</v>
      </c>
    </row>
    <row r="1082" spans="1:3" x14ac:dyDescent="0.25">
      <c r="A1082" s="1">
        <v>43182</v>
      </c>
      <c r="B1082" t="s">
        <v>8</v>
      </c>
      <c r="C1082" t="s">
        <v>29</v>
      </c>
    </row>
    <row r="1083" spans="1:3" x14ac:dyDescent="0.25">
      <c r="A1083" s="1">
        <v>43182</v>
      </c>
      <c r="B1083" t="s">
        <v>19</v>
      </c>
      <c r="C1083" t="s">
        <v>17</v>
      </c>
    </row>
    <row r="1084" spans="1:3" x14ac:dyDescent="0.25">
      <c r="A1084" s="1">
        <v>43182</v>
      </c>
      <c r="B1084" t="s">
        <v>26</v>
      </c>
      <c r="C1084" t="s">
        <v>12</v>
      </c>
    </row>
    <row r="1085" spans="1:3" x14ac:dyDescent="0.25">
      <c r="A1085" s="1">
        <v>43182</v>
      </c>
      <c r="B1085" t="s">
        <v>27</v>
      </c>
      <c r="C1085" t="s">
        <v>10</v>
      </c>
    </row>
    <row r="1086" spans="1:3" x14ac:dyDescent="0.25">
      <c r="A1086" s="1">
        <v>43182</v>
      </c>
      <c r="B1086" t="s">
        <v>3</v>
      </c>
      <c r="C1086" t="s">
        <v>22</v>
      </c>
    </row>
    <row r="1087" spans="1:3" x14ac:dyDescent="0.25">
      <c r="A1087" s="1">
        <v>43182</v>
      </c>
      <c r="B1087" t="s">
        <v>15</v>
      </c>
      <c r="C1087" t="s">
        <v>11</v>
      </c>
    </row>
    <row r="1088" spans="1:3" x14ac:dyDescent="0.25">
      <c r="A1088" s="1">
        <v>43182</v>
      </c>
      <c r="B1088" t="s">
        <v>116</v>
      </c>
      <c r="C1088" t="s">
        <v>20</v>
      </c>
    </row>
    <row r="1089" spans="1:3" x14ac:dyDescent="0.25">
      <c r="A1089" s="1">
        <v>43183</v>
      </c>
      <c r="B1089" t="s">
        <v>2</v>
      </c>
      <c r="C1089" t="s">
        <v>6</v>
      </c>
    </row>
    <row r="1090" spans="1:3" x14ac:dyDescent="0.25">
      <c r="A1090" s="1">
        <v>43183</v>
      </c>
      <c r="B1090" t="s">
        <v>21</v>
      </c>
      <c r="C1090" t="s">
        <v>18</v>
      </c>
    </row>
    <row r="1091" spans="1:3" x14ac:dyDescent="0.25">
      <c r="A1091" s="1">
        <v>43183</v>
      </c>
      <c r="B1091" t="s">
        <v>4</v>
      </c>
      <c r="C1091" t="s">
        <v>0</v>
      </c>
    </row>
    <row r="1092" spans="1:3" x14ac:dyDescent="0.25">
      <c r="A1092" s="1">
        <v>43183</v>
      </c>
      <c r="B1092" t="s">
        <v>16</v>
      </c>
      <c r="C1092" t="s">
        <v>5</v>
      </c>
    </row>
    <row r="1093" spans="1:3" x14ac:dyDescent="0.25">
      <c r="A1093" s="1">
        <v>43183</v>
      </c>
      <c r="B1093" t="s">
        <v>1</v>
      </c>
      <c r="C1093" t="s">
        <v>23</v>
      </c>
    </row>
    <row r="1094" spans="1:3" x14ac:dyDescent="0.25">
      <c r="A1094" s="1">
        <v>43183</v>
      </c>
      <c r="B1094" t="s">
        <v>9</v>
      </c>
      <c r="C1094" t="s">
        <v>17</v>
      </c>
    </row>
    <row r="1095" spans="1:3" x14ac:dyDescent="0.25">
      <c r="A1095" s="1">
        <v>43184</v>
      </c>
      <c r="B1095" t="s">
        <v>11</v>
      </c>
      <c r="C1095" t="s">
        <v>28</v>
      </c>
    </row>
    <row r="1096" spans="1:3" x14ac:dyDescent="0.25">
      <c r="A1096" s="1">
        <v>43184</v>
      </c>
      <c r="B1096" t="s">
        <v>24</v>
      </c>
      <c r="C1096" t="s">
        <v>22</v>
      </c>
    </row>
    <row r="1097" spans="1:3" x14ac:dyDescent="0.25">
      <c r="A1097" s="1">
        <v>43184</v>
      </c>
      <c r="B1097" t="s">
        <v>4</v>
      </c>
      <c r="C1097" t="s">
        <v>14</v>
      </c>
    </row>
    <row r="1098" spans="1:3" x14ac:dyDescent="0.25">
      <c r="A1098" s="1">
        <v>43184</v>
      </c>
      <c r="B1098" t="s">
        <v>8</v>
      </c>
      <c r="C1098" t="s">
        <v>12</v>
      </c>
    </row>
    <row r="1099" spans="1:3" x14ac:dyDescent="0.25">
      <c r="A1099" s="1">
        <v>43184</v>
      </c>
      <c r="B1099" t="s">
        <v>7</v>
      </c>
      <c r="C1099" t="s">
        <v>3</v>
      </c>
    </row>
    <row r="1100" spans="1:3" x14ac:dyDescent="0.25">
      <c r="A1100" s="1">
        <v>43184</v>
      </c>
      <c r="B1100" t="s">
        <v>26</v>
      </c>
      <c r="C1100" t="s">
        <v>27</v>
      </c>
    </row>
    <row r="1101" spans="1:3" x14ac:dyDescent="0.25">
      <c r="A1101" s="1">
        <v>43184</v>
      </c>
      <c r="B1101" t="s">
        <v>25</v>
      </c>
      <c r="C1101" t="s">
        <v>10</v>
      </c>
    </row>
    <row r="1102" spans="1:3" x14ac:dyDescent="0.25">
      <c r="A1102" s="1">
        <v>43184</v>
      </c>
      <c r="B1102" t="s">
        <v>15</v>
      </c>
      <c r="C1102" t="s">
        <v>29</v>
      </c>
    </row>
    <row r="1103" spans="1:3" x14ac:dyDescent="0.25">
      <c r="A1103" s="1">
        <v>43184</v>
      </c>
      <c r="B1103" t="s">
        <v>116</v>
      </c>
      <c r="C1103" t="s">
        <v>19</v>
      </c>
    </row>
    <row r="1104" spans="1:3" x14ac:dyDescent="0.25">
      <c r="A1104" s="1">
        <v>43185</v>
      </c>
      <c r="B1104" t="s">
        <v>6</v>
      </c>
      <c r="C1104" t="s">
        <v>19</v>
      </c>
    </row>
    <row r="1105" spans="1:3" x14ac:dyDescent="0.25">
      <c r="A1105" s="1">
        <v>43185</v>
      </c>
      <c r="B1105" t="s">
        <v>21</v>
      </c>
      <c r="C1105" t="s">
        <v>5</v>
      </c>
    </row>
    <row r="1106" spans="1:3" x14ac:dyDescent="0.25">
      <c r="A1106" s="1">
        <v>43185</v>
      </c>
      <c r="B1106" t="s">
        <v>17</v>
      </c>
      <c r="C1106" t="s">
        <v>16</v>
      </c>
    </row>
    <row r="1107" spans="1:3" x14ac:dyDescent="0.25">
      <c r="A1107" s="1">
        <v>43185</v>
      </c>
      <c r="B1107" t="s">
        <v>9</v>
      </c>
      <c r="C1107" t="s">
        <v>20</v>
      </c>
    </row>
    <row r="1108" spans="1:3" x14ac:dyDescent="0.25">
      <c r="A1108" s="1">
        <v>43185</v>
      </c>
      <c r="B1108" t="s">
        <v>23</v>
      </c>
      <c r="C1108" t="s">
        <v>10</v>
      </c>
    </row>
    <row r="1109" spans="1:3" x14ac:dyDescent="0.25">
      <c r="A1109" s="1">
        <v>43186</v>
      </c>
      <c r="B1109" t="s">
        <v>24</v>
      </c>
      <c r="C1109" t="s">
        <v>8</v>
      </c>
    </row>
    <row r="1110" spans="1:3" x14ac:dyDescent="0.25">
      <c r="A1110" s="1">
        <v>43186</v>
      </c>
      <c r="B1110" t="s">
        <v>4</v>
      </c>
      <c r="C1110" t="s">
        <v>18</v>
      </c>
    </row>
    <row r="1111" spans="1:3" x14ac:dyDescent="0.25">
      <c r="A1111" s="1">
        <v>43186</v>
      </c>
      <c r="B1111" t="s">
        <v>29</v>
      </c>
      <c r="C1111" t="s">
        <v>7</v>
      </c>
    </row>
    <row r="1112" spans="1:3" x14ac:dyDescent="0.25">
      <c r="A1112" s="1">
        <v>43186</v>
      </c>
      <c r="B1112" t="s">
        <v>12</v>
      </c>
      <c r="C1112" t="s">
        <v>28</v>
      </c>
    </row>
    <row r="1113" spans="1:3" x14ac:dyDescent="0.25">
      <c r="A1113" s="1">
        <v>43186</v>
      </c>
      <c r="B1113" t="s">
        <v>0</v>
      </c>
      <c r="C1113" t="s">
        <v>27</v>
      </c>
    </row>
    <row r="1114" spans="1:3" x14ac:dyDescent="0.25">
      <c r="A1114" s="1">
        <v>43186</v>
      </c>
      <c r="B1114" t="s">
        <v>25</v>
      </c>
      <c r="C1114" t="s">
        <v>2</v>
      </c>
    </row>
    <row r="1115" spans="1:3" x14ac:dyDescent="0.25">
      <c r="A1115" s="1">
        <v>43186</v>
      </c>
      <c r="B1115" t="s">
        <v>15</v>
      </c>
      <c r="C1115" t="s">
        <v>20</v>
      </c>
    </row>
    <row r="1116" spans="1:3" x14ac:dyDescent="0.25">
      <c r="A1116" s="1">
        <v>43186</v>
      </c>
      <c r="B1116" t="s">
        <v>116</v>
      </c>
      <c r="C1116" t="s">
        <v>3</v>
      </c>
    </row>
    <row r="1117" spans="1:3" x14ac:dyDescent="0.25">
      <c r="A1117" s="1">
        <v>43187</v>
      </c>
      <c r="B1117" t="s">
        <v>6</v>
      </c>
      <c r="C1117" t="s">
        <v>28</v>
      </c>
    </row>
    <row r="1118" spans="1:3" x14ac:dyDescent="0.25">
      <c r="A1118" s="1">
        <v>43187</v>
      </c>
      <c r="B1118" t="s">
        <v>5</v>
      </c>
      <c r="C1118" t="s">
        <v>2</v>
      </c>
    </row>
    <row r="1119" spans="1:3" x14ac:dyDescent="0.25">
      <c r="A1119" s="1">
        <v>43187</v>
      </c>
      <c r="B1119" t="s">
        <v>16</v>
      </c>
      <c r="C1119" t="s">
        <v>27</v>
      </c>
    </row>
    <row r="1120" spans="1:3" x14ac:dyDescent="0.25">
      <c r="A1120" s="1">
        <v>43187</v>
      </c>
      <c r="B1120" t="s">
        <v>17</v>
      </c>
      <c r="C1120" t="s">
        <v>14</v>
      </c>
    </row>
    <row r="1121" spans="1:3" x14ac:dyDescent="0.25">
      <c r="A1121" s="1">
        <v>43187</v>
      </c>
      <c r="B1121" t="s">
        <v>1</v>
      </c>
      <c r="C1121" t="s">
        <v>11</v>
      </c>
    </row>
    <row r="1122" spans="1:3" x14ac:dyDescent="0.25">
      <c r="A1122" s="1">
        <v>43187</v>
      </c>
      <c r="B1122" t="s">
        <v>9</v>
      </c>
      <c r="C1122" t="s">
        <v>19</v>
      </c>
    </row>
    <row r="1123" spans="1:3" x14ac:dyDescent="0.25">
      <c r="A1123" s="1">
        <v>43187</v>
      </c>
      <c r="B1123" t="s">
        <v>23</v>
      </c>
      <c r="C1123" t="s">
        <v>29</v>
      </c>
    </row>
    <row r="1124" spans="1:3" x14ac:dyDescent="0.25">
      <c r="A1124" s="1">
        <v>43187</v>
      </c>
      <c r="B1124" t="s">
        <v>22</v>
      </c>
      <c r="C1124" t="s">
        <v>10</v>
      </c>
    </row>
    <row r="1125" spans="1:3" x14ac:dyDescent="0.25">
      <c r="A1125" s="1">
        <v>43188</v>
      </c>
      <c r="B1125" t="s">
        <v>21</v>
      </c>
      <c r="C1125" t="s">
        <v>116</v>
      </c>
    </row>
    <row r="1126" spans="1:3" x14ac:dyDescent="0.25">
      <c r="A1126" s="1">
        <v>43188</v>
      </c>
      <c r="B1126" t="s">
        <v>24</v>
      </c>
      <c r="C1126" t="s">
        <v>7</v>
      </c>
    </row>
    <row r="1127" spans="1:3" x14ac:dyDescent="0.25">
      <c r="A1127" s="1">
        <v>43188</v>
      </c>
      <c r="B1127" t="s">
        <v>12</v>
      </c>
      <c r="C1127" t="s">
        <v>18</v>
      </c>
    </row>
    <row r="1128" spans="1:3" x14ac:dyDescent="0.25">
      <c r="A1128" s="1">
        <v>43188</v>
      </c>
      <c r="B1128" t="s">
        <v>25</v>
      </c>
      <c r="C1128" t="s">
        <v>8</v>
      </c>
    </row>
    <row r="1129" spans="1:3" x14ac:dyDescent="0.25">
      <c r="A1129" s="1">
        <v>43188</v>
      </c>
      <c r="B1129" t="s">
        <v>3</v>
      </c>
      <c r="C1129" t="s">
        <v>26</v>
      </c>
    </row>
    <row r="1130" spans="1:3" x14ac:dyDescent="0.25">
      <c r="A1130" s="1">
        <v>43189</v>
      </c>
      <c r="B1130" t="s">
        <v>14</v>
      </c>
      <c r="C1130" t="s">
        <v>9</v>
      </c>
    </row>
    <row r="1131" spans="1:3" x14ac:dyDescent="0.25">
      <c r="A1131" s="1">
        <v>43189</v>
      </c>
      <c r="B1131" t="s">
        <v>28</v>
      </c>
      <c r="C1131" t="s">
        <v>0</v>
      </c>
    </row>
    <row r="1132" spans="1:3" x14ac:dyDescent="0.25">
      <c r="A1132" s="1">
        <v>43189</v>
      </c>
      <c r="B1132" t="s">
        <v>2</v>
      </c>
      <c r="C1132" t="s">
        <v>17</v>
      </c>
    </row>
    <row r="1133" spans="1:3" x14ac:dyDescent="0.25">
      <c r="A1133" s="1">
        <v>43189</v>
      </c>
      <c r="B1133" t="s">
        <v>4</v>
      </c>
      <c r="C1133" t="s">
        <v>23</v>
      </c>
    </row>
    <row r="1134" spans="1:3" x14ac:dyDescent="0.25">
      <c r="A1134" s="1">
        <v>43189</v>
      </c>
      <c r="B1134" t="s">
        <v>5</v>
      </c>
      <c r="C1134" t="s">
        <v>7</v>
      </c>
    </row>
    <row r="1135" spans="1:3" x14ac:dyDescent="0.25">
      <c r="A1135" s="1">
        <v>43189</v>
      </c>
      <c r="B1135" t="s">
        <v>26</v>
      </c>
      <c r="C1135" t="s">
        <v>20</v>
      </c>
    </row>
    <row r="1136" spans="1:3" x14ac:dyDescent="0.25">
      <c r="A1136" s="1">
        <v>43189</v>
      </c>
      <c r="B1136" t="s">
        <v>1</v>
      </c>
      <c r="C1136" t="s">
        <v>18</v>
      </c>
    </row>
    <row r="1137" spans="1:3" x14ac:dyDescent="0.25">
      <c r="A1137" s="1">
        <v>43189</v>
      </c>
      <c r="B1137" t="s">
        <v>27</v>
      </c>
      <c r="C1137" t="s">
        <v>29</v>
      </c>
    </row>
    <row r="1138" spans="1:3" x14ac:dyDescent="0.25">
      <c r="A1138" s="1">
        <v>43189</v>
      </c>
      <c r="B1138" t="s">
        <v>22</v>
      </c>
      <c r="C1138" t="s">
        <v>16</v>
      </c>
    </row>
    <row r="1139" spans="1:3" x14ac:dyDescent="0.25">
      <c r="A1139" s="1">
        <v>43190</v>
      </c>
      <c r="B1139" t="s">
        <v>10</v>
      </c>
      <c r="C1139" t="s">
        <v>15</v>
      </c>
    </row>
    <row r="1140" spans="1:3" x14ac:dyDescent="0.25">
      <c r="A1140" s="1">
        <v>43190</v>
      </c>
      <c r="B1140" t="s">
        <v>12</v>
      </c>
      <c r="C1140" t="s">
        <v>11</v>
      </c>
    </row>
    <row r="1141" spans="1:3" x14ac:dyDescent="0.25">
      <c r="A1141" s="1">
        <v>43190</v>
      </c>
      <c r="B1141" t="s">
        <v>19</v>
      </c>
      <c r="C1141" t="s">
        <v>21</v>
      </c>
    </row>
    <row r="1142" spans="1:3" x14ac:dyDescent="0.25">
      <c r="A1142" s="1">
        <v>43190</v>
      </c>
      <c r="B1142" t="s">
        <v>25</v>
      </c>
      <c r="C1142" t="s">
        <v>24</v>
      </c>
    </row>
    <row r="1143" spans="1:3" x14ac:dyDescent="0.25">
      <c r="A1143" s="1">
        <v>43190</v>
      </c>
      <c r="B1143" t="s">
        <v>116</v>
      </c>
      <c r="C1143" t="s">
        <v>6</v>
      </c>
    </row>
    <row r="1144" spans="1:3" x14ac:dyDescent="0.25">
      <c r="A1144" s="1">
        <v>43191</v>
      </c>
      <c r="B1144" t="s">
        <v>14</v>
      </c>
      <c r="C1144" t="s">
        <v>1</v>
      </c>
    </row>
    <row r="1145" spans="1:3" x14ac:dyDescent="0.25">
      <c r="A1145" s="1">
        <v>43191</v>
      </c>
      <c r="B1145" t="s">
        <v>11</v>
      </c>
      <c r="C1145" t="s">
        <v>21</v>
      </c>
    </row>
    <row r="1146" spans="1:3" x14ac:dyDescent="0.25">
      <c r="A1146" s="1">
        <v>43191</v>
      </c>
      <c r="B1146" t="s">
        <v>18</v>
      </c>
      <c r="C1146" t="s">
        <v>116</v>
      </c>
    </row>
    <row r="1147" spans="1:3" x14ac:dyDescent="0.25">
      <c r="A1147" s="1">
        <v>43191</v>
      </c>
      <c r="B1147" t="s">
        <v>6</v>
      </c>
      <c r="C1147" t="s">
        <v>9</v>
      </c>
    </row>
    <row r="1148" spans="1:3" x14ac:dyDescent="0.25">
      <c r="A1148" s="1">
        <v>43191</v>
      </c>
      <c r="B1148" t="s">
        <v>28</v>
      </c>
      <c r="C1148" t="s">
        <v>2</v>
      </c>
    </row>
    <row r="1149" spans="1:3" x14ac:dyDescent="0.25">
      <c r="A1149" s="1">
        <v>43191</v>
      </c>
      <c r="B1149" t="s">
        <v>20</v>
      </c>
      <c r="C1149" t="s">
        <v>7</v>
      </c>
    </row>
    <row r="1150" spans="1:3" x14ac:dyDescent="0.25">
      <c r="A1150" s="1">
        <v>43191</v>
      </c>
      <c r="B1150" t="s">
        <v>24</v>
      </c>
      <c r="C1150" t="s">
        <v>23</v>
      </c>
    </row>
    <row r="1151" spans="1:3" x14ac:dyDescent="0.25">
      <c r="A1151" s="1">
        <v>43191</v>
      </c>
      <c r="B1151" t="s">
        <v>29</v>
      </c>
      <c r="C1151" t="s">
        <v>8</v>
      </c>
    </row>
    <row r="1152" spans="1:3" x14ac:dyDescent="0.25">
      <c r="A1152" s="1">
        <v>43191</v>
      </c>
      <c r="B1152" t="s">
        <v>5</v>
      </c>
      <c r="C1152" t="s">
        <v>25</v>
      </c>
    </row>
    <row r="1153" spans="1:3" x14ac:dyDescent="0.25">
      <c r="A1153" s="1">
        <v>43191</v>
      </c>
      <c r="B1153" t="s">
        <v>17</v>
      </c>
      <c r="C1153" t="s">
        <v>22</v>
      </c>
    </row>
    <row r="1154" spans="1:3" x14ac:dyDescent="0.25">
      <c r="A1154" s="1">
        <v>43191</v>
      </c>
      <c r="B1154" t="s">
        <v>0</v>
      </c>
      <c r="C1154" t="s">
        <v>26</v>
      </c>
    </row>
    <row r="1155" spans="1:3" x14ac:dyDescent="0.25">
      <c r="A1155" s="1">
        <v>43191</v>
      </c>
      <c r="B1155" t="s">
        <v>27</v>
      </c>
      <c r="C1155" t="s">
        <v>16</v>
      </c>
    </row>
    <row r="1156" spans="1:3" x14ac:dyDescent="0.25">
      <c r="A1156" s="1">
        <v>43191</v>
      </c>
      <c r="B1156" t="s">
        <v>3</v>
      </c>
      <c r="C1156" t="s">
        <v>4</v>
      </c>
    </row>
    <row r="1157" spans="1:3" x14ac:dyDescent="0.25">
      <c r="A1157" s="1">
        <v>43193</v>
      </c>
      <c r="B1157" t="s">
        <v>18</v>
      </c>
      <c r="C1157" t="s">
        <v>6</v>
      </c>
    </row>
    <row r="1158" spans="1:3" x14ac:dyDescent="0.25">
      <c r="A1158" s="1">
        <v>43193</v>
      </c>
      <c r="B1158" t="s">
        <v>28</v>
      </c>
      <c r="C1158" t="s">
        <v>15</v>
      </c>
    </row>
    <row r="1159" spans="1:3" x14ac:dyDescent="0.25">
      <c r="A1159" s="1">
        <v>43193</v>
      </c>
      <c r="B1159" t="s">
        <v>2</v>
      </c>
      <c r="C1159" t="s">
        <v>27</v>
      </c>
    </row>
    <row r="1160" spans="1:3" x14ac:dyDescent="0.25">
      <c r="A1160" s="1">
        <v>43193</v>
      </c>
      <c r="B1160" t="s">
        <v>20</v>
      </c>
      <c r="C1160" t="s">
        <v>8</v>
      </c>
    </row>
    <row r="1161" spans="1:3" x14ac:dyDescent="0.25">
      <c r="A1161" s="1">
        <v>43193</v>
      </c>
      <c r="B1161" t="s">
        <v>4</v>
      </c>
      <c r="C1161" t="s">
        <v>116</v>
      </c>
    </row>
    <row r="1162" spans="1:3" x14ac:dyDescent="0.25">
      <c r="A1162" s="1">
        <v>43193</v>
      </c>
      <c r="B1162" t="s">
        <v>29</v>
      </c>
      <c r="C1162" t="s">
        <v>3</v>
      </c>
    </row>
    <row r="1163" spans="1:3" x14ac:dyDescent="0.25">
      <c r="A1163" s="1">
        <v>43193</v>
      </c>
      <c r="B1163" t="s">
        <v>12</v>
      </c>
      <c r="C1163" t="s">
        <v>14</v>
      </c>
    </row>
    <row r="1164" spans="1:3" x14ac:dyDescent="0.25">
      <c r="A1164" s="1">
        <v>43193</v>
      </c>
      <c r="B1164" t="s">
        <v>7</v>
      </c>
      <c r="C1164" t="s">
        <v>10</v>
      </c>
    </row>
    <row r="1165" spans="1:3" x14ac:dyDescent="0.25">
      <c r="A1165" s="1">
        <v>43193</v>
      </c>
      <c r="B1165" t="s">
        <v>19</v>
      </c>
      <c r="C1165" t="s">
        <v>1</v>
      </c>
    </row>
    <row r="1166" spans="1:3" x14ac:dyDescent="0.25">
      <c r="A1166" s="1">
        <v>43193</v>
      </c>
      <c r="B1166" t="s">
        <v>26</v>
      </c>
      <c r="C1166" t="s">
        <v>24</v>
      </c>
    </row>
    <row r="1167" spans="1:3" x14ac:dyDescent="0.25">
      <c r="A1167" s="1">
        <v>43193</v>
      </c>
      <c r="B1167" t="s">
        <v>9</v>
      </c>
      <c r="C1167" t="s">
        <v>11</v>
      </c>
    </row>
    <row r="1168" spans="1:3" x14ac:dyDescent="0.25">
      <c r="A1168" s="1">
        <v>43193</v>
      </c>
      <c r="B1168" t="s">
        <v>23</v>
      </c>
      <c r="C1168" t="s">
        <v>25</v>
      </c>
    </row>
    <row r="1169" spans="1:3" x14ac:dyDescent="0.25">
      <c r="A1169" s="1">
        <v>43193</v>
      </c>
      <c r="B1169" t="s">
        <v>22</v>
      </c>
      <c r="C1169" t="s">
        <v>5</v>
      </c>
    </row>
    <row r="1170" spans="1:3" x14ac:dyDescent="0.25">
      <c r="A1170" s="1">
        <v>43194</v>
      </c>
      <c r="B1170" t="s">
        <v>14</v>
      </c>
      <c r="C1170" t="s">
        <v>12</v>
      </c>
    </row>
    <row r="1171" spans="1:3" x14ac:dyDescent="0.25">
      <c r="A1171" s="1">
        <v>43194</v>
      </c>
      <c r="B1171" t="s">
        <v>21</v>
      </c>
      <c r="C1171" t="s">
        <v>9</v>
      </c>
    </row>
    <row r="1172" spans="1:3" x14ac:dyDescent="0.25">
      <c r="A1172" s="1">
        <v>43194</v>
      </c>
      <c r="B1172" t="s">
        <v>5</v>
      </c>
      <c r="C1172" t="s">
        <v>3</v>
      </c>
    </row>
    <row r="1173" spans="1:3" x14ac:dyDescent="0.25">
      <c r="A1173" s="1">
        <v>43194</v>
      </c>
      <c r="B1173" t="s">
        <v>0</v>
      </c>
      <c r="C1173" t="s">
        <v>16</v>
      </c>
    </row>
    <row r="1174" spans="1:3" x14ac:dyDescent="0.25">
      <c r="A1174" s="1">
        <v>43194</v>
      </c>
      <c r="B1174" t="s">
        <v>1</v>
      </c>
      <c r="C1174" t="s">
        <v>2</v>
      </c>
    </row>
    <row r="1175" spans="1:3" x14ac:dyDescent="0.25">
      <c r="A1175" s="1">
        <v>43194</v>
      </c>
      <c r="B1175" t="s">
        <v>15</v>
      </c>
      <c r="C1175" t="s">
        <v>10</v>
      </c>
    </row>
    <row r="1176" spans="1:3" x14ac:dyDescent="0.25">
      <c r="A1176" s="1">
        <v>43195</v>
      </c>
      <c r="B1176" t="s">
        <v>28</v>
      </c>
      <c r="C1176" t="s">
        <v>116</v>
      </c>
    </row>
    <row r="1177" spans="1:3" x14ac:dyDescent="0.25">
      <c r="A1177" s="1">
        <v>43195</v>
      </c>
      <c r="B1177" t="s">
        <v>20</v>
      </c>
      <c r="C1177" t="s">
        <v>17</v>
      </c>
    </row>
    <row r="1178" spans="1:3" x14ac:dyDescent="0.25">
      <c r="A1178" s="1">
        <v>43195</v>
      </c>
      <c r="B1178" t="s">
        <v>4</v>
      </c>
      <c r="C1178" t="s">
        <v>27</v>
      </c>
    </row>
    <row r="1179" spans="1:3" x14ac:dyDescent="0.25">
      <c r="A1179" s="1">
        <v>43195</v>
      </c>
      <c r="B1179" t="s">
        <v>8</v>
      </c>
      <c r="C1179" t="s">
        <v>24</v>
      </c>
    </row>
    <row r="1180" spans="1:3" x14ac:dyDescent="0.25">
      <c r="A1180" s="1">
        <v>43195</v>
      </c>
      <c r="B1180" t="s">
        <v>7</v>
      </c>
      <c r="C1180" t="s">
        <v>11</v>
      </c>
    </row>
    <row r="1181" spans="1:3" x14ac:dyDescent="0.25">
      <c r="A1181" s="1">
        <v>43195</v>
      </c>
      <c r="B1181" t="s">
        <v>22</v>
      </c>
      <c r="C1181" t="s">
        <v>29</v>
      </c>
    </row>
    <row r="1182" spans="1:3" x14ac:dyDescent="0.25">
      <c r="A1182" s="1">
        <v>43196</v>
      </c>
      <c r="B1182" t="s">
        <v>10</v>
      </c>
      <c r="C1182" t="s">
        <v>18</v>
      </c>
    </row>
    <row r="1183" spans="1:3" x14ac:dyDescent="0.25">
      <c r="A1183" s="1">
        <v>43196</v>
      </c>
      <c r="B1183" t="s">
        <v>21</v>
      </c>
      <c r="C1183" t="s">
        <v>2</v>
      </c>
    </row>
    <row r="1184" spans="1:3" x14ac:dyDescent="0.25">
      <c r="A1184" s="1">
        <v>43196</v>
      </c>
      <c r="B1184" t="s">
        <v>5</v>
      </c>
      <c r="C1184" t="s">
        <v>17</v>
      </c>
    </row>
    <row r="1185" spans="1:3" x14ac:dyDescent="0.25">
      <c r="A1185" s="1">
        <v>43196</v>
      </c>
      <c r="B1185" t="s">
        <v>16</v>
      </c>
      <c r="C1185" t="s">
        <v>25</v>
      </c>
    </row>
    <row r="1186" spans="1:3" x14ac:dyDescent="0.25">
      <c r="A1186" s="1">
        <v>43196</v>
      </c>
      <c r="B1186" t="s">
        <v>19</v>
      </c>
      <c r="C1186" t="s">
        <v>12</v>
      </c>
    </row>
    <row r="1187" spans="1:3" x14ac:dyDescent="0.25">
      <c r="A1187" s="1">
        <v>43196</v>
      </c>
      <c r="B1187" t="s">
        <v>1</v>
      </c>
      <c r="C1187" t="s">
        <v>6</v>
      </c>
    </row>
    <row r="1188" spans="1:3" x14ac:dyDescent="0.25">
      <c r="A1188" s="1">
        <v>43196</v>
      </c>
      <c r="B1188" t="s">
        <v>9</v>
      </c>
      <c r="C1188" t="s">
        <v>28</v>
      </c>
    </row>
    <row r="1189" spans="1:3" x14ac:dyDescent="0.25">
      <c r="A1189" s="1">
        <v>43196</v>
      </c>
      <c r="B1189" t="s">
        <v>23</v>
      </c>
      <c r="C1189" t="s">
        <v>0</v>
      </c>
    </row>
    <row r="1190" spans="1:3" x14ac:dyDescent="0.25">
      <c r="A1190" s="1">
        <v>43196</v>
      </c>
      <c r="B1190" t="s">
        <v>15</v>
      </c>
      <c r="C1190" t="s">
        <v>8</v>
      </c>
    </row>
    <row r="1191" spans="1:3" x14ac:dyDescent="0.25">
      <c r="A1191" s="1">
        <v>43196</v>
      </c>
      <c r="B1191" t="s">
        <v>116</v>
      </c>
      <c r="C1191" t="s">
        <v>14</v>
      </c>
    </row>
    <row r="1192" spans="1:3" x14ac:dyDescent="0.25">
      <c r="A1192" s="1">
        <v>43197</v>
      </c>
      <c r="B1192" t="s">
        <v>18</v>
      </c>
      <c r="C1192" t="s">
        <v>11</v>
      </c>
    </row>
    <row r="1193" spans="1:3" x14ac:dyDescent="0.25">
      <c r="A1193" s="1">
        <v>43197</v>
      </c>
      <c r="B1193" t="s">
        <v>24</v>
      </c>
      <c r="C1193" t="s">
        <v>0</v>
      </c>
    </row>
    <row r="1194" spans="1:3" x14ac:dyDescent="0.25">
      <c r="A1194" s="1">
        <v>43197</v>
      </c>
      <c r="B1194" t="s">
        <v>4</v>
      </c>
      <c r="C1194" t="s">
        <v>26</v>
      </c>
    </row>
    <row r="1195" spans="1:3" x14ac:dyDescent="0.25">
      <c r="A1195" s="1">
        <v>43197</v>
      </c>
      <c r="B1195" t="s">
        <v>29</v>
      </c>
      <c r="C1195" t="s">
        <v>20</v>
      </c>
    </row>
    <row r="1196" spans="1:3" x14ac:dyDescent="0.25">
      <c r="A1196" s="1">
        <v>43197</v>
      </c>
      <c r="B1196" t="s">
        <v>19</v>
      </c>
      <c r="C1196" t="s">
        <v>7</v>
      </c>
    </row>
    <row r="1197" spans="1:3" x14ac:dyDescent="0.25">
      <c r="A1197" s="1">
        <v>43197</v>
      </c>
      <c r="B1197" t="s">
        <v>3</v>
      </c>
      <c r="C1197" t="s">
        <v>27</v>
      </c>
    </row>
    <row r="1198" spans="1:3" x14ac:dyDescent="0.25">
      <c r="A1198" s="1">
        <v>43198</v>
      </c>
      <c r="B1198" t="s">
        <v>10</v>
      </c>
      <c r="C1198" t="s">
        <v>14</v>
      </c>
    </row>
    <row r="1199" spans="1:3" x14ac:dyDescent="0.25">
      <c r="A1199" s="1">
        <v>43198</v>
      </c>
      <c r="B1199" t="s">
        <v>6</v>
      </c>
      <c r="C1199" t="s">
        <v>8</v>
      </c>
    </row>
    <row r="1200" spans="1:3" x14ac:dyDescent="0.25">
      <c r="A1200" s="1">
        <v>43198</v>
      </c>
      <c r="B1200" t="s">
        <v>5</v>
      </c>
      <c r="C1200" t="s">
        <v>22</v>
      </c>
    </row>
    <row r="1201" spans="1:3" x14ac:dyDescent="0.25">
      <c r="A1201" s="1">
        <v>43198</v>
      </c>
      <c r="B1201" t="s">
        <v>16</v>
      </c>
      <c r="C1201" t="s">
        <v>21</v>
      </c>
    </row>
    <row r="1202" spans="1:3" x14ac:dyDescent="0.25">
      <c r="A1202" s="1">
        <v>43198</v>
      </c>
      <c r="B1202" t="s">
        <v>9</v>
      </c>
      <c r="C1202" t="s">
        <v>2</v>
      </c>
    </row>
    <row r="1203" spans="1:3" x14ac:dyDescent="0.25">
      <c r="A1203" s="1">
        <v>43198</v>
      </c>
      <c r="B1203" t="s">
        <v>23</v>
      </c>
      <c r="C1203" t="s">
        <v>24</v>
      </c>
    </row>
    <row r="1204" spans="1:3" x14ac:dyDescent="0.25">
      <c r="A1204" s="1">
        <v>43198</v>
      </c>
      <c r="B1204" t="s">
        <v>15</v>
      </c>
      <c r="C1204" t="s">
        <v>1</v>
      </c>
    </row>
    <row r="1205" spans="1:3" x14ac:dyDescent="0.25">
      <c r="A1205" s="1">
        <v>43199</v>
      </c>
      <c r="B1205" t="s">
        <v>11</v>
      </c>
      <c r="C1205" t="s">
        <v>18</v>
      </c>
    </row>
    <row r="1206" spans="1:3" x14ac:dyDescent="0.25">
      <c r="A1206" s="1">
        <v>43199</v>
      </c>
      <c r="B1206" t="s">
        <v>20</v>
      </c>
      <c r="C1206" t="s">
        <v>27</v>
      </c>
    </row>
    <row r="1207" spans="1:3" x14ac:dyDescent="0.25">
      <c r="A1207" s="1">
        <v>43199</v>
      </c>
      <c r="B1207" t="s">
        <v>21</v>
      </c>
      <c r="C1207" t="s">
        <v>15</v>
      </c>
    </row>
    <row r="1208" spans="1:3" x14ac:dyDescent="0.25">
      <c r="A1208" s="1">
        <v>43199</v>
      </c>
      <c r="B1208" t="s">
        <v>29</v>
      </c>
      <c r="C1208" t="s">
        <v>0</v>
      </c>
    </row>
    <row r="1209" spans="1:3" x14ac:dyDescent="0.25">
      <c r="A1209" s="1">
        <v>43199</v>
      </c>
      <c r="B1209" t="s">
        <v>12</v>
      </c>
      <c r="C1209" t="s">
        <v>26</v>
      </c>
    </row>
    <row r="1210" spans="1:3" x14ac:dyDescent="0.25">
      <c r="A1210" s="1">
        <v>43199</v>
      </c>
      <c r="B1210" t="s">
        <v>7</v>
      </c>
      <c r="C1210" t="s">
        <v>1</v>
      </c>
    </row>
    <row r="1211" spans="1:3" x14ac:dyDescent="0.25">
      <c r="A1211" s="1">
        <v>43199</v>
      </c>
      <c r="B1211" t="s">
        <v>17</v>
      </c>
      <c r="C1211" t="s">
        <v>16</v>
      </c>
    </row>
    <row r="1212" spans="1:3" x14ac:dyDescent="0.25">
      <c r="A1212" s="1">
        <v>43199</v>
      </c>
      <c r="B1212" t="s">
        <v>19</v>
      </c>
      <c r="C1212" t="s">
        <v>28</v>
      </c>
    </row>
    <row r="1213" spans="1:3" x14ac:dyDescent="0.25">
      <c r="A1213" s="1">
        <v>43199</v>
      </c>
      <c r="B1213" t="s">
        <v>3</v>
      </c>
      <c r="C1213" t="s">
        <v>25</v>
      </c>
    </row>
    <row r="1214" spans="1:3" x14ac:dyDescent="0.25">
      <c r="A1214" s="1">
        <v>43200</v>
      </c>
      <c r="B1214" t="s">
        <v>14</v>
      </c>
      <c r="C1214" t="s">
        <v>9</v>
      </c>
    </row>
    <row r="1215" spans="1:3" x14ac:dyDescent="0.25">
      <c r="A1215" s="1">
        <v>43200</v>
      </c>
      <c r="B1215" t="s">
        <v>2</v>
      </c>
      <c r="C1215" t="s">
        <v>23</v>
      </c>
    </row>
    <row r="1216" spans="1:3" x14ac:dyDescent="0.25">
      <c r="A1216" s="1">
        <v>43200</v>
      </c>
      <c r="B1216" t="s">
        <v>8</v>
      </c>
      <c r="C1216" t="s">
        <v>6</v>
      </c>
    </row>
    <row r="1217" spans="1:3" x14ac:dyDescent="0.25">
      <c r="A1217" s="1">
        <v>43200</v>
      </c>
      <c r="B1217" t="s">
        <v>5</v>
      </c>
      <c r="C1217" t="s">
        <v>4</v>
      </c>
    </row>
    <row r="1218" spans="1:3" x14ac:dyDescent="0.25">
      <c r="A1218" s="1">
        <v>43200</v>
      </c>
      <c r="B1218" t="s">
        <v>22</v>
      </c>
      <c r="C1218" t="s">
        <v>24</v>
      </c>
    </row>
    <row r="1219" spans="1:3" x14ac:dyDescent="0.25">
      <c r="A1219" s="1">
        <v>43200</v>
      </c>
      <c r="B1219" t="s">
        <v>116</v>
      </c>
      <c r="C1219" t="s">
        <v>10</v>
      </c>
    </row>
    <row r="1220" spans="1:3" x14ac:dyDescent="0.25">
      <c r="A1220" s="1">
        <v>43201</v>
      </c>
      <c r="B1220" t="s">
        <v>10</v>
      </c>
      <c r="C1220" t="s">
        <v>11</v>
      </c>
    </row>
    <row r="1221" spans="1:3" x14ac:dyDescent="0.25">
      <c r="A1221" s="1">
        <v>43201</v>
      </c>
      <c r="B1221" t="s">
        <v>18</v>
      </c>
      <c r="C1221" t="s">
        <v>21</v>
      </c>
    </row>
    <row r="1222" spans="1:3" x14ac:dyDescent="0.25">
      <c r="A1222" s="1">
        <v>43201</v>
      </c>
      <c r="B1222" t="s">
        <v>28</v>
      </c>
      <c r="C1222" t="s">
        <v>19</v>
      </c>
    </row>
    <row r="1223" spans="1:3" x14ac:dyDescent="0.25">
      <c r="A1223" s="1">
        <v>43201</v>
      </c>
      <c r="B1223" t="s">
        <v>29</v>
      </c>
      <c r="C1223" t="s">
        <v>5</v>
      </c>
    </row>
    <row r="1224" spans="1:3" x14ac:dyDescent="0.25">
      <c r="A1224" s="1">
        <v>43201</v>
      </c>
      <c r="B1224" t="s">
        <v>12</v>
      </c>
      <c r="C1224" t="s">
        <v>15</v>
      </c>
    </row>
    <row r="1225" spans="1:3" x14ac:dyDescent="0.25">
      <c r="A1225" s="1">
        <v>43201</v>
      </c>
      <c r="B1225" t="s">
        <v>17</v>
      </c>
      <c r="C1225" t="s">
        <v>20</v>
      </c>
    </row>
    <row r="1226" spans="1:3" x14ac:dyDescent="0.25">
      <c r="A1226" s="1">
        <v>43201</v>
      </c>
      <c r="B1226" t="s">
        <v>0</v>
      </c>
      <c r="C1226" t="s">
        <v>3</v>
      </c>
    </row>
    <row r="1227" spans="1:3" x14ac:dyDescent="0.25">
      <c r="A1227" s="1">
        <v>43201</v>
      </c>
      <c r="B1227" t="s">
        <v>26</v>
      </c>
      <c r="C1227" t="s">
        <v>16</v>
      </c>
    </row>
    <row r="1228" spans="1:3" x14ac:dyDescent="0.25">
      <c r="A1228" s="1">
        <v>43201</v>
      </c>
      <c r="B1228" t="s">
        <v>1</v>
      </c>
      <c r="C1228" t="s">
        <v>116</v>
      </c>
    </row>
    <row r="1229" spans="1:3" x14ac:dyDescent="0.25">
      <c r="A1229" s="1">
        <v>43201</v>
      </c>
      <c r="B1229" t="s">
        <v>9</v>
      </c>
      <c r="C1229" t="s">
        <v>7</v>
      </c>
    </row>
    <row r="1230" spans="1:3" x14ac:dyDescent="0.25">
      <c r="A1230" s="1">
        <v>43201</v>
      </c>
      <c r="B1230" t="s">
        <v>27</v>
      </c>
      <c r="C1230" t="s">
        <v>22</v>
      </c>
    </row>
    <row r="1231" spans="1:3" x14ac:dyDescent="0.25">
      <c r="A1231" s="1">
        <v>43201</v>
      </c>
      <c r="B1231" t="s">
        <v>25</v>
      </c>
      <c r="C1231" t="s">
        <v>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autoPageBreaks="0"/>
  </sheetPr>
  <dimension ref="A1:AV72"/>
  <sheetViews>
    <sheetView tabSelected="1" topLeftCell="A31" zoomScale="80" zoomScaleNormal="80" workbookViewId="0">
      <selection activeCell="W48" sqref="W48"/>
    </sheetView>
  </sheetViews>
  <sheetFormatPr defaultRowHeight="15" x14ac:dyDescent="0.25"/>
  <cols>
    <col min="15" max="45" width="5.7109375" customWidth="1"/>
  </cols>
  <sheetData>
    <row r="1" spans="1:48" x14ac:dyDescent="0.25">
      <c r="A1" t="s">
        <v>76</v>
      </c>
      <c r="B1" s="3" t="s">
        <v>75</v>
      </c>
      <c r="C1" s="3" t="s">
        <v>108</v>
      </c>
      <c r="D1" t="s">
        <v>64</v>
      </c>
      <c r="E1" t="s">
        <v>110</v>
      </c>
      <c r="F1" s="3" t="s">
        <v>111</v>
      </c>
      <c r="G1" t="s">
        <v>36</v>
      </c>
      <c r="I1" t="s">
        <v>30</v>
      </c>
      <c r="J1" t="s">
        <v>77</v>
      </c>
      <c r="K1" s="3" t="s">
        <v>112</v>
      </c>
      <c r="L1" t="s">
        <v>35</v>
      </c>
      <c r="M1" s="3" t="s">
        <v>34</v>
      </c>
      <c r="P1" t="s">
        <v>14</v>
      </c>
      <c r="Q1" t="s">
        <v>10</v>
      </c>
      <c r="R1" t="s">
        <v>11</v>
      </c>
      <c r="S1" t="s">
        <v>6</v>
      </c>
      <c r="T1" t="s">
        <v>18</v>
      </c>
      <c r="U1" t="s">
        <v>28</v>
      </c>
      <c r="V1" t="s">
        <v>2</v>
      </c>
      <c r="W1" t="s">
        <v>20</v>
      </c>
      <c r="X1" t="s">
        <v>21</v>
      </c>
      <c r="Y1" t="s">
        <v>24</v>
      </c>
      <c r="Z1" t="s">
        <v>4</v>
      </c>
      <c r="AA1" t="s">
        <v>8</v>
      </c>
      <c r="AB1" t="s">
        <v>29</v>
      </c>
      <c r="AC1" t="s">
        <v>5</v>
      </c>
      <c r="AD1" t="s">
        <v>16</v>
      </c>
      <c r="AE1" t="s">
        <v>12</v>
      </c>
      <c r="AF1" t="s">
        <v>7</v>
      </c>
      <c r="AG1" t="s">
        <v>17</v>
      </c>
      <c r="AH1" t="s">
        <v>0</v>
      </c>
      <c r="AI1" t="s">
        <v>19</v>
      </c>
      <c r="AJ1" t="s">
        <v>26</v>
      </c>
      <c r="AK1" t="s">
        <v>1</v>
      </c>
      <c r="AL1" t="s">
        <v>9</v>
      </c>
      <c r="AM1" t="s">
        <v>23</v>
      </c>
      <c r="AN1" t="s">
        <v>27</v>
      </c>
      <c r="AO1" t="s">
        <v>25</v>
      </c>
      <c r="AP1" t="s">
        <v>3</v>
      </c>
      <c r="AQ1" t="s">
        <v>15</v>
      </c>
      <c r="AR1" t="s">
        <v>22</v>
      </c>
      <c r="AS1" t="s">
        <v>13</v>
      </c>
    </row>
    <row r="2" spans="1:48" x14ac:dyDescent="0.25">
      <c r="A2" t="s">
        <v>78</v>
      </c>
      <c r="B2">
        <f>VALUE(LEFT(A2, 4))</f>
        <v>2017</v>
      </c>
      <c r="C2" t="str">
        <f>RIGHT(A2,LEN(A2)-5)</f>
        <v>ATL</v>
      </c>
      <c r="D2" t="s">
        <v>109</v>
      </c>
      <c r="E2">
        <v>26</v>
      </c>
      <c r="F2">
        <f>RANK(E2,$E$2:$E$31)</f>
        <v>26</v>
      </c>
      <c r="G2">
        <v>25.5</v>
      </c>
      <c r="H2">
        <f>RANK(G2,$G$2:$G$31)</f>
        <v>29</v>
      </c>
      <c r="I2" t="s">
        <v>32</v>
      </c>
      <c r="J2">
        <v>0.51</v>
      </c>
      <c r="K2">
        <f>RANK(J2,$J$2:$J$31)</f>
        <v>27</v>
      </c>
      <c r="L2">
        <f>ROUND(IF(I2="O",G2+(3-K2/10),G2-(3+K2/10)),0)</f>
        <v>26</v>
      </c>
      <c r="M2">
        <f>RANK(L2,L$2:L$31)</f>
        <v>27</v>
      </c>
      <c r="N2" s="2"/>
      <c r="O2" t="s">
        <v>14</v>
      </c>
      <c r="P2">
        <f>VLOOKUP(VLOOKUP($O2,$C$2:$M$31,4,0),$O$42:$AS$71,VLOOKUP(P$1,$C$2:$M$31,4,0)+1,0)</f>
        <v>0.5</v>
      </c>
      <c r="Q2">
        <f>VLOOKUP(VLOOKUP($O2,$C$2:$M$31,4,0),$O$42:$AS$71,VLOOKUP(Q$1,$C$2:$M$31,4,0)+1,0)</f>
        <v>0.24609478049221095</v>
      </c>
      <c r="R2">
        <f>VLOOKUP(VLOOKUP($O2,$C$2:$M$31,4,0),$O$42:$AS$71,VLOOKUP(R$1,$C$2:$M$31,4,0)+1,0)</f>
        <v>0.51874673400493132</v>
      </c>
      <c r="S2">
        <f>VLOOKUP(VLOOKUP($O2,$C$2:$M$31,4,0),$O$42:$AS$71,VLOOKUP(S$1,$C$2:$M$31,4,0)+1,0)</f>
        <v>0.30646963912840919</v>
      </c>
      <c r="T2">
        <f>VLOOKUP(VLOOKUP($O2,$C$2:$M$31,4,0),$O$42:$AS$71,VLOOKUP(T$1,$C$2:$M$31,4,0)+1,0)</f>
        <v>0.57704744610390912</v>
      </c>
      <c r="U2">
        <f>VLOOKUP(VLOOKUP($O2,$C$2:$M$31,4,0),$O$42:$AS$71,VLOOKUP(U$1,$C$2:$M$31,4,0)+1,0)</f>
        <v>0.26442359496275097</v>
      </c>
      <c r="V2">
        <f>VLOOKUP(VLOOKUP($O2,$C$2:$M$31,4,0),$O$42:$AS$71,VLOOKUP(V$1,$C$2:$M$31,4,0)+1,0)</f>
        <v>0.41470076965115682</v>
      </c>
      <c r="W2">
        <f>VLOOKUP(VLOOKUP($O2,$C$2:$M$31,4,0),$O$42:$AS$71,VLOOKUP(W$1,$C$2:$M$31,4,0)+1,0)</f>
        <v>0.34714809603746133</v>
      </c>
      <c r="X2">
        <f>VLOOKUP(VLOOKUP($O2,$C$2:$M$31,4,0),$O$42:$AS$71,VLOOKUP(X$1,$C$2:$M$31,4,0)+1,0)</f>
        <v>0.37188956529446682</v>
      </c>
      <c r="Y2">
        <f>VLOOKUP(VLOOKUP($O2,$C$2:$M$31,4,0),$O$42:$AS$71,VLOOKUP(Y$1,$C$2:$M$31,4,0)+1,0)</f>
        <v>0.24244238214015779</v>
      </c>
      <c r="Z2">
        <f>VLOOKUP(VLOOKUP($O2,$C$2:$M$31,4,0),$O$42:$AS$71,VLOOKUP(Z$1,$C$2:$M$31,4,0)+1,0)</f>
        <v>0.2500905528792392</v>
      </c>
      <c r="AA2">
        <f>VLOOKUP(VLOOKUP($O2,$C$2:$M$31,4,0),$O$42:$AS$71,VLOOKUP(AA$1,$C$2:$M$31,4,0)+1,0)</f>
        <v>0.41470076965115682</v>
      </c>
      <c r="AB2">
        <f>VLOOKUP(VLOOKUP($O2,$C$2:$M$31,4,0),$O$42:$AS$71,VLOOKUP(AB$1,$C$2:$M$31,4,0)+1,0)</f>
        <v>0.29016846519990758</v>
      </c>
      <c r="AC2">
        <f>VLOOKUP(VLOOKUP($O2,$C$2:$M$31,4,0),$O$42:$AS$71,VLOOKUP(AC$1,$C$2:$M$31,4,0)+1,0)</f>
        <v>0.46401397661336835</v>
      </c>
      <c r="AD2">
        <f>VLOOKUP(VLOOKUP($O2,$C$2:$M$31,4,0),$O$42:$AS$71,VLOOKUP(AD$1,$C$2:$M$31,4,0)+1,0)</f>
        <v>0.37188956529446682</v>
      </c>
      <c r="AE2">
        <f>VLOOKUP(VLOOKUP($O2,$C$2:$M$31,4,0),$O$42:$AS$71,VLOOKUP(AE$1,$C$2:$M$31,4,0)+1,0)</f>
        <v>0.27624046366789401</v>
      </c>
      <c r="AF2">
        <f>VLOOKUP(VLOOKUP($O2,$C$2:$M$31,4,0),$O$42:$AS$71,VLOOKUP(AF$1,$C$2:$M$31,4,0)+1,0)</f>
        <v>0.27624046366789401</v>
      </c>
      <c r="AG2">
        <f>VLOOKUP(VLOOKUP($O2,$C$2:$M$31,4,0),$O$42:$AS$71,VLOOKUP(AG$1,$C$2:$M$31,4,0)+1,0)</f>
        <v>0.30646963912840919</v>
      </c>
      <c r="AH2">
        <f>VLOOKUP(VLOOKUP($O2,$C$2:$M$31,4,0),$O$42:$AS$71,VLOOKUP(AH$1,$C$2:$M$31,4,0)+1,0)</f>
        <v>0.37188956529446682</v>
      </c>
      <c r="AI2">
        <f>VLOOKUP(VLOOKUP($O2,$C$2:$M$31,4,0),$O$42:$AS$71,VLOOKUP(AI$1,$C$2:$M$31,4,0)+1,0)</f>
        <v>0.51874673400493132</v>
      </c>
      <c r="AJ2">
        <f>VLOOKUP(VLOOKUP($O2,$C$2:$M$31,4,0),$O$42:$AS$71,VLOOKUP(AJ$1,$C$2:$M$31,4,0)+1,0)</f>
        <v>0.25445757909498545</v>
      </c>
      <c r="AK2">
        <f>VLOOKUP(VLOOKUP($O2,$C$2:$M$31,4,0),$O$42:$AS$71,VLOOKUP(AK$1,$C$2:$M$31,4,0)+1,0)</f>
        <v>0.44690407540470389</v>
      </c>
      <c r="AL2">
        <f>VLOOKUP(VLOOKUP($O2,$C$2:$M$31,4,0),$O$42:$AS$71,VLOOKUP(AL$1,$C$2:$M$31,4,0)+1,0)</f>
        <v>0.35913938038783494</v>
      </c>
      <c r="AM2">
        <f>VLOOKUP(VLOOKUP($O2,$C$2:$M$31,4,0),$O$42:$AS$71,VLOOKUP(AM$1,$C$2:$M$31,4,0)+1,0)</f>
        <v>0.51874673400493132</v>
      </c>
      <c r="AN2">
        <f>VLOOKUP(VLOOKUP($O2,$C$2:$M$31,4,0),$O$42:$AS$71,VLOOKUP(AN$1,$C$2:$M$31,4,0)+1,0)</f>
        <v>0.30646963912840919</v>
      </c>
      <c r="AO2">
        <f>VLOOKUP(VLOOKUP($O2,$C$2:$M$31,4,0),$O$42:$AS$71,VLOOKUP(AO$1,$C$2:$M$31,4,0)+1,0)</f>
        <v>0.48173261602650175</v>
      </c>
      <c r="AP2">
        <f>VLOOKUP(VLOOKUP($O2,$C$2:$M$31,4,0),$O$42:$AS$71,VLOOKUP(AP$1,$C$2:$M$31,4,0)+1,0)</f>
        <v>0.25445757909498545</v>
      </c>
      <c r="AQ2">
        <f>VLOOKUP(VLOOKUP($O2,$C$2:$M$31,4,0),$O$42:$AS$71,VLOOKUP(AQ$1,$C$2:$M$31,4,0)+1,0)</f>
        <v>0.27008459656724915</v>
      </c>
      <c r="AR2">
        <f>VLOOKUP(VLOOKUP($O2,$C$2:$M$31,4,0),$O$42:$AS$71,VLOOKUP(AR$1,$C$2:$M$31,4,0)+1,0)</f>
        <v>0.33590455341667186</v>
      </c>
      <c r="AS2">
        <f>VLOOKUP(VLOOKUP($O2,$C$2:$M$31,4,0),$O$42:$AS$71,VLOOKUP(AS$1,$C$2:$M$31,4,0)+1,0)</f>
        <v>0.29016846519990758</v>
      </c>
      <c r="AU2">
        <f>SUM(P2:AS2)</f>
        <v>10.847478421543371</v>
      </c>
      <c r="AV2">
        <f>AU2/30</f>
        <v>0.36158261405144571</v>
      </c>
    </row>
    <row r="3" spans="1:48" x14ac:dyDescent="0.25">
      <c r="A3" t="s">
        <v>79</v>
      </c>
      <c r="B3">
        <v>2017</v>
      </c>
      <c r="C3" t="str">
        <f t="shared" ref="C3:C31" si="0">RIGHT(A3,LEN(A3)-5)</f>
        <v>BOS</v>
      </c>
      <c r="D3" t="s">
        <v>109</v>
      </c>
      <c r="E3">
        <v>58</v>
      </c>
      <c r="F3">
        <f t="shared" ref="F3:F31" si="1">RANK(E3,$E$2:$E$31)</f>
        <v>2</v>
      </c>
      <c r="G3">
        <v>56.5</v>
      </c>
      <c r="H3">
        <f t="shared" ref="H3:H31" si="2">RANK(G3,$G$2:$G$31)</f>
        <v>2</v>
      </c>
      <c r="I3" t="s">
        <v>32</v>
      </c>
      <c r="J3">
        <v>0.55000000000000004</v>
      </c>
      <c r="K3">
        <f t="shared" ref="K3:K31" si="3">RANK(J3,$J$2:$J$31)</f>
        <v>18</v>
      </c>
      <c r="L3">
        <f t="shared" ref="L3:L31" si="4">ROUND(IF(I3="O",G3+(3-K3/10),G3-(3+K3/10)),0)</f>
        <v>58</v>
      </c>
      <c r="M3">
        <f t="shared" ref="M3:M31" si="5">RANK(L3,L$2:L$31)</f>
        <v>2</v>
      </c>
      <c r="O3" t="s">
        <v>10</v>
      </c>
      <c r="P3">
        <f>VLOOKUP(VLOOKUP($O3,$C$2:$M$31,4,0),$O$42:$AS$71,VLOOKUP(P$1,$C$2:$M$31,4,0)+1,0)</f>
        <v>0.7539052195077891</v>
      </c>
      <c r="Q3">
        <f>VLOOKUP(VLOOKUP($O3,$C$2:$M$31,4,0),$O$42:$AS$71,VLOOKUP(Q$1,$C$2:$M$31,4,0)+1,0)</f>
        <v>0.5</v>
      </c>
      <c r="R3">
        <f>VLOOKUP(VLOOKUP($O3,$C$2:$M$31,4,0),$O$42:$AS$71,VLOOKUP(R$1,$C$2:$M$31,4,0)+1,0)</f>
        <v>0.76755776747904569</v>
      </c>
      <c r="S3">
        <f>VLOOKUP(VLOOKUP($O3,$C$2:$M$31,4,0),$O$42:$AS$71,VLOOKUP(S$1,$C$2:$M$31,4,0)+1,0)</f>
        <v>0.57514483759670265</v>
      </c>
      <c r="T3">
        <f>VLOOKUP(VLOOKUP($O3,$C$2:$M$31,4,0),$O$42:$AS$71,VLOOKUP(T$1,$C$2:$M$31,4,0)+1,0)</f>
        <v>0.80693471852907617</v>
      </c>
      <c r="U3">
        <f>VLOOKUP(VLOOKUP($O3,$C$2:$M$31,4,0),$O$42:$AS$71,VLOOKUP(U$1,$C$2:$M$31,4,0)+1,0)</f>
        <v>0.52409328508382835</v>
      </c>
      <c r="V3">
        <f>VLOOKUP(VLOOKUP($O3,$C$2:$M$31,4,0),$O$42:$AS$71,VLOOKUP(V$1,$C$2:$M$31,4,0)+1,0)</f>
        <v>0.68459802614500498</v>
      </c>
      <c r="W3">
        <f>VLOOKUP(VLOOKUP($O3,$C$2:$M$31,4,0),$O$42:$AS$71,VLOOKUP(W$1,$C$2:$M$31,4,0)+1,0)</f>
        <v>0.61962363972112011</v>
      </c>
      <c r="X3">
        <f>VLOOKUP(VLOOKUP($O3,$C$2:$M$31,4,0),$O$42:$AS$71,VLOOKUP(X$1,$C$2:$M$31,4,0)+1,0)</f>
        <v>0.64461026202429994</v>
      </c>
      <c r="Y3">
        <f>VLOOKUP(VLOOKUP($O3,$C$2:$M$31,4,0),$O$42:$AS$71,VLOOKUP(Y$1,$C$2:$M$31,4,0)+1,0)</f>
        <v>0.4950537596842387</v>
      </c>
      <c r="Z3">
        <f>VLOOKUP(VLOOKUP($O3,$C$2:$M$31,4,0),$O$42:$AS$71,VLOOKUP(Z$1,$C$2:$M$31,4,0)+1,0)</f>
        <v>0.50535492274332605</v>
      </c>
      <c r="AA3">
        <f>VLOOKUP(VLOOKUP($O3,$C$2:$M$31,4,0),$O$42:$AS$71,VLOOKUP(AA$1,$C$2:$M$31,4,0)+1,0)</f>
        <v>0.68459802614500498</v>
      </c>
      <c r="AB3">
        <f>VLOOKUP(VLOOKUP($O3,$C$2:$M$31,4,0),$O$42:$AS$71,VLOOKUP(AB$1,$C$2:$M$31,4,0)+1,0)</f>
        <v>0.55600991854886872</v>
      </c>
      <c r="AC3">
        <f>VLOOKUP(VLOOKUP($O3,$C$2:$M$31,4,0),$O$42:$AS$71,VLOOKUP(AC$1,$C$2:$M$31,4,0)+1,0)</f>
        <v>0.72618587283790192</v>
      </c>
      <c r="AD3">
        <f>VLOOKUP(VLOOKUP($O3,$C$2:$M$31,4,0),$O$42:$AS$71,VLOOKUP(AD$1,$C$2:$M$31,4,0)+1,0)</f>
        <v>0.64461026202429994</v>
      </c>
      <c r="AE3">
        <f>VLOOKUP(VLOOKUP($O3,$C$2:$M$31,4,0),$O$42:$AS$71,VLOOKUP(AE$1,$C$2:$M$31,4,0)+1,0)</f>
        <v>0.53901115838682301</v>
      </c>
      <c r="AF3">
        <f>VLOOKUP(VLOOKUP($O3,$C$2:$M$31,4,0),$O$42:$AS$71,VLOOKUP(AF$1,$C$2:$M$31,4,0)+1,0)</f>
        <v>0.53901115838682301</v>
      </c>
      <c r="AG3">
        <f>VLOOKUP(VLOOKUP($O3,$C$2:$M$31,4,0),$O$42:$AS$71,VLOOKUP(AG$1,$C$2:$M$31,4,0)+1,0)</f>
        <v>0.57514483759670265</v>
      </c>
      <c r="AH3">
        <f>VLOOKUP(VLOOKUP($O3,$C$2:$M$31,4,0),$O$42:$AS$71,VLOOKUP(AH$1,$C$2:$M$31,4,0)+1,0)</f>
        <v>0.64461026202429994</v>
      </c>
      <c r="AI3">
        <f>VLOOKUP(VLOOKUP($O3,$C$2:$M$31,4,0),$O$42:$AS$71,VLOOKUP(AI$1,$C$2:$M$31,4,0)+1,0)</f>
        <v>0.76755776747904569</v>
      </c>
      <c r="AJ3">
        <f>VLOOKUP(VLOOKUP($O3,$C$2:$M$31,4,0),$O$42:$AS$71,VLOOKUP(AJ$1,$C$2:$M$31,4,0)+1,0)</f>
        <v>0.51114115853826414</v>
      </c>
      <c r="AK3">
        <f>VLOOKUP(VLOOKUP($O3,$C$2:$M$31,4,0),$O$42:$AS$71,VLOOKUP(AK$1,$C$2:$M$31,4,0)+1,0)</f>
        <v>0.71225522803452535</v>
      </c>
      <c r="AL3">
        <f>VLOOKUP(VLOOKUP($O3,$C$2:$M$31,4,0),$O$42:$AS$71,VLOOKUP(AL$1,$C$2:$M$31,4,0)+1,0)</f>
        <v>0.6319167386141652</v>
      </c>
      <c r="AM3">
        <f>VLOOKUP(VLOOKUP($O3,$C$2:$M$31,4,0),$O$42:$AS$71,VLOOKUP(AM$1,$C$2:$M$31,4,0)+1,0)</f>
        <v>0.76755776747904569</v>
      </c>
      <c r="AN3">
        <f>VLOOKUP(VLOOKUP($O3,$C$2:$M$31,4,0),$O$42:$AS$71,VLOOKUP(AN$1,$C$2:$M$31,4,0)+1,0)</f>
        <v>0.57514483759670265</v>
      </c>
      <c r="AO3">
        <f>VLOOKUP(VLOOKUP($O3,$C$2:$M$31,4,0),$O$42:$AS$71,VLOOKUP(AO$1,$C$2:$M$31,4,0)+1,0)</f>
        <v>0.74009220292294864</v>
      </c>
      <c r="AP3">
        <f>VLOOKUP(VLOOKUP($O3,$C$2:$M$31,4,0),$O$42:$AS$71,VLOOKUP(AP$1,$C$2:$M$31,4,0)+1,0)</f>
        <v>0.51114115853826414</v>
      </c>
      <c r="AQ3">
        <f>VLOOKUP(VLOOKUP($O3,$C$2:$M$31,4,0),$O$42:$AS$71,VLOOKUP(AQ$1,$C$2:$M$31,4,0)+1,0)</f>
        <v>0.53129814941760756</v>
      </c>
      <c r="AR3">
        <f>VLOOKUP(VLOOKUP($O3,$C$2:$M$31,4,0),$O$42:$AS$71,VLOOKUP(AR$1,$C$2:$M$31,4,0)+1,0)</f>
        <v>0.60777070518004639</v>
      </c>
      <c r="AS3">
        <f>VLOOKUP(VLOOKUP($O3,$C$2:$M$31,4,0),$O$42:$AS$71,VLOOKUP(AS$1,$C$2:$M$31,4,0)+1,0)</f>
        <v>0.55600991854886872</v>
      </c>
      <c r="AU3">
        <f t="shared" ref="AU3:AU31" si="6">SUM(P3:AS3)</f>
        <v>18.697943566814644</v>
      </c>
      <c r="AV3">
        <f t="shared" ref="AV3:AV31" si="7">AU3/30</f>
        <v>0.62326478556048814</v>
      </c>
    </row>
    <row r="4" spans="1:48" x14ac:dyDescent="0.25">
      <c r="A4" t="s">
        <v>80</v>
      </c>
      <c r="B4">
        <v>2017</v>
      </c>
      <c r="C4" t="str">
        <f t="shared" si="0"/>
        <v>BKN</v>
      </c>
      <c r="D4" t="s">
        <v>109</v>
      </c>
      <c r="E4">
        <v>24</v>
      </c>
      <c r="F4">
        <f t="shared" si="1"/>
        <v>27</v>
      </c>
      <c r="G4">
        <v>28.5</v>
      </c>
      <c r="H4">
        <f t="shared" si="2"/>
        <v>26</v>
      </c>
      <c r="I4" t="s">
        <v>33</v>
      </c>
      <c r="J4">
        <v>0.55000000000000004</v>
      </c>
      <c r="K4">
        <f t="shared" si="3"/>
        <v>18</v>
      </c>
      <c r="L4">
        <f t="shared" si="4"/>
        <v>24</v>
      </c>
      <c r="M4">
        <f t="shared" si="5"/>
        <v>29</v>
      </c>
      <c r="O4" t="s">
        <v>11</v>
      </c>
      <c r="P4">
        <f>VLOOKUP(VLOOKUP($O4,$C$2:$M$31,4,0),$O$42:$AS$71,VLOOKUP(P$1,$C$2:$M$31,4,0)+1,0)</f>
        <v>0.48125326599506874</v>
      </c>
      <c r="Q4">
        <f>VLOOKUP(VLOOKUP($O4,$C$2:$M$31,4,0),$O$42:$AS$71,VLOOKUP(Q$1,$C$2:$M$31,4,0)+1,0)</f>
        <v>0.23244223252095431</v>
      </c>
      <c r="R4">
        <f>VLOOKUP(VLOOKUP($O4,$C$2:$M$31,4,0),$O$42:$AS$71,VLOOKUP(R$1,$C$2:$M$31,4,0)+1,0)</f>
        <v>0.5</v>
      </c>
      <c r="S4">
        <f>VLOOKUP(VLOOKUP($O4,$C$2:$M$31,4,0),$O$42:$AS$71,VLOOKUP(S$1,$C$2:$M$31,4,0)+1,0)</f>
        <v>0.29075945595530656</v>
      </c>
      <c r="T4">
        <f>VLOOKUP(VLOOKUP($O4,$C$2:$M$31,4,0),$O$42:$AS$71,VLOOKUP(T$1,$C$2:$M$31,4,0)+1,0)</f>
        <v>0.5586395048824998</v>
      </c>
      <c r="U4">
        <f>VLOOKUP(VLOOKUP($O4,$C$2:$M$31,4,0),$O$42:$AS$71,VLOOKUP(U$1,$C$2:$M$31,4,0)+1,0)</f>
        <v>0.2500915322300597</v>
      </c>
      <c r="V4">
        <f>VLOOKUP(VLOOKUP($O4,$C$2:$M$31,4,0),$O$42:$AS$71,VLOOKUP(V$1,$C$2:$M$31,4,0)+1,0)</f>
        <v>0.39661531797526017</v>
      </c>
      <c r="W4">
        <f>VLOOKUP(VLOOKUP($O4,$C$2:$M$31,4,0),$O$42:$AS$71,VLOOKUP(W$1,$C$2:$M$31,4,0)+1,0)</f>
        <v>0.33034591945008701</v>
      </c>
      <c r="X4">
        <f>VLOOKUP(VLOOKUP($O4,$C$2:$M$31,4,0),$O$42:$AS$71,VLOOKUP(X$1,$C$2:$M$31,4,0)+1,0)</f>
        <v>0.35454020664525671</v>
      </c>
      <c r="Y4">
        <f>VLOOKUP(VLOOKUP($O4,$C$2:$M$31,4,0),$O$42:$AS$71,VLOOKUP(Y$1,$C$2:$M$31,4,0)+1,0)</f>
        <v>0.22893092887913349</v>
      </c>
      <c r="Z4">
        <f>VLOOKUP(VLOOKUP($O4,$C$2:$M$31,4,0),$O$42:$AS$71,VLOOKUP(Z$1,$C$2:$M$31,4,0)+1,0)</f>
        <v>0.23628580799123672</v>
      </c>
      <c r="AA4">
        <f>VLOOKUP(VLOOKUP($O4,$C$2:$M$31,4,0),$O$42:$AS$71,VLOOKUP(AA$1,$C$2:$M$31,4,0)+1,0)</f>
        <v>0.39661531797526017</v>
      </c>
      <c r="AB4">
        <f>VLOOKUP(VLOOKUP($O4,$C$2:$M$31,4,0),$O$42:$AS$71,VLOOKUP(AB$1,$C$2:$M$31,4,0)+1,0)</f>
        <v>0.27496260988622268</v>
      </c>
      <c r="AC4">
        <f>VLOOKUP(VLOOKUP($O4,$C$2:$M$31,4,0),$O$42:$AS$71,VLOOKUP(AC$1,$C$2:$M$31,4,0)+1,0)</f>
        <v>0.44541454046842816</v>
      </c>
      <c r="AD4">
        <f>VLOOKUP(VLOOKUP($O4,$C$2:$M$31,4,0),$O$42:$AS$71,VLOOKUP(AD$1,$C$2:$M$31,4,0)+1,0)</f>
        <v>0.35454020664525671</v>
      </c>
      <c r="AE4">
        <f>VLOOKUP(VLOOKUP($O4,$C$2:$M$31,4,0),$O$42:$AS$71,VLOOKUP(AE$1,$C$2:$M$31,4,0)+1,0)</f>
        <v>0.26149560493325757</v>
      </c>
      <c r="AF4">
        <f>VLOOKUP(VLOOKUP($O4,$C$2:$M$31,4,0),$O$42:$AS$71,VLOOKUP(AF$1,$C$2:$M$31,4,0)+1,0)</f>
        <v>0.26149560493325757</v>
      </c>
      <c r="AG4">
        <f>VLOOKUP(VLOOKUP($O4,$C$2:$M$31,4,0),$O$42:$AS$71,VLOOKUP(AG$1,$C$2:$M$31,4,0)+1,0)</f>
        <v>0.29075945595530656</v>
      </c>
      <c r="AH4">
        <f>VLOOKUP(VLOOKUP($O4,$C$2:$M$31,4,0),$O$42:$AS$71,VLOOKUP(AH$1,$C$2:$M$31,4,0)+1,0)</f>
        <v>0.35454020664525671</v>
      </c>
      <c r="AI4">
        <f>VLOOKUP(VLOOKUP($O4,$C$2:$M$31,4,0),$O$42:$AS$71,VLOOKUP(AI$1,$C$2:$M$31,4,0)+1,0)</f>
        <v>0.5</v>
      </c>
      <c r="AJ4">
        <f>VLOOKUP(VLOOKUP($O4,$C$2:$M$31,4,0),$O$42:$AS$71,VLOOKUP(AJ$1,$C$2:$M$31,4,0)+1,0)</f>
        <v>0.24048908305088901</v>
      </c>
      <c r="AK4">
        <f>VLOOKUP(VLOOKUP($O4,$C$2:$M$31,4,0),$O$42:$AS$71,VLOOKUP(AK$1,$C$2:$M$31,4,0)+1,0)</f>
        <v>0.42844224863695335</v>
      </c>
      <c r="AL4">
        <f>VLOOKUP(VLOOKUP($O4,$C$2:$M$31,4,0),$O$42:$AS$71,VLOOKUP(AL$1,$C$2:$M$31,4,0)+1,0)</f>
        <v>0.34206091059294946</v>
      </c>
      <c r="AM4">
        <f>VLOOKUP(VLOOKUP($O4,$C$2:$M$31,4,0),$O$42:$AS$71,VLOOKUP(AM$1,$C$2:$M$31,4,0)+1,0)</f>
        <v>0.5</v>
      </c>
      <c r="AN4">
        <f>VLOOKUP(VLOOKUP($O4,$C$2:$M$31,4,0),$O$42:$AS$71,VLOOKUP(AN$1,$C$2:$M$31,4,0)+1,0)</f>
        <v>0.29075945595530656</v>
      </c>
      <c r="AO4">
        <f>VLOOKUP(VLOOKUP($O4,$C$2:$M$31,4,0),$O$42:$AS$71,VLOOKUP(AO$1,$C$2:$M$31,4,0)+1,0)</f>
        <v>0.46303651516321748</v>
      </c>
      <c r="AP4">
        <f>VLOOKUP(VLOOKUP($O4,$C$2:$M$31,4,0),$O$42:$AS$71,VLOOKUP(AP$1,$C$2:$M$31,4,0)+1,0)</f>
        <v>0.24048908305088901</v>
      </c>
      <c r="AQ4">
        <f>VLOOKUP(VLOOKUP($O4,$C$2:$M$31,4,0),$O$42:$AS$71,VLOOKUP(AQ$1,$C$2:$M$31,4,0)+1,0)</f>
        <v>0.25555230020051067</v>
      </c>
      <c r="AR4">
        <f>VLOOKUP(VLOOKUP($O4,$C$2:$M$31,4,0),$O$42:$AS$71,VLOOKUP(AR$1,$C$2:$M$31,4,0)+1,0)</f>
        <v>0.31938034690791411</v>
      </c>
      <c r="AS4">
        <f>VLOOKUP(VLOOKUP($O4,$C$2:$M$31,4,0),$O$42:$AS$71,VLOOKUP(AS$1,$C$2:$M$31,4,0)+1,0)</f>
        <v>0.27496260988622268</v>
      </c>
      <c r="AU4">
        <f t="shared" si="6"/>
        <v>10.354900273411962</v>
      </c>
      <c r="AV4">
        <f t="shared" si="7"/>
        <v>0.34516334244706542</v>
      </c>
    </row>
    <row r="5" spans="1:48" x14ac:dyDescent="0.25">
      <c r="A5" t="s">
        <v>81</v>
      </c>
      <c r="B5">
        <v>2017</v>
      </c>
      <c r="C5" t="str">
        <f t="shared" si="0"/>
        <v>CHA</v>
      </c>
      <c r="D5" t="s">
        <v>109</v>
      </c>
      <c r="E5">
        <v>44</v>
      </c>
      <c r="F5">
        <f t="shared" si="1"/>
        <v>12</v>
      </c>
      <c r="G5">
        <v>42.5</v>
      </c>
      <c r="H5">
        <f t="shared" si="2"/>
        <v>14</v>
      </c>
      <c r="I5" t="s">
        <v>32</v>
      </c>
      <c r="J5">
        <v>0.56000000000000005</v>
      </c>
      <c r="K5">
        <f t="shared" si="3"/>
        <v>16</v>
      </c>
      <c r="L5">
        <f t="shared" si="4"/>
        <v>44</v>
      </c>
      <c r="M5">
        <f t="shared" si="5"/>
        <v>11</v>
      </c>
      <c r="O5" t="s">
        <v>6</v>
      </c>
      <c r="P5">
        <f>VLOOKUP(VLOOKUP($O5,$C$2:$M$31,4,0),$O$42:$AS$71,VLOOKUP(P$1,$C$2:$M$31,4,0)+1,0)</f>
        <v>0.69353036087159081</v>
      </c>
      <c r="Q5">
        <f>VLOOKUP(VLOOKUP($O5,$C$2:$M$31,4,0),$O$42:$AS$71,VLOOKUP(Q$1,$C$2:$M$31,4,0)+1,0)</f>
        <v>0.42485516240329735</v>
      </c>
      <c r="R5">
        <f>VLOOKUP(VLOOKUP($O5,$C$2:$M$31,4,0),$O$42:$AS$71,VLOOKUP(R$1,$C$2:$M$31,4,0)+1,0)</f>
        <v>0.7092405440446935</v>
      </c>
      <c r="S5">
        <f>VLOOKUP(VLOOKUP($O5,$C$2:$M$31,4,0),$O$42:$AS$71,VLOOKUP(S$1,$C$2:$M$31,4,0)+1,0)</f>
        <v>0.5</v>
      </c>
      <c r="T5">
        <f>VLOOKUP(VLOOKUP($O5,$C$2:$M$31,4,0),$O$42:$AS$71,VLOOKUP(T$1,$C$2:$M$31,4,0)+1,0)</f>
        <v>0.75534782105868381</v>
      </c>
      <c r="U5">
        <f>VLOOKUP(VLOOKUP($O5,$C$2:$M$31,4,0),$O$42:$AS$71,VLOOKUP(U$1,$C$2:$M$31,4,0)+1,0)</f>
        <v>0.44857603803539042</v>
      </c>
      <c r="V5">
        <f>VLOOKUP(VLOOKUP($O5,$C$2:$M$31,4,0),$O$42:$AS$71,VLOOKUP(V$1,$C$2:$M$31,4,0)+1,0)</f>
        <v>0.61588312048468585</v>
      </c>
      <c r="W5">
        <f>VLOOKUP(VLOOKUP($O5,$C$2:$M$31,4,0),$O$42:$AS$71,VLOOKUP(W$1,$C$2:$M$31,4,0)+1,0)</f>
        <v>0.54613774930521419</v>
      </c>
      <c r="X5">
        <f>VLOOKUP(VLOOKUP($O5,$C$2:$M$31,4,0),$O$42:$AS$71,VLOOKUP(X$1,$C$2:$M$31,4,0)+1,0)</f>
        <v>0.5726220780257254</v>
      </c>
      <c r="Y5">
        <f>VLOOKUP(VLOOKUP($O5,$C$2:$M$31,4,0),$O$42:$AS$71,VLOOKUP(Y$1,$C$2:$M$31,4,0)+1,0)</f>
        <v>0.42002781974295289</v>
      </c>
      <c r="Z5">
        <f>VLOOKUP(VLOOKUP($O5,$C$2:$M$31,4,0),$O$42:$AS$71,VLOOKUP(Z$1,$C$2:$M$31,4,0)+1,0)</f>
        <v>0.43009757165195561</v>
      </c>
      <c r="AA5">
        <f>VLOOKUP(VLOOKUP($O5,$C$2:$M$31,4,0),$O$42:$AS$71,VLOOKUP(AA$1,$C$2:$M$31,4,0)+1,0)</f>
        <v>0.61588312048468585</v>
      </c>
      <c r="AB5">
        <f>VLOOKUP(VLOOKUP($O5,$C$2:$M$31,4,0),$O$42:$AS$71,VLOOKUP(AB$1,$C$2:$M$31,4,0)+1,0)</f>
        <v>0.48053742015010775</v>
      </c>
      <c r="AC5">
        <f>VLOOKUP(VLOOKUP($O5,$C$2:$M$31,4,0),$O$42:$AS$71,VLOOKUP(AC$1,$C$2:$M$31,4,0)+1,0)</f>
        <v>0.6620589018296037</v>
      </c>
      <c r="AD5">
        <f>VLOOKUP(VLOOKUP($O5,$C$2:$M$31,4,0),$O$42:$AS$71,VLOOKUP(AD$1,$C$2:$M$31,4,0)+1,0)</f>
        <v>0.5726220780257254</v>
      </c>
      <c r="AE5">
        <f>VLOOKUP(VLOOKUP($O5,$C$2:$M$31,4,0),$O$42:$AS$71,VLOOKUP(AE$1,$C$2:$M$31,4,0)+1,0)</f>
        <v>0.46343759187002342</v>
      </c>
      <c r="AF5">
        <f>VLOOKUP(VLOOKUP($O5,$C$2:$M$31,4,0),$O$42:$AS$71,VLOOKUP(AF$1,$C$2:$M$31,4,0)+1,0)</f>
        <v>0.46343759187002342</v>
      </c>
      <c r="AG5">
        <f>VLOOKUP(VLOOKUP($O5,$C$2:$M$31,4,0),$O$42:$AS$71,VLOOKUP(AG$1,$C$2:$M$31,4,0)+1,0)</f>
        <v>0.5</v>
      </c>
      <c r="AH5">
        <f>VLOOKUP(VLOOKUP($O5,$C$2:$M$31,4,0),$O$42:$AS$71,VLOOKUP(AH$1,$C$2:$M$31,4,0)+1,0)</f>
        <v>0.5726220780257254</v>
      </c>
      <c r="AI5">
        <f>VLOOKUP(VLOOKUP($O5,$C$2:$M$31,4,0),$O$42:$AS$71,VLOOKUP(AI$1,$C$2:$M$31,4,0)+1,0)</f>
        <v>0.7092405440446935</v>
      </c>
      <c r="AJ5">
        <f>VLOOKUP(VLOOKUP($O5,$C$2:$M$31,4,0),$O$42:$AS$71,VLOOKUP(AJ$1,$C$2:$M$31,4,0)+1,0)</f>
        <v>0.43578126510110854</v>
      </c>
      <c r="AK5">
        <f>VLOOKUP(VLOOKUP($O5,$C$2:$M$31,4,0),$O$42:$AS$71,VLOOKUP(AK$1,$C$2:$M$31,4,0)+1,0)</f>
        <v>0.64645409405882615</v>
      </c>
      <c r="AL5">
        <f>VLOOKUP(VLOOKUP($O5,$C$2:$M$31,4,0),$O$42:$AS$71,VLOOKUP(AL$1,$C$2:$M$31,4,0)+1,0)</f>
        <v>0.55911593335092113</v>
      </c>
      <c r="AM5">
        <f>VLOOKUP(VLOOKUP($O5,$C$2:$M$31,4,0),$O$42:$AS$71,VLOOKUP(AM$1,$C$2:$M$31,4,0)+1,0)</f>
        <v>0.7092405440446935</v>
      </c>
      <c r="AN5">
        <f>VLOOKUP(VLOOKUP($O5,$C$2:$M$31,4,0),$O$42:$AS$71,VLOOKUP(AN$1,$C$2:$M$31,4,0)+1,0)</f>
        <v>0.5</v>
      </c>
      <c r="AO5">
        <f>VLOOKUP(VLOOKUP($O5,$C$2:$M$31,4,0),$O$42:$AS$71,VLOOKUP(AO$1,$C$2:$M$31,4,0)+1,0)</f>
        <v>0.67777695164228424</v>
      </c>
      <c r="AP5">
        <f>VLOOKUP(VLOOKUP($O5,$C$2:$M$31,4,0),$O$42:$AS$71,VLOOKUP(AP$1,$C$2:$M$31,4,0)+1,0)</f>
        <v>0.43578126510110854</v>
      </c>
      <c r="AQ5">
        <f>VLOOKUP(VLOOKUP($O5,$C$2:$M$31,4,0),$O$42:$AS$71,VLOOKUP(AQ$1,$C$2:$M$31,4,0)+1,0)</f>
        <v>0.45573690331195188</v>
      </c>
      <c r="AR5">
        <f>VLOOKUP(VLOOKUP($O5,$C$2:$M$31,4,0),$O$42:$AS$71,VLOOKUP(AR$1,$C$2:$M$31,4,0)+1,0)</f>
        <v>0.53371812052967493</v>
      </c>
      <c r="AS5">
        <f>VLOOKUP(VLOOKUP($O5,$C$2:$M$31,4,0),$O$42:$AS$71,VLOOKUP(AS$1,$C$2:$M$31,4,0)+1,0)</f>
        <v>0.48053742015010775</v>
      </c>
      <c r="AU5">
        <f t="shared" si="6"/>
        <v>16.590300089215454</v>
      </c>
      <c r="AV5">
        <f t="shared" si="7"/>
        <v>0.5530100029738485</v>
      </c>
    </row>
    <row r="6" spans="1:48" x14ac:dyDescent="0.25">
      <c r="A6" t="s">
        <v>82</v>
      </c>
      <c r="B6">
        <v>2017</v>
      </c>
      <c r="C6" t="str">
        <f t="shared" si="0"/>
        <v>CHI</v>
      </c>
      <c r="D6" t="s">
        <v>109</v>
      </c>
      <c r="E6">
        <v>23</v>
      </c>
      <c r="F6">
        <f t="shared" si="1"/>
        <v>30</v>
      </c>
      <c r="G6">
        <v>21.5</v>
      </c>
      <c r="H6">
        <f t="shared" si="2"/>
        <v>30</v>
      </c>
      <c r="I6" t="s">
        <v>32</v>
      </c>
      <c r="J6">
        <v>0.55000000000000004</v>
      </c>
      <c r="K6">
        <f t="shared" si="3"/>
        <v>18</v>
      </c>
      <c r="L6">
        <f t="shared" si="4"/>
        <v>23</v>
      </c>
      <c r="M6">
        <f t="shared" si="5"/>
        <v>30</v>
      </c>
      <c r="O6" t="s">
        <v>18</v>
      </c>
      <c r="P6">
        <f>VLOOKUP(VLOOKUP($O6,$C$2:$M$31,4,0),$O$42:$AS$71,VLOOKUP(P$1,$C$2:$M$31,4,0)+1,0)</f>
        <v>0.42295255389609093</v>
      </c>
      <c r="Q6">
        <f>VLOOKUP(VLOOKUP($O6,$C$2:$M$31,4,0),$O$42:$AS$71,VLOOKUP(Q$1,$C$2:$M$31,4,0)+1,0)</f>
        <v>0.19306528147092386</v>
      </c>
      <c r="R6">
        <f>VLOOKUP(VLOOKUP($O6,$C$2:$M$31,4,0),$O$42:$AS$71,VLOOKUP(R$1,$C$2:$M$31,4,0)+1,0)</f>
        <v>0.44136049511750025</v>
      </c>
      <c r="S6">
        <f>VLOOKUP(VLOOKUP($O6,$C$2:$M$31,4,0),$O$42:$AS$71,VLOOKUP(S$1,$C$2:$M$31,4,0)+1,0)</f>
        <v>0.24465217894131619</v>
      </c>
      <c r="T6">
        <f>VLOOKUP(VLOOKUP($O6,$C$2:$M$31,4,0),$O$42:$AS$71,VLOOKUP(T$1,$C$2:$M$31,4,0)+1,0)</f>
        <v>0.5</v>
      </c>
      <c r="U6">
        <f>VLOOKUP(VLOOKUP($O6,$C$2:$M$31,4,0),$O$42:$AS$71,VLOOKUP(U$1,$C$2:$M$31,4,0)+1,0)</f>
        <v>0.20853701488703166</v>
      </c>
      <c r="V6">
        <f>VLOOKUP(VLOOKUP($O6,$C$2:$M$31,4,0),$O$42:$AS$71,VLOOKUP(V$1,$C$2:$M$31,4,0)+1,0)</f>
        <v>0.34181182975585189</v>
      </c>
      <c r="W6">
        <f>VLOOKUP(VLOOKUP($O6,$C$2:$M$31,4,0),$O$42:$AS$71,VLOOKUP(W$1,$C$2:$M$31,4,0)+1,0)</f>
        <v>0.28044338995996454</v>
      </c>
      <c r="X6">
        <f>VLOOKUP(VLOOKUP($O6,$C$2:$M$31,4,0),$O$42:$AS$71,VLOOKUP(X$1,$C$2:$M$31,4,0)+1,0)</f>
        <v>0.30263456585015008</v>
      </c>
      <c r="Y6">
        <f>VLOOKUP(VLOOKUP($O6,$C$2:$M$31,4,0),$O$42:$AS$71,VLOOKUP(Y$1,$C$2:$M$31,4,0)+1,0)</f>
        <v>0.19000156601531293</v>
      </c>
      <c r="Z6">
        <f>VLOOKUP(VLOOKUP($O6,$C$2:$M$31,4,0),$O$42:$AS$71,VLOOKUP(Z$1,$C$2:$M$31,4,0)+1,0)</f>
        <v>0.19642436232857072</v>
      </c>
      <c r="AA6">
        <f>VLOOKUP(VLOOKUP($O6,$C$2:$M$31,4,0),$O$42:$AS$71,VLOOKUP(AA$1,$C$2:$M$31,4,0)+1,0)</f>
        <v>0.34181182975585189</v>
      </c>
      <c r="AB6">
        <f>VLOOKUP(VLOOKUP($O6,$C$2:$M$31,4,0),$O$42:$AS$71,VLOOKUP(AB$1,$C$2:$M$31,4,0)+1,0)</f>
        <v>0.2305460497630403</v>
      </c>
      <c r="AC6">
        <f>VLOOKUP(VLOOKUP($O6,$C$2:$M$31,4,0),$O$42:$AS$71,VLOOKUP(AC$1,$C$2:$M$31,4,0)+1,0)</f>
        <v>0.38820638041873345</v>
      </c>
      <c r="AD6">
        <f>VLOOKUP(VLOOKUP($O6,$C$2:$M$31,4,0),$O$42:$AS$71,VLOOKUP(AD$1,$C$2:$M$31,4,0)+1,0)</f>
        <v>0.30263456585015008</v>
      </c>
      <c r="AE6">
        <f>VLOOKUP(VLOOKUP($O6,$C$2:$M$31,4,0),$O$42:$AS$71,VLOOKUP(AE$1,$C$2:$M$31,4,0)+1,0)</f>
        <v>0.21859857341977834</v>
      </c>
      <c r="AF6">
        <f>VLOOKUP(VLOOKUP($O6,$C$2:$M$31,4,0),$O$42:$AS$71,VLOOKUP(AF$1,$C$2:$M$31,4,0)+1,0)</f>
        <v>0.21859857341977834</v>
      </c>
      <c r="AG6">
        <f>VLOOKUP(VLOOKUP($O6,$C$2:$M$31,4,0),$O$42:$AS$71,VLOOKUP(AG$1,$C$2:$M$31,4,0)+1,0)</f>
        <v>0.24465217894131619</v>
      </c>
      <c r="AH6">
        <f>VLOOKUP(VLOOKUP($O6,$C$2:$M$31,4,0),$O$42:$AS$71,VLOOKUP(AH$1,$C$2:$M$31,4,0)+1,0)</f>
        <v>0.30263456585015008</v>
      </c>
      <c r="AI6">
        <f>VLOOKUP(VLOOKUP($O6,$C$2:$M$31,4,0),$O$42:$AS$71,VLOOKUP(AI$1,$C$2:$M$31,4,0)+1,0)</f>
        <v>0.44136049511750025</v>
      </c>
      <c r="AJ6">
        <f>VLOOKUP(VLOOKUP($O6,$C$2:$M$31,4,0),$O$42:$AS$71,VLOOKUP(AJ$1,$C$2:$M$31,4,0)+1,0)</f>
        <v>0.20010433714585701</v>
      </c>
      <c r="AK6">
        <f>VLOOKUP(VLOOKUP($O6,$C$2:$M$31,4,0),$O$42:$AS$71,VLOOKUP(AK$1,$C$2:$M$31,4,0)+1,0)</f>
        <v>0.37195195898474726</v>
      </c>
      <c r="AL6">
        <f>VLOOKUP(VLOOKUP($O6,$C$2:$M$31,4,0),$O$42:$AS$71,VLOOKUP(AL$1,$C$2:$M$31,4,0)+1,0)</f>
        <v>0.29115813633447341</v>
      </c>
      <c r="AM6">
        <f>VLOOKUP(VLOOKUP($O6,$C$2:$M$31,4,0),$O$42:$AS$71,VLOOKUP(AM$1,$C$2:$M$31,4,0)+1,0)</f>
        <v>0.44136049511750025</v>
      </c>
      <c r="AN6">
        <f>VLOOKUP(VLOOKUP($O6,$C$2:$M$31,4,0),$O$42:$AS$71,VLOOKUP(AN$1,$C$2:$M$31,4,0)+1,0)</f>
        <v>0.24465217894131619</v>
      </c>
      <c r="AO6">
        <f>VLOOKUP(VLOOKUP($O6,$C$2:$M$31,4,0),$O$42:$AS$71,VLOOKUP(AO$1,$C$2:$M$31,4,0)+1,0)</f>
        <v>0.40521877128660083</v>
      </c>
      <c r="AP6">
        <f>VLOOKUP(VLOOKUP($O6,$C$2:$M$31,4,0),$O$42:$AS$71,VLOOKUP(AP$1,$C$2:$M$31,4,0)+1,0)</f>
        <v>0.20010433714585701</v>
      </c>
      <c r="AQ6">
        <f>VLOOKUP(VLOOKUP($O6,$C$2:$M$31,4,0),$O$42:$AS$71,VLOOKUP(AQ$1,$C$2:$M$31,4,0)+1,0)</f>
        <v>0.21334857625709938</v>
      </c>
      <c r="AR6">
        <f>VLOOKUP(VLOOKUP($O6,$C$2:$M$31,4,0),$O$42:$AS$71,VLOOKUP(AR$1,$C$2:$M$31,4,0)+1,0)</f>
        <v>0.27046526209701249</v>
      </c>
      <c r="AS6">
        <f>VLOOKUP(VLOOKUP($O6,$C$2:$M$31,4,0),$O$42:$AS$71,VLOOKUP(AS$1,$C$2:$M$31,4,0)+1,0)</f>
        <v>0.2305460497630403</v>
      </c>
      <c r="AU6">
        <f t="shared" si="6"/>
        <v>8.879836553832515</v>
      </c>
      <c r="AV6">
        <f t="shared" si="7"/>
        <v>0.29599455179441719</v>
      </c>
    </row>
    <row r="7" spans="1:48" x14ac:dyDescent="0.25">
      <c r="A7" t="s">
        <v>83</v>
      </c>
      <c r="B7">
        <v>2017</v>
      </c>
      <c r="C7" t="str">
        <f t="shared" si="0"/>
        <v>CLE</v>
      </c>
      <c r="D7" t="s">
        <v>109</v>
      </c>
      <c r="E7">
        <v>53</v>
      </c>
      <c r="F7">
        <f t="shared" si="1"/>
        <v>6</v>
      </c>
      <c r="G7">
        <v>53.5</v>
      </c>
      <c r="H7">
        <f t="shared" si="2"/>
        <v>5</v>
      </c>
      <c r="I7" t="s">
        <v>33</v>
      </c>
      <c r="J7">
        <v>0.51</v>
      </c>
      <c r="K7">
        <f t="shared" si="3"/>
        <v>27</v>
      </c>
      <c r="L7">
        <f t="shared" si="4"/>
        <v>48</v>
      </c>
      <c r="M7">
        <f t="shared" si="5"/>
        <v>7</v>
      </c>
      <c r="O7" t="s">
        <v>28</v>
      </c>
      <c r="P7">
        <f>VLOOKUP(VLOOKUP($O7,$C$2:$M$31,4,0),$O$42:$AS$71,VLOOKUP(P$1,$C$2:$M$31,4,0)+1,0)</f>
        <v>0.73557640503724908</v>
      </c>
      <c r="Q7">
        <f>VLOOKUP(VLOOKUP($O7,$C$2:$M$31,4,0),$O$42:$AS$71,VLOOKUP(Q$1,$C$2:$M$31,4,0)+1,0)</f>
        <v>0.4759067149161717</v>
      </c>
      <c r="R7">
        <f>VLOOKUP(VLOOKUP($O7,$C$2:$M$31,4,0),$O$42:$AS$71,VLOOKUP(R$1,$C$2:$M$31,4,0)+1,0)</f>
        <v>0.74990846776994036</v>
      </c>
      <c r="S7">
        <f>VLOOKUP(VLOOKUP($O7,$C$2:$M$31,4,0),$O$42:$AS$71,VLOOKUP(S$1,$C$2:$M$31,4,0)+1,0)</f>
        <v>0.55142396196460963</v>
      </c>
      <c r="T7">
        <f>VLOOKUP(VLOOKUP($O7,$C$2:$M$31,4,0),$O$42:$AS$71,VLOOKUP(T$1,$C$2:$M$31,4,0)+1,0)</f>
        <v>0.79146298511296831</v>
      </c>
      <c r="U7">
        <f>VLOOKUP(VLOOKUP($O7,$C$2:$M$31,4,0),$O$42:$AS$71,VLOOKUP(U$1,$C$2:$M$31,4,0)+1,0)</f>
        <v>0.5</v>
      </c>
      <c r="V7">
        <f>VLOOKUP(VLOOKUP($O7,$C$2:$M$31,4,0),$O$42:$AS$71,VLOOKUP(V$1,$C$2:$M$31,4,0)+1,0)</f>
        <v>0.66341188614691138</v>
      </c>
      <c r="W7">
        <f>VLOOKUP(VLOOKUP($O7,$C$2:$M$31,4,0),$O$42:$AS$71,VLOOKUP(W$1,$C$2:$M$31,4,0)+1,0)</f>
        <v>0.5966445215664743</v>
      </c>
      <c r="X7">
        <f>VLOOKUP(VLOOKUP($O7,$C$2:$M$31,4,0),$O$42:$AS$71,VLOOKUP(X$1,$C$2:$M$31,4,0)+1,0)</f>
        <v>0.62222030574062748</v>
      </c>
      <c r="Y7">
        <f>VLOOKUP(VLOOKUP($O7,$C$2:$M$31,4,0),$O$42:$AS$71,VLOOKUP(Y$1,$C$2:$M$31,4,0)+1,0)</f>
        <v>0.47097431070275608</v>
      </c>
      <c r="Z7">
        <f>VLOOKUP(VLOOKUP($O7,$C$2:$M$31,4,0),$O$42:$AS$71,VLOOKUP(Z$1,$C$2:$M$31,4,0)+1,0)</f>
        <v>0.48125196234618794</v>
      </c>
      <c r="AA7">
        <f>VLOOKUP(VLOOKUP($O7,$C$2:$M$31,4,0),$O$42:$AS$71,VLOOKUP(AA$1,$C$2:$M$31,4,0)+1,0)</f>
        <v>0.66341188614691138</v>
      </c>
      <c r="AB7">
        <f>VLOOKUP(VLOOKUP($O7,$C$2:$M$31,4,0),$O$42:$AS$71,VLOOKUP(AB$1,$C$2:$M$31,4,0)+1,0)</f>
        <v>0.53208984971618267</v>
      </c>
      <c r="AC7">
        <f>VLOOKUP(VLOOKUP($O7,$C$2:$M$31,4,0),$O$42:$AS$71,VLOOKUP(AC$1,$C$2:$M$31,4,0)+1,0)</f>
        <v>0.70659601792777893</v>
      </c>
      <c r="AD7">
        <f>VLOOKUP(VLOOKUP($O7,$C$2:$M$31,4,0),$O$42:$AS$71,VLOOKUP(AD$1,$C$2:$M$31,4,0)+1,0)</f>
        <v>0.62222030574062748</v>
      </c>
      <c r="AE7">
        <f>VLOOKUP(VLOOKUP($O7,$C$2:$M$31,4,0),$O$42:$AS$71,VLOOKUP(AE$1,$C$2:$M$31,4,0)+1,0)</f>
        <v>0.51497417061173534</v>
      </c>
      <c r="AF7">
        <f>VLOOKUP(VLOOKUP($O7,$C$2:$M$31,4,0),$O$42:$AS$71,VLOOKUP(AF$1,$C$2:$M$31,4,0)+1,0)</f>
        <v>0.51497417061173534</v>
      </c>
      <c r="AG7">
        <f>VLOOKUP(VLOOKUP($O7,$C$2:$M$31,4,0),$O$42:$AS$71,VLOOKUP(AG$1,$C$2:$M$31,4,0)+1,0)</f>
        <v>0.55142396196460963</v>
      </c>
      <c r="AH7">
        <f>VLOOKUP(VLOOKUP($O7,$C$2:$M$31,4,0),$O$42:$AS$71,VLOOKUP(AH$1,$C$2:$M$31,4,0)+1,0)</f>
        <v>0.62222030574062748</v>
      </c>
      <c r="AI7">
        <f>VLOOKUP(VLOOKUP($O7,$C$2:$M$31,4,0),$O$42:$AS$71,VLOOKUP(AI$1,$C$2:$M$31,4,0)+1,0)</f>
        <v>0.74990846776994036</v>
      </c>
      <c r="AJ7">
        <f>VLOOKUP(VLOOKUP($O7,$C$2:$M$31,4,0),$O$42:$AS$71,VLOOKUP(AJ$1,$C$2:$M$31,4,0)+1,0)</f>
        <v>0.48703395169900238</v>
      </c>
      <c r="AK7">
        <f>VLOOKUP(VLOOKUP($O7,$C$2:$M$31,4,0),$O$42:$AS$71,VLOOKUP(AK$1,$C$2:$M$31,4,0)+1,0)</f>
        <v>0.69209130562404242</v>
      </c>
      <c r="AL7">
        <f>VLOOKUP(VLOOKUP($O7,$C$2:$M$31,4,0),$O$42:$AS$71,VLOOKUP(AL$1,$C$2:$M$31,4,0)+1,0)</f>
        <v>0.60921188943915972</v>
      </c>
      <c r="AM7">
        <f>VLOOKUP(VLOOKUP($O7,$C$2:$M$31,4,0),$O$42:$AS$71,VLOOKUP(AM$1,$C$2:$M$31,4,0)+1,0)</f>
        <v>0.74990846776994036</v>
      </c>
      <c r="AN7">
        <f>VLOOKUP(VLOOKUP($O7,$C$2:$M$31,4,0),$O$42:$AS$71,VLOOKUP(AN$1,$C$2:$M$31,4,0)+1,0)</f>
        <v>0.55142396196460963</v>
      </c>
      <c r="AO7">
        <f>VLOOKUP(VLOOKUP($O7,$C$2:$M$31,4,0),$O$42:$AS$71,VLOOKUP(AO$1,$C$2:$M$31,4,0)+1,0)</f>
        <v>0.72111517802286307</v>
      </c>
      <c r="AP7">
        <f>VLOOKUP(VLOOKUP($O7,$C$2:$M$31,4,0),$O$42:$AS$71,VLOOKUP(AP$1,$C$2:$M$31,4,0)+1,0)</f>
        <v>0.48703395169900238</v>
      </c>
      <c r="AQ7">
        <f>VLOOKUP(VLOOKUP($O7,$C$2:$M$31,4,0),$O$42:$AS$71,VLOOKUP(AQ$1,$C$2:$M$31,4,0)+1,0)</f>
        <v>0.50722666212157341</v>
      </c>
      <c r="AR7">
        <f>VLOOKUP(VLOOKUP($O7,$C$2:$M$31,4,0),$O$42:$AS$71,VLOOKUP(AR$1,$C$2:$M$31,4,0)+1,0)</f>
        <v>0.58455563190980453</v>
      </c>
      <c r="AS7">
        <f>VLOOKUP(VLOOKUP($O7,$C$2:$M$31,4,0),$O$42:$AS$71,VLOOKUP(AS$1,$C$2:$M$31,4,0)+1,0)</f>
        <v>0.53208984971618267</v>
      </c>
      <c r="AU7">
        <f t="shared" si="6"/>
        <v>18.038291507500222</v>
      </c>
      <c r="AV7">
        <f t="shared" si="7"/>
        <v>0.60127638358334079</v>
      </c>
    </row>
    <row r="8" spans="1:48" x14ac:dyDescent="0.25">
      <c r="A8" t="s">
        <v>84</v>
      </c>
      <c r="B8">
        <v>2017</v>
      </c>
      <c r="C8" t="str">
        <f t="shared" si="0"/>
        <v>DAL</v>
      </c>
      <c r="D8" t="s">
        <v>109</v>
      </c>
      <c r="E8">
        <v>33</v>
      </c>
      <c r="F8">
        <f t="shared" si="1"/>
        <v>21</v>
      </c>
      <c r="G8">
        <v>35.5</v>
      </c>
      <c r="H8">
        <f t="shared" si="2"/>
        <v>21</v>
      </c>
      <c r="I8" t="s">
        <v>33</v>
      </c>
      <c r="J8">
        <v>0.56999999999999995</v>
      </c>
      <c r="K8">
        <f t="shared" si="3"/>
        <v>15</v>
      </c>
      <c r="L8">
        <f t="shared" si="4"/>
        <v>31</v>
      </c>
      <c r="M8">
        <f t="shared" si="5"/>
        <v>22</v>
      </c>
      <c r="O8" t="s">
        <v>2</v>
      </c>
      <c r="P8">
        <f>VLOOKUP(VLOOKUP($O8,$C$2:$M$31,4,0),$O$42:$AS$71,VLOOKUP(P$1,$C$2:$M$31,4,0)+1,0)</f>
        <v>0.58529923034884324</v>
      </c>
      <c r="Q8">
        <f>VLOOKUP(VLOOKUP($O8,$C$2:$M$31,4,0),$O$42:$AS$71,VLOOKUP(Q$1,$C$2:$M$31,4,0)+1,0)</f>
        <v>0.31540197385499513</v>
      </c>
      <c r="R8">
        <f>VLOOKUP(VLOOKUP($O8,$C$2:$M$31,4,0),$O$42:$AS$71,VLOOKUP(R$1,$C$2:$M$31,4,0)+1,0)</f>
        <v>0.60338468202473983</v>
      </c>
      <c r="S8">
        <f>VLOOKUP(VLOOKUP($O8,$C$2:$M$31,4,0),$O$42:$AS$71,VLOOKUP(S$1,$C$2:$M$31,4,0)+1,0)</f>
        <v>0.3841168795153142</v>
      </c>
      <c r="T8">
        <f>VLOOKUP(VLOOKUP($O8,$C$2:$M$31,4,0),$O$42:$AS$71,VLOOKUP(T$1,$C$2:$M$31,4,0)+1,0)</f>
        <v>0.65818817024414811</v>
      </c>
      <c r="U8">
        <f>VLOOKUP(VLOOKUP($O8,$C$2:$M$31,4,0),$O$42:$AS$71,VLOOKUP(U$1,$C$2:$M$31,4,0)+1,0)</f>
        <v>0.33658811385308857</v>
      </c>
      <c r="V8">
        <f>VLOOKUP(VLOOKUP($O8,$C$2:$M$31,4,0),$O$42:$AS$71,VLOOKUP(V$1,$C$2:$M$31,4,0)+1,0)</f>
        <v>0.5</v>
      </c>
      <c r="W8">
        <f>VLOOKUP(VLOOKUP($O8,$C$2:$M$31,4,0),$O$42:$AS$71,VLOOKUP(W$1,$C$2:$M$31,4,0)+1,0)</f>
        <v>0.42873043324610621</v>
      </c>
      <c r="X8">
        <f>VLOOKUP(VLOOKUP($O8,$C$2:$M$31,4,0),$O$42:$AS$71,VLOOKUP(X$1,$C$2:$M$31,4,0)+1,0)</f>
        <v>0.45523194426626579</v>
      </c>
      <c r="Y8">
        <f>VLOOKUP(VLOOKUP($O8,$C$2:$M$31,4,0),$O$42:$AS$71,VLOOKUP(Y$1,$C$2:$M$31,4,0)+1,0)</f>
        <v>0.31114548025336697</v>
      </c>
      <c r="Z8">
        <f>VLOOKUP(VLOOKUP($O8,$C$2:$M$31,4,0),$O$42:$AS$71,VLOOKUP(Z$1,$C$2:$M$31,4,0)+1,0)</f>
        <v>0.32004535003245588</v>
      </c>
      <c r="AA8">
        <f>VLOOKUP(VLOOKUP($O8,$C$2:$M$31,4,0),$O$42:$AS$71,VLOOKUP(AA$1,$C$2:$M$31,4,0)+1,0)</f>
        <v>0.5</v>
      </c>
      <c r="AB8">
        <f>VLOOKUP(VLOOKUP($O8,$C$2:$M$31,4,0),$O$42:$AS$71,VLOOKUP(AB$1,$C$2:$M$31,4,0)+1,0)</f>
        <v>0.36586440898919931</v>
      </c>
      <c r="AC8">
        <f>VLOOKUP(VLOOKUP($O8,$C$2:$M$31,4,0),$O$42:$AS$71,VLOOKUP(AC$1,$C$2:$M$31,4,0)+1,0)</f>
        <v>0.54992621705116529</v>
      </c>
      <c r="AD8">
        <f>VLOOKUP(VLOOKUP($O8,$C$2:$M$31,4,0),$O$42:$AS$71,VLOOKUP(AD$1,$C$2:$M$31,4,0)+1,0)</f>
        <v>0.45523194426626579</v>
      </c>
      <c r="AE8">
        <f>VLOOKUP(VLOOKUP($O8,$C$2:$M$31,4,0),$O$42:$AS$71,VLOOKUP(AE$1,$C$2:$M$31,4,0)+1,0)</f>
        <v>0.35009504022448074</v>
      </c>
      <c r="AF8">
        <f>VLOOKUP(VLOOKUP($O8,$C$2:$M$31,4,0),$O$42:$AS$71,VLOOKUP(AF$1,$C$2:$M$31,4,0)+1,0)</f>
        <v>0.35009504022448074</v>
      </c>
      <c r="AG8">
        <f>VLOOKUP(VLOOKUP($O8,$C$2:$M$31,4,0),$O$42:$AS$71,VLOOKUP(AG$1,$C$2:$M$31,4,0)+1,0)</f>
        <v>0.3841168795153142</v>
      </c>
      <c r="AH8">
        <f>VLOOKUP(VLOOKUP($O8,$C$2:$M$31,4,0),$O$42:$AS$71,VLOOKUP(AH$1,$C$2:$M$31,4,0)+1,0)</f>
        <v>0.45523194426626579</v>
      </c>
      <c r="AI8">
        <f>VLOOKUP(VLOOKUP($O8,$C$2:$M$31,4,0),$O$42:$AS$71,VLOOKUP(AI$1,$C$2:$M$31,4,0)+1,0)</f>
        <v>0.60338468202473983</v>
      </c>
      <c r="AJ8">
        <f>VLOOKUP(VLOOKUP($O8,$C$2:$M$31,4,0),$O$42:$AS$71,VLOOKUP(AJ$1,$C$2:$M$31,4,0)+1,0)</f>
        <v>0.32510434568498336</v>
      </c>
      <c r="AK8">
        <f>VLOOKUP(VLOOKUP($O8,$C$2:$M$31,4,0),$O$42:$AS$71,VLOOKUP(AK$1,$C$2:$M$31,4,0)+1,0)</f>
        <v>0.53279747016783385</v>
      </c>
      <c r="AL8">
        <f>VLOOKUP(VLOOKUP($O8,$C$2:$M$31,4,0),$O$42:$AS$71,VLOOKUP(AL$1,$C$2:$M$31,4,0)+1,0)</f>
        <v>0.44163344341796507</v>
      </c>
      <c r="AM8">
        <f>VLOOKUP(VLOOKUP($O8,$C$2:$M$31,4,0),$O$42:$AS$71,VLOOKUP(AM$1,$C$2:$M$31,4,0)+1,0)</f>
        <v>0.60338468202473983</v>
      </c>
      <c r="AN8">
        <f>VLOOKUP(VLOOKUP($O8,$C$2:$M$31,4,0),$O$42:$AS$71,VLOOKUP(AN$1,$C$2:$M$31,4,0)+1,0)</f>
        <v>0.3841168795153142</v>
      </c>
      <c r="AO8">
        <f>VLOOKUP(VLOOKUP($O8,$C$2:$M$31,4,0),$O$42:$AS$71,VLOOKUP(AO$1,$C$2:$M$31,4,0)+1,0)</f>
        <v>0.56745226115407632</v>
      </c>
      <c r="AP8">
        <f>VLOOKUP(VLOOKUP($O8,$C$2:$M$31,4,0),$O$42:$AS$71,VLOOKUP(AP$1,$C$2:$M$31,4,0)+1,0)</f>
        <v>0.32510434568498336</v>
      </c>
      <c r="AQ8">
        <f>VLOOKUP(VLOOKUP($O8,$C$2:$M$31,4,0),$O$42:$AS$71,VLOOKUP(AQ$1,$C$2:$M$31,4,0)+1,0)</f>
        <v>0.34307350386175622</v>
      </c>
      <c r="AR8">
        <f>VLOOKUP(VLOOKUP($O8,$C$2:$M$31,4,0),$O$42:$AS$71,VLOOKUP(AR$1,$C$2:$M$31,4,0)+1,0)</f>
        <v>0.41653041686165959</v>
      </c>
      <c r="AS8">
        <f>VLOOKUP(VLOOKUP($O8,$C$2:$M$31,4,0),$O$42:$AS$71,VLOOKUP(AS$1,$C$2:$M$31,4,0)+1,0)</f>
        <v>0.36586440898919931</v>
      </c>
      <c r="AU8">
        <f t="shared" si="6"/>
        <v>13.217140171563747</v>
      </c>
      <c r="AV8">
        <f t="shared" si="7"/>
        <v>0.44057133905212492</v>
      </c>
    </row>
    <row r="9" spans="1:48" x14ac:dyDescent="0.25">
      <c r="A9" t="s">
        <v>85</v>
      </c>
      <c r="B9">
        <v>2017</v>
      </c>
      <c r="C9" t="str">
        <f t="shared" si="0"/>
        <v>DEN</v>
      </c>
      <c r="D9" t="s">
        <v>109</v>
      </c>
      <c r="E9">
        <v>42</v>
      </c>
      <c r="F9">
        <f t="shared" si="1"/>
        <v>16</v>
      </c>
      <c r="G9">
        <v>45.5</v>
      </c>
      <c r="H9">
        <f t="shared" si="2"/>
        <v>11</v>
      </c>
      <c r="I9" t="s">
        <v>33</v>
      </c>
      <c r="J9">
        <v>0.51</v>
      </c>
      <c r="K9">
        <f t="shared" si="3"/>
        <v>27</v>
      </c>
      <c r="L9">
        <f t="shared" si="4"/>
        <v>40</v>
      </c>
      <c r="M9">
        <f t="shared" si="5"/>
        <v>16</v>
      </c>
      <c r="O9" t="s">
        <v>20</v>
      </c>
      <c r="P9">
        <f>VLOOKUP(VLOOKUP($O9,$C$2:$M$31,4,0),$O$42:$AS$71,VLOOKUP(P$1,$C$2:$M$31,4,0)+1,0)</f>
        <v>0.65285190396253867</v>
      </c>
      <c r="Q9">
        <f>VLOOKUP(VLOOKUP($O9,$C$2:$M$31,4,0),$O$42:$AS$71,VLOOKUP(Q$1,$C$2:$M$31,4,0)+1,0)</f>
        <v>0.38037636027887983</v>
      </c>
      <c r="R9">
        <f>VLOOKUP(VLOOKUP($O9,$C$2:$M$31,4,0),$O$42:$AS$71,VLOOKUP(R$1,$C$2:$M$31,4,0)+1,0)</f>
        <v>0.66965408054991304</v>
      </c>
      <c r="S9">
        <f>VLOOKUP(VLOOKUP($O9,$C$2:$M$31,4,0),$O$42:$AS$71,VLOOKUP(S$1,$C$2:$M$31,4,0)+1,0)</f>
        <v>0.45386225069478586</v>
      </c>
      <c r="T9">
        <f>VLOOKUP(VLOOKUP($O9,$C$2:$M$31,4,0),$O$42:$AS$71,VLOOKUP(T$1,$C$2:$M$31,4,0)+1,0)</f>
        <v>0.71955661004003546</v>
      </c>
      <c r="U9">
        <f>VLOOKUP(VLOOKUP($O9,$C$2:$M$31,4,0),$O$42:$AS$71,VLOOKUP(U$1,$C$2:$M$31,4,0)+1,0)</f>
        <v>0.40335547843352565</v>
      </c>
      <c r="V9">
        <f>VLOOKUP(VLOOKUP($O9,$C$2:$M$31,4,0),$O$42:$AS$71,VLOOKUP(V$1,$C$2:$M$31,4,0)+1,0)</f>
        <v>0.57126956675389373</v>
      </c>
      <c r="W9">
        <f>VLOOKUP(VLOOKUP($O9,$C$2:$M$31,4,0),$O$42:$AS$71,VLOOKUP(W$1,$C$2:$M$31,4,0)+1,0)</f>
        <v>0.5</v>
      </c>
      <c r="X9">
        <f>VLOOKUP(VLOOKUP($O9,$C$2:$M$31,4,0),$O$42:$AS$71,VLOOKUP(X$1,$C$2:$M$31,4,0)+1,0)</f>
        <v>0.52684410623475775</v>
      </c>
      <c r="Y9">
        <f>VLOOKUP(VLOOKUP($O9,$C$2:$M$31,4,0),$O$42:$AS$71,VLOOKUP(Y$1,$C$2:$M$31,4,0)+1,0)</f>
        <v>0.3757242494810803</v>
      </c>
      <c r="Z9">
        <f>VLOOKUP(VLOOKUP($O9,$C$2:$M$31,4,0),$O$42:$AS$71,VLOOKUP(Z$1,$C$2:$M$31,4,0)+1,0)</f>
        <v>0.38543773998344483</v>
      </c>
      <c r="AA9">
        <f>VLOOKUP(VLOOKUP($O9,$C$2:$M$31,4,0),$O$42:$AS$71,VLOOKUP(AA$1,$C$2:$M$31,4,0)+1,0)</f>
        <v>0.57126956675389373</v>
      </c>
      <c r="AB9">
        <f>VLOOKUP(VLOOKUP($O9,$C$2:$M$31,4,0),$O$42:$AS$71,VLOOKUP(AB$1,$C$2:$M$31,4,0)+1,0)</f>
        <v>0.43463445333327816</v>
      </c>
      <c r="AC9">
        <f>VLOOKUP(VLOOKUP($O9,$C$2:$M$31,4,0),$O$42:$AS$71,VLOOKUP(AC$1,$C$2:$M$31,4,0)+1,0)</f>
        <v>0.61949502551376889</v>
      </c>
      <c r="AD9">
        <f>VLOOKUP(VLOOKUP($O9,$C$2:$M$31,4,0),$O$42:$AS$71,VLOOKUP(AD$1,$C$2:$M$31,4,0)+1,0)</f>
        <v>0.52684410623475775</v>
      </c>
      <c r="AE9">
        <f>VLOOKUP(VLOOKUP($O9,$C$2:$M$31,4,0),$O$42:$AS$71,VLOOKUP(AE$1,$C$2:$M$31,4,0)+1,0)</f>
        <v>0.41785413239354047</v>
      </c>
      <c r="AF9">
        <f>VLOOKUP(VLOOKUP($O9,$C$2:$M$31,4,0),$O$42:$AS$71,VLOOKUP(AF$1,$C$2:$M$31,4,0)+1,0)</f>
        <v>0.41785413239354047</v>
      </c>
      <c r="AG9">
        <f>VLOOKUP(VLOOKUP($O9,$C$2:$M$31,4,0),$O$42:$AS$71,VLOOKUP(AG$1,$C$2:$M$31,4,0)+1,0)</f>
        <v>0.45386225069478586</v>
      </c>
      <c r="AH9">
        <f>VLOOKUP(VLOOKUP($O9,$C$2:$M$31,4,0),$O$42:$AS$71,VLOOKUP(AH$1,$C$2:$M$31,4,0)+1,0)</f>
        <v>0.52684410623475775</v>
      </c>
      <c r="AI9">
        <f>VLOOKUP(VLOOKUP($O9,$C$2:$M$31,4,0),$O$42:$AS$71,VLOOKUP(AI$1,$C$2:$M$31,4,0)+1,0)</f>
        <v>0.66965408054991304</v>
      </c>
      <c r="AJ9">
        <f>VLOOKUP(VLOOKUP($O9,$C$2:$M$31,4,0),$O$42:$AS$71,VLOOKUP(AJ$1,$C$2:$M$31,4,0)+1,0)</f>
        <v>0.39093610094463382</v>
      </c>
      <c r="AK9">
        <f>VLOOKUP(VLOOKUP($O9,$C$2:$M$31,4,0),$O$42:$AS$71,VLOOKUP(AK$1,$C$2:$M$31,4,0)+1,0)</f>
        <v>0.603103039385676</v>
      </c>
      <c r="AL9">
        <f>VLOOKUP(VLOOKUP($O9,$C$2:$M$31,4,0),$O$42:$AS$71,VLOOKUP(AL$1,$C$2:$M$31,4,0)+1,0)</f>
        <v>0.51312133657400605</v>
      </c>
      <c r="AM9">
        <f>VLOOKUP(VLOOKUP($O9,$C$2:$M$31,4,0),$O$42:$AS$71,VLOOKUP(AM$1,$C$2:$M$31,4,0)+1,0)</f>
        <v>0.66965408054991304</v>
      </c>
      <c r="AN9">
        <f>VLOOKUP(VLOOKUP($O9,$C$2:$M$31,4,0),$O$42:$AS$71,VLOOKUP(AN$1,$C$2:$M$31,4,0)+1,0)</f>
        <v>0.45386225069478586</v>
      </c>
      <c r="AO9">
        <f>VLOOKUP(VLOOKUP($O9,$C$2:$M$31,4,0),$O$42:$AS$71,VLOOKUP(AO$1,$C$2:$M$31,4,0)+1,0)</f>
        <v>0.63610464798823751</v>
      </c>
      <c r="AP9">
        <f>VLOOKUP(VLOOKUP($O9,$C$2:$M$31,4,0),$O$42:$AS$71,VLOOKUP(AP$1,$C$2:$M$31,4,0)+1,0)</f>
        <v>0.39093610094463382</v>
      </c>
      <c r="AQ9">
        <f>VLOOKUP(VLOOKUP($O9,$C$2:$M$31,4,0),$O$42:$AS$71,VLOOKUP(AQ$1,$C$2:$M$31,4,0)+1,0)</f>
        <v>0.41033163680946921</v>
      </c>
      <c r="AR9">
        <f>VLOOKUP(VLOOKUP($O9,$C$2:$M$31,4,0),$O$42:$AS$71,VLOOKUP(AR$1,$C$2:$M$31,4,0)+1,0)</f>
        <v>0.48750260351578967</v>
      </c>
      <c r="AS9">
        <f>VLOOKUP(VLOOKUP($O9,$C$2:$M$31,4,0),$O$42:$AS$71,VLOOKUP(AS$1,$C$2:$M$31,4,0)+1,0)</f>
        <v>0.43463445333327816</v>
      </c>
      <c r="AU9">
        <f t="shared" si="6"/>
        <v>15.267430451255512</v>
      </c>
      <c r="AV9">
        <f t="shared" si="7"/>
        <v>0.50891434837518379</v>
      </c>
    </row>
    <row r="10" spans="1:48" x14ac:dyDescent="0.25">
      <c r="A10" t="s">
        <v>86</v>
      </c>
      <c r="B10">
        <v>2017</v>
      </c>
      <c r="C10" t="str">
        <f t="shared" si="0"/>
        <v>DET</v>
      </c>
      <c r="D10" t="s">
        <v>109</v>
      </c>
      <c r="E10">
        <v>35</v>
      </c>
      <c r="F10">
        <f t="shared" si="1"/>
        <v>18</v>
      </c>
      <c r="G10">
        <v>38.5</v>
      </c>
      <c r="H10">
        <f t="shared" si="2"/>
        <v>19</v>
      </c>
      <c r="I10" t="s">
        <v>33</v>
      </c>
      <c r="J10">
        <v>0.53</v>
      </c>
      <c r="K10">
        <f t="shared" si="3"/>
        <v>23</v>
      </c>
      <c r="L10">
        <f t="shared" si="4"/>
        <v>33</v>
      </c>
      <c r="M10">
        <f t="shared" si="5"/>
        <v>19</v>
      </c>
      <c r="O10" t="s">
        <v>21</v>
      </c>
      <c r="P10">
        <f>VLOOKUP(VLOOKUP($O10,$C$2:$M$31,4,0),$O$42:$AS$71,VLOOKUP(P$1,$C$2:$M$31,4,0)+1,0)</f>
        <v>0.62811043470553318</v>
      </c>
      <c r="Q10">
        <f>VLOOKUP(VLOOKUP($O10,$C$2:$M$31,4,0),$O$42:$AS$71,VLOOKUP(Q$1,$C$2:$M$31,4,0)+1,0)</f>
        <v>0.35538973797570023</v>
      </c>
      <c r="R10">
        <f>VLOOKUP(VLOOKUP($O10,$C$2:$M$31,4,0),$O$42:$AS$71,VLOOKUP(R$1,$C$2:$M$31,4,0)+1,0)</f>
        <v>0.64545979335474335</v>
      </c>
      <c r="S10">
        <f>VLOOKUP(VLOOKUP($O10,$C$2:$M$31,4,0),$O$42:$AS$71,VLOOKUP(S$1,$C$2:$M$31,4,0)+1,0)</f>
        <v>0.42737792197427477</v>
      </c>
      <c r="T10">
        <f>VLOOKUP(VLOOKUP($O10,$C$2:$M$31,4,0),$O$42:$AS$71,VLOOKUP(T$1,$C$2:$M$31,4,0)+1,0)</f>
        <v>0.69736543414984997</v>
      </c>
      <c r="U10">
        <f>VLOOKUP(VLOOKUP($O10,$C$2:$M$31,4,0),$O$42:$AS$71,VLOOKUP(U$1,$C$2:$M$31,4,0)+1,0)</f>
        <v>0.37777969425937236</v>
      </c>
      <c r="V10">
        <f>VLOOKUP(VLOOKUP($O10,$C$2:$M$31,4,0),$O$42:$AS$71,VLOOKUP(V$1,$C$2:$M$31,4,0)+1,0)</f>
        <v>0.54476805573373421</v>
      </c>
      <c r="W10">
        <f>VLOOKUP(VLOOKUP($O10,$C$2:$M$31,4,0),$O$42:$AS$71,VLOOKUP(W$1,$C$2:$M$31,4,0)+1,0)</f>
        <v>0.47315589376524225</v>
      </c>
      <c r="X10">
        <f>VLOOKUP(VLOOKUP($O10,$C$2:$M$31,4,0),$O$42:$AS$71,VLOOKUP(X$1,$C$2:$M$31,4,0)+1,0)</f>
        <v>0.5</v>
      </c>
      <c r="Y10">
        <f>VLOOKUP(VLOOKUP($O10,$C$2:$M$31,4,0),$O$42:$AS$71,VLOOKUP(Y$1,$C$2:$M$31,4,0)+1,0)</f>
        <v>0.35087017426187905</v>
      </c>
      <c r="Z10">
        <f>VLOOKUP(VLOOKUP($O10,$C$2:$M$31,4,0),$O$42:$AS$71,VLOOKUP(Z$1,$C$2:$M$31,4,0)+1,0)</f>
        <v>0.36031197606974674</v>
      </c>
      <c r="AA10">
        <f>VLOOKUP(VLOOKUP($O10,$C$2:$M$31,4,0),$O$42:$AS$71,VLOOKUP(AA$1,$C$2:$M$31,4,0)+1,0)</f>
        <v>0.54476805573373421</v>
      </c>
      <c r="AB10">
        <f>VLOOKUP(VLOOKUP($O10,$C$2:$M$31,4,0),$O$42:$AS$71,VLOOKUP(AB$1,$C$2:$M$31,4,0)+1,0)</f>
        <v>0.40843302990522401</v>
      </c>
      <c r="AC10">
        <f>VLOOKUP(VLOOKUP($O10,$C$2:$M$31,4,0),$O$42:$AS$71,VLOOKUP(AC$1,$C$2:$M$31,4,0)+1,0)</f>
        <v>0.59385517014654077</v>
      </c>
      <c r="AD10">
        <f>VLOOKUP(VLOOKUP($O10,$C$2:$M$31,4,0),$O$42:$AS$71,VLOOKUP(AD$1,$C$2:$M$31,4,0)+1,0)</f>
        <v>0.5</v>
      </c>
      <c r="AE10">
        <f>VLOOKUP(VLOOKUP($O10,$C$2:$M$31,4,0),$O$42:$AS$71,VLOOKUP(AE$1,$C$2:$M$31,4,0)+1,0)</f>
        <v>0.39196296997858859</v>
      </c>
      <c r="AF10">
        <f>VLOOKUP(VLOOKUP($O10,$C$2:$M$31,4,0),$O$42:$AS$71,VLOOKUP(AF$1,$C$2:$M$31,4,0)+1,0)</f>
        <v>0.39196296997858859</v>
      </c>
      <c r="AG10">
        <f>VLOOKUP(VLOOKUP($O10,$C$2:$M$31,4,0),$O$42:$AS$71,VLOOKUP(AG$1,$C$2:$M$31,4,0)+1,0)</f>
        <v>0.42737792197427477</v>
      </c>
      <c r="AH10">
        <f>VLOOKUP(VLOOKUP($O10,$C$2:$M$31,4,0),$O$42:$AS$71,VLOOKUP(AH$1,$C$2:$M$31,4,0)+1,0)</f>
        <v>0.5</v>
      </c>
      <c r="AI10">
        <f>VLOOKUP(VLOOKUP($O10,$C$2:$M$31,4,0),$O$42:$AS$71,VLOOKUP(AI$1,$C$2:$M$31,4,0)+1,0)</f>
        <v>0.64545979335474335</v>
      </c>
      <c r="AJ10">
        <f>VLOOKUP(VLOOKUP($O10,$C$2:$M$31,4,0),$O$42:$AS$71,VLOOKUP(AJ$1,$C$2:$M$31,4,0)+1,0)</f>
        <v>0.36566517527635367</v>
      </c>
      <c r="AK10">
        <f>VLOOKUP(VLOOKUP($O10,$C$2:$M$31,4,0),$O$42:$AS$71,VLOOKUP(AK$1,$C$2:$M$31,4,0)+1,0)</f>
        <v>0.57711263446281591</v>
      </c>
      <c r="AL10">
        <f>VLOOKUP(VLOOKUP($O10,$C$2:$M$31,4,0),$O$42:$AS$71,VLOOKUP(AL$1,$C$2:$M$31,4,0)+1,0)</f>
        <v>0.48625786874528693</v>
      </c>
      <c r="AM10">
        <f>VLOOKUP(VLOOKUP($O10,$C$2:$M$31,4,0),$O$42:$AS$71,VLOOKUP(AM$1,$C$2:$M$31,4,0)+1,0)</f>
        <v>0.64545979335474335</v>
      </c>
      <c r="AN10">
        <f>VLOOKUP(VLOOKUP($O10,$C$2:$M$31,4,0),$O$42:$AS$71,VLOOKUP(AN$1,$C$2:$M$31,4,0)+1,0)</f>
        <v>0.42737792197427477</v>
      </c>
      <c r="AO10">
        <f>VLOOKUP(VLOOKUP($O10,$C$2:$M$31,4,0),$O$42:$AS$71,VLOOKUP(AO$1,$C$2:$M$31,4,0)+1,0)</f>
        <v>0.61088100448941873</v>
      </c>
      <c r="AP10">
        <f>VLOOKUP(VLOOKUP($O10,$C$2:$M$31,4,0),$O$42:$AS$71,VLOOKUP(AP$1,$C$2:$M$31,4,0)+1,0)</f>
        <v>0.36566517527635367</v>
      </c>
      <c r="AQ10">
        <f>VLOOKUP(VLOOKUP($O10,$C$2:$M$31,4,0),$O$42:$AS$71,VLOOKUP(AQ$1,$C$2:$M$31,4,0)+1,0)</f>
        <v>0.38459864577188729</v>
      </c>
      <c r="AR10">
        <f>VLOOKUP(VLOOKUP($O10,$C$2:$M$31,4,0),$O$42:$AS$71,VLOOKUP(AR$1,$C$2:$M$31,4,0)+1,0)</f>
        <v>0.46071121990694175</v>
      </c>
      <c r="AS10">
        <f>VLOOKUP(VLOOKUP($O10,$C$2:$M$31,4,0),$O$42:$AS$71,VLOOKUP(AS$1,$C$2:$M$31,4,0)+1,0)</f>
        <v>0.40843302990522401</v>
      </c>
      <c r="AU10">
        <f t="shared" si="6"/>
        <v>14.496571496485071</v>
      </c>
      <c r="AV10">
        <f t="shared" si="7"/>
        <v>0.48321904988283571</v>
      </c>
    </row>
    <row r="11" spans="1:48" x14ac:dyDescent="0.25">
      <c r="A11" t="s">
        <v>87</v>
      </c>
      <c r="B11">
        <v>2017</v>
      </c>
      <c r="C11" t="str">
        <f t="shared" si="0"/>
        <v>GS</v>
      </c>
      <c r="D11" t="s">
        <v>109</v>
      </c>
      <c r="E11">
        <v>69</v>
      </c>
      <c r="F11">
        <f t="shared" si="1"/>
        <v>1</v>
      </c>
      <c r="G11">
        <v>67.5</v>
      </c>
      <c r="H11">
        <f t="shared" si="2"/>
        <v>1</v>
      </c>
      <c r="I11" t="s">
        <v>32</v>
      </c>
      <c r="J11">
        <v>0.65</v>
      </c>
      <c r="K11">
        <f t="shared" si="3"/>
        <v>4</v>
      </c>
      <c r="L11">
        <f t="shared" si="4"/>
        <v>70</v>
      </c>
      <c r="M11">
        <f t="shared" si="5"/>
        <v>1</v>
      </c>
      <c r="O11" t="s">
        <v>24</v>
      </c>
      <c r="P11">
        <f>VLOOKUP(VLOOKUP($O11,$C$2:$M$31,4,0),$O$42:$AS$71,VLOOKUP(P$1,$C$2:$M$31,4,0)+1,0)</f>
        <v>0.75755761785984232</v>
      </c>
      <c r="Q11">
        <f>VLOOKUP(VLOOKUP($O11,$C$2:$M$31,4,0),$O$42:$AS$71,VLOOKUP(Q$1,$C$2:$M$31,4,0)+1,0)</f>
        <v>0.5049462403157613</v>
      </c>
      <c r="R11">
        <f>VLOOKUP(VLOOKUP($O11,$C$2:$M$31,4,0),$O$42:$AS$71,VLOOKUP(R$1,$C$2:$M$31,4,0)+1,0)</f>
        <v>0.77106907112086653</v>
      </c>
      <c r="S11">
        <f>VLOOKUP(VLOOKUP($O11,$C$2:$M$31,4,0),$O$42:$AS$71,VLOOKUP(S$1,$C$2:$M$31,4,0)+1,0)</f>
        <v>0.57997218025704711</v>
      </c>
      <c r="T11">
        <f>VLOOKUP(VLOOKUP($O11,$C$2:$M$31,4,0),$O$42:$AS$71,VLOOKUP(T$1,$C$2:$M$31,4,0)+1,0)</f>
        <v>0.80999843398468707</v>
      </c>
      <c r="U11">
        <f>VLOOKUP(VLOOKUP($O11,$C$2:$M$31,4,0),$O$42:$AS$71,VLOOKUP(U$1,$C$2:$M$31,4,0)+1,0)</f>
        <v>0.52902568929724392</v>
      </c>
      <c r="V11">
        <f>VLOOKUP(VLOOKUP($O11,$C$2:$M$31,4,0),$O$42:$AS$71,VLOOKUP(V$1,$C$2:$M$31,4,0)+1,0)</f>
        <v>0.68885451974663314</v>
      </c>
      <c r="W11">
        <f>VLOOKUP(VLOOKUP($O11,$C$2:$M$31,4,0),$O$42:$AS$71,VLOOKUP(W$1,$C$2:$M$31,4,0)+1,0)</f>
        <v>0.6242757505189197</v>
      </c>
      <c r="X11">
        <f>VLOOKUP(VLOOKUP($O11,$C$2:$M$31,4,0),$O$42:$AS$71,VLOOKUP(X$1,$C$2:$M$31,4,0)+1,0)</f>
        <v>0.64912982573812106</v>
      </c>
      <c r="Y11">
        <f>VLOOKUP(VLOOKUP($O11,$C$2:$M$31,4,0),$O$42:$AS$71,VLOOKUP(Y$1,$C$2:$M$31,4,0)+1,0)</f>
        <v>0.5</v>
      </c>
      <c r="Z11">
        <f>VLOOKUP(VLOOKUP($O11,$C$2:$M$31,4,0),$O$42:$AS$71,VLOOKUP(Z$1,$C$2:$M$31,4,0)+1,0)</f>
        <v>0.5103000717980084</v>
      </c>
      <c r="AA11">
        <f>VLOOKUP(VLOOKUP($O11,$C$2:$M$31,4,0),$O$42:$AS$71,VLOOKUP(AA$1,$C$2:$M$31,4,0)+1,0)</f>
        <v>0.68885451974663314</v>
      </c>
      <c r="AB11">
        <f>VLOOKUP(VLOOKUP($O11,$C$2:$M$31,4,0),$O$42:$AS$71,VLOOKUP(AB$1,$C$2:$M$31,4,0)+1,0)</f>
        <v>0.56088868482079979</v>
      </c>
      <c r="AC11">
        <f>VLOOKUP(VLOOKUP($O11,$C$2:$M$31,4,0),$O$42:$AS$71,VLOOKUP(AC$1,$C$2:$M$31,4,0)+1,0)</f>
        <v>0.73010238685598194</v>
      </c>
      <c r="AD11">
        <f>VLOOKUP(VLOOKUP($O11,$C$2:$M$31,4,0),$O$42:$AS$71,VLOOKUP(AD$1,$C$2:$M$31,4,0)+1,0)</f>
        <v>0.64912982573812106</v>
      </c>
      <c r="AE11">
        <f>VLOOKUP(VLOOKUP($O11,$C$2:$M$31,4,0),$O$42:$AS$71,VLOOKUP(AE$1,$C$2:$M$31,4,0)+1,0)</f>
        <v>0.54392349704285703</v>
      </c>
      <c r="AF11">
        <f>VLOOKUP(VLOOKUP($O11,$C$2:$M$31,4,0),$O$42:$AS$71,VLOOKUP(AF$1,$C$2:$M$31,4,0)+1,0)</f>
        <v>0.54392349704285703</v>
      </c>
      <c r="AG11">
        <f>VLOOKUP(VLOOKUP($O11,$C$2:$M$31,4,0),$O$42:$AS$71,VLOOKUP(AG$1,$C$2:$M$31,4,0)+1,0)</f>
        <v>0.57997218025704711</v>
      </c>
      <c r="AH11">
        <f>VLOOKUP(VLOOKUP($O11,$C$2:$M$31,4,0),$O$42:$AS$71,VLOOKUP(AH$1,$C$2:$M$31,4,0)+1,0)</f>
        <v>0.64912982573812106</v>
      </c>
      <c r="AI11">
        <f>VLOOKUP(VLOOKUP($O11,$C$2:$M$31,4,0),$O$42:$AS$71,VLOOKUP(AI$1,$C$2:$M$31,4,0)+1,0)</f>
        <v>0.77106907112086653</v>
      </c>
      <c r="AJ11">
        <f>VLOOKUP(VLOOKUP($O11,$C$2:$M$31,4,0),$O$42:$AS$71,VLOOKUP(AJ$1,$C$2:$M$31,4,0)+1,0)</f>
        <v>0.51608385353216846</v>
      </c>
      <c r="AK11">
        <f>VLOOKUP(VLOOKUP($O11,$C$2:$M$31,4,0),$O$42:$AS$71,VLOOKUP(AK$1,$C$2:$M$31,4,0)+1,0)</f>
        <v>0.71629315358675483</v>
      </c>
      <c r="AL11">
        <f>VLOOKUP(VLOOKUP($O11,$C$2:$M$31,4,0),$O$42:$AS$71,VLOOKUP(AL$1,$C$2:$M$31,4,0)+1,0)</f>
        <v>0.63650670086846906</v>
      </c>
      <c r="AM11">
        <f>VLOOKUP(VLOOKUP($O11,$C$2:$M$31,4,0),$O$42:$AS$71,VLOOKUP(AM$1,$C$2:$M$31,4,0)+1,0)</f>
        <v>0.77106907112086653</v>
      </c>
      <c r="AN11">
        <f>VLOOKUP(VLOOKUP($O11,$C$2:$M$31,4,0),$O$42:$AS$71,VLOOKUP(AN$1,$C$2:$M$31,4,0)+1,0)</f>
        <v>0.57997218025704711</v>
      </c>
      <c r="AO11">
        <f>VLOOKUP(VLOOKUP($O11,$C$2:$M$31,4,0),$O$42:$AS$71,VLOOKUP(AO$1,$C$2:$M$31,4,0)+1,0)</f>
        <v>0.74387996100574205</v>
      </c>
      <c r="AP11">
        <f>VLOOKUP(VLOOKUP($O11,$C$2:$M$31,4,0),$O$42:$AS$71,VLOOKUP(AP$1,$C$2:$M$31,4,0)+1,0)</f>
        <v>0.51608385353216846</v>
      </c>
      <c r="AQ11">
        <f>VLOOKUP(VLOOKUP($O11,$C$2:$M$31,4,0),$O$42:$AS$71,VLOOKUP(AQ$1,$C$2:$M$31,4,0)+1,0)</f>
        <v>0.53622195991228083</v>
      </c>
      <c r="AR11">
        <f>VLOOKUP(VLOOKUP($O11,$C$2:$M$31,4,0),$O$42:$AS$71,VLOOKUP(AR$1,$C$2:$M$31,4,0)+1,0)</f>
        <v>0.6124771173739717</v>
      </c>
      <c r="AS11">
        <f>VLOOKUP(VLOOKUP($O11,$C$2:$M$31,4,0),$O$42:$AS$71,VLOOKUP(AS$1,$C$2:$M$31,4,0)+1,0)</f>
        <v>0.56088868482079979</v>
      </c>
      <c r="AU11">
        <f t="shared" si="6"/>
        <v>18.831599425010683</v>
      </c>
      <c r="AV11">
        <f t="shared" si="7"/>
        <v>0.62771998083368941</v>
      </c>
    </row>
    <row r="12" spans="1:48" x14ac:dyDescent="0.25">
      <c r="A12" t="s">
        <v>88</v>
      </c>
      <c r="B12">
        <v>2017</v>
      </c>
      <c r="C12" t="str">
        <f t="shared" si="0"/>
        <v>HOU</v>
      </c>
      <c r="D12" t="s">
        <v>109</v>
      </c>
      <c r="E12">
        <v>57</v>
      </c>
      <c r="F12">
        <f t="shared" si="1"/>
        <v>3</v>
      </c>
      <c r="G12">
        <v>55.5</v>
      </c>
      <c r="H12">
        <f t="shared" si="2"/>
        <v>3</v>
      </c>
      <c r="I12" t="s">
        <v>32</v>
      </c>
      <c r="J12">
        <v>0.61</v>
      </c>
      <c r="K12">
        <f t="shared" si="3"/>
        <v>9</v>
      </c>
      <c r="L12">
        <f t="shared" si="4"/>
        <v>58</v>
      </c>
      <c r="M12">
        <f t="shared" si="5"/>
        <v>2</v>
      </c>
      <c r="O12" t="s">
        <v>4</v>
      </c>
      <c r="P12">
        <f>VLOOKUP(VLOOKUP($O12,$C$2:$M$31,4,0),$O$42:$AS$71,VLOOKUP(P$1,$C$2:$M$31,4,0)+1,0)</f>
        <v>0.7499094471207608</v>
      </c>
      <c r="Q12">
        <f>VLOOKUP(VLOOKUP($O12,$C$2:$M$31,4,0),$O$42:$AS$71,VLOOKUP(Q$1,$C$2:$M$31,4,0)+1,0)</f>
        <v>0.49464507725667389</v>
      </c>
      <c r="R12">
        <f>VLOOKUP(VLOOKUP($O12,$C$2:$M$31,4,0),$O$42:$AS$71,VLOOKUP(R$1,$C$2:$M$31,4,0)+1,0)</f>
        <v>0.76371419200876312</v>
      </c>
      <c r="S12">
        <f>VLOOKUP(VLOOKUP($O12,$C$2:$M$31,4,0),$O$42:$AS$71,VLOOKUP(S$1,$C$2:$M$31,4,0)+1,0)</f>
        <v>0.56990242834804428</v>
      </c>
      <c r="T12">
        <f>VLOOKUP(VLOOKUP($O12,$C$2:$M$31,4,0),$O$42:$AS$71,VLOOKUP(T$1,$C$2:$M$31,4,0)+1,0)</f>
        <v>0.80357563767142925</v>
      </c>
      <c r="U12">
        <f>VLOOKUP(VLOOKUP($O12,$C$2:$M$31,4,0),$O$42:$AS$71,VLOOKUP(U$1,$C$2:$M$31,4,0)+1,0)</f>
        <v>0.51874803765381217</v>
      </c>
      <c r="V12">
        <f>VLOOKUP(VLOOKUP($O12,$C$2:$M$31,4,0),$O$42:$AS$71,VLOOKUP(V$1,$C$2:$M$31,4,0)+1,0)</f>
        <v>0.67995464996754418</v>
      </c>
      <c r="W12">
        <f>VLOOKUP(VLOOKUP($O12,$C$2:$M$31,4,0),$O$42:$AS$71,VLOOKUP(W$1,$C$2:$M$31,4,0)+1,0)</f>
        <v>0.61456226001655523</v>
      </c>
      <c r="X12">
        <f>VLOOKUP(VLOOKUP($O12,$C$2:$M$31,4,0),$O$42:$AS$71,VLOOKUP(X$1,$C$2:$M$31,4,0)+1,0)</f>
        <v>0.63968802393025326</v>
      </c>
      <c r="Y12">
        <f>VLOOKUP(VLOOKUP($O12,$C$2:$M$31,4,0),$O$42:$AS$71,VLOOKUP(Y$1,$C$2:$M$31,4,0)+1,0)</f>
        <v>0.48969992820199154</v>
      </c>
      <c r="Z12">
        <f>VLOOKUP(VLOOKUP($O12,$C$2:$M$31,4,0),$O$42:$AS$71,VLOOKUP(Z$1,$C$2:$M$31,4,0)+1,0)</f>
        <v>0.5</v>
      </c>
      <c r="AA12">
        <f>VLOOKUP(VLOOKUP($O12,$C$2:$M$31,4,0),$O$42:$AS$71,VLOOKUP(AA$1,$C$2:$M$31,4,0)+1,0)</f>
        <v>0.67995464996754418</v>
      </c>
      <c r="AB12">
        <f>VLOOKUP(VLOOKUP($O12,$C$2:$M$31,4,0),$O$42:$AS$71,VLOOKUP(AB$1,$C$2:$M$31,4,0)+1,0)</f>
        <v>0.55071584036741195</v>
      </c>
      <c r="AC12">
        <f>VLOOKUP(VLOOKUP($O12,$C$2:$M$31,4,0),$O$42:$AS$71,VLOOKUP(AC$1,$C$2:$M$31,4,0)+1,0)</f>
        <v>0.72190604750327503</v>
      </c>
      <c r="AD12">
        <f>VLOOKUP(VLOOKUP($O12,$C$2:$M$31,4,0),$O$42:$AS$71,VLOOKUP(AD$1,$C$2:$M$31,4,0)+1,0)</f>
        <v>0.63968802393025326</v>
      </c>
      <c r="AE12">
        <f>VLOOKUP(VLOOKUP($O12,$C$2:$M$31,4,0),$O$42:$AS$71,VLOOKUP(AE$1,$C$2:$M$31,4,0)+1,0)</f>
        <v>0.53368438254790151</v>
      </c>
      <c r="AF12">
        <f>VLOOKUP(VLOOKUP($O12,$C$2:$M$31,4,0),$O$42:$AS$71,VLOOKUP(AF$1,$C$2:$M$31,4,0)+1,0)</f>
        <v>0.53368438254790151</v>
      </c>
      <c r="AG12">
        <f>VLOOKUP(VLOOKUP($O12,$C$2:$M$31,4,0),$O$42:$AS$71,VLOOKUP(AG$1,$C$2:$M$31,4,0)+1,0)</f>
        <v>0.56990242834804428</v>
      </c>
      <c r="AH12">
        <f>VLOOKUP(VLOOKUP($O12,$C$2:$M$31,4,0),$O$42:$AS$71,VLOOKUP(AH$1,$C$2:$M$31,4,0)+1,0)</f>
        <v>0.63968802393025326</v>
      </c>
      <c r="AI12">
        <f>VLOOKUP(VLOOKUP($O12,$C$2:$M$31,4,0),$O$42:$AS$71,VLOOKUP(AI$1,$C$2:$M$31,4,0)+1,0)</f>
        <v>0.76371419200876312</v>
      </c>
      <c r="AJ12">
        <f>VLOOKUP(VLOOKUP($O12,$C$2:$M$31,4,0),$O$42:$AS$71,VLOOKUP(AJ$1,$C$2:$M$31,4,0)+1,0)</f>
        <v>0.5057876169528488</v>
      </c>
      <c r="AK12">
        <f>VLOOKUP(VLOOKUP($O12,$C$2:$M$31,4,0),$O$42:$AS$71,VLOOKUP(AK$1,$C$2:$M$31,4,0)+1,0)</f>
        <v>0.70784526159162375</v>
      </c>
      <c r="AL12">
        <f>VLOOKUP(VLOOKUP($O12,$C$2:$M$31,4,0),$O$42:$AS$71,VLOOKUP(AL$1,$C$2:$M$31,4,0)+1,0)</f>
        <v>0.62692044428040861</v>
      </c>
      <c r="AM12">
        <f>VLOOKUP(VLOOKUP($O12,$C$2:$M$31,4,0),$O$42:$AS$71,VLOOKUP(AM$1,$C$2:$M$31,4,0)+1,0)</f>
        <v>0.76371419200876312</v>
      </c>
      <c r="AN12">
        <f>VLOOKUP(VLOOKUP($O12,$C$2:$M$31,4,0),$O$42:$AS$71,VLOOKUP(AN$1,$C$2:$M$31,4,0)+1,0)</f>
        <v>0.56990242834804428</v>
      </c>
      <c r="AO12">
        <f>VLOOKUP(VLOOKUP($O12,$C$2:$M$31,4,0),$O$42:$AS$71,VLOOKUP(AO$1,$C$2:$M$31,4,0)+1,0)</f>
        <v>0.73595070405215601</v>
      </c>
      <c r="AP12">
        <f>VLOOKUP(VLOOKUP($O12,$C$2:$M$31,4,0),$O$42:$AS$71,VLOOKUP(AP$1,$C$2:$M$31,4,0)+1,0)</f>
        <v>0.5057876169528488</v>
      </c>
      <c r="AQ12">
        <f>VLOOKUP(VLOOKUP($O12,$C$2:$M$31,4,0),$O$42:$AS$71,VLOOKUP(AQ$1,$C$2:$M$31,4,0)+1,0)</f>
        <v>0.52596063059506537</v>
      </c>
      <c r="AR12">
        <f>VLOOKUP(VLOOKUP($O12,$C$2:$M$31,4,0),$O$42:$AS$71,VLOOKUP(AR$1,$C$2:$M$31,4,0)+1,0)</f>
        <v>0.60265274759969689</v>
      </c>
      <c r="AS12">
        <f>VLOOKUP(VLOOKUP($O12,$C$2:$M$31,4,0),$O$42:$AS$71,VLOOKUP(AS$1,$C$2:$M$31,4,0)+1,0)</f>
        <v>0.55071584036741195</v>
      </c>
      <c r="AU12">
        <f t="shared" si="6"/>
        <v>18.552575136076044</v>
      </c>
      <c r="AV12">
        <f t="shared" si="7"/>
        <v>0.61841917120253476</v>
      </c>
    </row>
    <row r="13" spans="1:48" x14ac:dyDescent="0.25">
      <c r="A13" t="s">
        <v>89</v>
      </c>
      <c r="B13">
        <v>2017</v>
      </c>
      <c r="C13" t="str">
        <f t="shared" si="0"/>
        <v>IND</v>
      </c>
      <c r="D13" t="s">
        <v>109</v>
      </c>
      <c r="E13">
        <v>33</v>
      </c>
      <c r="F13">
        <f t="shared" si="1"/>
        <v>21</v>
      </c>
      <c r="G13">
        <v>31.5</v>
      </c>
      <c r="H13">
        <f t="shared" si="2"/>
        <v>24</v>
      </c>
      <c r="I13" t="s">
        <v>32</v>
      </c>
      <c r="J13">
        <v>0.56000000000000005</v>
      </c>
      <c r="K13">
        <f t="shared" si="3"/>
        <v>16</v>
      </c>
      <c r="L13">
        <f t="shared" si="4"/>
        <v>33</v>
      </c>
      <c r="M13">
        <f t="shared" si="5"/>
        <v>19</v>
      </c>
      <c r="O13" t="s">
        <v>8</v>
      </c>
      <c r="P13">
        <f>VLOOKUP(VLOOKUP($O13,$C$2:$M$31,4,0),$O$42:$AS$71,VLOOKUP(P$1,$C$2:$M$31,4,0)+1,0)</f>
        <v>0.58529923034884324</v>
      </c>
      <c r="Q13">
        <f>VLOOKUP(VLOOKUP($O13,$C$2:$M$31,4,0),$O$42:$AS$71,VLOOKUP(Q$1,$C$2:$M$31,4,0)+1,0)</f>
        <v>0.31540197385499513</v>
      </c>
      <c r="R13">
        <f>VLOOKUP(VLOOKUP($O13,$C$2:$M$31,4,0),$O$42:$AS$71,VLOOKUP(R$1,$C$2:$M$31,4,0)+1,0)</f>
        <v>0.60338468202473983</v>
      </c>
      <c r="S13">
        <f>VLOOKUP(VLOOKUP($O13,$C$2:$M$31,4,0),$O$42:$AS$71,VLOOKUP(S$1,$C$2:$M$31,4,0)+1,0)</f>
        <v>0.3841168795153142</v>
      </c>
      <c r="T13">
        <f>VLOOKUP(VLOOKUP($O13,$C$2:$M$31,4,0),$O$42:$AS$71,VLOOKUP(T$1,$C$2:$M$31,4,0)+1,0)</f>
        <v>0.65818817024414811</v>
      </c>
      <c r="U13">
        <f>VLOOKUP(VLOOKUP($O13,$C$2:$M$31,4,0),$O$42:$AS$71,VLOOKUP(U$1,$C$2:$M$31,4,0)+1,0)</f>
        <v>0.33658811385308857</v>
      </c>
      <c r="V13">
        <f>VLOOKUP(VLOOKUP($O13,$C$2:$M$31,4,0),$O$42:$AS$71,VLOOKUP(V$1,$C$2:$M$31,4,0)+1,0)</f>
        <v>0.5</v>
      </c>
      <c r="W13">
        <f>VLOOKUP(VLOOKUP($O13,$C$2:$M$31,4,0),$O$42:$AS$71,VLOOKUP(W$1,$C$2:$M$31,4,0)+1,0)</f>
        <v>0.42873043324610621</v>
      </c>
      <c r="X13">
        <f>VLOOKUP(VLOOKUP($O13,$C$2:$M$31,4,0),$O$42:$AS$71,VLOOKUP(X$1,$C$2:$M$31,4,0)+1,0)</f>
        <v>0.45523194426626579</v>
      </c>
      <c r="Y13">
        <f>VLOOKUP(VLOOKUP($O13,$C$2:$M$31,4,0),$O$42:$AS$71,VLOOKUP(Y$1,$C$2:$M$31,4,0)+1,0)</f>
        <v>0.31114548025336697</v>
      </c>
      <c r="Z13">
        <f>VLOOKUP(VLOOKUP($O13,$C$2:$M$31,4,0),$O$42:$AS$71,VLOOKUP(Z$1,$C$2:$M$31,4,0)+1,0)</f>
        <v>0.32004535003245588</v>
      </c>
      <c r="AA13">
        <f>VLOOKUP(VLOOKUP($O13,$C$2:$M$31,4,0),$O$42:$AS$71,VLOOKUP(AA$1,$C$2:$M$31,4,0)+1,0)</f>
        <v>0.5</v>
      </c>
      <c r="AB13">
        <f>VLOOKUP(VLOOKUP($O13,$C$2:$M$31,4,0),$O$42:$AS$71,VLOOKUP(AB$1,$C$2:$M$31,4,0)+1,0)</f>
        <v>0.36586440898919931</v>
      </c>
      <c r="AC13">
        <f>VLOOKUP(VLOOKUP($O13,$C$2:$M$31,4,0),$O$42:$AS$71,VLOOKUP(AC$1,$C$2:$M$31,4,0)+1,0)</f>
        <v>0.54992621705116529</v>
      </c>
      <c r="AD13">
        <f>VLOOKUP(VLOOKUP($O13,$C$2:$M$31,4,0),$O$42:$AS$71,VLOOKUP(AD$1,$C$2:$M$31,4,0)+1,0)</f>
        <v>0.45523194426626579</v>
      </c>
      <c r="AE13">
        <f>VLOOKUP(VLOOKUP($O13,$C$2:$M$31,4,0),$O$42:$AS$71,VLOOKUP(AE$1,$C$2:$M$31,4,0)+1,0)</f>
        <v>0.35009504022448074</v>
      </c>
      <c r="AF13">
        <f>VLOOKUP(VLOOKUP($O13,$C$2:$M$31,4,0),$O$42:$AS$71,VLOOKUP(AF$1,$C$2:$M$31,4,0)+1,0)</f>
        <v>0.35009504022448074</v>
      </c>
      <c r="AG13">
        <f>VLOOKUP(VLOOKUP($O13,$C$2:$M$31,4,0),$O$42:$AS$71,VLOOKUP(AG$1,$C$2:$M$31,4,0)+1,0)</f>
        <v>0.3841168795153142</v>
      </c>
      <c r="AH13">
        <f>VLOOKUP(VLOOKUP($O13,$C$2:$M$31,4,0),$O$42:$AS$71,VLOOKUP(AH$1,$C$2:$M$31,4,0)+1,0)</f>
        <v>0.45523194426626579</v>
      </c>
      <c r="AI13">
        <f>VLOOKUP(VLOOKUP($O13,$C$2:$M$31,4,0),$O$42:$AS$71,VLOOKUP(AI$1,$C$2:$M$31,4,0)+1,0)</f>
        <v>0.60338468202473983</v>
      </c>
      <c r="AJ13">
        <f>VLOOKUP(VLOOKUP($O13,$C$2:$M$31,4,0),$O$42:$AS$71,VLOOKUP(AJ$1,$C$2:$M$31,4,0)+1,0)</f>
        <v>0.32510434568498336</v>
      </c>
      <c r="AK13">
        <f>VLOOKUP(VLOOKUP($O13,$C$2:$M$31,4,0),$O$42:$AS$71,VLOOKUP(AK$1,$C$2:$M$31,4,0)+1,0)</f>
        <v>0.53279747016783385</v>
      </c>
      <c r="AL13">
        <f>VLOOKUP(VLOOKUP($O13,$C$2:$M$31,4,0),$O$42:$AS$71,VLOOKUP(AL$1,$C$2:$M$31,4,0)+1,0)</f>
        <v>0.44163344341796507</v>
      </c>
      <c r="AM13">
        <f>VLOOKUP(VLOOKUP($O13,$C$2:$M$31,4,0),$O$42:$AS$71,VLOOKUP(AM$1,$C$2:$M$31,4,0)+1,0)</f>
        <v>0.60338468202473983</v>
      </c>
      <c r="AN13">
        <f>VLOOKUP(VLOOKUP($O13,$C$2:$M$31,4,0),$O$42:$AS$71,VLOOKUP(AN$1,$C$2:$M$31,4,0)+1,0)</f>
        <v>0.3841168795153142</v>
      </c>
      <c r="AO13">
        <f>VLOOKUP(VLOOKUP($O13,$C$2:$M$31,4,0),$O$42:$AS$71,VLOOKUP(AO$1,$C$2:$M$31,4,0)+1,0)</f>
        <v>0.56745226115407632</v>
      </c>
      <c r="AP13">
        <f>VLOOKUP(VLOOKUP($O13,$C$2:$M$31,4,0),$O$42:$AS$71,VLOOKUP(AP$1,$C$2:$M$31,4,0)+1,0)</f>
        <v>0.32510434568498336</v>
      </c>
      <c r="AQ13">
        <f>VLOOKUP(VLOOKUP($O13,$C$2:$M$31,4,0),$O$42:$AS$71,VLOOKUP(AQ$1,$C$2:$M$31,4,0)+1,0)</f>
        <v>0.34307350386175622</v>
      </c>
      <c r="AR13">
        <f>VLOOKUP(VLOOKUP($O13,$C$2:$M$31,4,0),$O$42:$AS$71,VLOOKUP(AR$1,$C$2:$M$31,4,0)+1,0)</f>
        <v>0.41653041686165959</v>
      </c>
      <c r="AS13">
        <f>VLOOKUP(VLOOKUP($O13,$C$2:$M$31,4,0),$O$42:$AS$71,VLOOKUP(AS$1,$C$2:$M$31,4,0)+1,0)</f>
        <v>0.36586440898919931</v>
      </c>
      <c r="AU13">
        <f t="shared" si="6"/>
        <v>13.217140171563747</v>
      </c>
      <c r="AV13">
        <f t="shared" si="7"/>
        <v>0.44057133905212492</v>
      </c>
    </row>
    <row r="14" spans="1:48" x14ac:dyDescent="0.25">
      <c r="A14" t="s">
        <v>90</v>
      </c>
      <c r="B14">
        <v>2017</v>
      </c>
      <c r="C14" t="str">
        <f t="shared" si="0"/>
        <v>LAC</v>
      </c>
      <c r="D14" t="s">
        <v>109</v>
      </c>
      <c r="E14">
        <v>46</v>
      </c>
      <c r="F14">
        <f t="shared" si="1"/>
        <v>10</v>
      </c>
      <c r="G14">
        <v>43.5</v>
      </c>
      <c r="H14">
        <f t="shared" si="2"/>
        <v>12</v>
      </c>
      <c r="I14" t="s">
        <v>32</v>
      </c>
      <c r="J14">
        <v>0.57999999999999996</v>
      </c>
      <c r="K14">
        <f t="shared" si="3"/>
        <v>11</v>
      </c>
      <c r="L14">
        <f t="shared" si="4"/>
        <v>45</v>
      </c>
      <c r="M14">
        <f t="shared" si="5"/>
        <v>9</v>
      </c>
      <c r="O14" t="s">
        <v>29</v>
      </c>
      <c r="P14">
        <f>VLOOKUP(VLOOKUP($O14,$C$2:$M$31,4,0),$O$42:$AS$71,VLOOKUP(P$1,$C$2:$M$31,4,0)+1,0)</f>
        <v>0.70983153480009242</v>
      </c>
      <c r="Q14">
        <f>VLOOKUP(VLOOKUP($O14,$C$2:$M$31,4,0),$O$42:$AS$71,VLOOKUP(Q$1,$C$2:$M$31,4,0)+1,0)</f>
        <v>0.44399008145113128</v>
      </c>
      <c r="R14">
        <f>VLOOKUP(VLOOKUP($O14,$C$2:$M$31,4,0),$O$42:$AS$71,VLOOKUP(R$1,$C$2:$M$31,4,0)+1,0)</f>
        <v>0.72503739011377732</v>
      </c>
      <c r="S14">
        <f>VLOOKUP(VLOOKUP($O14,$C$2:$M$31,4,0),$O$42:$AS$71,VLOOKUP(S$1,$C$2:$M$31,4,0)+1,0)</f>
        <v>0.51946257984989219</v>
      </c>
      <c r="T14">
        <f>VLOOKUP(VLOOKUP($O14,$C$2:$M$31,4,0),$O$42:$AS$71,VLOOKUP(T$1,$C$2:$M$31,4,0)+1,0)</f>
        <v>0.76945395023695973</v>
      </c>
      <c r="U14">
        <f>VLOOKUP(VLOOKUP($O14,$C$2:$M$31,4,0),$O$42:$AS$71,VLOOKUP(U$1,$C$2:$M$31,4,0)+1,0)</f>
        <v>0.46791015028381738</v>
      </c>
      <c r="V14">
        <f>VLOOKUP(VLOOKUP($O14,$C$2:$M$31,4,0),$O$42:$AS$71,VLOOKUP(V$1,$C$2:$M$31,4,0)+1,0)</f>
        <v>0.63413559101080075</v>
      </c>
      <c r="W14">
        <f>VLOOKUP(VLOOKUP($O14,$C$2:$M$31,4,0),$O$42:$AS$71,VLOOKUP(W$1,$C$2:$M$31,4,0)+1,0)</f>
        <v>0.5653655466667219</v>
      </c>
      <c r="X14">
        <f>VLOOKUP(VLOOKUP($O14,$C$2:$M$31,4,0),$O$42:$AS$71,VLOOKUP(X$1,$C$2:$M$31,4,0)+1,0)</f>
        <v>0.59156697009477588</v>
      </c>
      <c r="Y14">
        <f>VLOOKUP(VLOOKUP($O14,$C$2:$M$31,4,0),$O$42:$AS$71,VLOOKUP(Y$1,$C$2:$M$31,4,0)+1,0)</f>
        <v>0.43911131517920021</v>
      </c>
      <c r="Z14">
        <f>VLOOKUP(VLOOKUP($O14,$C$2:$M$31,4,0),$O$42:$AS$71,VLOOKUP(Z$1,$C$2:$M$31,4,0)+1,0)</f>
        <v>0.44928415963258811</v>
      </c>
      <c r="AA14">
        <f>VLOOKUP(VLOOKUP($O14,$C$2:$M$31,4,0),$O$42:$AS$71,VLOOKUP(AA$1,$C$2:$M$31,4,0)+1,0)</f>
        <v>0.63413559101080075</v>
      </c>
      <c r="AB14">
        <f>VLOOKUP(VLOOKUP($O14,$C$2:$M$31,4,0),$O$42:$AS$71,VLOOKUP(AB$1,$C$2:$M$31,4,0)+1,0)</f>
        <v>0.5</v>
      </c>
      <c r="AC14">
        <f>VLOOKUP(VLOOKUP($O14,$C$2:$M$31,4,0),$O$42:$AS$71,VLOOKUP(AC$1,$C$2:$M$31,4,0)+1,0)</f>
        <v>0.67925987859237846</v>
      </c>
      <c r="AD14">
        <f>VLOOKUP(VLOOKUP($O14,$C$2:$M$31,4,0),$O$42:$AS$71,VLOOKUP(AD$1,$C$2:$M$31,4,0)+1,0)</f>
        <v>0.59156697009477588</v>
      </c>
      <c r="AE14">
        <f>VLOOKUP(VLOOKUP($O14,$C$2:$M$31,4,0),$O$42:$AS$71,VLOOKUP(AE$1,$C$2:$M$31,4,0)+1,0)</f>
        <v>0.48285135991392952</v>
      </c>
      <c r="AF14">
        <f>VLOOKUP(VLOOKUP($O14,$C$2:$M$31,4,0),$O$42:$AS$71,VLOOKUP(AF$1,$C$2:$M$31,4,0)+1,0)</f>
        <v>0.48285135991392952</v>
      </c>
      <c r="AG14">
        <f>VLOOKUP(VLOOKUP($O14,$C$2:$M$31,4,0),$O$42:$AS$71,VLOOKUP(AG$1,$C$2:$M$31,4,0)+1,0)</f>
        <v>0.51946257984989219</v>
      </c>
      <c r="AH14">
        <f>VLOOKUP(VLOOKUP($O14,$C$2:$M$31,4,0),$O$42:$AS$71,VLOOKUP(AH$1,$C$2:$M$31,4,0)+1,0)</f>
        <v>0.59156697009477588</v>
      </c>
      <c r="AI14">
        <f>VLOOKUP(VLOOKUP($O14,$C$2:$M$31,4,0),$O$42:$AS$71,VLOOKUP(AI$1,$C$2:$M$31,4,0)+1,0)</f>
        <v>0.72503739011377732</v>
      </c>
      <c r="AJ14">
        <f>VLOOKUP(VLOOKUP($O14,$C$2:$M$31,4,0),$O$42:$AS$71,VLOOKUP(AJ$1,$C$2:$M$31,4,0)+1,0)</f>
        <v>0.45501896455728896</v>
      </c>
      <c r="AK14">
        <f>VLOOKUP(VLOOKUP($O14,$C$2:$M$31,4,0),$O$42:$AS$71,VLOOKUP(AK$1,$C$2:$M$31,4,0)+1,0)</f>
        <v>0.6640463003434689</v>
      </c>
      <c r="AL14">
        <f>VLOOKUP(VLOOKUP($O14,$C$2:$M$31,4,0),$O$42:$AS$71,VLOOKUP(AL$1,$C$2:$M$31,4,0)+1,0)</f>
        <v>0.57821853629945141</v>
      </c>
      <c r="AM14">
        <f>VLOOKUP(VLOOKUP($O14,$C$2:$M$31,4,0),$O$42:$AS$71,VLOOKUP(AM$1,$C$2:$M$31,4,0)+1,0)</f>
        <v>0.72503739011377732</v>
      </c>
      <c r="AN14">
        <f>VLOOKUP(VLOOKUP($O14,$C$2:$M$31,4,0),$O$42:$AS$71,VLOOKUP(AN$1,$C$2:$M$31,4,0)+1,0)</f>
        <v>0.51946257984989219</v>
      </c>
      <c r="AO14">
        <f>VLOOKUP(VLOOKUP($O14,$C$2:$M$31,4,0),$O$42:$AS$71,VLOOKUP(AO$1,$C$2:$M$31,4,0)+1,0)</f>
        <v>0.69454700244383094</v>
      </c>
      <c r="AP14">
        <f>VLOOKUP(VLOOKUP($O14,$C$2:$M$31,4,0),$O$42:$AS$71,VLOOKUP(AP$1,$C$2:$M$31,4,0)+1,0)</f>
        <v>0.45501896455728896</v>
      </c>
      <c r="AQ14">
        <f>VLOOKUP(VLOOKUP($O14,$C$2:$M$31,4,0),$O$42:$AS$71,VLOOKUP(AQ$1,$C$2:$M$31,4,0)+1,0)</f>
        <v>0.47511372765015386</v>
      </c>
      <c r="AR14">
        <f>VLOOKUP(VLOOKUP($O14,$C$2:$M$31,4,0),$O$42:$AS$71,VLOOKUP(AR$1,$C$2:$M$31,4,0)+1,0)</f>
        <v>0.55304146830466083</v>
      </c>
      <c r="AS14">
        <f>VLOOKUP(VLOOKUP($O14,$C$2:$M$31,4,0),$O$42:$AS$71,VLOOKUP(AS$1,$C$2:$M$31,4,0)+1,0)</f>
        <v>0.5</v>
      </c>
      <c r="AU14">
        <f t="shared" si="6"/>
        <v>17.141386303023829</v>
      </c>
      <c r="AV14">
        <f t="shared" si="7"/>
        <v>0.57137954343412767</v>
      </c>
    </row>
    <row r="15" spans="1:48" x14ac:dyDescent="0.25">
      <c r="A15" t="s">
        <v>91</v>
      </c>
      <c r="B15">
        <v>2017</v>
      </c>
      <c r="C15" t="str">
        <f t="shared" si="0"/>
        <v>LAL</v>
      </c>
      <c r="D15" t="s">
        <v>109</v>
      </c>
      <c r="E15">
        <v>30</v>
      </c>
      <c r="F15">
        <f t="shared" si="1"/>
        <v>24</v>
      </c>
      <c r="G15">
        <v>33.5</v>
      </c>
      <c r="H15">
        <f t="shared" si="2"/>
        <v>22</v>
      </c>
      <c r="I15" t="s">
        <v>33</v>
      </c>
      <c r="J15">
        <v>0.52</v>
      </c>
      <c r="K15">
        <f t="shared" si="3"/>
        <v>24</v>
      </c>
      <c r="L15">
        <f t="shared" si="4"/>
        <v>28</v>
      </c>
      <c r="M15">
        <f t="shared" si="5"/>
        <v>24</v>
      </c>
      <c r="O15" t="s">
        <v>5</v>
      </c>
      <c r="P15">
        <f>VLOOKUP(VLOOKUP($O15,$C$2:$M$31,4,0),$O$42:$AS$71,VLOOKUP(P$1,$C$2:$M$31,4,0)+1,0)</f>
        <v>0.53598602338663159</v>
      </c>
      <c r="Q15">
        <f>VLOOKUP(VLOOKUP($O15,$C$2:$M$31,4,0),$O$42:$AS$71,VLOOKUP(Q$1,$C$2:$M$31,4,0)+1,0)</f>
        <v>0.27381412716209808</v>
      </c>
      <c r="R15">
        <f>VLOOKUP(VLOOKUP($O15,$C$2:$M$31,4,0),$O$42:$AS$71,VLOOKUP(R$1,$C$2:$M$31,4,0)+1,0)</f>
        <v>0.5545854595315719</v>
      </c>
      <c r="S15">
        <f>VLOOKUP(VLOOKUP($O15,$C$2:$M$31,4,0),$O$42:$AS$71,VLOOKUP(S$1,$C$2:$M$31,4,0)+1,0)</f>
        <v>0.3379410981703963</v>
      </c>
      <c r="T15">
        <f>VLOOKUP(VLOOKUP($O15,$C$2:$M$31,4,0),$O$42:$AS$71,VLOOKUP(T$1,$C$2:$M$31,4,0)+1,0)</f>
        <v>0.61179361958126655</v>
      </c>
      <c r="U15">
        <f>VLOOKUP(VLOOKUP($O15,$C$2:$M$31,4,0),$O$42:$AS$71,VLOOKUP(U$1,$C$2:$M$31,4,0)+1,0)</f>
        <v>0.29340398207222107</v>
      </c>
      <c r="V15">
        <f>VLOOKUP(VLOOKUP($O15,$C$2:$M$31,4,0),$O$42:$AS$71,VLOOKUP(V$1,$C$2:$M$31,4,0)+1,0)</f>
        <v>0.45007378294883477</v>
      </c>
      <c r="W15">
        <f>VLOOKUP(VLOOKUP($O15,$C$2:$M$31,4,0),$O$42:$AS$71,VLOOKUP(W$1,$C$2:$M$31,4,0)+1,0)</f>
        <v>0.38050497448623116</v>
      </c>
      <c r="X15">
        <f>VLOOKUP(VLOOKUP($O15,$C$2:$M$31,4,0),$O$42:$AS$71,VLOOKUP(X$1,$C$2:$M$31,4,0)+1,0)</f>
        <v>0.40614482985345918</v>
      </c>
      <c r="Y15">
        <f>VLOOKUP(VLOOKUP($O15,$C$2:$M$31,4,0),$O$42:$AS$71,VLOOKUP(Y$1,$C$2:$M$31,4,0)+1,0)</f>
        <v>0.269897613144018</v>
      </c>
      <c r="Z15">
        <f>VLOOKUP(VLOOKUP($O15,$C$2:$M$31,4,0),$O$42:$AS$71,VLOOKUP(Z$1,$C$2:$M$31,4,0)+1,0)</f>
        <v>0.27809395249672492</v>
      </c>
      <c r="AA15">
        <f>VLOOKUP(VLOOKUP($O15,$C$2:$M$31,4,0),$O$42:$AS$71,VLOOKUP(AA$1,$C$2:$M$31,4,0)+1,0)</f>
        <v>0.45007378294883477</v>
      </c>
      <c r="AB15">
        <f>VLOOKUP(VLOOKUP($O15,$C$2:$M$31,4,0),$O$42:$AS$71,VLOOKUP(AB$1,$C$2:$M$31,4,0)+1,0)</f>
        <v>0.32074012140762154</v>
      </c>
      <c r="AC15">
        <f>VLOOKUP(VLOOKUP($O15,$C$2:$M$31,4,0),$O$42:$AS$71,VLOOKUP(AC$1,$C$2:$M$31,4,0)+1,0)</f>
        <v>0.5</v>
      </c>
      <c r="AD15">
        <f>VLOOKUP(VLOOKUP($O15,$C$2:$M$31,4,0),$O$42:$AS$71,VLOOKUP(AD$1,$C$2:$M$31,4,0)+1,0)</f>
        <v>0.40614482985345918</v>
      </c>
      <c r="AE15">
        <f>VLOOKUP(VLOOKUP($O15,$C$2:$M$31,4,0),$O$42:$AS$71,VLOOKUP(AE$1,$C$2:$M$31,4,0)+1,0)</f>
        <v>0.30597723425147094</v>
      </c>
      <c r="AF15">
        <f>VLOOKUP(VLOOKUP($O15,$C$2:$M$31,4,0),$O$42:$AS$71,VLOOKUP(AF$1,$C$2:$M$31,4,0)+1,0)</f>
        <v>0.30597723425147094</v>
      </c>
      <c r="AG15">
        <f>VLOOKUP(VLOOKUP($O15,$C$2:$M$31,4,0),$O$42:$AS$71,VLOOKUP(AG$1,$C$2:$M$31,4,0)+1,0)</f>
        <v>0.3379410981703963</v>
      </c>
      <c r="AH15">
        <f>VLOOKUP(VLOOKUP($O15,$C$2:$M$31,4,0),$O$42:$AS$71,VLOOKUP(AH$1,$C$2:$M$31,4,0)+1,0)</f>
        <v>0.40614482985345918</v>
      </c>
      <c r="AI15">
        <f>VLOOKUP(VLOOKUP($O15,$C$2:$M$31,4,0),$O$42:$AS$71,VLOOKUP(AI$1,$C$2:$M$31,4,0)+1,0)</f>
        <v>0.5545854595315719</v>
      </c>
      <c r="AJ15">
        <f>VLOOKUP(VLOOKUP($O15,$C$2:$M$31,4,0),$O$42:$AS$71,VLOOKUP(AJ$1,$C$2:$M$31,4,0)+1,0)</f>
        <v>0.28276558656236483</v>
      </c>
      <c r="AK15">
        <f>VLOOKUP(VLOOKUP($O15,$C$2:$M$31,4,0),$O$42:$AS$71,VLOOKUP(AK$1,$C$2:$M$31,4,0)+1,0)</f>
        <v>0.48275832333357049</v>
      </c>
      <c r="AL15">
        <f>VLOOKUP(VLOOKUP($O15,$C$2:$M$31,4,0),$O$42:$AS$71,VLOOKUP(AL$1,$C$2:$M$31,4,0)+1,0)</f>
        <v>0.3929549525906601</v>
      </c>
      <c r="AM15">
        <f>VLOOKUP(VLOOKUP($O15,$C$2:$M$31,4,0),$O$42:$AS$71,VLOOKUP(AM$1,$C$2:$M$31,4,0)+1,0)</f>
        <v>0.5545854595315719</v>
      </c>
      <c r="AN15">
        <f>VLOOKUP(VLOOKUP($O15,$C$2:$M$31,4,0),$O$42:$AS$71,VLOOKUP(AN$1,$C$2:$M$31,4,0)+1,0)</f>
        <v>0.3379410981703963</v>
      </c>
      <c r="AO15">
        <f>VLOOKUP(VLOOKUP($O15,$C$2:$M$31,4,0),$O$42:$AS$71,VLOOKUP(AO$1,$C$2:$M$31,4,0)+1,0)</f>
        <v>0.51776535308979577</v>
      </c>
      <c r="AP15">
        <f>VLOOKUP(VLOOKUP($O15,$C$2:$M$31,4,0),$O$42:$AS$71,VLOOKUP(AP$1,$C$2:$M$31,4,0)+1,0)</f>
        <v>0.28276558656236483</v>
      </c>
      <c r="AQ15">
        <f>VLOOKUP(VLOOKUP($O15,$C$2:$M$31,4,0),$O$42:$AS$71,VLOOKUP(AQ$1,$C$2:$M$31,4,0)+1,0)</f>
        <v>0.299432857526027</v>
      </c>
      <c r="AR15">
        <f>VLOOKUP(VLOOKUP($O15,$C$2:$M$31,4,0),$O$42:$AS$71,VLOOKUP(AR$1,$C$2:$M$31,4,0)+1,0)</f>
        <v>0.36879135374878091</v>
      </c>
      <c r="AS15">
        <f>VLOOKUP(VLOOKUP($O15,$C$2:$M$31,4,0),$O$42:$AS$71,VLOOKUP(AS$1,$C$2:$M$31,4,0)+1,0)</f>
        <v>0.32074012140762154</v>
      </c>
      <c r="AU15">
        <f t="shared" si="6"/>
        <v>11.820324745624891</v>
      </c>
      <c r="AV15">
        <f t="shared" si="7"/>
        <v>0.39401082485416306</v>
      </c>
    </row>
    <row r="16" spans="1:48" x14ac:dyDescent="0.25">
      <c r="A16" t="s">
        <v>92</v>
      </c>
      <c r="B16">
        <v>2017</v>
      </c>
      <c r="C16" t="str">
        <f t="shared" si="0"/>
        <v>MEM</v>
      </c>
      <c r="D16" t="s">
        <v>109</v>
      </c>
      <c r="E16">
        <v>35</v>
      </c>
      <c r="F16">
        <f t="shared" si="1"/>
        <v>18</v>
      </c>
      <c r="G16">
        <v>37.5</v>
      </c>
      <c r="H16">
        <f t="shared" si="2"/>
        <v>20</v>
      </c>
      <c r="I16" t="s">
        <v>33</v>
      </c>
      <c r="J16">
        <v>0.57999999999999996</v>
      </c>
      <c r="K16">
        <f t="shared" si="3"/>
        <v>11</v>
      </c>
      <c r="L16">
        <f t="shared" si="4"/>
        <v>33</v>
      </c>
      <c r="M16">
        <f t="shared" si="5"/>
        <v>19</v>
      </c>
      <c r="O16" t="s">
        <v>16</v>
      </c>
      <c r="P16">
        <f>VLOOKUP(VLOOKUP($O16,$C$2:$M$31,4,0),$O$42:$AS$71,VLOOKUP(P$1,$C$2:$M$31,4,0)+1,0)</f>
        <v>0.62811043470553318</v>
      </c>
      <c r="Q16">
        <f>VLOOKUP(VLOOKUP($O16,$C$2:$M$31,4,0),$O$42:$AS$71,VLOOKUP(Q$1,$C$2:$M$31,4,0)+1,0)</f>
        <v>0.35538973797570023</v>
      </c>
      <c r="R16">
        <f>VLOOKUP(VLOOKUP($O16,$C$2:$M$31,4,0),$O$42:$AS$71,VLOOKUP(R$1,$C$2:$M$31,4,0)+1,0)</f>
        <v>0.64545979335474335</v>
      </c>
      <c r="S16">
        <f>VLOOKUP(VLOOKUP($O16,$C$2:$M$31,4,0),$O$42:$AS$71,VLOOKUP(S$1,$C$2:$M$31,4,0)+1,0)</f>
        <v>0.42737792197427477</v>
      </c>
      <c r="T16">
        <f>VLOOKUP(VLOOKUP($O16,$C$2:$M$31,4,0),$O$42:$AS$71,VLOOKUP(T$1,$C$2:$M$31,4,0)+1,0)</f>
        <v>0.69736543414984997</v>
      </c>
      <c r="U16">
        <f>VLOOKUP(VLOOKUP($O16,$C$2:$M$31,4,0),$O$42:$AS$71,VLOOKUP(U$1,$C$2:$M$31,4,0)+1,0)</f>
        <v>0.37777969425937236</v>
      </c>
      <c r="V16">
        <f>VLOOKUP(VLOOKUP($O16,$C$2:$M$31,4,0),$O$42:$AS$71,VLOOKUP(V$1,$C$2:$M$31,4,0)+1,0)</f>
        <v>0.54476805573373421</v>
      </c>
      <c r="W16">
        <f>VLOOKUP(VLOOKUP($O16,$C$2:$M$31,4,0),$O$42:$AS$71,VLOOKUP(W$1,$C$2:$M$31,4,0)+1,0)</f>
        <v>0.47315589376524225</v>
      </c>
      <c r="X16">
        <f>VLOOKUP(VLOOKUP($O16,$C$2:$M$31,4,0),$O$42:$AS$71,VLOOKUP(X$1,$C$2:$M$31,4,0)+1,0)</f>
        <v>0.5</v>
      </c>
      <c r="Y16">
        <f>VLOOKUP(VLOOKUP($O16,$C$2:$M$31,4,0),$O$42:$AS$71,VLOOKUP(Y$1,$C$2:$M$31,4,0)+1,0)</f>
        <v>0.35087017426187905</v>
      </c>
      <c r="Z16">
        <f>VLOOKUP(VLOOKUP($O16,$C$2:$M$31,4,0),$O$42:$AS$71,VLOOKUP(Z$1,$C$2:$M$31,4,0)+1,0)</f>
        <v>0.36031197606974674</v>
      </c>
      <c r="AA16">
        <f>VLOOKUP(VLOOKUP($O16,$C$2:$M$31,4,0),$O$42:$AS$71,VLOOKUP(AA$1,$C$2:$M$31,4,0)+1,0)</f>
        <v>0.54476805573373421</v>
      </c>
      <c r="AB16">
        <f>VLOOKUP(VLOOKUP($O16,$C$2:$M$31,4,0),$O$42:$AS$71,VLOOKUP(AB$1,$C$2:$M$31,4,0)+1,0)</f>
        <v>0.40843302990522401</v>
      </c>
      <c r="AC16">
        <f>VLOOKUP(VLOOKUP($O16,$C$2:$M$31,4,0),$O$42:$AS$71,VLOOKUP(AC$1,$C$2:$M$31,4,0)+1,0)</f>
        <v>0.59385517014654077</v>
      </c>
      <c r="AD16">
        <f>VLOOKUP(VLOOKUP($O16,$C$2:$M$31,4,0),$O$42:$AS$71,VLOOKUP(AD$1,$C$2:$M$31,4,0)+1,0)</f>
        <v>0.5</v>
      </c>
      <c r="AE16">
        <f>VLOOKUP(VLOOKUP($O16,$C$2:$M$31,4,0),$O$42:$AS$71,VLOOKUP(AE$1,$C$2:$M$31,4,0)+1,0)</f>
        <v>0.39196296997858859</v>
      </c>
      <c r="AF16">
        <f>VLOOKUP(VLOOKUP($O16,$C$2:$M$31,4,0),$O$42:$AS$71,VLOOKUP(AF$1,$C$2:$M$31,4,0)+1,0)</f>
        <v>0.39196296997858859</v>
      </c>
      <c r="AG16">
        <f>VLOOKUP(VLOOKUP($O16,$C$2:$M$31,4,0),$O$42:$AS$71,VLOOKUP(AG$1,$C$2:$M$31,4,0)+1,0)</f>
        <v>0.42737792197427477</v>
      </c>
      <c r="AH16">
        <f>VLOOKUP(VLOOKUP($O16,$C$2:$M$31,4,0),$O$42:$AS$71,VLOOKUP(AH$1,$C$2:$M$31,4,0)+1,0)</f>
        <v>0.5</v>
      </c>
      <c r="AI16">
        <f>VLOOKUP(VLOOKUP($O16,$C$2:$M$31,4,0),$O$42:$AS$71,VLOOKUP(AI$1,$C$2:$M$31,4,0)+1,0)</f>
        <v>0.64545979335474335</v>
      </c>
      <c r="AJ16">
        <f>VLOOKUP(VLOOKUP($O16,$C$2:$M$31,4,0),$O$42:$AS$71,VLOOKUP(AJ$1,$C$2:$M$31,4,0)+1,0)</f>
        <v>0.36566517527635367</v>
      </c>
      <c r="AK16">
        <f>VLOOKUP(VLOOKUP($O16,$C$2:$M$31,4,0),$O$42:$AS$71,VLOOKUP(AK$1,$C$2:$M$31,4,0)+1,0)</f>
        <v>0.57711263446281591</v>
      </c>
      <c r="AL16">
        <f>VLOOKUP(VLOOKUP($O16,$C$2:$M$31,4,0),$O$42:$AS$71,VLOOKUP(AL$1,$C$2:$M$31,4,0)+1,0)</f>
        <v>0.48625786874528693</v>
      </c>
      <c r="AM16">
        <f>VLOOKUP(VLOOKUP($O16,$C$2:$M$31,4,0),$O$42:$AS$71,VLOOKUP(AM$1,$C$2:$M$31,4,0)+1,0)</f>
        <v>0.64545979335474335</v>
      </c>
      <c r="AN16">
        <f>VLOOKUP(VLOOKUP($O16,$C$2:$M$31,4,0),$O$42:$AS$71,VLOOKUP(AN$1,$C$2:$M$31,4,0)+1,0)</f>
        <v>0.42737792197427477</v>
      </c>
      <c r="AO16">
        <f>VLOOKUP(VLOOKUP($O16,$C$2:$M$31,4,0),$O$42:$AS$71,VLOOKUP(AO$1,$C$2:$M$31,4,0)+1,0)</f>
        <v>0.61088100448941873</v>
      </c>
      <c r="AP16">
        <f>VLOOKUP(VLOOKUP($O16,$C$2:$M$31,4,0),$O$42:$AS$71,VLOOKUP(AP$1,$C$2:$M$31,4,0)+1,0)</f>
        <v>0.36566517527635367</v>
      </c>
      <c r="AQ16">
        <f>VLOOKUP(VLOOKUP($O16,$C$2:$M$31,4,0),$O$42:$AS$71,VLOOKUP(AQ$1,$C$2:$M$31,4,0)+1,0)</f>
        <v>0.38459864577188729</v>
      </c>
      <c r="AR16">
        <f>VLOOKUP(VLOOKUP($O16,$C$2:$M$31,4,0),$O$42:$AS$71,VLOOKUP(AR$1,$C$2:$M$31,4,0)+1,0)</f>
        <v>0.46071121990694175</v>
      </c>
      <c r="AS16">
        <f>VLOOKUP(VLOOKUP($O16,$C$2:$M$31,4,0),$O$42:$AS$71,VLOOKUP(AS$1,$C$2:$M$31,4,0)+1,0)</f>
        <v>0.40843302990522401</v>
      </c>
      <c r="AU16">
        <f t="shared" si="6"/>
        <v>14.496571496485071</v>
      </c>
      <c r="AV16">
        <f t="shared" si="7"/>
        <v>0.48321904988283571</v>
      </c>
    </row>
    <row r="17" spans="1:48" x14ac:dyDescent="0.25">
      <c r="A17" t="s">
        <v>93</v>
      </c>
      <c r="B17">
        <v>2017</v>
      </c>
      <c r="C17" t="str">
        <f t="shared" si="0"/>
        <v>MIA</v>
      </c>
      <c r="D17" t="s">
        <v>109</v>
      </c>
      <c r="E17">
        <v>47</v>
      </c>
      <c r="F17">
        <f t="shared" si="1"/>
        <v>8</v>
      </c>
      <c r="G17">
        <v>43.5</v>
      </c>
      <c r="H17">
        <f t="shared" si="2"/>
        <v>12</v>
      </c>
      <c r="I17" t="s">
        <v>32</v>
      </c>
      <c r="J17">
        <v>0.62</v>
      </c>
      <c r="K17">
        <f t="shared" si="3"/>
        <v>8</v>
      </c>
      <c r="L17">
        <f t="shared" si="4"/>
        <v>46</v>
      </c>
      <c r="M17">
        <f t="shared" si="5"/>
        <v>8</v>
      </c>
      <c r="O17" t="s">
        <v>12</v>
      </c>
      <c r="P17">
        <f>VLOOKUP(VLOOKUP($O17,$C$2:$M$31,4,0),$O$42:$AS$71,VLOOKUP(P$1,$C$2:$M$31,4,0)+1,0)</f>
        <v>0.72375953633210599</v>
      </c>
      <c r="Q17">
        <f>VLOOKUP(VLOOKUP($O17,$C$2:$M$31,4,0),$O$42:$AS$71,VLOOKUP(Q$1,$C$2:$M$31,4,0)+1,0)</f>
        <v>0.46098884161317694</v>
      </c>
      <c r="R17">
        <f>VLOOKUP(VLOOKUP($O17,$C$2:$M$31,4,0),$O$42:$AS$71,VLOOKUP(R$1,$C$2:$M$31,4,0)+1,0)</f>
        <v>0.73850439506674237</v>
      </c>
      <c r="S17">
        <f>VLOOKUP(VLOOKUP($O17,$C$2:$M$31,4,0),$O$42:$AS$71,VLOOKUP(S$1,$C$2:$M$31,4,0)+1,0)</f>
        <v>0.53656240812997658</v>
      </c>
      <c r="T17">
        <f>VLOOKUP(VLOOKUP($O17,$C$2:$M$31,4,0),$O$42:$AS$71,VLOOKUP(T$1,$C$2:$M$31,4,0)+1,0)</f>
        <v>0.78140142658022171</v>
      </c>
      <c r="U17">
        <f>VLOOKUP(VLOOKUP($O17,$C$2:$M$31,4,0),$O$42:$AS$71,VLOOKUP(U$1,$C$2:$M$31,4,0)+1,0)</f>
        <v>0.48502582938826466</v>
      </c>
      <c r="V17">
        <f>VLOOKUP(VLOOKUP($O17,$C$2:$M$31,4,0),$O$42:$AS$71,VLOOKUP(V$1,$C$2:$M$31,4,0)+1,0)</f>
        <v>0.64990495977551932</v>
      </c>
      <c r="W17">
        <f>VLOOKUP(VLOOKUP($O17,$C$2:$M$31,4,0),$O$42:$AS$71,VLOOKUP(W$1,$C$2:$M$31,4,0)+1,0)</f>
        <v>0.58214586760645959</v>
      </c>
      <c r="X17">
        <f>VLOOKUP(VLOOKUP($O17,$C$2:$M$31,4,0),$O$42:$AS$71,VLOOKUP(X$1,$C$2:$M$31,4,0)+1,0)</f>
        <v>0.60803703002141152</v>
      </c>
      <c r="Y17">
        <f>VLOOKUP(VLOOKUP($O17,$C$2:$M$31,4,0),$O$42:$AS$71,VLOOKUP(Y$1,$C$2:$M$31,4,0)+1,0)</f>
        <v>0.45607650295714297</v>
      </c>
      <c r="Z17">
        <f>VLOOKUP(VLOOKUP($O17,$C$2:$M$31,4,0),$O$42:$AS$71,VLOOKUP(Z$1,$C$2:$M$31,4,0)+1,0)</f>
        <v>0.46631561745209843</v>
      </c>
      <c r="AA17">
        <f>VLOOKUP(VLOOKUP($O17,$C$2:$M$31,4,0),$O$42:$AS$71,VLOOKUP(AA$1,$C$2:$M$31,4,0)+1,0)</f>
        <v>0.64990495977551932</v>
      </c>
      <c r="AB17">
        <f>VLOOKUP(VLOOKUP($O17,$C$2:$M$31,4,0),$O$42:$AS$71,VLOOKUP(AB$1,$C$2:$M$31,4,0)+1,0)</f>
        <v>0.51714864008607053</v>
      </c>
      <c r="AC17">
        <f>VLOOKUP(VLOOKUP($O17,$C$2:$M$31,4,0),$O$42:$AS$71,VLOOKUP(AC$1,$C$2:$M$31,4,0)+1,0)</f>
        <v>0.69402276574852906</v>
      </c>
      <c r="AD17">
        <f>VLOOKUP(VLOOKUP($O17,$C$2:$M$31,4,0),$O$42:$AS$71,VLOOKUP(AD$1,$C$2:$M$31,4,0)+1,0)</f>
        <v>0.60803703002141152</v>
      </c>
      <c r="AE17">
        <f>VLOOKUP(VLOOKUP($O17,$C$2:$M$31,4,0),$O$42:$AS$71,VLOOKUP(AE$1,$C$2:$M$31,4,0)+1,0)</f>
        <v>0.5</v>
      </c>
      <c r="AF17">
        <f>VLOOKUP(VLOOKUP($O17,$C$2:$M$31,4,0),$O$42:$AS$71,VLOOKUP(AF$1,$C$2:$M$31,4,0)+1,0)</f>
        <v>0.5</v>
      </c>
      <c r="AG17">
        <f>VLOOKUP(VLOOKUP($O17,$C$2:$M$31,4,0),$O$42:$AS$71,VLOOKUP(AG$1,$C$2:$M$31,4,0)+1,0)</f>
        <v>0.53656240812997658</v>
      </c>
      <c r="AH17">
        <f>VLOOKUP(VLOOKUP($O17,$C$2:$M$31,4,0),$O$42:$AS$71,VLOOKUP(AH$1,$C$2:$M$31,4,0)+1,0)</f>
        <v>0.60803703002141152</v>
      </c>
      <c r="AI17">
        <f>VLOOKUP(VLOOKUP($O17,$C$2:$M$31,4,0),$O$42:$AS$71,VLOOKUP(AI$1,$C$2:$M$31,4,0)+1,0)</f>
        <v>0.73850439506674237</v>
      </c>
      <c r="AJ17">
        <f>VLOOKUP(VLOOKUP($O17,$C$2:$M$31,4,0),$O$42:$AS$71,VLOOKUP(AJ$1,$C$2:$M$31,4,0)+1,0)</f>
        <v>0.47208146327276818</v>
      </c>
      <c r="AK17">
        <f>VLOOKUP(VLOOKUP($O17,$C$2:$M$31,4,0),$O$42:$AS$71,VLOOKUP(AK$1,$C$2:$M$31,4,0)+1,0)</f>
        <v>0.67917869917539297</v>
      </c>
      <c r="AL17">
        <f>VLOOKUP(VLOOKUP($O17,$C$2:$M$31,4,0),$O$42:$AS$71,VLOOKUP(AL$1,$C$2:$M$31,4,0)+1,0)</f>
        <v>0.59485822726785176</v>
      </c>
      <c r="AM17">
        <f>VLOOKUP(VLOOKUP($O17,$C$2:$M$31,4,0),$O$42:$AS$71,VLOOKUP(AM$1,$C$2:$M$31,4,0)+1,0)</f>
        <v>0.73850439506674237</v>
      </c>
      <c r="AN17">
        <f>VLOOKUP(VLOOKUP($O17,$C$2:$M$31,4,0),$O$42:$AS$71,VLOOKUP(AN$1,$C$2:$M$31,4,0)+1,0)</f>
        <v>0.53656240812997658</v>
      </c>
      <c r="AO17">
        <f>VLOOKUP(VLOOKUP($O17,$C$2:$M$31,4,0),$O$42:$AS$71,VLOOKUP(AO$1,$C$2:$M$31,4,0)+1,0)</f>
        <v>0.70890779596571585</v>
      </c>
      <c r="AP17">
        <f>VLOOKUP(VLOOKUP($O17,$C$2:$M$31,4,0),$O$42:$AS$71,VLOOKUP(AP$1,$C$2:$M$31,4,0)+1,0)</f>
        <v>0.47208146327276818</v>
      </c>
      <c r="AQ17">
        <f>VLOOKUP(VLOOKUP($O17,$C$2:$M$31,4,0),$O$42:$AS$71,VLOOKUP(AQ$1,$C$2:$M$31,4,0)+1,0)</f>
        <v>0.49224913652466168</v>
      </c>
      <c r="AR17">
        <f>VLOOKUP(VLOOKUP($O17,$C$2:$M$31,4,0),$O$42:$AS$71,VLOOKUP(AR$1,$C$2:$M$31,4,0)+1,0)</f>
        <v>0.56993565755756936</v>
      </c>
      <c r="AS17">
        <f>VLOOKUP(VLOOKUP($O17,$C$2:$M$31,4,0),$O$42:$AS$71,VLOOKUP(AS$1,$C$2:$M$31,4,0)+1,0)</f>
        <v>0.51714864008607053</v>
      </c>
      <c r="AU17">
        <f t="shared" si="6"/>
        <v>17.622447530092298</v>
      </c>
      <c r="AV17">
        <f t="shared" si="7"/>
        <v>0.5874149176697433</v>
      </c>
    </row>
    <row r="18" spans="1:48" x14ac:dyDescent="0.25">
      <c r="A18" t="s">
        <v>94</v>
      </c>
      <c r="B18">
        <v>2017</v>
      </c>
      <c r="C18" t="str">
        <f t="shared" si="0"/>
        <v>MIL</v>
      </c>
      <c r="D18" t="s">
        <v>109</v>
      </c>
      <c r="E18">
        <v>47</v>
      </c>
      <c r="F18">
        <f t="shared" si="1"/>
        <v>8</v>
      </c>
      <c r="G18">
        <v>47.5</v>
      </c>
      <c r="H18">
        <f t="shared" si="2"/>
        <v>9</v>
      </c>
      <c r="I18" t="s">
        <v>33</v>
      </c>
      <c r="J18">
        <v>0.52</v>
      </c>
      <c r="K18">
        <f t="shared" si="3"/>
        <v>24</v>
      </c>
      <c r="L18">
        <f t="shared" si="4"/>
        <v>42</v>
      </c>
      <c r="M18">
        <f t="shared" si="5"/>
        <v>14</v>
      </c>
      <c r="O18" t="s">
        <v>7</v>
      </c>
      <c r="P18">
        <f>VLOOKUP(VLOOKUP($O18,$C$2:$M$31,4,0),$O$42:$AS$71,VLOOKUP(P$1,$C$2:$M$31,4,0)+1,0)</f>
        <v>0.72375953633210599</v>
      </c>
      <c r="Q18">
        <f>VLOOKUP(VLOOKUP($O18,$C$2:$M$31,4,0),$O$42:$AS$71,VLOOKUP(Q$1,$C$2:$M$31,4,0)+1,0)</f>
        <v>0.46098884161317694</v>
      </c>
      <c r="R18">
        <f>VLOOKUP(VLOOKUP($O18,$C$2:$M$31,4,0),$O$42:$AS$71,VLOOKUP(R$1,$C$2:$M$31,4,0)+1,0)</f>
        <v>0.73850439506674237</v>
      </c>
      <c r="S18">
        <f>VLOOKUP(VLOOKUP($O18,$C$2:$M$31,4,0),$O$42:$AS$71,VLOOKUP(S$1,$C$2:$M$31,4,0)+1,0)</f>
        <v>0.53656240812997658</v>
      </c>
      <c r="T18">
        <f>VLOOKUP(VLOOKUP($O18,$C$2:$M$31,4,0),$O$42:$AS$71,VLOOKUP(T$1,$C$2:$M$31,4,0)+1,0)</f>
        <v>0.78140142658022171</v>
      </c>
      <c r="U18">
        <f>VLOOKUP(VLOOKUP($O18,$C$2:$M$31,4,0),$O$42:$AS$71,VLOOKUP(U$1,$C$2:$M$31,4,0)+1,0)</f>
        <v>0.48502582938826466</v>
      </c>
      <c r="V18">
        <f>VLOOKUP(VLOOKUP($O18,$C$2:$M$31,4,0),$O$42:$AS$71,VLOOKUP(V$1,$C$2:$M$31,4,0)+1,0)</f>
        <v>0.64990495977551932</v>
      </c>
      <c r="W18">
        <f>VLOOKUP(VLOOKUP($O18,$C$2:$M$31,4,0),$O$42:$AS$71,VLOOKUP(W$1,$C$2:$M$31,4,0)+1,0)</f>
        <v>0.58214586760645959</v>
      </c>
      <c r="X18">
        <f>VLOOKUP(VLOOKUP($O18,$C$2:$M$31,4,0),$O$42:$AS$71,VLOOKUP(X$1,$C$2:$M$31,4,0)+1,0)</f>
        <v>0.60803703002141152</v>
      </c>
      <c r="Y18">
        <f>VLOOKUP(VLOOKUP($O18,$C$2:$M$31,4,0),$O$42:$AS$71,VLOOKUP(Y$1,$C$2:$M$31,4,0)+1,0)</f>
        <v>0.45607650295714297</v>
      </c>
      <c r="Z18">
        <f>VLOOKUP(VLOOKUP($O18,$C$2:$M$31,4,0),$O$42:$AS$71,VLOOKUP(Z$1,$C$2:$M$31,4,0)+1,0)</f>
        <v>0.46631561745209843</v>
      </c>
      <c r="AA18">
        <f>VLOOKUP(VLOOKUP($O18,$C$2:$M$31,4,0),$O$42:$AS$71,VLOOKUP(AA$1,$C$2:$M$31,4,0)+1,0)</f>
        <v>0.64990495977551932</v>
      </c>
      <c r="AB18">
        <f>VLOOKUP(VLOOKUP($O18,$C$2:$M$31,4,0),$O$42:$AS$71,VLOOKUP(AB$1,$C$2:$M$31,4,0)+1,0)</f>
        <v>0.51714864008607053</v>
      </c>
      <c r="AC18">
        <f>VLOOKUP(VLOOKUP($O18,$C$2:$M$31,4,0),$O$42:$AS$71,VLOOKUP(AC$1,$C$2:$M$31,4,0)+1,0)</f>
        <v>0.69402276574852906</v>
      </c>
      <c r="AD18">
        <f>VLOOKUP(VLOOKUP($O18,$C$2:$M$31,4,0),$O$42:$AS$71,VLOOKUP(AD$1,$C$2:$M$31,4,0)+1,0)</f>
        <v>0.60803703002141152</v>
      </c>
      <c r="AE18">
        <f>VLOOKUP(VLOOKUP($O18,$C$2:$M$31,4,0),$O$42:$AS$71,VLOOKUP(AE$1,$C$2:$M$31,4,0)+1,0)</f>
        <v>0.5</v>
      </c>
      <c r="AF18">
        <f>VLOOKUP(VLOOKUP($O18,$C$2:$M$31,4,0),$O$42:$AS$71,VLOOKUP(AF$1,$C$2:$M$31,4,0)+1,0)</f>
        <v>0.5</v>
      </c>
      <c r="AG18">
        <f>VLOOKUP(VLOOKUP($O18,$C$2:$M$31,4,0),$O$42:$AS$71,VLOOKUP(AG$1,$C$2:$M$31,4,0)+1,0)</f>
        <v>0.53656240812997658</v>
      </c>
      <c r="AH18">
        <f>VLOOKUP(VLOOKUP($O18,$C$2:$M$31,4,0),$O$42:$AS$71,VLOOKUP(AH$1,$C$2:$M$31,4,0)+1,0)</f>
        <v>0.60803703002141152</v>
      </c>
      <c r="AI18">
        <f>VLOOKUP(VLOOKUP($O18,$C$2:$M$31,4,0),$O$42:$AS$71,VLOOKUP(AI$1,$C$2:$M$31,4,0)+1,0)</f>
        <v>0.73850439506674237</v>
      </c>
      <c r="AJ18">
        <f>VLOOKUP(VLOOKUP($O18,$C$2:$M$31,4,0),$O$42:$AS$71,VLOOKUP(AJ$1,$C$2:$M$31,4,0)+1,0)</f>
        <v>0.47208146327276818</v>
      </c>
      <c r="AK18">
        <f>VLOOKUP(VLOOKUP($O18,$C$2:$M$31,4,0),$O$42:$AS$71,VLOOKUP(AK$1,$C$2:$M$31,4,0)+1,0)</f>
        <v>0.67917869917539297</v>
      </c>
      <c r="AL18">
        <f>VLOOKUP(VLOOKUP($O18,$C$2:$M$31,4,0),$O$42:$AS$71,VLOOKUP(AL$1,$C$2:$M$31,4,0)+1,0)</f>
        <v>0.59485822726785176</v>
      </c>
      <c r="AM18">
        <f>VLOOKUP(VLOOKUP($O18,$C$2:$M$31,4,0),$O$42:$AS$71,VLOOKUP(AM$1,$C$2:$M$31,4,0)+1,0)</f>
        <v>0.73850439506674237</v>
      </c>
      <c r="AN18">
        <f>VLOOKUP(VLOOKUP($O18,$C$2:$M$31,4,0),$O$42:$AS$71,VLOOKUP(AN$1,$C$2:$M$31,4,0)+1,0)</f>
        <v>0.53656240812997658</v>
      </c>
      <c r="AO18">
        <f>VLOOKUP(VLOOKUP($O18,$C$2:$M$31,4,0),$O$42:$AS$71,VLOOKUP(AO$1,$C$2:$M$31,4,0)+1,0)</f>
        <v>0.70890779596571585</v>
      </c>
      <c r="AP18">
        <f>VLOOKUP(VLOOKUP($O18,$C$2:$M$31,4,0),$O$42:$AS$71,VLOOKUP(AP$1,$C$2:$M$31,4,0)+1,0)</f>
        <v>0.47208146327276818</v>
      </c>
      <c r="AQ18">
        <f>VLOOKUP(VLOOKUP($O18,$C$2:$M$31,4,0),$O$42:$AS$71,VLOOKUP(AQ$1,$C$2:$M$31,4,0)+1,0)</f>
        <v>0.49224913652466168</v>
      </c>
      <c r="AR18">
        <f>VLOOKUP(VLOOKUP($O18,$C$2:$M$31,4,0),$O$42:$AS$71,VLOOKUP(AR$1,$C$2:$M$31,4,0)+1,0)</f>
        <v>0.56993565755756936</v>
      </c>
      <c r="AS18">
        <f>VLOOKUP(VLOOKUP($O18,$C$2:$M$31,4,0),$O$42:$AS$71,VLOOKUP(AS$1,$C$2:$M$31,4,0)+1,0)</f>
        <v>0.51714864008607053</v>
      </c>
      <c r="AU18">
        <f t="shared" si="6"/>
        <v>17.622447530092298</v>
      </c>
      <c r="AV18">
        <f t="shared" si="7"/>
        <v>0.5874149176697433</v>
      </c>
    </row>
    <row r="19" spans="1:48" x14ac:dyDescent="0.25">
      <c r="A19" t="s">
        <v>95</v>
      </c>
      <c r="B19">
        <v>2017</v>
      </c>
      <c r="C19" t="str">
        <f t="shared" si="0"/>
        <v>MIN</v>
      </c>
      <c r="D19" t="s">
        <v>109</v>
      </c>
      <c r="E19">
        <v>44</v>
      </c>
      <c r="F19">
        <f t="shared" si="1"/>
        <v>12</v>
      </c>
      <c r="G19">
        <v>48.5</v>
      </c>
      <c r="H19">
        <f t="shared" si="2"/>
        <v>7</v>
      </c>
      <c r="I19" t="s">
        <v>33</v>
      </c>
      <c r="J19">
        <v>0.65</v>
      </c>
      <c r="K19">
        <f t="shared" si="3"/>
        <v>4</v>
      </c>
      <c r="L19">
        <f t="shared" si="4"/>
        <v>45</v>
      </c>
      <c r="M19">
        <f t="shared" si="5"/>
        <v>9</v>
      </c>
      <c r="O19" t="s">
        <v>17</v>
      </c>
      <c r="P19">
        <f>VLOOKUP(VLOOKUP($O19,$C$2:$M$31,4,0),$O$42:$AS$71,VLOOKUP(P$1,$C$2:$M$31,4,0)+1,0)</f>
        <v>0.69353036087159081</v>
      </c>
      <c r="Q19">
        <f>VLOOKUP(VLOOKUP($O19,$C$2:$M$31,4,0),$O$42:$AS$71,VLOOKUP(Q$1,$C$2:$M$31,4,0)+1,0)</f>
        <v>0.42485516240329735</v>
      </c>
      <c r="R19">
        <f>VLOOKUP(VLOOKUP($O19,$C$2:$M$31,4,0),$O$42:$AS$71,VLOOKUP(R$1,$C$2:$M$31,4,0)+1,0)</f>
        <v>0.7092405440446935</v>
      </c>
      <c r="S19">
        <f>VLOOKUP(VLOOKUP($O19,$C$2:$M$31,4,0),$O$42:$AS$71,VLOOKUP(S$1,$C$2:$M$31,4,0)+1,0)</f>
        <v>0.5</v>
      </c>
      <c r="T19">
        <f>VLOOKUP(VLOOKUP($O19,$C$2:$M$31,4,0),$O$42:$AS$71,VLOOKUP(T$1,$C$2:$M$31,4,0)+1,0)</f>
        <v>0.75534782105868381</v>
      </c>
      <c r="U19">
        <f>VLOOKUP(VLOOKUP($O19,$C$2:$M$31,4,0),$O$42:$AS$71,VLOOKUP(U$1,$C$2:$M$31,4,0)+1,0)</f>
        <v>0.44857603803539042</v>
      </c>
      <c r="V19">
        <f>VLOOKUP(VLOOKUP($O19,$C$2:$M$31,4,0),$O$42:$AS$71,VLOOKUP(V$1,$C$2:$M$31,4,0)+1,0)</f>
        <v>0.61588312048468585</v>
      </c>
      <c r="W19">
        <f>VLOOKUP(VLOOKUP($O19,$C$2:$M$31,4,0),$O$42:$AS$71,VLOOKUP(W$1,$C$2:$M$31,4,0)+1,0)</f>
        <v>0.54613774930521419</v>
      </c>
      <c r="X19">
        <f>VLOOKUP(VLOOKUP($O19,$C$2:$M$31,4,0),$O$42:$AS$71,VLOOKUP(X$1,$C$2:$M$31,4,0)+1,0)</f>
        <v>0.5726220780257254</v>
      </c>
      <c r="Y19">
        <f>VLOOKUP(VLOOKUP($O19,$C$2:$M$31,4,0),$O$42:$AS$71,VLOOKUP(Y$1,$C$2:$M$31,4,0)+1,0)</f>
        <v>0.42002781974295289</v>
      </c>
      <c r="Z19">
        <f>VLOOKUP(VLOOKUP($O19,$C$2:$M$31,4,0),$O$42:$AS$71,VLOOKUP(Z$1,$C$2:$M$31,4,0)+1,0)</f>
        <v>0.43009757165195561</v>
      </c>
      <c r="AA19">
        <f>VLOOKUP(VLOOKUP($O19,$C$2:$M$31,4,0),$O$42:$AS$71,VLOOKUP(AA$1,$C$2:$M$31,4,0)+1,0)</f>
        <v>0.61588312048468585</v>
      </c>
      <c r="AB19">
        <f>VLOOKUP(VLOOKUP($O19,$C$2:$M$31,4,0),$O$42:$AS$71,VLOOKUP(AB$1,$C$2:$M$31,4,0)+1,0)</f>
        <v>0.48053742015010775</v>
      </c>
      <c r="AC19">
        <f>VLOOKUP(VLOOKUP($O19,$C$2:$M$31,4,0),$O$42:$AS$71,VLOOKUP(AC$1,$C$2:$M$31,4,0)+1,0)</f>
        <v>0.6620589018296037</v>
      </c>
      <c r="AD19">
        <f>VLOOKUP(VLOOKUP($O19,$C$2:$M$31,4,0),$O$42:$AS$71,VLOOKUP(AD$1,$C$2:$M$31,4,0)+1,0)</f>
        <v>0.5726220780257254</v>
      </c>
      <c r="AE19">
        <f>VLOOKUP(VLOOKUP($O19,$C$2:$M$31,4,0),$O$42:$AS$71,VLOOKUP(AE$1,$C$2:$M$31,4,0)+1,0)</f>
        <v>0.46343759187002342</v>
      </c>
      <c r="AF19">
        <f>VLOOKUP(VLOOKUP($O19,$C$2:$M$31,4,0),$O$42:$AS$71,VLOOKUP(AF$1,$C$2:$M$31,4,0)+1,0)</f>
        <v>0.46343759187002342</v>
      </c>
      <c r="AG19">
        <f>VLOOKUP(VLOOKUP($O19,$C$2:$M$31,4,0),$O$42:$AS$71,VLOOKUP(AG$1,$C$2:$M$31,4,0)+1,0)</f>
        <v>0.5</v>
      </c>
      <c r="AH19">
        <f>VLOOKUP(VLOOKUP($O19,$C$2:$M$31,4,0),$O$42:$AS$71,VLOOKUP(AH$1,$C$2:$M$31,4,0)+1,0)</f>
        <v>0.5726220780257254</v>
      </c>
      <c r="AI19">
        <f>VLOOKUP(VLOOKUP($O19,$C$2:$M$31,4,0),$O$42:$AS$71,VLOOKUP(AI$1,$C$2:$M$31,4,0)+1,0)</f>
        <v>0.7092405440446935</v>
      </c>
      <c r="AJ19">
        <f>VLOOKUP(VLOOKUP($O19,$C$2:$M$31,4,0),$O$42:$AS$71,VLOOKUP(AJ$1,$C$2:$M$31,4,0)+1,0)</f>
        <v>0.43578126510110854</v>
      </c>
      <c r="AK19">
        <f>VLOOKUP(VLOOKUP($O19,$C$2:$M$31,4,0),$O$42:$AS$71,VLOOKUP(AK$1,$C$2:$M$31,4,0)+1,0)</f>
        <v>0.64645409405882615</v>
      </c>
      <c r="AL19">
        <f>VLOOKUP(VLOOKUP($O19,$C$2:$M$31,4,0),$O$42:$AS$71,VLOOKUP(AL$1,$C$2:$M$31,4,0)+1,0)</f>
        <v>0.55911593335092113</v>
      </c>
      <c r="AM19">
        <f>VLOOKUP(VLOOKUP($O19,$C$2:$M$31,4,0),$O$42:$AS$71,VLOOKUP(AM$1,$C$2:$M$31,4,0)+1,0)</f>
        <v>0.7092405440446935</v>
      </c>
      <c r="AN19">
        <f>VLOOKUP(VLOOKUP($O19,$C$2:$M$31,4,0),$O$42:$AS$71,VLOOKUP(AN$1,$C$2:$M$31,4,0)+1,0)</f>
        <v>0.5</v>
      </c>
      <c r="AO19">
        <f>VLOOKUP(VLOOKUP($O19,$C$2:$M$31,4,0),$O$42:$AS$71,VLOOKUP(AO$1,$C$2:$M$31,4,0)+1,0)</f>
        <v>0.67777695164228424</v>
      </c>
      <c r="AP19">
        <f>VLOOKUP(VLOOKUP($O19,$C$2:$M$31,4,0),$O$42:$AS$71,VLOOKUP(AP$1,$C$2:$M$31,4,0)+1,0)</f>
        <v>0.43578126510110854</v>
      </c>
      <c r="AQ19">
        <f>VLOOKUP(VLOOKUP($O19,$C$2:$M$31,4,0),$O$42:$AS$71,VLOOKUP(AQ$1,$C$2:$M$31,4,0)+1,0)</f>
        <v>0.45573690331195188</v>
      </c>
      <c r="AR19">
        <f>VLOOKUP(VLOOKUP($O19,$C$2:$M$31,4,0),$O$42:$AS$71,VLOOKUP(AR$1,$C$2:$M$31,4,0)+1,0)</f>
        <v>0.53371812052967493</v>
      </c>
      <c r="AS19">
        <f>VLOOKUP(VLOOKUP($O19,$C$2:$M$31,4,0),$O$42:$AS$71,VLOOKUP(AS$1,$C$2:$M$31,4,0)+1,0)</f>
        <v>0.48053742015010775</v>
      </c>
      <c r="AU19">
        <f t="shared" si="6"/>
        <v>16.590300089215454</v>
      </c>
      <c r="AV19">
        <f t="shared" si="7"/>
        <v>0.5530100029738485</v>
      </c>
    </row>
    <row r="20" spans="1:48" x14ac:dyDescent="0.25">
      <c r="A20" t="s">
        <v>96</v>
      </c>
      <c r="B20">
        <v>2017</v>
      </c>
      <c r="C20" t="str">
        <f t="shared" si="0"/>
        <v>NO</v>
      </c>
      <c r="D20" t="s">
        <v>109</v>
      </c>
      <c r="E20">
        <v>35</v>
      </c>
      <c r="F20">
        <f t="shared" si="1"/>
        <v>18</v>
      </c>
      <c r="G20">
        <v>39.5</v>
      </c>
      <c r="H20">
        <f t="shared" si="2"/>
        <v>18</v>
      </c>
      <c r="I20" t="s">
        <v>33</v>
      </c>
      <c r="J20">
        <v>0.68</v>
      </c>
      <c r="K20">
        <f t="shared" si="3"/>
        <v>2</v>
      </c>
      <c r="L20">
        <f t="shared" si="4"/>
        <v>36</v>
      </c>
      <c r="M20">
        <f t="shared" si="5"/>
        <v>18</v>
      </c>
      <c r="O20" t="s">
        <v>0</v>
      </c>
      <c r="P20">
        <f>VLOOKUP(VLOOKUP($O20,$C$2:$M$31,4,0),$O$42:$AS$71,VLOOKUP(P$1,$C$2:$M$31,4,0)+1,0)</f>
        <v>0.62811043470553318</v>
      </c>
      <c r="Q20">
        <f>VLOOKUP(VLOOKUP($O20,$C$2:$M$31,4,0),$O$42:$AS$71,VLOOKUP(Q$1,$C$2:$M$31,4,0)+1,0)</f>
        <v>0.35538973797570023</v>
      </c>
      <c r="R20">
        <f>VLOOKUP(VLOOKUP($O20,$C$2:$M$31,4,0),$O$42:$AS$71,VLOOKUP(R$1,$C$2:$M$31,4,0)+1,0)</f>
        <v>0.64545979335474335</v>
      </c>
      <c r="S20">
        <f>VLOOKUP(VLOOKUP($O20,$C$2:$M$31,4,0),$O$42:$AS$71,VLOOKUP(S$1,$C$2:$M$31,4,0)+1,0)</f>
        <v>0.42737792197427477</v>
      </c>
      <c r="T20">
        <f>VLOOKUP(VLOOKUP($O20,$C$2:$M$31,4,0),$O$42:$AS$71,VLOOKUP(T$1,$C$2:$M$31,4,0)+1,0)</f>
        <v>0.69736543414984997</v>
      </c>
      <c r="U20">
        <f>VLOOKUP(VLOOKUP($O20,$C$2:$M$31,4,0),$O$42:$AS$71,VLOOKUP(U$1,$C$2:$M$31,4,0)+1,0)</f>
        <v>0.37777969425937236</v>
      </c>
      <c r="V20">
        <f>VLOOKUP(VLOOKUP($O20,$C$2:$M$31,4,0),$O$42:$AS$71,VLOOKUP(V$1,$C$2:$M$31,4,0)+1,0)</f>
        <v>0.54476805573373421</v>
      </c>
      <c r="W20">
        <f>VLOOKUP(VLOOKUP($O20,$C$2:$M$31,4,0),$O$42:$AS$71,VLOOKUP(W$1,$C$2:$M$31,4,0)+1,0)</f>
        <v>0.47315589376524225</v>
      </c>
      <c r="X20">
        <f>VLOOKUP(VLOOKUP($O20,$C$2:$M$31,4,0),$O$42:$AS$71,VLOOKUP(X$1,$C$2:$M$31,4,0)+1,0)</f>
        <v>0.5</v>
      </c>
      <c r="Y20">
        <f>VLOOKUP(VLOOKUP($O20,$C$2:$M$31,4,0),$O$42:$AS$71,VLOOKUP(Y$1,$C$2:$M$31,4,0)+1,0)</f>
        <v>0.35087017426187905</v>
      </c>
      <c r="Z20">
        <f>VLOOKUP(VLOOKUP($O20,$C$2:$M$31,4,0),$O$42:$AS$71,VLOOKUP(Z$1,$C$2:$M$31,4,0)+1,0)</f>
        <v>0.36031197606974674</v>
      </c>
      <c r="AA20">
        <f>VLOOKUP(VLOOKUP($O20,$C$2:$M$31,4,0),$O$42:$AS$71,VLOOKUP(AA$1,$C$2:$M$31,4,0)+1,0)</f>
        <v>0.54476805573373421</v>
      </c>
      <c r="AB20">
        <f>VLOOKUP(VLOOKUP($O20,$C$2:$M$31,4,0),$O$42:$AS$71,VLOOKUP(AB$1,$C$2:$M$31,4,0)+1,0)</f>
        <v>0.40843302990522401</v>
      </c>
      <c r="AC20">
        <f>VLOOKUP(VLOOKUP($O20,$C$2:$M$31,4,0),$O$42:$AS$71,VLOOKUP(AC$1,$C$2:$M$31,4,0)+1,0)</f>
        <v>0.59385517014654077</v>
      </c>
      <c r="AD20">
        <f>VLOOKUP(VLOOKUP($O20,$C$2:$M$31,4,0),$O$42:$AS$71,VLOOKUP(AD$1,$C$2:$M$31,4,0)+1,0)</f>
        <v>0.5</v>
      </c>
      <c r="AE20">
        <f>VLOOKUP(VLOOKUP($O20,$C$2:$M$31,4,0),$O$42:$AS$71,VLOOKUP(AE$1,$C$2:$M$31,4,0)+1,0)</f>
        <v>0.39196296997858859</v>
      </c>
      <c r="AF20">
        <f>VLOOKUP(VLOOKUP($O20,$C$2:$M$31,4,0),$O$42:$AS$71,VLOOKUP(AF$1,$C$2:$M$31,4,0)+1,0)</f>
        <v>0.39196296997858859</v>
      </c>
      <c r="AG20">
        <f>VLOOKUP(VLOOKUP($O20,$C$2:$M$31,4,0),$O$42:$AS$71,VLOOKUP(AG$1,$C$2:$M$31,4,0)+1,0)</f>
        <v>0.42737792197427477</v>
      </c>
      <c r="AH20">
        <f>VLOOKUP(VLOOKUP($O20,$C$2:$M$31,4,0),$O$42:$AS$71,VLOOKUP(AH$1,$C$2:$M$31,4,0)+1,0)</f>
        <v>0.5</v>
      </c>
      <c r="AI20">
        <f>VLOOKUP(VLOOKUP($O20,$C$2:$M$31,4,0),$O$42:$AS$71,VLOOKUP(AI$1,$C$2:$M$31,4,0)+1,0)</f>
        <v>0.64545979335474335</v>
      </c>
      <c r="AJ20">
        <f>VLOOKUP(VLOOKUP($O20,$C$2:$M$31,4,0),$O$42:$AS$71,VLOOKUP(AJ$1,$C$2:$M$31,4,0)+1,0)</f>
        <v>0.36566517527635367</v>
      </c>
      <c r="AK20">
        <f>VLOOKUP(VLOOKUP($O20,$C$2:$M$31,4,0),$O$42:$AS$71,VLOOKUP(AK$1,$C$2:$M$31,4,0)+1,0)</f>
        <v>0.57711263446281591</v>
      </c>
      <c r="AL20">
        <f>VLOOKUP(VLOOKUP($O20,$C$2:$M$31,4,0),$O$42:$AS$71,VLOOKUP(AL$1,$C$2:$M$31,4,0)+1,0)</f>
        <v>0.48625786874528693</v>
      </c>
      <c r="AM20">
        <f>VLOOKUP(VLOOKUP($O20,$C$2:$M$31,4,0),$O$42:$AS$71,VLOOKUP(AM$1,$C$2:$M$31,4,0)+1,0)</f>
        <v>0.64545979335474335</v>
      </c>
      <c r="AN20">
        <f>VLOOKUP(VLOOKUP($O20,$C$2:$M$31,4,0),$O$42:$AS$71,VLOOKUP(AN$1,$C$2:$M$31,4,0)+1,0)</f>
        <v>0.42737792197427477</v>
      </c>
      <c r="AO20">
        <f>VLOOKUP(VLOOKUP($O20,$C$2:$M$31,4,0),$O$42:$AS$71,VLOOKUP(AO$1,$C$2:$M$31,4,0)+1,0)</f>
        <v>0.61088100448941873</v>
      </c>
      <c r="AP20">
        <f>VLOOKUP(VLOOKUP($O20,$C$2:$M$31,4,0),$O$42:$AS$71,VLOOKUP(AP$1,$C$2:$M$31,4,0)+1,0)</f>
        <v>0.36566517527635367</v>
      </c>
      <c r="AQ20">
        <f>VLOOKUP(VLOOKUP($O20,$C$2:$M$31,4,0),$O$42:$AS$71,VLOOKUP(AQ$1,$C$2:$M$31,4,0)+1,0)</f>
        <v>0.38459864577188729</v>
      </c>
      <c r="AR20">
        <f>VLOOKUP(VLOOKUP($O20,$C$2:$M$31,4,0),$O$42:$AS$71,VLOOKUP(AR$1,$C$2:$M$31,4,0)+1,0)</f>
        <v>0.46071121990694175</v>
      </c>
      <c r="AS20">
        <f>VLOOKUP(VLOOKUP($O20,$C$2:$M$31,4,0),$O$42:$AS$71,VLOOKUP(AS$1,$C$2:$M$31,4,0)+1,0)</f>
        <v>0.40843302990522401</v>
      </c>
      <c r="AU20">
        <f t="shared" si="6"/>
        <v>14.496571496485071</v>
      </c>
      <c r="AV20">
        <f t="shared" si="7"/>
        <v>0.48321904988283571</v>
      </c>
    </row>
    <row r="21" spans="1:48" x14ac:dyDescent="0.25">
      <c r="A21" t="s">
        <v>97</v>
      </c>
      <c r="B21">
        <v>2017</v>
      </c>
      <c r="C21" t="str">
        <f t="shared" si="0"/>
        <v>NY</v>
      </c>
      <c r="D21" t="s">
        <v>109</v>
      </c>
      <c r="E21">
        <v>24</v>
      </c>
      <c r="F21">
        <f t="shared" si="1"/>
        <v>27</v>
      </c>
      <c r="G21">
        <v>30.5</v>
      </c>
      <c r="H21">
        <f t="shared" si="2"/>
        <v>25</v>
      </c>
      <c r="I21" t="s">
        <v>33</v>
      </c>
      <c r="J21">
        <v>0.7</v>
      </c>
      <c r="K21">
        <f t="shared" si="3"/>
        <v>1</v>
      </c>
      <c r="L21">
        <f t="shared" si="4"/>
        <v>27</v>
      </c>
      <c r="M21">
        <f t="shared" si="5"/>
        <v>26</v>
      </c>
      <c r="O21" t="s">
        <v>19</v>
      </c>
      <c r="P21">
        <f>VLOOKUP(VLOOKUP($O21,$C$2:$M$31,4,0),$O$42:$AS$71,VLOOKUP(P$1,$C$2:$M$31,4,0)+1,0)</f>
        <v>0.48125326599506874</v>
      </c>
      <c r="Q21">
        <f>VLOOKUP(VLOOKUP($O21,$C$2:$M$31,4,0),$O$42:$AS$71,VLOOKUP(Q$1,$C$2:$M$31,4,0)+1,0)</f>
        <v>0.23244223252095431</v>
      </c>
      <c r="R21">
        <f>VLOOKUP(VLOOKUP($O21,$C$2:$M$31,4,0),$O$42:$AS$71,VLOOKUP(R$1,$C$2:$M$31,4,0)+1,0)</f>
        <v>0.5</v>
      </c>
      <c r="S21">
        <f>VLOOKUP(VLOOKUP($O21,$C$2:$M$31,4,0),$O$42:$AS$71,VLOOKUP(S$1,$C$2:$M$31,4,0)+1,0)</f>
        <v>0.29075945595530656</v>
      </c>
      <c r="T21">
        <f>VLOOKUP(VLOOKUP($O21,$C$2:$M$31,4,0),$O$42:$AS$71,VLOOKUP(T$1,$C$2:$M$31,4,0)+1,0)</f>
        <v>0.5586395048824998</v>
      </c>
      <c r="U21">
        <f>VLOOKUP(VLOOKUP($O21,$C$2:$M$31,4,0),$O$42:$AS$71,VLOOKUP(U$1,$C$2:$M$31,4,0)+1,0)</f>
        <v>0.2500915322300597</v>
      </c>
      <c r="V21">
        <f>VLOOKUP(VLOOKUP($O21,$C$2:$M$31,4,0),$O$42:$AS$71,VLOOKUP(V$1,$C$2:$M$31,4,0)+1,0)</f>
        <v>0.39661531797526017</v>
      </c>
      <c r="W21">
        <f>VLOOKUP(VLOOKUP($O21,$C$2:$M$31,4,0),$O$42:$AS$71,VLOOKUP(W$1,$C$2:$M$31,4,0)+1,0)</f>
        <v>0.33034591945008701</v>
      </c>
      <c r="X21">
        <f>VLOOKUP(VLOOKUP($O21,$C$2:$M$31,4,0),$O$42:$AS$71,VLOOKUP(X$1,$C$2:$M$31,4,0)+1,0)</f>
        <v>0.35454020664525671</v>
      </c>
      <c r="Y21">
        <f>VLOOKUP(VLOOKUP($O21,$C$2:$M$31,4,0),$O$42:$AS$71,VLOOKUP(Y$1,$C$2:$M$31,4,0)+1,0)</f>
        <v>0.22893092887913349</v>
      </c>
      <c r="Z21">
        <f>VLOOKUP(VLOOKUP($O21,$C$2:$M$31,4,0),$O$42:$AS$71,VLOOKUP(Z$1,$C$2:$M$31,4,0)+1,0)</f>
        <v>0.23628580799123672</v>
      </c>
      <c r="AA21">
        <f>VLOOKUP(VLOOKUP($O21,$C$2:$M$31,4,0),$O$42:$AS$71,VLOOKUP(AA$1,$C$2:$M$31,4,0)+1,0)</f>
        <v>0.39661531797526017</v>
      </c>
      <c r="AB21">
        <f>VLOOKUP(VLOOKUP($O21,$C$2:$M$31,4,0),$O$42:$AS$71,VLOOKUP(AB$1,$C$2:$M$31,4,0)+1,0)</f>
        <v>0.27496260988622268</v>
      </c>
      <c r="AC21">
        <f>VLOOKUP(VLOOKUP($O21,$C$2:$M$31,4,0),$O$42:$AS$71,VLOOKUP(AC$1,$C$2:$M$31,4,0)+1,0)</f>
        <v>0.44541454046842816</v>
      </c>
      <c r="AD21">
        <f>VLOOKUP(VLOOKUP($O21,$C$2:$M$31,4,0),$O$42:$AS$71,VLOOKUP(AD$1,$C$2:$M$31,4,0)+1,0)</f>
        <v>0.35454020664525671</v>
      </c>
      <c r="AE21">
        <f>VLOOKUP(VLOOKUP($O21,$C$2:$M$31,4,0),$O$42:$AS$71,VLOOKUP(AE$1,$C$2:$M$31,4,0)+1,0)</f>
        <v>0.26149560493325757</v>
      </c>
      <c r="AF21">
        <f>VLOOKUP(VLOOKUP($O21,$C$2:$M$31,4,0),$O$42:$AS$71,VLOOKUP(AF$1,$C$2:$M$31,4,0)+1,0)</f>
        <v>0.26149560493325757</v>
      </c>
      <c r="AG21">
        <f>VLOOKUP(VLOOKUP($O21,$C$2:$M$31,4,0),$O$42:$AS$71,VLOOKUP(AG$1,$C$2:$M$31,4,0)+1,0)</f>
        <v>0.29075945595530656</v>
      </c>
      <c r="AH21">
        <f>VLOOKUP(VLOOKUP($O21,$C$2:$M$31,4,0),$O$42:$AS$71,VLOOKUP(AH$1,$C$2:$M$31,4,0)+1,0)</f>
        <v>0.35454020664525671</v>
      </c>
      <c r="AI21">
        <f>VLOOKUP(VLOOKUP($O21,$C$2:$M$31,4,0),$O$42:$AS$71,VLOOKUP(AI$1,$C$2:$M$31,4,0)+1,0)</f>
        <v>0.5</v>
      </c>
      <c r="AJ21">
        <f>VLOOKUP(VLOOKUP($O21,$C$2:$M$31,4,0),$O$42:$AS$71,VLOOKUP(AJ$1,$C$2:$M$31,4,0)+1,0)</f>
        <v>0.24048908305088901</v>
      </c>
      <c r="AK21">
        <f>VLOOKUP(VLOOKUP($O21,$C$2:$M$31,4,0),$O$42:$AS$71,VLOOKUP(AK$1,$C$2:$M$31,4,0)+1,0)</f>
        <v>0.42844224863695335</v>
      </c>
      <c r="AL21">
        <f>VLOOKUP(VLOOKUP($O21,$C$2:$M$31,4,0),$O$42:$AS$71,VLOOKUP(AL$1,$C$2:$M$31,4,0)+1,0)</f>
        <v>0.34206091059294946</v>
      </c>
      <c r="AM21">
        <f>VLOOKUP(VLOOKUP($O21,$C$2:$M$31,4,0),$O$42:$AS$71,VLOOKUP(AM$1,$C$2:$M$31,4,0)+1,0)</f>
        <v>0.5</v>
      </c>
      <c r="AN21">
        <f>VLOOKUP(VLOOKUP($O21,$C$2:$M$31,4,0),$O$42:$AS$71,VLOOKUP(AN$1,$C$2:$M$31,4,0)+1,0)</f>
        <v>0.29075945595530656</v>
      </c>
      <c r="AO21">
        <f>VLOOKUP(VLOOKUP($O21,$C$2:$M$31,4,0),$O$42:$AS$71,VLOOKUP(AO$1,$C$2:$M$31,4,0)+1,0)</f>
        <v>0.46303651516321748</v>
      </c>
      <c r="AP21">
        <f>VLOOKUP(VLOOKUP($O21,$C$2:$M$31,4,0),$O$42:$AS$71,VLOOKUP(AP$1,$C$2:$M$31,4,0)+1,0)</f>
        <v>0.24048908305088901</v>
      </c>
      <c r="AQ21">
        <f>VLOOKUP(VLOOKUP($O21,$C$2:$M$31,4,0),$O$42:$AS$71,VLOOKUP(AQ$1,$C$2:$M$31,4,0)+1,0)</f>
        <v>0.25555230020051067</v>
      </c>
      <c r="AR21">
        <f>VLOOKUP(VLOOKUP($O21,$C$2:$M$31,4,0),$O$42:$AS$71,VLOOKUP(AR$1,$C$2:$M$31,4,0)+1,0)</f>
        <v>0.31938034690791411</v>
      </c>
      <c r="AS21">
        <f>VLOOKUP(VLOOKUP($O21,$C$2:$M$31,4,0),$O$42:$AS$71,VLOOKUP(AS$1,$C$2:$M$31,4,0)+1,0)</f>
        <v>0.27496260988622268</v>
      </c>
      <c r="AU21">
        <f t="shared" si="6"/>
        <v>10.354900273411962</v>
      </c>
      <c r="AV21">
        <f t="shared" si="7"/>
        <v>0.34516334244706542</v>
      </c>
    </row>
    <row r="22" spans="1:48" x14ac:dyDescent="0.25">
      <c r="A22" t="s">
        <v>98</v>
      </c>
      <c r="B22">
        <v>2017</v>
      </c>
      <c r="C22" t="str">
        <f t="shared" si="0"/>
        <v>OKC</v>
      </c>
      <c r="D22" t="s">
        <v>109</v>
      </c>
      <c r="E22">
        <v>56</v>
      </c>
      <c r="F22">
        <f t="shared" si="1"/>
        <v>4</v>
      </c>
      <c r="G22">
        <v>51.5</v>
      </c>
      <c r="H22">
        <f t="shared" si="2"/>
        <v>6</v>
      </c>
      <c r="I22" t="s">
        <v>32</v>
      </c>
      <c r="J22">
        <v>0.67</v>
      </c>
      <c r="K22">
        <f t="shared" si="3"/>
        <v>3</v>
      </c>
      <c r="L22">
        <f t="shared" si="4"/>
        <v>54</v>
      </c>
      <c r="M22">
        <f t="shared" si="5"/>
        <v>5</v>
      </c>
      <c r="O22" t="s">
        <v>26</v>
      </c>
      <c r="P22">
        <f>VLOOKUP(VLOOKUP($O22,$C$2:$M$31,4,0),$O$42:$AS$71,VLOOKUP(P$1,$C$2:$M$31,4,0)+1,0)</f>
        <v>0.74554242090501455</v>
      </c>
      <c r="Q22">
        <f>VLOOKUP(VLOOKUP($O22,$C$2:$M$31,4,0),$O$42:$AS$71,VLOOKUP(Q$1,$C$2:$M$31,4,0)+1,0)</f>
        <v>0.48885884146173592</v>
      </c>
      <c r="R22">
        <f>VLOOKUP(VLOOKUP($O22,$C$2:$M$31,4,0),$O$42:$AS$71,VLOOKUP(R$1,$C$2:$M$31,4,0)+1,0)</f>
        <v>0.7595109169491111</v>
      </c>
      <c r="S22">
        <f>VLOOKUP(VLOOKUP($O22,$C$2:$M$31,4,0),$O$42:$AS$71,VLOOKUP(S$1,$C$2:$M$31,4,0)+1,0)</f>
        <v>0.56421873489889152</v>
      </c>
      <c r="T22">
        <f>VLOOKUP(VLOOKUP($O22,$C$2:$M$31,4,0),$O$42:$AS$71,VLOOKUP(T$1,$C$2:$M$31,4,0)+1,0)</f>
        <v>0.79989566285414293</v>
      </c>
      <c r="U22">
        <f>VLOOKUP(VLOOKUP($O22,$C$2:$M$31,4,0),$O$42:$AS$71,VLOOKUP(U$1,$C$2:$M$31,4,0)+1,0)</f>
        <v>0.51296604830099757</v>
      </c>
      <c r="V22">
        <f>VLOOKUP(VLOOKUP($O22,$C$2:$M$31,4,0),$O$42:$AS$71,VLOOKUP(V$1,$C$2:$M$31,4,0)+1,0)</f>
        <v>0.67489565431501664</v>
      </c>
      <c r="W22">
        <f>VLOOKUP(VLOOKUP($O22,$C$2:$M$31,4,0),$O$42:$AS$71,VLOOKUP(W$1,$C$2:$M$31,4,0)+1,0)</f>
        <v>0.60906389905536606</v>
      </c>
      <c r="X22">
        <f>VLOOKUP(VLOOKUP($O22,$C$2:$M$31,4,0),$O$42:$AS$71,VLOOKUP(X$1,$C$2:$M$31,4,0)+1,0)</f>
        <v>0.63433482472364633</v>
      </c>
      <c r="Y22">
        <f>VLOOKUP(VLOOKUP($O22,$C$2:$M$31,4,0),$O$42:$AS$71,VLOOKUP(Y$1,$C$2:$M$31,4,0)+1,0)</f>
        <v>0.4839161464678316</v>
      </c>
      <c r="Z22">
        <f>VLOOKUP(VLOOKUP($O22,$C$2:$M$31,4,0),$O$42:$AS$71,VLOOKUP(Z$1,$C$2:$M$31,4,0)+1,0)</f>
        <v>0.4942123830471512</v>
      </c>
      <c r="AA22">
        <f>VLOOKUP(VLOOKUP($O22,$C$2:$M$31,4,0),$O$42:$AS$71,VLOOKUP(AA$1,$C$2:$M$31,4,0)+1,0)</f>
        <v>0.67489565431501664</v>
      </c>
      <c r="AB22">
        <f>VLOOKUP(VLOOKUP($O22,$C$2:$M$31,4,0),$O$42:$AS$71,VLOOKUP(AB$1,$C$2:$M$31,4,0)+1,0)</f>
        <v>0.54498103544271093</v>
      </c>
      <c r="AC22">
        <f>VLOOKUP(VLOOKUP($O22,$C$2:$M$31,4,0),$O$42:$AS$71,VLOOKUP(AC$1,$C$2:$M$31,4,0)+1,0)</f>
        <v>0.71723441343763528</v>
      </c>
      <c r="AD22">
        <f>VLOOKUP(VLOOKUP($O22,$C$2:$M$31,4,0),$O$42:$AS$71,VLOOKUP(AD$1,$C$2:$M$31,4,0)+1,0)</f>
        <v>0.63433482472364633</v>
      </c>
      <c r="AE22">
        <f>VLOOKUP(VLOOKUP($O22,$C$2:$M$31,4,0),$O$42:$AS$71,VLOOKUP(AE$1,$C$2:$M$31,4,0)+1,0)</f>
        <v>0.52791853672723188</v>
      </c>
      <c r="AF22">
        <f>VLOOKUP(VLOOKUP($O22,$C$2:$M$31,4,0),$O$42:$AS$71,VLOOKUP(AF$1,$C$2:$M$31,4,0)+1,0)</f>
        <v>0.52791853672723188</v>
      </c>
      <c r="AG22">
        <f>VLOOKUP(VLOOKUP($O22,$C$2:$M$31,4,0),$O$42:$AS$71,VLOOKUP(AG$1,$C$2:$M$31,4,0)+1,0)</f>
        <v>0.56421873489889152</v>
      </c>
      <c r="AH22">
        <f>VLOOKUP(VLOOKUP($O22,$C$2:$M$31,4,0),$O$42:$AS$71,VLOOKUP(AH$1,$C$2:$M$31,4,0)+1,0)</f>
        <v>0.63433482472364633</v>
      </c>
      <c r="AI22">
        <f>VLOOKUP(VLOOKUP($O22,$C$2:$M$31,4,0),$O$42:$AS$71,VLOOKUP(AI$1,$C$2:$M$31,4,0)+1,0)</f>
        <v>0.7595109169491111</v>
      </c>
      <c r="AJ22">
        <f>VLOOKUP(VLOOKUP($O22,$C$2:$M$31,4,0),$O$42:$AS$71,VLOOKUP(AJ$1,$C$2:$M$31,4,0)+1,0)</f>
        <v>0.5</v>
      </c>
      <c r="AK22">
        <f>VLOOKUP(VLOOKUP($O22,$C$2:$M$31,4,0),$O$42:$AS$71,VLOOKUP(AK$1,$C$2:$M$31,4,0)+1,0)</f>
        <v>0.70303458922502959</v>
      </c>
      <c r="AL22">
        <f>VLOOKUP(VLOOKUP($O22,$C$2:$M$31,4,0),$O$42:$AS$71,VLOOKUP(AL$1,$C$2:$M$31,4,0)+1,0)</f>
        <v>0.62148979686870964</v>
      </c>
      <c r="AM22">
        <f>VLOOKUP(VLOOKUP($O22,$C$2:$M$31,4,0),$O$42:$AS$71,VLOOKUP(AM$1,$C$2:$M$31,4,0)+1,0)</f>
        <v>0.7595109169491111</v>
      </c>
      <c r="AN22">
        <f>VLOOKUP(VLOOKUP($O22,$C$2:$M$31,4,0),$O$42:$AS$71,VLOOKUP(AN$1,$C$2:$M$31,4,0)+1,0)</f>
        <v>0.56421873489889152</v>
      </c>
      <c r="AO22">
        <f>VLOOKUP(VLOOKUP($O22,$C$2:$M$31,4,0),$O$42:$AS$71,VLOOKUP(AO$1,$C$2:$M$31,4,0)+1,0)</f>
        <v>0.73142722805708205</v>
      </c>
      <c r="AP22">
        <f>VLOOKUP(VLOOKUP($O22,$C$2:$M$31,4,0),$O$42:$AS$71,VLOOKUP(AP$1,$C$2:$M$31,4,0)+1,0)</f>
        <v>0.5</v>
      </c>
      <c r="AQ22">
        <f>VLOOKUP(VLOOKUP($O22,$C$2:$M$31,4,0),$O$42:$AS$71,VLOOKUP(AQ$1,$C$2:$M$31,4,0)+1,0)</f>
        <v>0.52018514492931578</v>
      </c>
      <c r="AR22">
        <f>VLOOKUP(VLOOKUP($O22,$C$2:$M$31,4,0),$O$42:$AS$71,VLOOKUP(AR$1,$C$2:$M$31,4,0)+1,0)</f>
        <v>0.59709587502544614</v>
      </c>
      <c r="AS22">
        <f>VLOOKUP(VLOOKUP($O22,$C$2:$M$31,4,0),$O$42:$AS$71,VLOOKUP(AS$1,$C$2:$M$31,4,0)+1,0)</f>
        <v>0.54498103544271093</v>
      </c>
      <c r="AU22">
        <f t="shared" si="6"/>
        <v>18.394706332320322</v>
      </c>
      <c r="AV22">
        <f t="shared" si="7"/>
        <v>0.61315687774401073</v>
      </c>
    </row>
    <row r="23" spans="1:48" x14ac:dyDescent="0.25">
      <c r="A23" t="s">
        <v>99</v>
      </c>
      <c r="B23">
        <v>2017</v>
      </c>
      <c r="C23" t="str">
        <f t="shared" si="0"/>
        <v>ORL</v>
      </c>
      <c r="D23" t="s">
        <v>109</v>
      </c>
      <c r="E23">
        <v>31</v>
      </c>
      <c r="F23">
        <f t="shared" si="1"/>
        <v>23</v>
      </c>
      <c r="G23">
        <v>33.5</v>
      </c>
      <c r="H23">
        <f t="shared" si="2"/>
        <v>22</v>
      </c>
      <c r="I23" t="s">
        <v>33</v>
      </c>
      <c r="J23">
        <v>0.51</v>
      </c>
      <c r="K23">
        <f t="shared" si="3"/>
        <v>27</v>
      </c>
      <c r="L23">
        <f t="shared" si="4"/>
        <v>28</v>
      </c>
      <c r="M23">
        <f t="shared" si="5"/>
        <v>24</v>
      </c>
      <c r="O23" t="s">
        <v>1</v>
      </c>
      <c r="P23">
        <f>VLOOKUP(VLOOKUP($O23,$C$2:$M$31,4,0),$O$42:$AS$71,VLOOKUP(P$1,$C$2:$M$31,4,0)+1,0)</f>
        <v>0.55309592459529611</v>
      </c>
      <c r="Q23">
        <f>VLOOKUP(VLOOKUP($O23,$C$2:$M$31,4,0),$O$42:$AS$71,VLOOKUP(Q$1,$C$2:$M$31,4,0)+1,0)</f>
        <v>0.2877447719654746</v>
      </c>
      <c r="R23">
        <f>VLOOKUP(VLOOKUP($O23,$C$2:$M$31,4,0),$O$42:$AS$71,VLOOKUP(R$1,$C$2:$M$31,4,0)+1,0)</f>
        <v>0.57155775136304665</v>
      </c>
      <c r="S23">
        <f>VLOOKUP(VLOOKUP($O23,$C$2:$M$31,4,0),$O$42:$AS$71,VLOOKUP(S$1,$C$2:$M$31,4,0)+1,0)</f>
        <v>0.35354590594117385</v>
      </c>
      <c r="T23">
        <f>VLOOKUP(VLOOKUP($O23,$C$2:$M$31,4,0),$O$42:$AS$71,VLOOKUP(T$1,$C$2:$M$31,4,0)+1,0)</f>
        <v>0.62804804101525269</v>
      </c>
      <c r="U23">
        <f>VLOOKUP(VLOOKUP($O23,$C$2:$M$31,4,0),$O$42:$AS$71,VLOOKUP(U$1,$C$2:$M$31,4,0)+1,0)</f>
        <v>0.30790869437595753</v>
      </c>
      <c r="V23">
        <f>VLOOKUP(VLOOKUP($O23,$C$2:$M$31,4,0),$O$42:$AS$71,VLOOKUP(V$1,$C$2:$M$31,4,0)+1,0)</f>
        <v>0.46720252983216615</v>
      </c>
      <c r="W23">
        <f>VLOOKUP(VLOOKUP($O23,$C$2:$M$31,4,0),$O$42:$AS$71,VLOOKUP(W$1,$C$2:$M$31,4,0)+1,0)</f>
        <v>0.396896960614324</v>
      </c>
      <c r="X23">
        <f>VLOOKUP(VLOOKUP($O23,$C$2:$M$31,4,0),$O$42:$AS$71,VLOOKUP(X$1,$C$2:$M$31,4,0)+1,0)</f>
        <v>0.42288736553718415</v>
      </c>
      <c r="Y23">
        <f>VLOOKUP(VLOOKUP($O23,$C$2:$M$31,4,0),$O$42:$AS$71,VLOOKUP(Y$1,$C$2:$M$31,4,0)+1,0)</f>
        <v>0.28370684641324517</v>
      </c>
      <c r="Z23">
        <f>VLOOKUP(VLOOKUP($O23,$C$2:$M$31,4,0),$O$42:$AS$71,VLOOKUP(Z$1,$C$2:$M$31,4,0)+1,0)</f>
        <v>0.29215473840837614</v>
      </c>
      <c r="AA23">
        <f>VLOOKUP(VLOOKUP($O23,$C$2:$M$31,4,0),$O$42:$AS$71,VLOOKUP(AA$1,$C$2:$M$31,4,0)+1,0)</f>
        <v>0.46720252983216615</v>
      </c>
      <c r="AB23">
        <f>VLOOKUP(VLOOKUP($O23,$C$2:$M$31,4,0),$O$42:$AS$71,VLOOKUP(AB$1,$C$2:$M$31,4,0)+1,0)</f>
        <v>0.3359536996565311</v>
      </c>
      <c r="AC23">
        <f>VLOOKUP(VLOOKUP($O23,$C$2:$M$31,4,0),$O$42:$AS$71,VLOOKUP(AC$1,$C$2:$M$31,4,0)+1,0)</f>
        <v>0.51724167666642951</v>
      </c>
      <c r="AD23">
        <f>VLOOKUP(VLOOKUP($O23,$C$2:$M$31,4,0),$O$42:$AS$71,VLOOKUP(AD$1,$C$2:$M$31,4,0)+1,0)</f>
        <v>0.42288736553718415</v>
      </c>
      <c r="AE23">
        <f>VLOOKUP(VLOOKUP($O23,$C$2:$M$31,4,0),$O$42:$AS$71,VLOOKUP(AE$1,$C$2:$M$31,4,0)+1,0)</f>
        <v>0.32082130082460703</v>
      </c>
      <c r="AF23">
        <f>VLOOKUP(VLOOKUP($O23,$C$2:$M$31,4,0),$O$42:$AS$71,VLOOKUP(AF$1,$C$2:$M$31,4,0)+1,0)</f>
        <v>0.32082130082460703</v>
      </c>
      <c r="AG23">
        <f>VLOOKUP(VLOOKUP($O23,$C$2:$M$31,4,0),$O$42:$AS$71,VLOOKUP(AG$1,$C$2:$M$31,4,0)+1,0)</f>
        <v>0.35354590594117385</v>
      </c>
      <c r="AH23">
        <f>VLOOKUP(VLOOKUP($O23,$C$2:$M$31,4,0),$O$42:$AS$71,VLOOKUP(AH$1,$C$2:$M$31,4,0)+1,0)</f>
        <v>0.42288736553718415</v>
      </c>
      <c r="AI23">
        <f>VLOOKUP(VLOOKUP($O23,$C$2:$M$31,4,0),$O$42:$AS$71,VLOOKUP(AI$1,$C$2:$M$31,4,0)+1,0)</f>
        <v>0.57155775136304665</v>
      </c>
      <c r="AJ23">
        <f>VLOOKUP(VLOOKUP($O23,$C$2:$M$31,4,0),$O$42:$AS$71,VLOOKUP(AJ$1,$C$2:$M$31,4,0)+1,0)</f>
        <v>0.29696541077497046</v>
      </c>
      <c r="AK23">
        <f>VLOOKUP(VLOOKUP($O23,$C$2:$M$31,4,0),$O$42:$AS$71,VLOOKUP(AK$1,$C$2:$M$31,4,0)+1,0)</f>
        <v>0.5</v>
      </c>
      <c r="AL23">
        <f>VLOOKUP(VLOOKUP($O23,$C$2:$M$31,4,0),$O$42:$AS$71,VLOOKUP(AL$1,$C$2:$M$31,4,0)+1,0)</f>
        <v>0.40952872102451271</v>
      </c>
      <c r="AM23">
        <f>VLOOKUP(VLOOKUP($O23,$C$2:$M$31,4,0),$O$42:$AS$71,VLOOKUP(AM$1,$C$2:$M$31,4,0)+1,0)</f>
        <v>0.57155775136304665</v>
      </c>
      <c r="AN23">
        <f>VLOOKUP(VLOOKUP($O23,$C$2:$M$31,4,0),$O$42:$AS$71,VLOOKUP(AN$1,$C$2:$M$31,4,0)+1,0)</f>
        <v>0.35354590594117385</v>
      </c>
      <c r="AO23">
        <f>VLOOKUP(VLOOKUP($O23,$C$2:$M$31,4,0),$O$42:$AS$71,VLOOKUP(AO$1,$C$2:$M$31,4,0)+1,0)</f>
        <v>0.53496419100371084</v>
      </c>
      <c r="AP23">
        <f>VLOOKUP(VLOOKUP($O23,$C$2:$M$31,4,0),$O$42:$AS$71,VLOOKUP(AP$1,$C$2:$M$31,4,0)+1,0)</f>
        <v>0.29696541077497046</v>
      </c>
      <c r="AQ23">
        <f>VLOOKUP(VLOOKUP($O23,$C$2:$M$31,4,0),$O$42:$AS$71,VLOOKUP(AQ$1,$C$2:$M$31,4,0)+1,0)</f>
        <v>0.31410312396771667</v>
      </c>
      <c r="AR23">
        <f>VLOOKUP(VLOOKUP($O23,$C$2:$M$31,4,0),$O$42:$AS$71,VLOOKUP(AR$1,$C$2:$M$31,4,0)+1,0)</f>
        <v>0.38499232269801659</v>
      </c>
      <c r="AS23">
        <f>VLOOKUP(VLOOKUP($O23,$C$2:$M$31,4,0),$O$42:$AS$71,VLOOKUP(AS$1,$C$2:$M$31,4,0)+1,0)</f>
        <v>0.3359536996565311</v>
      </c>
      <c r="AU23">
        <f t="shared" si="6"/>
        <v>12.296244963449073</v>
      </c>
      <c r="AV23">
        <f t="shared" si="7"/>
        <v>0.40987483211496911</v>
      </c>
    </row>
    <row r="24" spans="1:48" x14ac:dyDescent="0.25">
      <c r="A24" t="s">
        <v>100</v>
      </c>
      <c r="B24">
        <v>2017</v>
      </c>
      <c r="C24" t="str">
        <f t="shared" si="0"/>
        <v>PHI</v>
      </c>
      <c r="D24" t="s">
        <v>109</v>
      </c>
      <c r="E24">
        <v>36</v>
      </c>
      <c r="F24">
        <f t="shared" si="1"/>
        <v>17</v>
      </c>
      <c r="G24">
        <v>42.5</v>
      </c>
      <c r="H24">
        <f t="shared" si="2"/>
        <v>14</v>
      </c>
      <c r="I24" t="s">
        <v>33</v>
      </c>
      <c r="J24">
        <v>0.63</v>
      </c>
      <c r="K24">
        <f t="shared" si="3"/>
        <v>7</v>
      </c>
      <c r="L24">
        <f t="shared" si="4"/>
        <v>39</v>
      </c>
      <c r="M24">
        <f t="shared" si="5"/>
        <v>17</v>
      </c>
      <c r="O24" t="s">
        <v>9</v>
      </c>
      <c r="P24">
        <f>VLOOKUP(VLOOKUP($O24,$C$2:$M$31,4,0),$O$42:$AS$71,VLOOKUP(P$1,$C$2:$M$31,4,0)+1,0)</f>
        <v>0.64086061961216512</v>
      </c>
      <c r="Q24">
        <f>VLOOKUP(VLOOKUP($O24,$C$2:$M$31,4,0),$O$42:$AS$71,VLOOKUP(Q$1,$C$2:$M$31,4,0)+1,0)</f>
        <v>0.36808326138583486</v>
      </c>
      <c r="R24">
        <f>VLOOKUP(VLOOKUP($O24,$C$2:$M$31,4,0),$O$42:$AS$71,VLOOKUP(R$1,$C$2:$M$31,4,0)+1,0)</f>
        <v>0.65793908940705059</v>
      </c>
      <c r="S24">
        <f>VLOOKUP(VLOOKUP($O24,$C$2:$M$31,4,0),$O$42:$AS$71,VLOOKUP(S$1,$C$2:$M$31,4,0)+1,0)</f>
        <v>0.44088406664907881</v>
      </c>
      <c r="T24">
        <f>VLOOKUP(VLOOKUP($O24,$C$2:$M$31,4,0),$O$42:$AS$71,VLOOKUP(T$1,$C$2:$M$31,4,0)+1,0)</f>
        <v>0.70884186366552659</v>
      </c>
      <c r="U24">
        <f>VLOOKUP(VLOOKUP($O24,$C$2:$M$31,4,0),$O$42:$AS$71,VLOOKUP(U$1,$C$2:$M$31,4,0)+1,0)</f>
        <v>0.39078811056084028</v>
      </c>
      <c r="V24">
        <f>VLOOKUP(VLOOKUP($O24,$C$2:$M$31,4,0),$O$42:$AS$71,VLOOKUP(V$1,$C$2:$M$31,4,0)+1,0)</f>
        <v>0.55836655658203493</v>
      </c>
      <c r="W24">
        <f>VLOOKUP(VLOOKUP($O24,$C$2:$M$31,4,0),$O$42:$AS$71,VLOOKUP(W$1,$C$2:$M$31,4,0)+1,0)</f>
        <v>0.4868786634259939</v>
      </c>
      <c r="X24">
        <f>VLOOKUP(VLOOKUP($O24,$C$2:$M$31,4,0),$O$42:$AS$71,VLOOKUP(X$1,$C$2:$M$31,4,0)+1,0)</f>
        <v>0.51374213125471302</v>
      </c>
      <c r="Y24">
        <f>VLOOKUP(VLOOKUP($O24,$C$2:$M$31,4,0),$O$42:$AS$71,VLOOKUP(Y$1,$C$2:$M$31,4,0)+1,0)</f>
        <v>0.36349329913153089</v>
      </c>
      <c r="Z24">
        <f>VLOOKUP(VLOOKUP($O24,$C$2:$M$31,4,0),$O$42:$AS$71,VLOOKUP(Z$1,$C$2:$M$31,4,0)+1,0)</f>
        <v>0.37307955571959134</v>
      </c>
      <c r="AA24">
        <f>VLOOKUP(VLOOKUP($O24,$C$2:$M$31,4,0),$O$42:$AS$71,VLOOKUP(AA$1,$C$2:$M$31,4,0)+1,0)</f>
        <v>0.55836655658203493</v>
      </c>
      <c r="AB24">
        <f>VLOOKUP(VLOOKUP($O24,$C$2:$M$31,4,0),$O$42:$AS$71,VLOOKUP(AB$1,$C$2:$M$31,4,0)+1,0)</f>
        <v>0.42178146370054864</v>
      </c>
      <c r="AC24">
        <f>VLOOKUP(VLOOKUP($O24,$C$2:$M$31,4,0),$O$42:$AS$71,VLOOKUP(AC$1,$C$2:$M$31,4,0)+1,0)</f>
        <v>0.60704504740933996</v>
      </c>
      <c r="AD24">
        <f>VLOOKUP(VLOOKUP($O24,$C$2:$M$31,4,0),$O$42:$AS$71,VLOOKUP(AD$1,$C$2:$M$31,4,0)+1,0)</f>
        <v>0.51374213125471302</v>
      </c>
      <c r="AE24">
        <f>VLOOKUP(VLOOKUP($O24,$C$2:$M$31,4,0),$O$42:$AS$71,VLOOKUP(AE$1,$C$2:$M$31,4,0)+1,0)</f>
        <v>0.40514177273214824</v>
      </c>
      <c r="AF24">
        <f>VLOOKUP(VLOOKUP($O24,$C$2:$M$31,4,0),$O$42:$AS$71,VLOOKUP(AF$1,$C$2:$M$31,4,0)+1,0)</f>
        <v>0.40514177273214824</v>
      </c>
      <c r="AG24">
        <f>VLOOKUP(VLOOKUP($O24,$C$2:$M$31,4,0),$O$42:$AS$71,VLOOKUP(AG$1,$C$2:$M$31,4,0)+1,0)</f>
        <v>0.44088406664907881</v>
      </c>
      <c r="AH24">
        <f>VLOOKUP(VLOOKUP($O24,$C$2:$M$31,4,0),$O$42:$AS$71,VLOOKUP(AH$1,$C$2:$M$31,4,0)+1,0)</f>
        <v>0.51374213125471302</v>
      </c>
      <c r="AI24">
        <f>VLOOKUP(VLOOKUP($O24,$C$2:$M$31,4,0),$O$42:$AS$71,VLOOKUP(AI$1,$C$2:$M$31,4,0)+1,0)</f>
        <v>0.65793908940705059</v>
      </c>
      <c r="AJ24">
        <f>VLOOKUP(VLOOKUP($O24,$C$2:$M$31,4,0),$O$42:$AS$71,VLOOKUP(AJ$1,$C$2:$M$31,4,0)+1,0)</f>
        <v>0.37851020313129041</v>
      </c>
      <c r="AK24">
        <f>VLOOKUP(VLOOKUP($O24,$C$2:$M$31,4,0),$O$42:$AS$71,VLOOKUP(AK$1,$C$2:$M$31,4,0)+1,0)</f>
        <v>0.59047127897548735</v>
      </c>
      <c r="AL24">
        <f>VLOOKUP(VLOOKUP($O24,$C$2:$M$31,4,0),$O$42:$AS$71,VLOOKUP(AL$1,$C$2:$M$31,4,0)+1,0)</f>
        <v>0.5</v>
      </c>
      <c r="AM24">
        <f>VLOOKUP(VLOOKUP($O24,$C$2:$M$31,4,0),$O$42:$AS$71,VLOOKUP(AM$1,$C$2:$M$31,4,0)+1,0)</f>
        <v>0.65793908940705059</v>
      </c>
      <c r="AN24">
        <f>VLOOKUP(VLOOKUP($O24,$C$2:$M$31,4,0),$O$42:$AS$71,VLOOKUP(AN$1,$C$2:$M$31,4,0)+1,0)</f>
        <v>0.44088406664907881</v>
      </c>
      <c r="AO24">
        <f>VLOOKUP(VLOOKUP($O24,$C$2:$M$31,4,0),$O$42:$AS$71,VLOOKUP(AO$1,$C$2:$M$31,4,0)+1,0)</f>
        <v>0.62386816358907304</v>
      </c>
      <c r="AP24">
        <f>VLOOKUP(VLOOKUP($O24,$C$2:$M$31,4,0),$O$42:$AS$71,VLOOKUP(AP$1,$C$2:$M$31,4,0)+1,0)</f>
        <v>0.37851020313129041</v>
      </c>
      <c r="AQ24">
        <f>VLOOKUP(VLOOKUP($O24,$C$2:$M$31,4,0),$O$42:$AS$71,VLOOKUP(AQ$1,$C$2:$M$31,4,0)+1,0)</f>
        <v>0.39769179081226008</v>
      </c>
      <c r="AR24">
        <f>VLOOKUP(VLOOKUP($O24,$C$2:$M$31,4,0),$O$42:$AS$71,VLOOKUP(AR$1,$C$2:$M$31,4,0)+1,0)</f>
        <v>0.47439806002693663</v>
      </c>
      <c r="AS24">
        <f>VLOOKUP(VLOOKUP($O24,$C$2:$M$31,4,0),$O$42:$AS$71,VLOOKUP(AS$1,$C$2:$M$31,4,0)+1,0)</f>
        <v>0.42178146370054864</v>
      </c>
      <c r="AU24">
        <f t="shared" si="6"/>
        <v>14.890795568539156</v>
      </c>
      <c r="AV24">
        <f t="shared" si="7"/>
        <v>0.49635985228463853</v>
      </c>
    </row>
    <row r="25" spans="1:48" x14ac:dyDescent="0.25">
      <c r="A25" t="s">
        <v>101</v>
      </c>
      <c r="B25">
        <v>2017</v>
      </c>
      <c r="C25" t="str">
        <f t="shared" si="0"/>
        <v>PHX</v>
      </c>
      <c r="D25" t="s">
        <v>109</v>
      </c>
      <c r="E25">
        <v>24</v>
      </c>
      <c r="F25">
        <f t="shared" si="1"/>
        <v>27</v>
      </c>
      <c r="G25">
        <v>28.5</v>
      </c>
      <c r="H25">
        <f t="shared" si="2"/>
        <v>26</v>
      </c>
      <c r="I25" t="s">
        <v>33</v>
      </c>
      <c r="J25">
        <v>0.64</v>
      </c>
      <c r="K25">
        <f t="shared" si="3"/>
        <v>6</v>
      </c>
      <c r="L25">
        <f t="shared" si="4"/>
        <v>25</v>
      </c>
      <c r="M25">
        <f t="shared" si="5"/>
        <v>28</v>
      </c>
      <c r="O25" t="s">
        <v>23</v>
      </c>
      <c r="P25">
        <f>VLOOKUP(VLOOKUP($O25,$C$2:$M$31,4,0),$O$42:$AS$71,VLOOKUP(P$1,$C$2:$M$31,4,0)+1,0)</f>
        <v>0.48125326599506874</v>
      </c>
      <c r="Q25">
        <f>VLOOKUP(VLOOKUP($O25,$C$2:$M$31,4,0),$O$42:$AS$71,VLOOKUP(Q$1,$C$2:$M$31,4,0)+1,0)</f>
        <v>0.23244223252095431</v>
      </c>
      <c r="R25">
        <f>VLOOKUP(VLOOKUP($O25,$C$2:$M$31,4,0),$O$42:$AS$71,VLOOKUP(R$1,$C$2:$M$31,4,0)+1,0)</f>
        <v>0.5</v>
      </c>
      <c r="S25">
        <f>VLOOKUP(VLOOKUP($O25,$C$2:$M$31,4,0),$O$42:$AS$71,VLOOKUP(S$1,$C$2:$M$31,4,0)+1,0)</f>
        <v>0.29075945595530656</v>
      </c>
      <c r="T25">
        <f>VLOOKUP(VLOOKUP($O25,$C$2:$M$31,4,0),$O$42:$AS$71,VLOOKUP(T$1,$C$2:$M$31,4,0)+1,0)</f>
        <v>0.5586395048824998</v>
      </c>
      <c r="U25">
        <f>VLOOKUP(VLOOKUP($O25,$C$2:$M$31,4,0),$O$42:$AS$71,VLOOKUP(U$1,$C$2:$M$31,4,0)+1,0)</f>
        <v>0.2500915322300597</v>
      </c>
      <c r="V25">
        <f>VLOOKUP(VLOOKUP($O25,$C$2:$M$31,4,0),$O$42:$AS$71,VLOOKUP(V$1,$C$2:$M$31,4,0)+1,0)</f>
        <v>0.39661531797526017</v>
      </c>
      <c r="W25">
        <f>VLOOKUP(VLOOKUP($O25,$C$2:$M$31,4,0),$O$42:$AS$71,VLOOKUP(W$1,$C$2:$M$31,4,0)+1,0)</f>
        <v>0.33034591945008701</v>
      </c>
      <c r="X25">
        <f>VLOOKUP(VLOOKUP($O25,$C$2:$M$31,4,0),$O$42:$AS$71,VLOOKUP(X$1,$C$2:$M$31,4,0)+1,0)</f>
        <v>0.35454020664525671</v>
      </c>
      <c r="Y25">
        <f>VLOOKUP(VLOOKUP($O25,$C$2:$M$31,4,0),$O$42:$AS$71,VLOOKUP(Y$1,$C$2:$M$31,4,0)+1,0)</f>
        <v>0.22893092887913349</v>
      </c>
      <c r="Z25">
        <f>VLOOKUP(VLOOKUP($O25,$C$2:$M$31,4,0),$O$42:$AS$71,VLOOKUP(Z$1,$C$2:$M$31,4,0)+1,0)</f>
        <v>0.23628580799123672</v>
      </c>
      <c r="AA25">
        <f>VLOOKUP(VLOOKUP($O25,$C$2:$M$31,4,0),$O$42:$AS$71,VLOOKUP(AA$1,$C$2:$M$31,4,0)+1,0)</f>
        <v>0.39661531797526017</v>
      </c>
      <c r="AB25">
        <f>VLOOKUP(VLOOKUP($O25,$C$2:$M$31,4,0),$O$42:$AS$71,VLOOKUP(AB$1,$C$2:$M$31,4,0)+1,0)</f>
        <v>0.27496260988622268</v>
      </c>
      <c r="AC25">
        <f>VLOOKUP(VLOOKUP($O25,$C$2:$M$31,4,0),$O$42:$AS$71,VLOOKUP(AC$1,$C$2:$M$31,4,0)+1,0)</f>
        <v>0.44541454046842816</v>
      </c>
      <c r="AD25">
        <f>VLOOKUP(VLOOKUP($O25,$C$2:$M$31,4,0),$O$42:$AS$71,VLOOKUP(AD$1,$C$2:$M$31,4,0)+1,0)</f>
        <v>0.35454020664525671</v>
      </c>
      <c r="AE25">
        <f>VLOOKUP(VLOOKUP($O25,$C$2:$M$31,4,0),$O$42:$AS$71,VLOOKUP(AE$1,$C$2:$M$31,4,0)+1,0)</f>
        <v>0.26149560493325757</v>
      </c>
      <c r="AF25">
        <f>VLOOKUP(VLOOKUP($O25,$C$2:$M$31,4,0),$O$42:$AS$71,VLOOKUP(AF$1,$C$2:$M$31,4,0)+1,0)</f>
        <v>0.26149560493325757</v>
      </c>
      <c r="AG25">
        <f>VLOOKUP(VLOOKUP($O25,$C$2:$M$31,4,0),$O$42:$AS$71,VLOOKUP(AG$1,$C$2:$M$31,4,0)+1,0)</f>
        <v>0.29075945595530656</v>
      </c>
      <c r="AH25">
        <f>VLOOKUP(VLOOKUP($O25,$C$2:$M$31,4,0),$O$42:$AS$71,VLOOKUP(AH$1,$C$2:$M$31,4,0)+1,0)</f>
        <v>0.35454020664525671</v>
      </c>
      <c r="AI25">
        <f>VLOOKUP(VLOOKUP($O25,$C$2:$M$31,4,0),$O$42:$AS$71,VLOOKUP(AI$1,$C$2:$M$31,4,0)+1,0)</f>
        <v>0.5</v>
      </c>
      <c r="AJ25">
        <f>VLOOKUP(VLOOKUP($O25,$C$2:$M$31,4,0),$O$42:$AS$71,VLOOKUP(AJ$1,$C$2:$M$31,4,0)+1,0)</f>
        <v>0.24048908305088901</v>
      </c>
      <c r="AK25">
        <f>VLOOKUP(VLOOKUP($O25,$C$2:$M$31,4,0),$O$42:$AS$71,VLOOKUP(AK$1,$C$2:$M$31,4,0)+1,0)</f>
        <v>0.42844224863695335</v>
      </c>
      <c r="AL25">
        <f>VLOOKUP(VLOOKUP($O25,$C$2:$M$31,4,0),$O$42:$AS$71,VLOOKUP(AL$1,$C$2:$M$31,4,0)+1,0)</f>
        <v>0.34206091059294946</v>
      </c>
      <c r="AM25">
        <f>VLOOKUP(VLOOKUP($O25,$C$2:$M$31,4,0),$O$42:$AS$71,VLOOKUP(AM$1,$C$2:$M$31,4,0)+1,0)</f>
        <v>0.5</v>
      </c>
      <c r="AN25">
        <f>VLOOKUP(VLOOKUP($O25,$C$2:$M$31,4,0),$O$42:$AS$71,VLOOKUP(AN$1,$C$2:$M$31,4,0)+1,0)</f>
        <v>0.29075945595530656</v>
      </c>
      <c r="AO25">
        <f>VLOOKUP(VLOOKUP($O25,$C$2:$M$31,4,0),$O$42:$AS$71,VLOOKUP(AO$1,$C$2:$M$31,4,0)+1,0)</f>
        <v>0.46303651516321748</v>
      </c>
      <c r="AP25">
        <f>VLOOKUP(VLOOKUP($O25,$C$2:$M$31,4,0),$O$42:$AS$71,VLOOKUP(AP$1,$C$2:$M$31,4,0)+1,0)</f>
        <v>0.24048908305088901</v>
      </c>
      <c r="AQ25">
        <f>VLOOKUP(VLOOKUP($O25,$C$2:$M$31,4,0),$O$42:$AS$71,VLOOKUP(AQ$1,$C$2:$M$31,4,0)+1,0)</f>
        <v>0.25555230020051067</v>
      </c>
      <c r="AR25">
        <f>VLOOKUP(VLOOKUP($O25,$C$2:$M$31,4,0),$O$42:$AS$71,VLOOKUP(AR$1,$C$2:$M$31,4,0)+1,0)</f>
        <v>0.31938034690791411</v>
      </c>
      <c r="AS25">
        <f>VLOOKUP(VLOOKUP($O25,$C$2:$M$31,4,0),$O$42:$AS$71,VLOOKUP(AS$1,$C$2:$M$31,4,0)+1,0)</f>
        <v>0.27496260988622268</v>
      </c>
      <c r="AU25">
        <f t="shared" si="6"/>
        <v>10.354900273411962</v>
      </c>
      <c r="AV25">
        <f t="shared" si="7"/>
        <v>0.34516334244706542</v>
      </c>
    </row>
    <row r="26" spans="1:48" x14ac:dyDescent="0.25">
      <c r="A26" t="s">
        <v>102</v>
      </c>
      <c r="B26">
        <v>2017</v>
      </c>
      <c r="C26" t="str">
        <f t="shared" si="0"/>
        <v>POR</v>
      </c>
      <c r="D26" t="s">
        <v>109</v>
      </c>
      <c r="E26">
        <v>44</v>
      </c>
      <c r="F26">
        <f t="shared" si="1"/>
        <v>12</v>
      </c>
      <c r="G26">
        <v>42.5</v>
      </c>
      <c r="H26">
        <f t="shared" si="2"/>
        <v>14</v>
      </c>
      <c r="I26" t="s">
        <v>32</v>
      </c>
      <c r="J26">
        <v>0.57999999999999996</v>
      </c>
      <c r="K26">
        <f t="shared" si="3"/>
        <v>11</v>
      </c>
      <c r="L26">
        <f t="shared" si="4"/>
        <v>44</v>
      </c>
      <c r="M26">
        <f t="shared" si="5"/>
        <v>11</v>
      </c>
      <c r="O26" t="s">
        <v>27</v>
      </c>
      <c r="P26">
        <f>VLOOKUP(VLOOKUP($O26,$C$2:$M$31,4,0),$O$42:$AS$71,VLOOKUP(P$1,$C$2:$M$31,4,0)+1,0)</f>
        <v>0.69353036087159081</v>
      </c>
      <c r="Q26">
        <f>VLOOKUP(VLOOKUP($O26,$C$2:$M$31,4,0),$O$42:$AS$71,VLOOKUP(Q$1,$C$2:$M$31,4,0)+1,0)</f>
        <v>0.42485516240329735</v>
      </c>
      <c r="R26">
        <f>VLOOKUP(VLOOKUP($O26,$C$2:$M$31,4,0),$O$42:$AS$71,VLOOKUP(R$1,$C$2:$M$31,4,0)+1,0)</f>
        <v>0.7092405440446935</v>
      </c>
      <c r="S26">
        <f>VLOOKUP(VLOOKUP($O26,$C$2:$M$31,4,0),$O$42:$AS$71,VLOOKUP(S$1,$C$2:$M$31,4,0)+1,0)</f>
        <v>0.5</v>
      </c>
      <c r="T26">
        <f>VLOOKUP(VLOOKUP($O26,$C$2:$M$31,4,0),$O$42:$AS$71,VLOOKUP(T$1,$C$2:$M$31,4,0)+1,0)</f>
        <v>0.75534782105868381</v>
      </c>
      <c r="U26">
        <f>VLOOKUP(VLOOKUP($O26,$C$2:$M$31,4,0),$O$42:$AS$71,VLOOKUP(U$1,$C$2:$M$31,4,0)+1,0)</f>
        <v>0.44857603803539042</v>
      </c>
      <c r="V26">
        <f>VLOOKUP(VLOOKUP($O26,$C$2:$M$31,4,0),$O$42:$AS$71,VLOOKUP(V$1,$C$2:$M$31,4,0)+1,0)</f>
        <v>0.61588312048468585</v>
      </c>
      <c r="W26">
        <f>VLOOKUP(VLOOKUP($O26,$C$2:$M$31,4,0),$O$42:$AS$71,VLOOKUP(W$1,$C$2:$M$31,4,0)+1,0)</f>
        <v>0.54613774930521419</v>
      </c>
      <c r="X26">
        <f>VLOOKUP(VLOOKUP($O26,$C$2:$M$31,4,0),$O$42:$AS$71,VLOOKUP(X$1,$C$2:$M$31,4,0)+1,0)</f>
        <v>0.5726220780257254</v>
      </c>
      <c r="Y26">
        <f>VLOOKUP(VLOOKUP($O26,$C$2:$M$31,4,0),$O$42:$AS$71,VLOOKUP(Y$1,$C$2:$M$31,4,0)+1,0)</f>
        <v>0.42002781974295289</v>
      </c>
      <c r="Z26">
        <f>VLOOKUP(VLOOKUP($O26,$C$2:$M$31,4,0),$O$42:$AS$71,VLOOKUP(Z$1,$C$2:$M$31,4,0)+1,0)</f>
        <v>0.43009757165195561</v>
      </c>
      <c r="AA26">
        <f>VLOOKUP(VLOOKUP($O26,$C$2:$M$31,4,0),$O$42:$AS$71,VLOOKUP(AA$1,$C$2:$M$31,4,0)+1,0)</f>
        <v>0.61588312048468585</v>
      </c>
      <c r="AB26">
        <f>VLOOKUP(VLOOKUP($O26,$C$2:$M$31,4,0),$O$42:$AS$71,VLOOKUP(AB$1,$C$2:$M$31,4,0)+1,0)</f>
        <v>0.48053742015010775</v>
      </c>
      <c r="AC26">
        <f>VLOOKUP(VLOOKUP($O26,$C$2:$M$31,4,0),$O$42:$AS$71,VLOOKUP(AC$1,$C$2:$M$31,4,0)+1,0)</f>
        <v>0.6620589018296037</v>
      </c>
      <c r="AD26">
        <f>VLOOKUP(VLOOKUP($O26,$C$2:$M$31,4,0),$O$42:$AS$71,VLOOKUP(AD$1,$C$2:$M$31,4,0)+1,0)</f>
        <v>0.5726220780257254</v>
      </c>
      <c r="AE26">
        <f>VLOOKUP(VLOOKUP($O26,$C$2:$M$31,4,0),$O$42:$AS$71,VLOOKUP(AE$1,$C$2:$M$31,4,0)+1,0)</f>
        <v>0.46343759187002342</v>
      </c>
      <c r="AF26">
        <f>VLOOKUP(VLOOKUP($O26,$C$2:$M$31,4,0),$O$42:$AS$71,VLOOKUP(AF$1,$C$2:$M$31,4,0)+1,0)</f>
        <v>0.46343759187002342</v>
      </c>
      <c r="AG26">
        <f>VLOOKUP(VLOOKUP($O26,$C$2:$M$31,4,0),$O$42:$AS$71,VLOOKUP(AG$1,$C$2:$M$31,4,0)+1,0)</f>
        <v>0.5</v>
      </c>
      <c r="AH26">
        <f>VLOOKUP(VLOOKUP($O26,$C$2:$M$31,4,0),$O$42:$AS$71,VLOOKUP(AH$1,$C$2:$M$31,4,0)+1,0)</f>
        <v>0.5726220780257254</v>
      </c>
      <c r="AI26">
        <f>VLOOKUP(VLOOKUP($O26,$C$2:$M$31,4,0),$O$42:$AS$71,VLOOKUP(AI$1,$C$2:$M$31,4,0)+1,0)</f>
        <v>0.7092405440446935</v>
      </c>
      <c r="AJ26">
        <f>VLOOKUP(VLOOKUP($O26,$C$2:$M$31,4,0),$O$42:$AS$71,VLOOKUP(AJ$1,$C$2:$M$31,4,0)+1,0)</f>
        <v>0.43578126510110854</v>
      </c>
      <c r="AK26">
        <f>VLOOKUP(VLOOKUP($O26,$C$2:$M$31,4,0),$O$42:$AS$71,VLOOKUP(AK$1,$C$2:$M$31,4,0)+1,0)</f>
        <v>0.64645409405882615</v>
      </c>
      <c r="AL26">
        <f>VLOOKUP(VLOOKUP($O26,$C$2:$M$31,4,0),$O$42:$AS$71,VLOOKUP(AL$1,$C$2:$M$31,4,0)+1,0)</f>
        <v>0.55911593335092113</v>
      </c>
      <c r="AM26">
        <f>VLOOKUP(VLOOKUP($O26,$C$2:$M$31,4,0),$O$42:$AS$71,VLOOKUP(AM$1,$C$2:$M$31,4,0)+1,0)</f>
        <v>0.7092405440446935</v>
      </c>
      <c r="AN26">
        <f>VLOOKUP(VLOOKUP($O26,$C$2:$M$31,4,0),$O$42:$AS$71,VLOOKUP(AN$1,$C$2:$M$31,4,0)+1,0)</f>
        <v>0.5</v>
      </c>
      <c r="AO26">
        <f>VLOOKUP(VLOOKUP($O26,$C$2:$M$31,4,0),$O$42:$AS$71,VLOOKUP(AO$1,$C$2:$M$31,4,0)+1,0)</f>
        <v>0.67777695164228424</v>
      </c>
      <c r="AP26">
        <f>VLOOKUP(VLOOKUP($O26,$C$2:$M$31,4,0),$O$42:$AS$71,VLOOKUP(AP$1,$C$2:$M$31,4,0)+1,0)</f>
        <v>0.43578126510110854</v>
      </c>
      <c r="AQ26">
        <f>VLOOKUP(VLOOKUP($O26,$C$2:$M$31,4,0),$O$42:$AS$71,VLOOKUP(AQ$1,$C$2:$M$31,4,0)+1,0)</f>
        <v>0.45573690331195188</v>
      </c>
      <c r="AR26">
        <f>VLOOKUP(VLOOKUP($O26,$C$2:$M$31,4,0),$O$42:$AS$71,VLOOKUP(AR$1,$C$2:$M$31,4,0)+1,0)</f>
        <v>0.53371812052967493</v>
      </c>
      <c r="AS26">
        <f>VLOOKUP(VLOOKUP($O26,$C$2:$M$31,4,0),$O$42:$AS$71,VLOOKUP(AS$1,$C$2:$M$31,4,0)+1,0)</f>
        <v>0.48053742015010775</v>
      </c>
      <c r="AU26">
        <f t="shared" si="6"/>
        <v>16.590300089215454</v>
      </c>
      <c r="AV26">
        <f t="shared" si="7"/>
        <v>0.5530100029738485</v>
      </c>
    </row>
    <row r="27" spans="1:48" x14ac:dyDescent="0.25">
      <c r="A27" t="s">
        <v>103</v>
      </c>
      <c r="B27">
        <v>2017</v>
      </c>
      <c r="C27" t="str">
        <f t="shared" si="0"/>
        <v>SAC</v>
      </c>
      <c r="D27" t="s">
        <v>109</v>
      </c>
      <c r="E27">
        <v>29</v>
      </c>
      <c r="F27">
        <f t="shared" si="1"/>
        <v>25</v>
      </c>
      <c r="G27">
        <v>28.5</v>
      </c>
      <c r="H27">
        <f t="shared" si="2"/>
        <v>26</v>
      </c>
      <c r="I27" t="s">
        <v>32</v>
      </c>
      <c r="J27">
        <v>0.52</v>
      </c>
      <c r="K27">
        <f t="shared" si="3"/>
        <v>24</v>
      </c>
      <c r="L27">
        <f t="shared" si="4"/>
        <v>29</v>
      </c>
      <c r="M27">
        <f t="shared" si="5"/>
        <v>23</v>
      </c>
      <c r="O27" t="s">
        <v>25</v>
      </c>
      <c r="P27">
        <f>VLOOKUP(VLOOKUP($O27,$C$2:$M$31,4,0),$O$42:$AS$71,VLOOKUP(P$1,$C$2:$M$31,4,0)+1,0)</f>
        <v>0.51826738397349825</v>
      </c>
      <c r="Q27">
        <f>VLOOKUP(VLOOKUP($O27,$C$2:$M$31,4,0),$O$42:$AS$71,VLOOKUP(Q$1,$C$2:$M$31,4,0)+1,0)</f>
        <v>0.25990779707705136</v>
      </c>
      <c r="R27">
        <f>VLOOKUP(VLOOKUP($O27,$C$2:$M$31,4,0),$O$42:$AS$71,VLOOKUP(R$1,$C$2:$M$31,4,0)+1,0)</f>
        <v>0.53696348483678247</v>
      </c>
      <c r="S27">
        <f>VLOOKUP(VLOOKUP($O27,$C$2:$M$31,4,0),$O$42:$AS$71,VLOOKUP(S$1,$C$2:$M$31,4,0)+1,0)</f>
        <v>0.32222304835771576</v>
      </c>
      <c r="T27">
        <f>VLOOKUP(VLOOKUP($O27,$C$2:$M$31,4,0),$O$42:$AS$71,VLOOKUP(T$1,$C$2:$M$31,4,0)+1,0)</f>
        <v>0.59478122871339911</v>
      </c>
      <c r="U27">
        <f>VLOOKUP(VLOOKUP($O27,$C$2:$M$31,4,0),$O$42:$AS$71,VLOOKUP(U$1,$C$2:$M$31,4,0)+1,0)</f>
        <v>0.27888482197713693</v>
      </c>
      <c r="V27">
        <f>VLOOKUP(VLOOKUP($O27,$C$2:$M$31,4,0),$O$42:$AS$71,VLOOKUP(V$1,$C$2:$M$31,4,0)+1,0)</f>
        <v>0.43254773884592373</v>
      </c>
      <c r="W27">
        <f>VLOOKUP(VLOOKUP($O27,$C$2:$M$31,4,0),$O$42:$AS$71,VLOOKUP(W$1,$C$2:$M$31,4,0)+1,0)</f>
        <v>0.36389535201176249</v>
      </c>
      <c r="X27">
        <f>VLOOKUP(VLOOKUP($O27,$C$2:$M$31,4,0),$O$42:$AS$71,VLOOKUP(X$1,$C$2:$M$31,4,0)+1,0)</f>
        <v>0.38911899551058127</v>
      </c>
      <c r="Y27">
        <f>VLOOKUP(VLOOKUP($O27,$C$2:$M$31,4,0),$O$42:$AS$71,VLOOKUP(Y$1,$C$2:$M$31,4,0)+1,0)</f>
        <v>0.25612003899425795</v>
      </c>
      <c r="Z27">
        <f>VLOOKUP(VLOOKUP($O27,$C$2:$M$31,4,0),$O$42:$AS$71,VLOOKUP(Z$1,$C$2:$M$31,4,0)+1,0)</f>
        <v>0.26404929594784404</v>
      </c>
      <c r="AA27">
        <f>VLOOKUP(VLOOKUP($O27,$C$2:$M$31,4,0),$O$42:$AS$71,VLOOKUP(AA$1,$C$2:$M$31,4,0)+1,0)</f>
        <v>0.43254773884592373</v>
      </c>
      <c r="AB27">
        <f>VLOOKUP(VLOOKUP($O27,$C$2:$M$31,4,0),$O$42:$AS$71,VLOOKUP(AB$1,$C$2:$M$31,4,0)+1,0)</f>
        <v>0.305452997556169</v>
      </c>
      <c r="AC27">
        <f>VLOOKUP(VLOOKUP($O27,$C$2:$M$31,4,0),$O$42:$AS$71,VLOOKUP(AC$1,$C$2:$M$31,4,0)+1,0)</f>
        <v>0.48223464691020429</v>
      </c>
      <c r="AD27">
        <f>VLOOKUP(VLOOKUP($O27,$C$2:$M$31,4,0),$O$42:$AS$71,VLOOKUP(AD$1,$C$2:$M$31,4,0)+1,0)</f>
        <v>0.38911899551058127</v>
      </c>
      <c r="AE27">
        <f>VLOOKUP(VLOOKUP($O27,$C$2:$M$31,4,0),$O$42:$AS$71,VLOOKUP(AE$1,$C$2:$M$31,4,0)+1,0)</f>
        <v>0.29109220403428415</v>
      </c>
      <c r="AF27">
        <f>VLOOKUP(VLOOKUP($O27,$C$2:$M$31,4,0),$O$42:$AS$71,VLOOKUP(AF$1,$C$2:$M$31,4,0)+1,0)</f>
        <v>0.29109220403428415</v>
      </c>
      <c r="AG27">
        <f>VLOOKUP(VLOOKUP($O27,$C$2:$M$31,4,0),$O$42:$AS$71,VLOOKUP(AG$1,$C$2:$M$31,4,0)+1,0)</f>
        <v>0.32222304835771576</v>
      </c>
      <c r="AH27">
        <f>VLOOKUP(VLOOKUP($O27,$C$2:$M$31,4,0),$O$42:$AS$71,VLOOKUP(AH$1,$C$2:$M$31,4,0)+1,0)</f>
        <v>0.38911899551058127</v>
      </c>
      <c r="AI27">
        <f>VLOOKUP(VLOOKUP($O27,$C$2:$M$31,4,0),$O$42:$AS$71,VLOOKUP(AI$1,$C$2:$M$31,4,0)+1,0)</f>
        <v>0.53696348483678247</v>
      </c>
      <c r="AJ27">
        <f>VLOOKUP(VLOOKUP($O27,$C$2:$M$31,4,0),$O$42:$AS$71,VLOOKUP(AJ$1,$C$2:$M$31,4,0)+1,0)</f>
        <v>0.2685727719429179</v>
      </c>
      <c r="AK27">
        <f>VLOOKUP(VLOOKUP($O27,$C$2:$M$31,4,0),$O$42:$AS$71,VLOOKUP(AK$1,$C$2:$M$31,4,0)+1,0)</f>
        <v>0.46503580899628916</v>
      </c>
      <c r="AL27">
        <f>VLOOKUP(VLOOKUP($O27,$C$2:$M$31,4,0),$O$42:$AS$71,VLOOKUP(AL$1,$C$2:$M$31,4,0)+1,0)</f>
        <v>0.37613183641092696</v>
      </c>
      <c r="AM27">
        <f>VLOOKUP(VLOOKUP($O27,$C$2:$M$31,4,0),$O$42:$AS$71,VLOOKUP(AM$1,$C$2:$M$31,4,0)+1,0)</f>
        <v>0.53696348483678247</v>
      </c>
      <c r="AN27">
        <f>VLOOKUP(VLOOKUP($O27,$C$2:$M$31,4,0),$O$42:$AS$71,VLOOKUP(AN$1,$C$2:$M$31,4,0)+1,0)</f>
        <v>0.32222304835771576</v>
      </c>
      <c r="AO27">
        <f>VLOOKUP(VLOOKUP($O27,$C$2:$M$31,4,0),$O$42:$AS$71,VLOOKUP(AO$1,$C$2:$M$31,4,0)+1,0)</f>
        <v>0.5</v>
      </c>
      <c r="AP27">
        <f>VLOOKUP(VLOOKUP($O27,$C$2:$M$31,4,0),$O$42:$AS$71,VLOOKUP(AP$1,$C$2:$M$31,4,0)+1,0)</f>
        <v>0.2685727719429179</v>
      </c>
      <c r="AQ27">
        <f>VLOOKUP(VLOOKUP($O27,$C$2:$M$31,4,0),$O$42:$AS$71,VLOOKUP(AQ$1,$C$2:$M$31,4,0)+1,0)</f>
        <v>0.28473557877177313</v>
      </c>
      <c r="AR27">
        <f>VLOOKUP(VLOOKUP($O27,$C$2:$M$31,4,0),$O$42:$AS$71,VLOOKUP(AR$1,$C$2:$M$31,4,0)+1,0)</f>
        <v>0.35240218376319032</v>
      </c>
      <c r="AS27">
        <f>VLOOKUP(VLOOKUP($O27,$C$2:$M$31,4,0),$O$42:$AS$71,VLOOKUP(AS$1,$C$2:$M$31,4,0)+1,0)</f>
        <v>0.305452997556169</v>
      </c>
      <c r="AU27">
        <f t="shared" si="6"/>
        <v>11.336693984421162</v>
      </c>
      <c r="AV27">
        <f t="shared" si="7"/>
        <v>0.37788979948070539</v>
      </c>
    </row>
    <row r="28" spans="1:48" x14ac:dyDescent="0.25">
      <c r="A28" t="s">
        <v>104</v>
      </c>
      <c r="B28">
        <v>2017</v>
      </c>
      <c r="C28" t="str">
        <f t="shared" si="0"/>
        <v>SA</v>
      </c>
      <c r="D28" t="s">
        <v>109</v>
      </c>
      <c r="E28">
        <v>56</v>
      </c>
      <c r="F28">
        <f t="shared" si="1"/>
        <v>4</v>
      </c>
      <c r="G28">
        <v>54.5</v>
      </c>
      <c r="H28">
        <f t="shared" si="2"/>
        <v>4</v>
      </c>
      <c r="I28" t="s">
        <v>32</v>
      </c>
      <c r="J28">
        <v>0.57999999999999996</v>
      </c>
      <c r="K28">
        <f t="shared" si="3"/>
        <v>11</v>
      </c>
      <c r="L28">
        <f t="shared" si="4"/>
        <v>56</v>
      </c>
      <c r="M28">
        <f t="shared" si="5"/>
        <v>4</v>
      </c>
      <c r="O28" t="s">
        <v>3</v>
      </c>
      <c r="P28">
        <f>VLOOKUP(VLOOKUP($O28,$C$2:$M$31,4,0),$O$42:$AS$71,VLOOKUP(P$1,$C$2:$M$31,4,0)+1,0)</f>
        <v>0.74554242090501455</v>
      </c>
      <c r="Q28">
        <f>VLOOKUP(VLOOKUP($O28,$C$2:$M$31,4,0),$O$42:$AS$71,VLOOKUP(Q$1,$C$2:$M$31,4,0)+1,0)</f>
        <v>0.48885884146173592</v>
      </c>
      <c r="R28">
        <f>VLOOKUP(VLOOKUP($O28,$C$2:$M$31,4,0),$O$42:$AS$71,VLOOKUP(R$1,$C$2:$M$31,4,0)+1,0)</f>
        <v>0.7595109169491111</v>
      </c>
      <c r="S28">
        <f>VLOOKUP(VLOOKUP($O28,$C$2:$M$31,4,0),$O$42:$AS$71,VLOOKUP(S$1,$C$2:$M$31,4,0)+1,0)</f>
        <v>0.56421873489889152</v>
      </c>
      <c r="T28">
        <f>VLOOKUP(VLOOKUP($O28,$C$2:$M$31,4,0),$O$42:$AS$71,VLOOKUP(T$1,$C$2:$M$31,4,0)+1,0)</f>
        <v>0.79989566285414293</v>
      </c>
      <c r="U28">
        <f>VLOOKUP(VLOOKUP($O28,$C$2:$M$31,4,0),$O$42:$AS$71,VLOOKUP(U$1,$C$2:$M$31,4,0)+1,0)</f>
        <v>0.51296604830099757</v>
      </c>
      <c r="V28">
        <f>VLOOKUP(VLOOKUP($O28,$C$2:$M$31,4,0),$O$42:$AS$71,VLOOKUP(V$1,$C$2:$M$31,4,0)+1,0)</f>
        <v>0.67489565431501664</v>
      </c>
      <c r="W28">
        <f>VLOOKUP(VLOOKUP($O28,$C$2:$M$31,4,0),$O$42:$AS$71,VLOOKUP(W$1,$C$2:$M$31,4,0)+1,0)</f>
        <v>0.60906389905536606</v>
      </c>
      <c r="X28">
        <f>VLOOKUP(VLOOKUP($O28,$C$2:$M$31,4,0),$O$42:$AS$71,VLOOKUP(X$1,$C$2:$M$31,4,0)+1,0)</f>
        <v>0.63433482472364633</v>
      </c>
      <c r="Y28">
        <f>VLOOKUP(VLOOKUP($O28,$C$2:$M$31,4,0),$O$42:$AS$71,VLOOKUP(Y$1,$C$2:$M$31,4,0)+1,0)</f>
        <v>0.4839161464678316</v>
      </c>
      <c r="Z28">
        <f>VLOOKUP(VLOOKUP($O28,$C$2:$M$31,4,0),$O$42:$AS$71,VLOOKUP(Z$1,$C$2:$M$31,4,0)+1,0)</f>
        <v>0.4942123830471512</v>
      </c>
      <c r="AA28">
        <f>VLOOKUP(VLOOKUP($O28,$C$2:$M$31,4,0),$O$42:$AS$71,VLOOKUP(AA$1,$C$2:$M$31,4,0)+1,0)</f>
        <v>0.67489565431501664</v>
      </c>
      <c r="AB28">
        <f>VLOOKUP(VLOOKUP($O28,$C$2:$M$31,4,0),$O$42:$AS$71,VLOOKUP(AB$1,$C$2:$M$31,4,0)+1,0)</f>
        <v>0.54498103544271093</v>
      </c>
      <c r="AC28">
        <f>VLOOKUP(VLOOKUP($O28,$C$2:$M$31,4,0),$O$42:$AS$71,VLOOKUP(AC$1,$C$2:$M$31,4,0)+1,0)</f>
        <v>0.71723441343763528</v>
      </c>
      <c r="AD28">
        <f>VLOOKUP(VLOOKUP($O28,$C$2:$M$31,4,0),$O$42:$AS$71,VLOOKUP(AD$1,$C$2:$M$31,4,0)+1,0)</f>
        <v>0.63433482472364633</v>
      </c>
      <c r="AE28">
        <f>VLOOKUP(VLOOKUP($O28,$C$2:$M$31,4,0),$O$42:$AS$71,VLOOKUP(AE$1,$C$2:$M$31,4,0)+1,0)</f>
        <v>0.52791853672723188</v>
      </c>
      <c r="AF28">
        <f>VLOOKUP(VLOOKUP($O28,$C$2:$M$31,4,0),$O$42:$AS$71,VLOOKUP(AF$1,$C$2:$M$31,4,0)+1,0)</f>
        <v>0.52791853672723188</v>
      </c>
      <c r="AG28">
        <f>VLOOKUP(VLOOKUP($O28,$C$2:$M$31,4,0),$O$42:$AS$71,VLOOKUP(AG$1,$C$2:$M$31,4,0)+1,0)</f>
        <v>0.56421873489889152</v>
      </c>
      <c r="AH28">
        <f>VLOOKUP(VLOOKUP($O28,$C$2:$M$31,4,0),$O$42:$AS$71,VLOOKUP(AH$1,$C$2:$M$31,4,0)+1,0)</f>
        <v>0.63433482472364633</v>
      </c>
      <c r="AI28">
        <f>VLOOKUP(VLOOKUP($O28,$C$2:$M$31,4,0),$O$42:$AS$71,VLOOKUP(AI$1,$C$2:$M$31,4,0)+1,0)</f>
        <v>0.7595109169491111</v>
      </c>
      <c r="AJ28">
        <f>VLOOKUP(VLOOKUP($O28,$C$2:$M$31,4,0),$O$42:$AS$71,VLOOKUP(AJ$1,$C$2:$M$31,4,0)+1,0)</f>
        <v>0.5</v>
      </c>
      <c r="AK28">
        <f>VLOOKUP(VLOOKUP($O28,$C$2:$M$31,4,0),$O$42:$AS$71,VLOOKUP(AK$1,$C$2:$M$31,4,0)+1,0)</f>
        <v>0.70303458922502959</v>
      </c>
      <c r="AL28">
        <f>VLOOKUP(VLOOKUP($O28,$C$2:$M$31,4,0),$O$42:$AS$71,VLOOKUP(AL$1,$C$2:$M$31,4,0)+1,0)</f>
        <v>0.62148979686870964</v>
      </c>
      <c r="AM28">
        <f>VLOOKUP(VLOOKUP($O28,$C$2:$M$31,4,0),$O$42:$AS$71,VLOOKUP(AM$1,$C$2:$M$31,4,0)+1,0)</f>
        <v>0.7595109169491111</v>
      </c>
      <c r="AN28">
        <f>VLOOKUP(VLOOKUP($O28,$C$2:$M$31,4,0),$O$42:$AS$71,VLOOKUP(AN$1,$C$2:$M$31,4,0)+1,0)</f>
        <v>0.56421873489889152</v>
      </c>
      <c r="AO28">
        <f>VLOOKUP(VLOOKUP($O28,$C$2:$M$31,4,0),$O$42:$AS$71,VLOOKUP(AO$1,$C$2:$M$31,4,0)+1,0)</f>
        <v>0.73142722805708205</v>
      </c>
      <c r="AP28">
        <f>VLOOKUP(VLOOKUP($O28,$C$2:$M$31,4,0),$O$42:$AS$71,VLOOKUP(AP$1,$C$2:$M$31,4,0)+1,0)</f>
        <v>0.5</v>
      </c>
      <c r="AQ28">
        <f>VLOOKUP(VLOOKUP($O28,$C$2:$M$31,4,0),$O$42:$AS$71,VLOOKUP(AQ$1,$C$2:$M$31,4,0)+1,0)</f>
        <v>0.52018514492931578</v>
      </c>
      <c r="AR28">
        <f>VLOOKUP(VLOOKUP($O28,$C$2:$M$31,4,0),$O$42:$AS$71,VLOOKUP(AR$1,$C$2:$M$31,4,0)+1,0)</f>
        <v>0.59709587502544614</v>
      </c>
      <c r="AS28">
        <f>VLOOKUP(VLOOKUP($O28,$C$2:$M$31,4,0),$O$42:$AS$71,VLOOKUP(AS$1,$C$2:$M$31,4,0)+1,0)</f>
        <v>0.54498103544271093</v>
      </c>
      <c r="AU28">
        <f t="shared" si="6"/>
        <v>18.394706332320322</v>
      </c>
      <c r="AV28">
        <f t="shared" si="7"/>
        <v>0.61315687774401073</v>
      </c>
    </row>
    <row r="29" spans="1:48" x14ac:dyDescent="0.25">
      <c r="A29" t="s">
        <v>105</v>
      </c>
      <c r="B29">
        <v>2017</v>
      </c>
      <c r="C29" t="str">
        <f t="shared" si="0"/>
        <v>TOR</v>
      </c>
      <c r="D29" t="s">
        <v>109</v>
      </c>
      <c r="E29">
        <v>50</v>
      </c>
      <c r="F29">
        <f t="shared" si="1"/>
        <v>7</v>
      </c>
      <c r="G29">
        <v>48.5</v>
      </c>
      <c r="H29">
        <f t="shared" si="2"/>
        <v>7</v>
      </c>
      <c r="I29" t="s">
        <v>32</v>
      </c>
      <c r="J29">
        <v>0.55000000000000004</v>
      </c>
      <c r="K29">
        <f t="shared" si="3"/>
        <v>18</v>
      </c>
      <c r="L29">
        <f t="shared" si="4"/>
        <v>50</v>
      </c>
      <c r="M29">
        <f t="shared" si="5"/>
        <v>6</v>
      </c>
      <c r="O29" t="s">
        <v>15</v>
      </c>
      <c r="P29">
        <f>VLOOKUP(VLOOKUP($O29,$C$2:$M$31,4,0),$O$42:$AS$71,VLOOKUP(P$1,$C$2:$M$31,4,0)+1,0)</f>
        <v>0.72991540343275085</v>
      </c>
      <c r="Q29">
        <f>VLOOKUP(VLOOKUP($O29,$C$2:$M$31,4,0),$O$42:$AS$71,VLOOKUP(Q$1,$C$2:$M$31,4,0)+1,0)</f>
        <v>0.46870185058239244</v>
      </c>
      <c r="R29">
        <f>VLOOKUP(VLOOKUP($O29,$C$2:$M$31,4,0),$O$42:$AS$71,VLOOKUP(R$1,$C$2:$M$31,4,0)+1,0)</f>
        <v>0.74444769979948933</v>
      </c>
      <c r="S29">
        <f>VLOOKUP(VLOOKUP($O29,$C$2:$M$31,4,0),$O$42:$AS$71,VLOOKUP(S$1,$C$2:$M$31,4,0)+1,0)</f>
        <v>0.54426309668804806</v>
      </c>
      <c r="T29">
        <f>VLOOKUP(VLOOKUP($O29,$C$2:$M$31,4,0),$O$42:$AS$71,VLOOKUP(T$1,$C$2:$M$31,4,0)+1,0)</f>
        <v>0.78665142374290065</v>
      </c>
      <c r="U29">
        <f>VLOOKUP(VLOOKUP($O29,$C$2:$M$31,4,0),$O$42:$AS$71,VLOOKUP(U$1,$C$2:$M$31,4,0)+1,0)</f>
        <v>0.49277333787842664</v>
      </c>
      <c r="V29">
        <f>VLOOKUP(VLOOKUP($O29,$C$2:$M$31,4,0),$O$42:$AS$71,VLOOKUP(V$1,$C$2:$M$31,4,0)+1,0)</f>
        <v>0.65692649613824394</v>
      </c>
      <c r="W29">
        <f>VLOOKUP(VLOOKUP($O29,$C$2:$M$31,4,0),$O$42:$AS$71,VLOOKUP(W$1,$C$2:$M$31,4,0)+1,0)</f>
        <v>0.58966836319053073</v>
      </c>
      <c r="X29">
        <f>VLOOKUP(VLOOKUP($O29,$C$2:$M$31,4,0),$O$42:$AS$71,VLOOKUP(X$1,$C$2:$M$31,4,0)+1,0)</f>
        <v>0.61540135422811282</v>
      </c>
      <c r="Y29">
        <f>VLOOKUP(VLOOKUP($O29,$C$2:$M$31,4,0),$O$42:$AS$71,VLOOKUP(Y$1,$C$2:$M$31,4,0)+1,0)</f>
        <v>0.46377804008771911</v>
      </c>
      <c r="Z29">
        <f>VLOOKUP(VLOOKUP($O29,$C$2:$M$31,4,0),$O$42:$AS$71,VLOOKUP(Z$1,$C$2:$M$31,4,0)+1,0)</f>
        <v>0.47403936940493457</v>
      </c>
      <c r="AA29">
        <f>VLOOKUP(VLOOKUP($O29,$C$2:$M$31,4,0),$O$42:$AS$71,VLOOKUP(AA$1,$C$2:$M$31,4,0)+1,0)</f>
        <v>0.65692649613824394</v>
      </c>
      <c r="AB29">
        <f>VLOOKUP(VLOOKUP($O29,$C$2:$M$31,4,0),$O$42:$AS$71,VLOOKUP(AB$1,$C$2:$M$31,4,0)+1,0)</f>
        <v>0.52488627234984619</v>
      </c>
      <c r="AC29">
        <f>VLOOKUP(VLOOKUP($O29,$C$2:$M$31,4,0),$O$42:$AS$71,VLOOKUP(AC$1,$C$2:$M$31,4,0)+1,0)</f>
        <v>0.700567142473973</v>
      </c>
      <c r="AD29">
        <f>VLOOKUP(VLOOKUP($O29,$C$2:$M$31,4,0),$O$42:$AS$71,VLOOKUP(AD$1,$C$2:$M$31,4,0)+1,0)</f>
        <v>0.61540135422811282</v>
      </c>
      <c r="AE29">
        <f>VLOOKUP(VLOOKUP($O29,$C$2:$M$31,4,0),$O$42:$AS$71,VLOOKUP(AE$1,$C$2:$M$31,4,0)+1,0)</f>
        <v>0.50775086347533838</v>
      </c>
      <c r="AF29">
        <f>VLOOKUP(VLOOKUP($O29,$C$2:$M$31,4,0),$O$42:$AS$71,VLOOKUP(AF$1,$C$2:$M$31,4,0)+1,0)</f>
        <v>0.50775086347533838</v>
      </c>
      <c r="AG29">
        <f>VLOOKUP(VLOOKUP($O29,$C$2:$M$31,4,0),$O$42:$AS$71,VLOOKUP(AG$1,$C$2:$M$31,4,0)+1,0)</f>
        <v>0.54426309668804806</v>
      </c>
      <c r="AH29">
        <f>VLOOKUP(VLOOKUP($O29,$C$2:$M$31,4,0),$O$42:$AS$71,VLOOKUP(AH$1,$C$2:$M$31,4,0)+1,0)</f>
        <v>0.61540135422811282</v>
      </c>
      <c r="AI29">
        <f>VLOOKUP(VLOOKUP($O29,$C$2:$M$31,4,0),$O$42:$AS$71,VLOOKUP(AI$1,$C$2:$M$31,4,0)+1,0)</f>
        <v>0.74444769979948933</v>
      </c>
      <c r="AJ29">
        <f>VLOOKUP(VLOOKUP($O29,$C$2:$M$31,4,0),$O$42:$AS$71,VLOOKUP(AJ$1,$C$2:$M$31,4,0)+1,0)</f>
        <v>0.47981485507068428</v>
      </c>
      <c r="AK29">
        <f>VLOOKUP(VLOOKUP($O29,$C$2:$M$31,4,0),$O$42:$AS$71,VLOOKUP(AK$1,$C$2:$M$31,4,0)+1,0)</f>
        <v>0.68589687603228333</v>
      </c>
      <c r="AL29">
        <f>VLOOKUP(VLOOKUP($O29,$C$2:$M$31,4,0),$O$42:$AS$71,VLOOKUP(AL$1,$C$2:$M$31,4,0)+1,0)</f>
        <v>0.60230820918773997</v>
      </c>
      <c r="AM29">
        <f>VLOOKUP(VLOOKUP($O29,$C$2:$M$31,4,0),$O$42:$AS$71,VLOOKUP(AM$1,$C$2:$M$31,4,0)+1,0)</f>
        <v>0.74444769979948933</v>
      </c>
      <c r="AN29">
        <f>VLOOKUP(VLOOKUP($O29,$C$2:$M$31,4,0),$O$42:$AS$71,VLOOKUP(AN$1,$C$2:$M$31,4,0)+1,0)</f>
        <v>0.54426309668804806</v>
      </c>
      <c r="AO29">
        <f>VLOOKUP(VLOOKUP($O29,$C$2:$M$31,4,0),$O$42:$AS$71,VLOOKUP(AO$1,$C$2:$M$31,4,0)+1,0)</f>
        <v>0.71526442122822687</v>
      </c>
      <c r="AP29">
        <f>VLOOKUP(VLOOKUP($O29,$C$2:$M$31,4,0),$O$42:$AS$71,VLOOKUP(AP$1,$C$2:$M$31,4,0)+1,0)</f>
        <v>0.47981485507068428</v>
      </c>
      <c r="AQ29">
        <f>VLOOKUP(VLOOKUP($O29,$C$2:$M$31,4,0),$O$42:$AS$71,VLOOKUP(AQ$1,$C$2:$M$31,4,0)+1,0)</f>
        <v>0.5</v>
      </c>
      <c r="AR29">
        <f>VLOOKUP(VLOOKUP($O29,$C$2:$M$31,4,0),$O$42:$AS$71,VLOOKUP(AR$1,$C$2:$M$31,4,0)+1,0)</f>
        <v>0.57751844190882151</v>
      </c>
      <c r="AS29">
        <f>VLOOKUP(VLOOKUP($O29,$C$2:$M$31,4,0),$O$42:$AS$71,VLOOKUP(AS$1,$C$2:$M$31,4,0)+1,0)</f>
        <v>0.52488627234984619</v>
      </c>
      <c r="AU29">
        <f t="shared" si="6"/>
        <v>17.838176305365874</v>
      </c>
      <c r="AV29">
        <f t="shared" si="7"/>
        <v>0.59460587684552912</v>
      </c>
    </row>
    <row r="30" spans="1:48" x14ac:dyDescent="0.25">
      <c r="A30" t="s">
        <v>106</v>
      </c>
      <c r="B30">
        <v>2017</v>
      </c>
      <c r="C30" t="str">
        <f t="shared" si="0"/>
        <v>UTAH</v>
      </c>
      <c r="D30" t="s">
        <v>109</v>
      </c>
      <c r="E30">
        <v>43</v>
      </c>
      <c r="F30">
        <f t="shared" si="1"/>
        <v>15</v>
      </c>
      <c r="G30">
        <v>40.5</v>
      </c>
      <c r="H30">
        <f t="shared" si="2"/>
        <v>17</v>
      </c>
      <c r="I30" t="s">
        <v>32</v>
      </c>
      <c r="J30">
        <v>0.6</v>
      </c>
      <c r="K30">
        <f t="shared" si="3"/>
        <v>10</v>
      </c>
      <c r="L30">
        <f t="shared" si="4"/>
        <v>43</v>
      </c>
      <c r="M30">
        <f t="shared" si="5"/>
        <v>13</v>
      </c>
      <c r="O30" t="s">
        <v>22</v>
      </c>
      <c r="P30">
        <f>VLOOKUP(VLOOKUP($O30,$C$2:$M$31,4,0),$O$42:$AS$71,VLOOKUP(P$1,$C$2:$M$31,4,0)+1,0)</f>
        <v>0.66409544658332809</v>
      </c>
      <c r="Q30">
        <f>VLOOKUP(VLOOKUP($O30,$C$2:$M$31,4,0),$O$42:$AS$71,VLOOKUP(Q$1,$C$2:$M$31,4,0)+1,0)</f>
        <v>0.39222929481995361</v>
      </c>
      <c r="R30">
        <f>VLOOKUP(VLOOKUP($O30,$C$2:$M$31,4,0),$O$42:$AS$71,VLOOKUP(R$1,$C$2:$M$31,4,0)+1,0)</f>
        <v>0.68061965309208583</v>
      </c>
      <c r="S30">
        <f>VLOOKUP(VLOOKUP($O30,$C$2:$M$31,4,0),$O$42:$AS$71,VLOOKUP(S$1,$C$2:$M$31,4,0)+1,0)</f>
        <v>0.46628187947032507</v>
      </c>
      <c r="T30">
        <f>VLOOKUP(VLOOKUP($O30,$C$2:$M$31,4,0),$O$42:$AS$71,VLOOKUP(T$1,$C$2:$M$31,4,0)+1,0)</f>
        <v>0.72953473790298751</v>
      </c>
      <c r="U30">
        <f>VLOOKUP(VLOOKUP($O30,$C$2:$M$31,4,0),$O$42:$AS$71,VLOOKUP(U$1,$C$2:$M$31,4,0)+1,0)</f>
        <v>0.41544436809019553</v>
      </c>
      <c r="V30">
        <f>VLOOKUP(VLOOKUP($O30,$C$2:$M$31,4,0),$O$42:$AS$71,VLOOKUP(V$1,$C$2:$M$31,4,0)+1,0)</f>
        <v>0.58346958313834041</v>
      </c>
      <c r="W30">
        <f>VLOOKUP(VLOOKUP($O30,$C$2:$M$31,4,0),$O$42:$AS$71,VLOOKUP(W$1,$C$2:$M$31,4,0)+1,0)</f>
        <v>0.51249739648421033</v>
      </c>
      <c r="X30">
        <f>VLOOKUP(VLOOKUP($O30,$C$2:$M$31,4,0),$O$42:$AS$71,VLOOKUP(X$1,$C$2:$M$31,4,0)+1,0)</f>
        <v>0.53928878009305825</v>
      </c>
      <c r="Y30">
        <f>VLOOKUP(VLOOKUP($O30,$C$2:$M$31,4,0),$O$42:$AS$71,VLOOKUP(Y$1,$C$2:$M$31,4,0)+1,0)</f>
        <v>0.3875228826260283</v>
      </c>
      <c r="Z30">
        <f>VLOOKUP(VLOOKUP($O30,$C$2:$M$31,4,0),$O$42:$AS$71,VLOOKUP(Z$1,$C$2:$M$31,4,0)+1,0)</f>
        <v>0.39734725240030316</v>
      </c>
      <c r="AA30">
        <f>VLOOKUP(VLOOKUP($O30,$C$2:$M$31,4,0),$O$42:$AS$71,VLOOKUP(AA$1,$C$2:$M$31,4,0)+1,0)</f>
        <v>0.58346958313834041</v>
      </c>
      <c r="AB30">
        <f>VLOOKUP(VLOOKUP($O30,$C$2:$M$31,4,0),$O$42:$AS$71,VLOOKUP(AB$1,$C$2:$M$31,4,0)+1,0)</f>
        <v>0.44695853169533922</v>
      </c>
      <c r="AC30">
        <f>VLOOKUP(VLOOKUP($O30,$C$2:$M$31,4,0),$O$42:$AS$71,VLOOKUP(AC$1,$C$2:$M$31,4,0)+1,0)</f>
        <v>0.63120864625121909</v>
      </c>
      <c r="AD30">
        <f>VLOOKUP(VLOOKUP($O30,$C$2:$M$31,4,0),$O$42:$AS$71,VLOOKUP(AD$1,$C$2:$M$31,4,0)+1,0)</f>
        <v>0.53928878009305825</v>
      </c>
      <c r="AE30">
        <f>VLOOKUP(VLOOKUP($O30,$C$2:$M$31,4,0),$O$42:$AS$71,VLOOKUP(AE$1,$C$2:$M$31,4,0)+1,0)</f>
        <v>0.43006434244243064</v>
      </c>
      <c r="AF30">
        <f>VLOOKUP(VLOOKUP($O30,$C$2:$M$31,4,0),$O$42:$AS$71,VLOOKUP(AF$1,$C$2:$M$31,4,0)+1,0)</f>
        <v>0.43006434244243064</v>
      </c>
      <c r="AG30">
        <f>VLOOKUP(VLOOKUP($O30,$C$2:$M$31,4,0),$O$42:$AS$71,VLOOKUP(AG$1,$C$2:$M$31,4,0)+1,0)</f>
        <v>0.46628187947032507</v>
      </c>
      <c r="AH30">
        <f>VLOOKUP(VLOOKUP($O30,$C$2:$M$31,4,0),$O$42:$AS$71,VLOOKUP(AH$1,$C$2:$M$31,4,0)+1,0)</f>
        <v>0.53928878009305825</v>
      </c>
      <c r="AI30">
        <f>VLOOKUP(VLOOKUP($O30,$C$2:$M$31,4,0),$O$42:$AS$71,VLOOKUP(AI$1,$C$2:$M$31,4,0)+1,0)</f>
        <v>0.68061965309208583</v>
      </c>
      <c r="AJ30">
        <f>VLOOKUP(VLOOKUP($O30,$C$2:$M$31,4,0),$O$42:$AS$71,VLOOKUP(AJ$1,$C$2:$M$31,4,0)+1,0)</f>
        <v>0.40290412497455375</v>
      </c>
      <c r="AK30">
        <f>VLOOKUP(VLOOKUP($O30,$C$2:$M$31,4,0),$O$42:$AS$71,VLOOKUP(AK$1,$C$2:$M$31,4,0)+1,0)</f>
        <v>0.61500767730198336</v>
      </c>
      <c r="AL30">
        <f>VLOOKUP(VLOOKUP($O30,$C$2:$M$31,4,0),$O$42:$AS$71,VLOOKUP(AL$1,$C$2:$M$31,4,0)+1,0)</f>
        <v>0.52560193997306337</v>
      </c>
      <c r="AM30">
        <f>VLOOKUP(VLOOKUP($O30,$C$2:$M$31,4,0),$O$42:$AS$71,VLOOKUP(AM$1,$C$2:$M$31,4,0)+1,0)</f>
        <v>0.68061965309208583</v>
      </c>
      <c r="AN30">
        <f>VLOOKUP(VLOOKUP($O30,$C$2:$M$31,4,0),$O$42:$AS$71,VLOOKUP(AN$1,$C$2:$M$31,4,0)+1,0)</f>
        <v>0.46628187947032507</v>
      </c>
      <c r="AO30">
        <f>VLOOKUP(VLOOKUP($O30,$C$2:$M$31,4,0),$O$42:$AS$71,VLOOKUP(AO$1,$C$2:$M$31,4,0)+1,0)</f>
        <v>0.64759781623680968</v>
      </c>
      <c r="AP30">
        <f>VLOOKUP(VLOOKUP($O30,$C$2:$M$31,4,0),$O$42:$AS$71,VLOOKUP(AP$1,$C$2:$M$31,4,0)+1,0)</f>
        <v>0.40290412497455375</v>
      </c>
      <c r="AQ30">
        <f>VLOOKUP(VLOOKUP($O30,$C$2:$M$31,4,0),$O$42:$AS$71,VLOOKUP(AQ$1,$C$2:$M$31,4,0)+1,0)</f>
        <v>0.42248155809117843</v>
      </c>
      <c r="AR30">
        <f>VLOOKUP(VLOOKUP($O30,$C$2:$M$31,4,0),$O$42:$AS$71,VLOOKUP(AR$1,$C$2:$M$31,4,0)+1,0)</f>
        <v>0.5</v>
      </c>
      <c r="AS30">
        <f>VLOOKUP(VLOOKUP($O30,$C$2:$M$31,4,0),$O$42:$AS$71,VLOOKUP(AS$1,$C$2:$M$31,4,0)+1,0)</f>
        <v>0.44695853169533922</v>
      </c>
      <c r="AU30">
        <f t="shared" si="6"/>
        <v>15.625933119228991</v>
      </c>
      <c r="AV30">
        <f t="shared" si="7"/>
        <v>0.52086443730763299</v>
      </c>
    </row>
    <row r="31" spans="1:48" x14ac:dyDescent="0.25">
      <c r="A31" t="s">
        <v>107</v>
      </c>
      <c r="B31">
        <v>2017</v>
      </c>
      <c r="C31" t="str">
        <f t="shared" si="0"/>
        <v>WSH</v>
      </c>
      <c r="D31" t="s">
        <v>109</v>
      </c>
      <c r="E31">
        <v>46</v>
      </c>
      <c r="F31">
        <f t="shared" si="1"/>
        <v>10</v>
      </c>
      <c r="G31">
        <v>47.5</v>
      </c>
      <c r="H31">
        <f t="shared" si="2"/>
        <v>9</v>
      </c>
      <c r="I31" t="s">
        <v>33</v>
      </c>
      <c r="J31">
        <v>0.54</v>
      </c>
      <c r="K31">
        <f t="shared" si="3"/>
        <v>22</v>
      </c>
      <c r="L31">
        <f t="shared" si="4"/>
        <v>42</v>
      </c>
      <c r="M31">
        <f t="shared" si="5"/>
        <v>14</v>
      </c>
      <c r="O31" t="s">
        <v>13</v>
      </c>
      <c r="P31">
        <f>VLOOKUP(VLOOKUP($O31,$C$2:$M$31,4,0),$O$42:$AS$71,VLOOKUP(P$1,$C$2:$M$31,4,0)+1,0)</f>
        <v>0.70983153480009242</v>
      </c>
      <c r="Q31">
        <f>VLOOKUP(VLOOKUP($O31,$C$2:$M$31,4,0),$O$42:$AS$71,VLOOKUP(Q$1,$C$2:$M$31,4,0)+1,0)</f>
        <v>0.44399008145113128</v>
      </c>
      <c r="R31">
        <f>VLOOKUP(VLOOKUP($O31,$C$2:$M$31,4,0),$O$42:$AS$71,VLOOKUP(R$1,$C$2:$M$31,4,0)+1,0)</f>
        <v>0.72503739011377732</v>
      </c>
      <c r="S31">
        <f>VLOOKUP(VLOOKUP($O31,$C$2:$M$31,4,0),$O$42:$AS$71,VLOOKUP(S$1,$C$2:$M$31,4,0)+1,0)</f>
        <v>0.51946257984989219</v>
      </c>
      <c r="T31">
        <f>VLOOKUP(VLOOKUP($O31,$C$2:$M$31,4,0),$O$42:$AS$71,VLOOKUP(T$1,$C$2:$M$31,4,0)+1,0)</f>
        <v>0.76945395023695973</v>
      </c>
      <c r="U31">
        <f>VLOOKUP(VLOOKUP($O31,$C$2:$M$31,4,0),$O$42:$AS$71,VLOOKUP(U$1,$C$2:$M$31,4,0)+1,0)</f>
        <v>0.46791015028381738</v>
      </c>
      <c r="V31">
        <f>VLOOKUP(VLOOKUP($O31,$C$2:$M$31,4,0),$O$42:$AS$71,VLOOKUP(V$1,$C$2:$M$31,4,0)+1,0)</f>
        <v>0.63413559101080075</v>
      </c>
      <c r="W31">
        <f>VLOOKUP(VLOOKUP($O31,$C$2:$M$31,4,0),$O$42:$AS$71,VLOOKUP(W$1,$C$2:$M$31,4,0)+1,0)</f>
        <v>0.5653655466667219</v>
      </c>
      <c r="X31">
        <f>VLOOKUP(VLOOKUP($O31,$C$2:$M$31,4,0),$O$42:$AS$71,VLOOKUP(X$1,$C$2:$M$31,4,0)+1,0)</f>
        <v>0.59156697009477588</v>
      </c>
      <c r="Y31">
        <f>VLOOKUP(VLOOKUP($O31,$C$2:$M$31,4,0),$O$42:$AS$71,VLOOKUP(Y$1,$C$2:$M$31,4,0)+1,0)</f>
        <v>0.43911131517920021</v>
      </c>
      <c r="Z31">
        <f>VLOOKUP(VLOOKUP($O31,$C$2:$M$31,4,0),$O$42:$AS$71,VLOOKUP(Z$1,$C$2:$M$31,4,0)+1,0)</f>
        <v>0.44928415963258811</v>
      </c>
      <c r="AA31">
        <f>VLOOKUP(VLOOKUP($O31,$C$2:$M$31,4,0),$O$42:$AS$71,VLOOKUP(AA$1,$C$2:$M$31,4,0)+1,0)</f>
        <v>0.63413559101080075</v>
      </c>
      <c r="AB31">
        <f>VLOOKUP(VLOOKUP($O31,$C$2:$M$31,4,0),$O$42:$AS$71,VLOOKUP(AB$1,$C$2:$M$31,4,0)+1,0)</f>
        <v>0.5</v>
      </c>
      <c r="AC31">
        <f>VLOOKUP(VLOOKUP($O31,$C$2:$M$31,4,0),$O$42:$AS$71,VLOOKUP(AC$1,$C$2:$M$31,4,0)+1,0)</f>
        <v>0.67925987859237846</v>
      </c>
      <c r="AD31">
        <f>VLOOKUP(VLOOKUP($O31,$C$2:$M$31,4,0),$O$42:$AS$71,VLOOKUP(AD$1,$C$2:$M$31,4,0)+1,0)</f>
        <v>0.59156697009477588</v>
      </c>
      <c r="AE31">
        <f>VLOOKUP(VLOOKUP($O31,$C$2:$M$31,4,0),$O$42:$AS$71,VLOOKUP(AE$1,$C$2:$M$31,4,0)+1,0)</f>
        <v>0.48285135991392952</v>
      </c>
      <c r="AF31">
        <f>VLOOKUP(VLOOKUP($O31,$C$2:$M$31,4,0),$O$42:$AS$71,VLOOKUP(AF$1,$C$2:$M$31,4,0)+1,0)</f>
        <v>0.48285135991392952</v>
      </c>
      <c r="AG31">
        <f>VLOOKUP(VLOOKUP($O31,$C$2:$M$31,4,0),$O$42:$AS$71,VLOOKUP(AG$1,$C$2:$M$31,4,0)+1,0)</f>
        <v>0.51946257984989219</v>
      </c>
      <c r="AH31">
        <f>VLOOKUP(VLOOKUP($O31,$C$2:$M$31,4,0),$O$42:$AS$71,VLOOKUP(AH$1,$C$2:$M$31,4,0)+1,0)</f>
        <v>0.59156697009477588</v>
      </c>
      <c r="AI31">
        <f>VLOOKUP(VLOOKUP($O31,$C$2:$M$31,4,0),$O$42:$AS$71,VLOOKUP(AI$1,$C$2:$M$31,4,0)+1,0)</f>
        <v>0.72503739011377732</v>
      </c>
      <c r="AJ31">
        <f>VLOOKUP(VLOOKUP($O31,$C$2:$M$31,4,0),$O$42:$AS$71,VLOOKUP(AJ$1,$C$2:$M$31,4,0)+1,0)</f>
        <v>0.45501896455728896</v>
      </c>
      <c r="AK31">
        <f>VLOOKUP(VLOOKUP($O31,$C$2:$M$31,4,0),$O$42:$AS$71,VLOOKUP(AK$1,$C$2:$M$31,4,0)+1,0)</f>
        <v>0.6640463003434689</v>
      </c>
      <c r="AL31">
        <f>VLOOKUP(VLOOKUP($O31,$C$2:$M$31,4,0),$O$42:$AS$71,VLOOKUP(AL$1,$C$2:$M$31,4,0)+1,0)</f>
        <v>0.57821853629945141</v>
      </c>
      <c r="AM31">
        <f>VLOOKUP(VLOOKUP($O31,$C$2:$M$31,4,0),$O$42:$AS$71,VLOOKUP(AM$1,$C$2:$M$31,4,0)+1,0)</f>
        <v>0.72503739011377732</v>
      </c>
      <c r="AN31">
        <f>VLOOKUP(VLOOKUP($O31,$C$2:$M$31,4,0),$O$42:$AS$71,VLOOKUP(AN$1,$C$2:$M$31,4,0)+1,0)</f>
        <v>0.51946257984989219</v>
      </c>
      <c r="AO31">
        <f>VLOOKUP(VLOOKUP($O31,$C$2:$M$31,4,0),$O$42:$AS$71,VLOOKUP(AO$1,$C$2:$M$31,4,0)+1,0)</f>
        <v>0.69454700244383094</v>
      </c>
      <c r="AP31">
        <f>VLOOKUP(VLOOKUP($O31,$C$2:$M$31,4,0),$O$42:$AS$71,VLOOKUP(AP$1,$C$2:$M$31,4,0)+1,0)</f>
        <v>0.45501896455728896</v>
      </c>
      <c r="AQ31">
        <f>VLOOKUP(VLOOKUP($O31,$C$2:$M$31,4,0),$O$42:$AS$71,VLOOKUP(AQ$1,$C$2:$M$31,4,0)+1,0)</f>
        <v>0.47511372765015386</v>
      </c>
      <c r="AR31">
        <f>VLOOKUP(VLOOKUP($O31,$C$2:$M$31,4,0),$O$42:$AS$71,VLOOKUP(AR$1,$C$2:$M$31,4,0)+1,0)</f>
        <v>0.55304146830466083</v>
      </c>
      <c r="AS31">
        <f>VLOOKUP(VLOOKUP($O31,$C$2:$M$31,4,0),$O$42:$AS$71,VLOOKUP(AS$1,$C$2:$M$31,4,0)+1,0)</f>
        <v>0.5</v>
      </c>
      <c r="AU31">
        <f t="shared" si="6"/>
        <v>17.141386303023829</v>
      </c>
      <c r="AV31">
        <f t="shared" si="7"/>
        <v>0.57137954343412767</v>
      </c>
    </row>
    <row r="32" spans="1:48" x14ac:dyDescent="0.25">
      <c r="E32">
        <f>SUM(E2:E31)</f>
        <v>1220</v>
      </c>
      <c r="G32">
        <f>SUM(G2:G31)</f>
        <v>1244</v>
      </c>
    </row>
    <row r="33" spans="5:45" x14ac:dyDescent="0.25">
      <c r="E33">
        <f>AVERAGE(E2:E31)</f>
        <v>40.666666666666664</v>
      </c>
      <c r="G33">
        <f>AVERAGE(G2:G31)</f>
        <v>41.466666666666669</v>
      </c>
      <c r="J33">
        <f>AVERAGE(J2:J31)</f>
        <v>0.57766666666666666</v>
      </c>
      <c r="L33">
        <f>AVERAGE(L2:L31)</f>
        <v>40</v>
      </c>
      <c r="M33">
        <f>AVERAGE(M2:M31)</f>
        <v>15.233333333333333</v>
      </c>
    </row>
    <row r="34" spans="5:45" x14ac:dyDescent="0.25">
      <c r="E34">
        <f>_xlfn.STDEV.P(E2:E31)</f>
        <v>11.827463332806781</v>
      </c>
      <c r="G34">
        <f>_xlfn.STDEV.P(G2:G31)</f>
        <v>10.464171677150986</v>
      </c>
      <c r="J34">
        <f>_xlfn.STDEV.P(J2:J31)</f>
        <v>5.4813826317413335E-2</v>
      </c>
      <c r="L34">
        <f>_xlfn.STDEV.P(L2:L31)</f>
        <v>11.673331429659088</v>
      </c>
      <c r="M34">
        <f>_xlfn.STDEV.P(M2:M31)</f>
        <v>8.6590351014930569</v>
      </c>
    </row>
    <row r="37" spans="5:45" x14ac:dyDescent="0.25">
      <c r="K37" t="s">
        <v>71</v>
      </c>
      <c r="L37">
        <v>1</v>
      </c>
      <c r="M37">
        <v>82</v>
      </c>
    </row>
    <row r="38" spans="5:45" x14ac:dyDescent="0.25">
      <c r="K38" t="s">
        <v>72</v>
      </c>
      <c r="L38">
        <v>0.1</v>
      </c>
      <c r="M38">
        <v>0.1</v>
      </c>
    </row>
    <row r="39" spans="5:45" x14ac:dyDescent="0.25">
      <c r="K39" t="s">
        <v>73</v>
      </c>
      <c r="L39">
        <v>15.5</v>
      </c>
      <c r="M39">
        <v>15.5</v>
      </c>
    </row>
    <row r="41" spans="5:45" x14ac:dyDescent="0.25">
      <c r="K41" t="s">
        <v>38</v>
      </c>
      <c r="L41" t="s">
        <v>74</v>
      </c>
      <c r="M41" t="s">
        <v>74</v>
      </c>
      <c r="P41">
        <v>1</v>
      </c>
      <c r="Q41">
        <v>2</v>
      </c>
      <c r="R41">
        <v>3</v>
      </c>
      <c r="S41">
        <v>4</v>
      </c>
      <c r="T41">
        <v>5</v>
      </c>
      <c r="U41">
        <v>6</v>
      </c>
      <c r="V41">
        <v>7</v>
      </c>
      <c r="W41">
        <v>8</v>
      </c>
      <c r="X41">
        <v>9</v>
      </c>
      <c r="Y41">
        <v>10</v>
      </c>
      <c r="Z41">
        <v>11</v>
      </c>
      <c r="AA41">
        <v>12</v>
      </c>
      <c r="AB41">
        <v>13</v>
      </c>
      <c r="AC41">
        <v>14</v>
      </c>
      <c r="AD41">
        <v>15</v>
      </c>
      <c r="AE41">
        <v>16</v>
      </c>
      <c r="AF41">
        <v>17</v>
      </c>
      <c r="AG41">
        <v>18</v>
      </c>
      <c r="AH41">
        <v>19</v>
      </c>
      <c r="AI41">
        <v>20</v>
      </c>
      <c r="AJ41">
        <v>21</v>
      </c>
      <c r="AK41">
        <v>22</v>
      </c>
      <c r="AL41">
        <v>23</v>
      </c>
      <c r="AM41">
        <v>24</v>
      </c>
      <c r="AN41">
        <v>25</v>
      </c>
      <c r="AO41">
        <v>26</v>
      </c>
      <c r="AP41">
        <v>27</v>
      </c>
      <c r="AQ41">
        <v>28</v>
      </c>
      <c r="AR41">
        <v>29</v>
      </c>
      <c r="AS41">
        <v>30</v>
      </c>
    </row>
    <row r="42" spans="5:45" x14ac:dyDescent="0.25">
      <c r="K42">
        <v>1</v>
      </c>
      <c r="L42">
        <f>L$37-L$37/(1+EXP(-L$38*($K42-L$39)))</f>
        <v>0.80999843398468707</v>
      </c>
      <c r="M42">
        <f>M$37-M$37/(1+EXP(-M$38*($K42-M$39)))</f>
        <v>66.419871586744335</v>
      </c>
      <c r="O42">
        <v>1</v>
      </c>
      <c r="P42">
        <f>VLOOKUP($O42,$K$42:$M$71,2,0)/(VLOOKUP($O42,$K$42:$M$71,2,0)+VLOOKUP(P$41,$K$42:$M$71,2,0))</f>
        <v>0.5</v>
      </c>
      <c r="Q42">
        <f>VLOOKUP($O42,$K$42:$M$71,2,0)/(VLOOKUP($O42,$K$42:$M$71,2,0)+VLOOKUP(Q$41,$K$42:$M$71,2,0))</f>
        <v>0.5049462403157613</v>
      </c>
      <c r="R42">
        <f>VLOOKUP($O42,$K$42:$M$71,2,0)/(VLOOKUP($O42,$K$42:$M$71,2,0)+VLOOKUP(R$41,$K$42:$M$71,2,0))</f>
        <v>0.5103000717980084</v>
      </c>
      <c r="S42">
        <f>VLOOKUP($O42,$K$42:$M$71,2,0)/(VLOOKUP($O42,$K$42:$M$71,2,0)+VLOOKUP(S$41,$K$42:$M$71,2,0))</f>
        <v>0.51608385353216846</v>
      </c>
      <c r="T42">
        <f>VLOOKUP($O42,$K$42:$M$71,2,0)/(VLOOKUP($O42,$K$42:$M$71,2,0)+VLOOKUP(T$41,$K$42:$M$71,2,0))</f>
        <v>0.52231903699980808</v>
      </c>
      <c r="U42">
        <f>VLOOKUP($O42,$K$42:$M$71,2,0)/(VLOOKUP($O42,$K$42:$M$71,2,0)+VLOOKUP(U$41,$K$42:$M$71,2,0))</f>
        <v>0.52902568929724392</v>
      </c>
      <c r="V42">
        <f>VLOOKUP($O42,$K$42:$M$71,2,0)/(VLOOKUP($O42,$K$42:$M$71,2,0)+VLOOKUP(V$41,$K$42:$M$71,2,0))</f>
        <v>0.53622195991228083</v>
      </c>
      <c r="W42">
        <f>VLOOKUP($O42,$K$42:$M$71,2,0)/(VLOOKUP($O42,$K$42:$M$71,2,0)+VLOOKUP(W$41,$K$42:$M$71,2,0))</f>
        <v>0.54392349704285703</v>
      </c>
      <c r="X42">
        <f>VLOOKUP($O42,$K$42:$M$71,2,0)/(VLOOKUP($O42,$K$42:$M$71,2,0)+VLOOKUP(X$41,$K$42:$M$71,2,0))</f>
        <v>0.5521428232847434</v>
      </c>
      <c r="Y42">
        <f>VLOOKUP($O42,$K$42:$M$71,2,0)/(VLOOKUP($O42,$K$42:$M$71,2,0)+VLOOKUP(Y$41,$K$42:$M$71,2,0))</f>
        <v>0.56088868482079979</v>
      </c>
      <c r="Z42">
        <f>VLOOKUP($O42,$K$42:$M$71,2,0)/(VLOOKUP($O42,$K$42:$M$71,2,0)+VLOOKUP(Z$41,$K$42:$M$71,2,0))</f>
        <v>0.57016539281455259</v>
      </c>
      <c r="AA42">
        <f>VLOOKUP($O42,$K$42:$M$71,2,0)/(VLOOKUP($O42,$K$42:$M$71,2,0)+VLOOKUP(AA$41,$K$42:$M$71,2,0))</f>
        <v>0.57997218025704711</v>
      </c>
      <c r="AB42">
        <f>VLOOKUP($O42,$K$42:$M$71,2,0)/(VLOOKUP($O42,$K$42:$M$71,2,0)+VLOOKUP(AB$41,$K$42:$M$71,2,0))</f>
        <v>0.59030260165854143</v>
      </c>
      <c r="AC42">
        <f>VLOOKUP($O42,$K$42:$M$71,2,0)/(VLOOKUP($O42,$K$42:$M$71,2,0)+VLOOKUP(AC$41,$K$42:$M$71,2,0))</f>
        <v>0.60114400626087006</v>
      </c>
      <c r="AD42">
        <f>VLOOKUP($O42,$K$42:$M$71,2,0)/(VLOOKUP($O42,$K$42:$M$71,2,0)+VLOOKUP(AD$41,$K$42:$M$71,2,0))</f>
        <v>0.6124771173739717</v>
      </c>
      <c r="AE42">
        <f>VLOOKUP($O42,$K$42:$M$71,2,0)/(VLOOKUP($O42,$K$42:$M$71,2,0)+VLOOKUP(AE$41,$K$42:$M$71,2,0))</f>
        <v>0.6242757505189197</v>
      </c>
      <c r="AF42">
        <f>VLOOKUP($O42,$K$42:$M$71,2,0)/(VLOOKUP($O42,$K$42:$M$71,2,0)+VLOOKUP(AF$41,$K$42:$M$71,2,0))</f>
        <v>0.63650670086846906</v>
      </c>
      <c r="AG42">
        <f>VLOOKUP($O42,$K$42:$M$71,2,0)/(VLOOKUP($O42,$K$42:$M$71,2,0)+VLOOKUP(AG$41,$K$42:$M$71,2,0))</f>
        <v>0.64912982573812106</v>
      </c>
      <c r="AH42">
        <f>VLOOKUP($O42,$K$42:$M$71,2,0)/(VLOOKUP($O42,$K$42:$M$71,2,0)+VLOOKUP(AH$41,$K$42:$M$71,2,0))</f>
        <v>0.66209834053688055</v>
      </c>
      <c r="AI42">
        <f>VLOOKUP($O42,$K$42:$M$71,2,0)/(VLOOKUP($O42,$K$42:$M$71,2,0)+VLOOKUP(AI$41,$K$42:$M$71,2,0))</f>
        <v>0.67535933685315919</v>
      </c>
      <c r="AJ42">
        <f>VLOOKUP($O42,$K$42:$M$71,2,0)/(VLOOKUP($O42,$K$42:$M$71,2,0)+VLOOKUP(AJ$41,$K$42:$M$71,2,0))</f>
        <v>0.68885451974663314</v>
      </c>
      <c r="AK42">
        <f>VLOOKUP($O42,$K$42:$M$71,2,0)/(VLOOKUP($O42,$K$42:$M$71,2,0)+VLOOKUP(AK$41,$K$42:$M$71,2,0))</f>
        <v>0.70252114864958182</v>
      </c>
      <c r="AL42">
        <f>VLOOKUP($O42,$K$42:$M$71,2,0)/(VLOOKUP($O42,$K$42:$M$71,2,0)+VLOOKUP(AL$41,$K$42:$M$71,2,0))</f>
        <v>0.71629315358675483</v>
      </c>
      <c r="AM42">
        <f>VLOOKUP($O42,$K$42:$M$71,2,0)/(VLOOKUP($O42,$K$42:$M$71,2,0)+VLOOKUP(AM$41,$K$42:$M$71,2,0))</f>
        <v>0.73010238685598194</v>
      </c>
      <c r="AN42">
        <f>VLOOKUP($O42,$K$42:$M$71,2,0)/(VLOOKUP($O42,$K$42:$M$71,2,0)+VLOOKUP(AN$41,$K$42:$M$71,2,0))</f>
        <v>0.74387996100574205</v>
      </c>
      <c r="AO42">
        <f>VLOOKUP($O42,$K$42:$M$71,2,0)/(VLOOKUP($O42,$K$42:$M$71,2,0)+VLOOKUP(AO$41,$K$42:$M$71,2,0))</f>
        <v>0.75755761785984232</v>
      </c>
      <c r="AP42">
        <f>VLOOKUP($O42,$K$42:$M$71,2,0)/(VLOOKUP($O42,$K$42:$M$71,2,0)+VLOOKUP(AP$41,$K$42:$M$71,2,0))</f>
        <v>0.77106907112086653</v>
      </c>
      <c r="AQ42">
        <f>VLOOKUP($O42,$K$42:$M$71,2,0)/(VLOOKUP($O42,$K$42:$M$71,2,0)+VLOOKUP(AQ$41,$K$42:$M$71,2,0))</f>
        <v>0.7843512669729592</v>
      </c>
      <c r="AR42">
        <f>VLOOKUP($O42,$K$42:$M$71,2,0)/(VLOOKUP($O42,$K$42:$M$71,2,0)+VLOOKUP(AR$41,$K$42:$M$71,2,0))</f>
        <v>0.7973455128964857</v>
      </c>
      <c r="AS42">
        <f>VLOOKUP($O42,$K$42:$M$71,2,0)/(VLOOKUP($O42,$K$42:$M$71,2,0)+VLOOKUP(AS$41,$K$42:$M$71,2,0))</f>
        <v>0.80999843398468707</v>
      </c>
    </row>
    <row r="43" spans="5:45" x14ac:dyDescent="0.25">
      <c r="K43">
        <v>2</v>
      </c>
      <c r="L43">
        <f>L$37-L$37/(1+EXP(-L$38*($K43-L$39)))</f>
        <v>0.79412962819905264</v>
      </c>
      <c r="M43">
        <f>M$37-M$37/(1+EXP(-M$38*($K43-M$39)))</f>
        <v>65.118629512322315</v>
      </c>
      <c r="O43">
        <v>2</v>
      </c>
      <c r="P43">
        <f>VLOOKUP($O43,$K$42:$M$71,2,0)/(VLOOKUP($O43,$K$42:$M$71,2,0)+VLOOKUP(P$41,$K$42:$M$71,2,0))</f>
        <v>0.4950537596842387</v>
      </c>
      <c r="Q43">
        <f>VLOOKUP($O43,$K$42:$M$71,2,0)/(VLOOKUP($O43,$K$42:$M$71,2,0)+VLOOKUP(Q$41,$K$42:$M$71,2,0))</f>
        <v>0.5</v>
      </c>
      <c r="R43">
        <f>VLOOKUP($O43,$K$42:$M$71,2,0)/(VLOOKUP($O43,$K$42:$M$71,2,0)+VLOOKUP(R$41,$K$42:$M$71,2,0))</f>
        <v>0.50535492274332605</v>
      </c>
      <c r="S43">
        <f>VLOOKUP($O43,$K$42:$M$71,2,0)/(VLOOKUP($O43,$K$42:$M$71,2,0)+VLOOKUP(S$41,$K$42:$M$71,2,0))</f>
        <v>0.51114115853826414</v>
      </c>
      <c r="T43">
        <f>VLOOKUP($O43,$K$42:$M$71,2,0)/(VLOOKUP($O43,$K$42:$M$71,2,0)+VLOOKUP(T$41,$K$42:$M$71,2,0))</f>
        <v>0.5173804715749748</v>
      </c>
      <c r="U43">
        <f>VLOOKUP($O43,$K$42:$M$71,2,0)/(VLOOKUP($O43,$K$42:$M$71,2,0)+VLOOKUP(U$41,$K$42:$M$71,2,0))</f>
        <v>0.52409328508382835</v>
      </c>
      <c r="V43">
        <f>VLOOKUP($O43,$K$42:$M$71,2,0)/(VLOOKUP($O43,$K$42:$M$71,2,0)+VLOOKUP(V$41,$K$42:$M$71,2,0))</f>
        <v>0.53129814941760756</v>
      </c>
      <c r="W43">
        <f>VLOOKUP($O43,$K$42:$M$71,2,0)/(VLOOKUP($O43,$K$42:$M$71,2,0)+VLOOKUP(W$41,$K$42:$M$71,2,0))</f>
        <v>0.53901115838682301</v>
      </c>
      <c r="X43">
        <f>VLOOKUP($O43,$K$42:$M$71,2,0)/(VLOOKUP($O43,$K$42:$M$71,2,0)+VLOOKUP(X$41,$K$42:$M$71,2,0))</f>
        <v>0.54724532331096509</v>
      </c>
      <c r="Y43">
        <f>VLOOKUP($O43,$K$42:$M$71,2,0)/(VLOOKUP($O43,$K$42:$M$71,2,0)+VLOOKUP(Y$41,$K$42:$M$71,2,0))</f>
        <v>0.55600991854886872</v>
      </c>
      <c r="Z43">
        <f>VLOOKUP($O43,$K$42:$M$71,2,0)/(VLOOKUP($O43,$K$42:$M$71,2,0)+VLOOKUP(Z$41,$K$42:$M$71,2,0))</f>
        <v>0.56530981686525417</v>
      </c>
      <c r="AA43">
        <f>VLOOKUP($O43,$K$42:$M$71,2,0)/(VLOOKUP($O43,$K$42:$M$71,2,0)+VLOOKUP(AA$41,$K$42:$M$71,2,0))</f>
        <v>0.57514483759670265</v>
      </c>
      <c r="AB43">
        <f>VLOOKUP($O43,$K$42:$M$71,2,0)/(VLOOKUP($O43,$K$42:$M$71,2,0)+VLOOKUP(AB$41,$K$42:$M$71,2,0))</f>
        <v>0.58550913482554334</v>
      </c>
      <c r="AC43">
        <f>VLOOKUP($O43,$K$42:$M$71,2,0)/(VLOOKUP($O43,$K$42:$M$71,2,0)+VLOOKUP(AC$41,$K$42:$M$71,2,0))</f>
        <v>0.59639065620265419</v>
      </c>
      <c r="AD43">
        <f>VLOOKUP($O43,$K$42:$M$71,2,0)/(VLOOKUP($O43,$K$42:$M$71,2,0)+VLOOKUP(AD$41,$K$42:$M$71,2,0))</f>
        <v>0.60777070518004639</v>
      </c>
      <c r="AE43">
        <f>VLOOKUP($O43,$K$42:$M$71,2,0)/(VLOOKUP($O43,$K$42:$M$71,2,0)+VLOOKUP(AE$41,$K$42:$M$71,2,0))</f>
        <v>0.61962363972112011</v>
      </c>
      <c r="AF43">
        <f>VLOOKUP($O43,$K$42:$M$71,2,0)/(VLOOKUP($O43,$K$42:$M$71,2,0)+VLOOKUP(AF$41,$K$42:$M$71,2,0))</f>
        <v>0.6319167386141652</v>
      </c>
      <c r="AG43">
        <f>VLOOKUP($O43,$K$42:$M$71,2,0)/(VLOOKUP($O43,$K$42:$M$71,2,0)+VLOOKUP(AG$41,$K$42:$M$71,2,0))</f>
        <v>0.64461026202429994</v>
      </c>
      <c r="AH43">
        <f>VLOOKUP($O43,$K$42:$M$71,2,0)/(VLOOKUP($O43,$K$42:$M$71,2,0)+VLOOKUP(AH$41,$K$42:$M$71,2,0))</f>
        <v>0.65765772579365422</v>
      </c>
      <c r="AI43">
        <f>VLOOKUP($O43,$K$42:$M$71,2,0)/(VLOOKUP($O43,$K$42:$M$71,2,0)+VLOOKUP(AI$41,$K$42:$M$71,2,0))</f>
        <v>0.67100639942449314</v>
      </c>
      <c r="AJ43">
        <f>VLOOKUP($O43,$K$42:$M$71,2,0)/(VLOOKUP($O43,$K$42:$M$71,2,0)+VLOOKUP(AJ$41,$K$42:$M$71,2,0))</f>
        <v>0.68459802614500498</v>
      </c>
      <c r="AK43">
        <f>VLOOKUP($O43,$K$42:$M$71,2,0)/(VLOOKUP($O43,$K$42:$M$71,2,0)+VLOOKUP(AK$41,$K$42:$M$71,2,0))</f>
        <v>0.69836975074817398</v>
      </c>
      <c r="AL43">
        <f>VLOOKUP($O43,$K$42:$M$71,2,0)/(VLOOKUP($O43,$K$42:$M$71,2,0)+VLOOKUP(AL$41,$K$42:$M$71,2,0))</f>
        <v>0.71225522803452535</v>
      </c>
      <c r="AM43">
        <f>VLOOKUP($O43,$K$42:$M$71,2,0)/(VLOOKUP($O43,$K$42:$M$71,2,0)+VLOOKUP(AM$41,$K$42:$M$71,2,0))</f>
        <v>0.72618587283790192</v>
      </c>
      <c r="AN43">
        <f>VLOOKUP($O43,$K$42:$M$71,2,0)/(VLOOKUP($O43,$K$42:$M$71,2,0)+VLOOKUP(AN$41,$K$42:$M$71,2,0))</f>
        <v>0.74009220292294864</v>
      </c>
      <c r="AO43">
        <f>VLOOKUP($O43,$K$42:$M$71,2,0)/(VLOOKUP($O43,$K$42:$M$71,2,0)+VLOOKUP(AO$41,$K$42:$M$71,2,0))</f>
        <v>0.7539052195077891</v>
      </c>
      <c r="AP43">
        <f>VLOOKUP($O43,$K$42:$M$71,2,0)/(VLOOKUP($O43,$K$42:$M$71,2,0)+VLOOKUP(AP$41,$K$42:$M$71,2,0))</f>
        <v>0.76755776747904569</v>
      </c>
      <c r="AQ43">
        <f>VLOOKUP($O43,$K$42:$M$71,2,0)/(VLOOKUP($O43,$K$42:$M$71,2,0)+VLOOKUP(AQ$41,$K$42:$M$71,2,0))</f>
        <v>0.78098581881899864</v>
      </c>
      <c r="AR43">
        <f>VLOOKUP($O43,$K$42:$M$71,2,0)/(VLOOKUP($O43,$K$42:$M$71,2,0)+VLOOKUP(AR$41,$K$42:$M$71,2,0))</f>
        <v>0.79412962819905275</v>
      </c>
      <c r="AS43">
        <f>VLOOKUP($O43,$K$42:$M$71,2,0)/(VLOOKUP($O43,$K$42:$M$71,2,0)+VLOOKUP(AS$41,$K$42:$M$71,2,0))</f>
        <v>0.80693471852907617</v>
      </c>
    </row>
    <row r="44" spans="5:45" x14ac:dyDescent="0.25">
      <c r="K44">
        <v>3</v>
      </c>
      <c r="L44">
        <f>L$37-L$37/(1+EXP(-L$38*($K44-L$39)))</f>
        <v>0.77729986117469119</v>
      </c>
      <c r="M44">
        <f>M$37-M$37/(1+EXP(-M$38*($K44-M$39)))</f>
        <v>63.738588616324677</v>
      </c>
      <c r="O44">
        <v>3</v>
      </c>
      <c r="P44">
        <f>VLOOKUP($O44,$K$42:$M$71,2,0)/(VLOOKUP($O44,$K$42:$M$71,2,0)+VLOOKUP(P$41,$K$42:$M$71,2,0))</f>
        <v>0.48969992820199154</v>
      </c>
      <c r="Q44">
        <f>VLOOKUP($O44,$K$42:$M$71,2,0)/(VLOOKUP($O44,$K$42:$M$71,2,0)+VLOOKUP(Q$41,$K$42:$M$71,2,0))</f>
        <v>0.49464507725667389</v>
      </c>
      <c r="R44">
        <f>VLOOKUP($O44,$K$42:$M$71,2,0)/(VLOOKUP($O44,$K$42:$M$71,2,0)+VLOOKUP(R$41,$K$42:$M$71,2,0))</f>
        <v>0.5</v>
      </c>
      <c r="S44">
        <f>VLOOKUP($O44,$K$42:$M$71,2,0)/(VLOOKUP($O44,$K$42:$M$71,2,0)+VLOOKUP(S$41,$K$42:$M$71,2,0))</f>
        <v>0.5057876169528488</v>
      </c>
      <c r="T44">
        <f>VLOOKUP($O44,$K$42:$M$71,2,0)/(VLOOKUP($O44,$K$42:$M$71,2,0)+VLOOKUP(T$41,$K$42:$M$71,2,0))</f>
        <v>0.51203002742234893</v>
      </c>
      <c r="U44">
        <f>VLOOKUP($O44,$K$42:$M$71,2,0)/(VLOOKUP($O44,$K$42:$M$71,2,0)+VLOOKUP(U$41,$K$42:$M$71,2,0))</f>
        <v>0.51874803765381217</v>
      </c>
      <c r="V44">
        <f>VLOOKUP($O44,$K$42:$M$71,2,0)/(VLOOKUP($O44,$K$42:$M$71,2,0)+VLOOKUP(V$41,$K$42:$M$71,2,0))</f>
        <v>0.52596063059506537</v>
      </c>
      <c r="W44">
        <f>VLOOKUP($O44,$K$42:$M$71,2,0)/(VLOOKUP($O44,$K$42:$M$71,2,0)+VLOOKUP(W$41,$K$42:$M$71,2,0))</f>
        <v>0.53368438254790151</v>
      </c>
      <c r="X44">
        <f>VLOOKUP($O44,$K$42:$M$71,2,0)/(VLOOKUP($O44,$K$42:$M$71,2,0)+VLOOKUP(X$41,$K$42:$M$71,2,0))</f>
        <v>0.54193283576822526</v>
      </c>
      <c r="Y44">
        <f>VLOOKUP($O44,$K$42:$M$71,2,0)/(VLOOKUP($O44,$K$42:$M$71,2,0)+VLOOKUP(Y$41,$K$42:$M$71,2,0))</f>
        <v>0.55071584036741195</v>
      </c>
      <c r="Z44">
        <f>VLOOKUP($O44,$K$42:$M$71,2,0)/(VLOOKUP($O44,$K$42:$M$71,2,0)+VLOOKUP(Z$41,$K$42:$M$71,2,0))</f>
        <v>0.5600388834823441</v>
      </c>
      <c r="AA44">
        <f>VLOOKUP($O44,$K$42:$M$71,2,0)/(VLOOKUP($O44,$K$42:$M$71,2,0)+VLOOKUP(AA$41,$K$42:$M$71,2,0))</f>
        <v>0.56990242834804428</v>
      </c>
      <c r="AB44">
        <f>VLOOKUP($O44,$K$42:$M$71,2,0)/(VLOOKUP($O44,$K$42:$M$71,2,0)+VLOOKUP(AB$41,$K$42:$M$71,2,0))</f>
        <v>0.58030129025866994</v>
      </c>
      <c r="AC44">
        <f>VLOOKUP($O44,$K$42:$M$71,2,0)/(VLOOKUP($O44,$K$42:$M$71,2,0)+VLOOKUP(AC$41,$K$42:$M$71,2,0))</f>
        <v>0.59122407999213222</v>
      </c>
      <c r="AD44">
        <f>VLOOKUP($O44,$K$42:$M$71,2,0)/(VLOOKUP($O44,$K$42:$M$71,2,0)+VLOOKUP(AD$41,$K$42:$M$71,2,0))</f>
        <v>0.60265274759969689</v>
      </c>
      <c r="AE44">
        <f>VLOOKUP($O44,$K$42:$M$71,2,0)/(VLOOKUP($O44,$K$42:$M$71,2,0)+VLOOKUP(AE$41,$K$42:$M$71,2,0))</f>
        <v>0.61456226001655523</v>
      </c>
      <c r="AF44">
        <f>VLOOKUP($O44,$K$42:$M$71,2,0)/(VLOOKUP($O44,$K$42:$M$71,2,0)+VLOOKUP(AF$41,$K$42:$M$71,2,0))</f>
        <v>0.62692044428040861</v>
      </c>
      <c r="AG44">
        <f>VLOOKUP($O44,$K$42:$M$71,2,0)/(VLOOKUP($O44,$K$42:$M$71,2,0)+VLOOKUP(AG$41,$K$42:$M$71,2,0))</f>
        <v>0.63968802393025326</v>
      </c>
      <c r="AH44">
        <f>VLOOKUP($O44,$K$42:$M$71,2,0)/(VLOOKUP($O44,$K$42:$M$71,2,0)+VLOOKUP(AH$41,$K$42:$M$71,2,0))</f>
        <v>0.65281886927975719</v>
      </c>
      <c r="AI44">
        <f>VLOOKUP($O44,$K$42:$M$71,2,0)/(VLOOKUP($O44,$K$42:$M$71,2,0)+VLOOKUP(AI$41,$K$42:$M$71,2,0))</f>
        <v>0.66626047287054802</v>
      </c>
      <c r="AJ44">
        <f>VLOOKUP($O44,$K$42:$M$71,2,0)/(VLOOKUP($O44,$K$42:$M$71,2,0)+VLOOKUP(AJ$41,$K$42:$M$71,2,0))</f>
        <v>0.67995464996754418</v>
      </c>
      <c r="AK44">
        <f>VLOOKUP($O44,$K$42:$M$71,2,0)/(VLOOKUP($O44,$K$42:$M$71,2,0)+VLOOKUP(AK$41,$K$42:$M$71,2,0))</f>
        <v>0.69383845122039145</v>
      </c>
      <c r="AL44">
        <f>VLOOKUP($O44,$K$42:$M$71,2,0)/(VLOOKUP($O44,$K$42:$M$71,2,0)+VLOOKUP(AL$41,$K$42:$M$71,2,0))</f>
        <v>0.70784526159162375</v>
      </c>
      <c r="AM44">
        <f>VLOOKUP($O44,$K$42:$M$71,2,0)/(VLOOKUP($O44,$K$42:$M$71,2,0)+VLOOKUP(AM$41,$K$42:$M$71,2,0))</f>
        <v>0.72190604750327503</v>
      </c>
      <c r="AN44">
        <f>VLOOKUP($O44,$K$42:$M$71,2,0)/(VLOOKUP($O44,$K$42:$M$71,2,0)+VLOOKUP(AN$41,$K$42:$M$71,2,0))</f>
        <v>0.73595070405215601</v>
      </c>
      <c r="AO44">
        <f>VLOOKUP($O44,$K$42:$M$71,2,0)/(VLOOKUP($O44,$K$42:$M$71,2,0)+VLOOKUP(AO$41,$K$42:$M$71,2,0))</f>
        <v>0.7499094471207608</v>
      </c>
      <c r="AP44">
        <f>VLOOKUP($O44,$K$42:$M$71,2,0)/(VLOOKUP($O44,$K$42:$M$71,2,0)+VLOOKUP(AP$41,$K$42:$M$71,2,0))</f>
        <v>0.76371419200876312</v>
      </c>
      <c r="AQ44">
        <f>VLOOKUP($O44,$K$42:$M$71,2,0)/(VLOOKUP($O44,$K$42:$M$71,2,0)+VLOOKUP(AQ$41,$K$42:$M$71,2,0))</f>
        <v>0.77729986117469119</v>
      </c>
      <c r="AR44">
        <f>VLOOKUP($O44,$K$42:$M$71,2,0)/(VLOOKUP($O44,$K$42:$M$71,2,0)+VLOOKUP(AR$41,$K$42:$M$71,2,0))</f>
        <v>0.79060556870414478</v>
      </c>
      <c r="AS44">
        <f>VLOOKUP($O44,$K$42:$M$71,2,0)/(VLOOKUP($O44,$K$42:$M$71,2,0)+VLOOKUP(AS$41,$K$42:$M$71,2,0))</f>
        <v>0.80357563767142925</v>
      </c>
    </row>
    <row r="45" spans="5:45" x14ac:dyDescent="0.25">
      <c r="K45">
        <v>4</v>
      </c>
      <c r="L45">
        <f>L$37-L$37/(1+EXP(-L$38*($K45-L$39)))</f>
        <v>0.7595109169491111</v>
      </c>
      <c r="M45">
        <f>M$37-M$37/(1+EXP(-M$38*($K45-M$39)))</f>
        <v>62.279895189827116</v>
      </c>
      <c r="O45">
        <v>4</v>
      </c>
      <c r="P45">
        <f>VLOOKUP($O45,$K$42:$M$71,2,0)/(VLOOKUP($O45,$K$42:$M$71,2,0)+VLOOKUP(P$41,$K$42:$M$71,2,0))</f>
        <v>0.4839161464678316</v>
      </c>
      <c r="Q45">
        <f>VLOOKUP($O45,$K$42:$M$71,2,0)/(VLOOKUP($O45,$K$42:$M$71,2,0)+VLOOKUP(Q$41,$K$42:$M$71,2,0))</f>
        <v>0.48885884146173592</v>
      </c>
      <c r="R45">
        <f>VLOOKUP($O45,$K$42:$M$71,2,0)/(VLOOKUP($O45,$K$42:$M$71,2,0)+VLOOKUP(R$41,$K$42:$M$71,2,0))</f>
        <v>0.4942123830471512</v>
      </c>
      <c r="S45">
        <f>VLOOKUP($O45,$K$42:$M$71,2,0)/(VLOOKUP($O45,$K$42:$M$71,2,0)+VLOOKUP(S$41,$K$42:$M$71,2,0))</f>
        <v>0.5</v>
      </c>
      <c r="T45">
        <f>VLOOKUP($O45,$K$42:$M$71,2,0)/(VLOOKUP($O45,$K$42:$M$71,2,0)+VLOOKUP(T$41,$K$42:$M$71,2,0))</f>
        <v>0.50624414946988938</v>
      </c>
      <c r="U45">
        <f>VLOOKUP($O45,$K$42:$M$71,2,0)/(VLOOKUP($O45,$K$42:$M$71,2,0)+VLOOKUP(U$41,$K$42:$M$71,2,0))</f>
        <v>0.51296604830099757</v>
      </c>
      <c r="V45">
        <f>VLOOKUP($O45,$K$42:$M$71,2,0)/(VLOOKUP($O45,$K$42:$M$71,2,0)+VLOOKUP(V$41,$K$42:$M$71,2,0))</f>
        <v>0.52018514492931578</v>
      </c>
      <c r="W45">
        <f>VLOOKUP($O45,$K$42:$M$71,2,0)/(VLOOKUP($O45,$K$42:$M$71,2,0)+VLOOKUP(W$41,$K$42:$M$71,2,0))</f>
        <v>0.52791853672723188</v>
      </c>
      <c r="X45">
        <f>VLOOKUP($O45,$K$42:$M$71,2,0)/(VLOOKUP($O45,$K$42:$M$71,2,0)+VLOOKUP(X$41,$K$42:$M$71,2,0))</f>
        <v>0.53618034141599769</v>
      </c>
      <c r="Y45">
        <f>VLOOKUP($O45,$K$42:$M$71,2,0)/(VLOOKUP($O45,$K$42:$M$71,2,0)+VLOOKUP(Y$41,$K$42:$M$71,2,0))</f>
        <v>0.54498103544271093</v>
      </c>
      <c r="Z45">
        <f>VLOOKUP($O45,$K$42:$M$71,2,0)/(VLOOKUP($O45,$K$42:$M$71,2,0)+VLOOKUP(Z$41,$K$42:$M$71,2,0))</f>
        <v>0.55432677685080056</v>
      </c>
      <c r="AA45">
        <f>VLOOKUP($O45,$K$42:$M$71,2,0)/(VLOOKUP($O45,$K$42:$M$71,2,0)+VLOOKUP(AA$41,$K$42:$M$71,2,0))</f>
        <v>0.56421873489889152</v>
      </c>
      <c r="AB45">
        <f>VLOOKUP($O45,$K$42:$M$71,2,0)/(VLOOKUP($O45,$K$42:$M$71,2,0)+VLOOKUP(AB$41,$K$42:$M$71,2,0))</f>
        <v>0.57465245314454594</v>
      </c>
      <c r="AC45">
        <f>VLOOKUP($O45,$K$42:$M$71,2,0)/(VLOOKUP($O45,$K$42:$M$71,2,0)+VLOOKUP(AC$41,$K$42:$M$71,2,0))</f>
        <v>0.58561727646401696</v>
      </c>
      <c r="AD45">
        <f>VLOOKUP($O45,$K$42:$M$71,2,0)/(VLOOKUP($O45,$K$42:$M$71,2,0)+VLOOKUP(AD$41,$K$42:$M$71,2,0))</f>
        <v>0.59709587502544614</v>
      </c>
      <c r="AE45">
        <f>VLOOKUP($O45,$K$42:$M$71,2,0)/(VLOOKUP($O45,$K$42:$M$71,2,0)+VLOOKUP(AE$41,$K$42:$M$71,2,0))</f>
        <v>0.60906389905536606</v>
      </c>
      <c r="AF45">
        <f>VLOOKUP($O45,$K$42:$M$71,2,0)/(VLOOKUP($O45,$K$42:$M$71,2,0)+VLOOKUP(AF$41,$K$42:$M$71,2,0))</f>
        <v>0.62148979686870964</v>
      </c>
      <c r="AG45">
        <f>VLOOKUP($O45,$K$42:$M$71,2,0)/(VLOOKUP($O45,$K$42:$M$71,2,0)+VLOOKUP(AG$41,$K$42:$M$71,2,0))</f>
        <v>0.63433482472364633</v>
      </c>
      <c r="AH45">
        <f>VLOOKUP($O45,$K$42:$M$71,2,0)/(VLOOKUP($O45,$K$42:$M$71,2,0)+VLOOKUP(AH$41,$K$42:$M$71,2,0))</f>
        <v>0.64755327046501754</v>
      </c>
      <c r="AI45">
        <f>VLOOKUP($O45,$K$42:$M$71,2,0)/(VLOOKUP($O45,$K$42:$M$71,2,0)+VLOOKUP(AI$41,$K$42:$M$71,2,0))</f>
        <v>0.66109290374875085</v>
      </c>
      <c r="AJ45">
        <f>VLOOKUP($O45,$K$42:$M$71,2,0)/(VLOOKUP($O45,$K$42:$M$71,2,0)+VLOOKUP(AJ$41,$K$42:$M$71,2,0))</f>
        <v>0.67489565431501664</v>
      </c>
      <c r="AK45">
        <f>VLOOKUP($O45,$K$42:$M$71,2,0)/(VLOOKUP($O45,$K$42:$M$71,2,0)+VLOOKUP(AK$41,$K$42:$M$71,2,0))</f>
        <v>0.68889850702886168</v>
      </c>
      <c r="AL45">
        <f>VLOOKUP($O45,$K$42:$M$71,2,0)/(VLOOKUP($O45,$K$42:$M$71,2,0)+VLOOKUP(AL$41,$K$42:$M$71,2,0))</f>
        <v>0.70303458922502959</v>
      </c>
      <c r="AM45">
        <f>VLOOKUP($O45,$K$42:$M$71,2,0)/(VLOOKUP($O45,$K$42:$M$71,2,0)+VLOOKUP(AM$41,$K$42:$M$71,2,0))</f>
        <v>0.71723441343763528</v>
      </c>
      <c r="AN45">
        <f>VLOOKUP($O45,$K$42:$M$71,2,0)/(VLOOKUP($O45,$K$42:$M$71,2,0)+VLOOKUP(AN$41,$K$42:$M$71,2,0))</f>
        <v>0.73142722805708205</v>
      </c>
      <c r="AO45">
        <f>VLOOKUP($O45,$K$42:$M$71,2,0)/(VLOOKUP($O45,$K$42:$M$71,2,0)+VLOOKUP(AO$41,$K$42:$M$71,2,0))</f>
        <v>0.74554242090501455</v>
      </c>
      <c r="AP45">
        <f>VLOOKUP($O45,$K$42:$M$71,2,0)/(VLOOKUP($O45,$K$42:$M$71,2,0)+VLOOKUP(AP$41,$K$42:$M$71,2,0))</f>
        <v>0.7595109169491111</v>
      </c>
      <c r="AQ45">
        <f>VLOOKUP($O45,$K$42:$M$71,2,0)/(VLOOKUP($O45,$K$42:$M$71,2,0)+VLOOKUP(AQ$41,$K$42:$M$71,2,0))</f>
        <v>0.77326651179901251</v>
      </c>
      <c r="AR45">
        <f>VLOOKUP($O45,$K$42:$M$71,2,0)/(VLOOKUP($O45,$K$42:$M$71,2,0)+VLOOKUP(AR$41,$K$42:$M$71,2,0))</f>
        <v>0.78674708718717667</v>
      </c>
      <c r="AS45">
        <f>VLOOKUP($O45,$K$42:$M$71,2,0)/(VLOOKUP($O45,$K$42:$M$71,2,0)+VLOOKUP(AS$41,$K$42:$M$71,2,0))</f>
        <v>0.79989566285414293</v>
      </c>
    </row>
    <row r="46" spans="5:45" x14ac:dyDescent="0.25">
      <c r="K46">
        <v>5</v>
      </c>
      <c r="L46">
        <f>L$37-L$37/(1+EXP(-L$38*($K46-L$39)))</f>
        <v>0.740774899182154</v>
      </c>
      <c r="M46">
        <f>M$37-M$37/(1+EXP(-M$38*($K46-M$39)))</f>
        <v>60.743541732936627</v>
      </c>
      <c r="O46">
        <v>5</v>
      </c>
      <c r="P46">
        <f>VLOOKUP($O46,$K$42:$M$71,2,0)/(VLOOKUP($O46,$K$42:$M$71,2,0)+VLOOKUP(P$41,$K$42:$M$71,2,0))</f>
        <v>0.47768096300019181</v>
      </c>
      <c r="Q46">
        <f>VLOOKUP($O46,$K$42:$M$71,2,0)/(VLOOKUP($O46,$K$42:$M$71,2,0)+VLOOKUP(Q$41,$K$42:$M$71,2,0))</f>
        <v>0.48261952842502509</v>
      </c>
      <c r="R46">
        <f>VLOOKUP($O46,$K$42:$M$71,2,0)/(VLOOKUP($O46,$K$42:$M$71,2,0)+VLOOKUP(R$41,$K$42:$M$71,2,0))</f>
        <v>0.48796997257765107</v>
      </c>
      <c r="S46">
        <f>VLOOKUP($O46,$K$42:$M$71,2,0)/(VLOOKUP($O46,$K$42:$M$71,2,0)+VLOOKUP(S$41,$K$42:$M$71,2,0))</f>
        <v>0.49375585053011067</v>
      </c>
      <c r="T46">
        <f>VLOOKUP($O46,$K$42:$M$71,2,0)/(VLOOKUP($O46,$K$42:$M$71,2,0)+VLOOKUP(T$41,$K$42:$M$71,2,0))</f>
        <v>0.5</v>
      </c>
      <c r="U46">
        <f>VLOOKUP($O46,$K$42:$M$71,2,0)/(VLOOKUP($O46,$K$42:$M$71,2,0)+VLOOKUP(U$41,$K$42:$M$71,2,0))</f>
        <v>0.50672407640828865</v>
      </c>
      <c r="V46">
        <f>VLOOKUP($O46,$K$42:$M$71,2,0)/(VLOOKUP($O46,$K$42:$M$71,2,0)+VLOOKUP(V$41,$K$42:$M$71,2,0))</f>
        <v>0.51394802744461043</v>
      </c>
      <c r="W46">
        <f>VLOOKUP($O46,$K$42:$M$71,2,0)/(VLOOKUP($O46,$K$42:$M$71,2,0)+VLOOKUP(W$41,$K$42:$M$71,2,0))</f>
        <v>0.52168951157207144</v>
      </c>
      <c r="X46">
        <f>VLOOKUP($O46,$K$42:$M$71,2,0)/(VLOOKUP($O46,$K$42:$M$71,2,0)+VLOOKUP(X$41,$K$42:$M$71,2,0))</f>
        <v>0.52996326860851239</v>
      </c>
      <c r="Y46">
        <f>VLOOKUP($O46,$K$42:$M$71,2,0)/(VLOOKUP($O46,$K$42:$M$71,2,0)+VLOOKUP(Y$41,$K$42:$M$71,2,0))</f>
        <v>0.5387804547757824</v>
      </c>
      <c r="Z46">
        <f>VLOOKUP($O46,$K$42:$M$71,2,0)/(VLOOKUP($O46,$K$42:$M$71,2,0)+VLOOKUP(Z$41,$K$42:$M$71,2,0))</f>
        <v>0.54814795925339088</v>
      </c>
      <c r="AA46">
        <f>VLOOKUP($O46,$K$42:$M$71,2,0)/(VLOOKUP($O46,$K$42:$M$71,2,0)+VLOOKUP(AA$41,$K$42:$M$71,2,0))</f>
        <v>0.55806772405609117</v>
      </c>
      <c r="AB46">
        <f>VLOOKUP($O46,$K$42:$M$71,2,0)/(VLOOKUP($O46,$K$42:$M$71,2,0)+VLOOKUP(AB$41,$K$42:$M$71,2,0))</f>
        <v>0.56853609362829716</v>
      </c>
      <c r="AC46">
        <f>VLOOKUP($O46,$K$42:$M$71,2,0)/(VLOOKUP($O46,$K$42:$M$71,2,0)+VLOOKUP(AC$41,$K$42:$M$71,2,0))</f>
        <v>0.57954322447528805</v>
      </c>
      <c r="AD46">
        <f>VLOOKUP($O46,$K$42:$M$71,2,0)/(VLOOKUP($O46,$K$42:$M$71,2,0)+VLOOKUP(AD$41,$K$42:$M$71,2,0))</f>
        <v>0.59107258793132766</v>
      </c>
      <c r="AE46">
        <f>VLOOKUP($O46,$K$42:$M$71,2,0)/(VLOOKUP($O46,$K$42:$M$71,2,0)+VLOOKUP(AE$41,$K$42:$M$71,2,0))</f>
        <v>0.60310060027560763</v>
      </c>
      <c r="AF46">
        <f>VLOOKUP($O46,$K$42:$M$71,2,0)/(VLOOKUP($O46,$K$42:$M$71,2,0)+VLOOKUP(AF$41,$K$42:$M$71,2,0))</f>
        <v>0.61559641336393578</v>
      </c>
      <c r="AG46">
        <f>VLOOKUP($O46,$K$42:$M$71,2,0)/(VLOOKUP($O46,$K$42:$M$71,2,0)+VLOOKUP(AG$41,$K$42:$M$71,2,0))</f>
        <v>0.62852189537414238</v>
      </c>
      <c r="AH46">
        <f>VLOOKUP($O46,$K$42:$M$71,2,0)/(VLOOKUP($O46,$K$42:$M$71,2,0)+VLOOKUP(AH$41,$K$42:$M$71,2,0))</f>
        <v>0.64183182498221436</v>
      </c>
      <c r="AI46">
        <f>VLOOKUP($O46,$K$42:$M$71,2,0)/(VLOOKUP($O46,$K$42:$M$71,2,0)+VLOOKUP(AI$41,$K$42:$M$71,2,0))</f>
        <v>0.65547431336880524</v>
      </c>
      <c r="AJ46">
        <f>VLOOKUP($O46,$K$42:$M$71,2,0)/(VLOOKUP($O46,$K$42:$M$71,2,0)+VLOOKUP(AJ$41,$K$42:$M$71,2,0))</f>
        <v>0.66939145728180804</v>
      </c>
      <c r="AK46">
        <f>VLOOKUP($O46,$K$42:$M$71,2,0)/(VLOOKUP($O46,$K$42:$M$71,2,0)+VLOOKUP(AK$41,$K$42:$M$71,2,0))</f>
        <v>0.68352021364398963</v>
      </c>
      <c r="AL46">
        <f>VLOOKUP($O46,$K$42:$M$71,2,0)/(VLOOKUP($O46,$K$42:$M$71,2,0)+VLOOKUP(AL$41,$K$42:$M$71,2,0))</f>
        <v>0.69779347286419835</v>
      </c>
      <c r="AM46">
        <f>VLOOKUP($O46,$K$42:$M$71,2,0)/(VLOOKUP($O46,$K$42:$M$71,2,0)+VLOOKUP(AM$41,$K$42:$M$71,2,0))</f>
        <v>0.71214129524124503</v>
      </c>
      <c r="AN46">
        <f>VLOOKUP($O46,$K$42:$M$71,2,0)/(VLOOKUP($O46,$K$42:$M$71,2,0)+VLOOKUP(AN$41,$K$42:$M$71,2,0))</f>
        <v>0.72649226385047183</v>
      </c>
      <c r="AO46">
        <f>VLOOKUP($O46,$K$42:$M$71,2,0)/(VLOOKUP($O46,$K$42:$M$71,2,0)+VLOOKUP(AO$41,$K$42:$M$71,2,0))</f>
        <v>0.740774899182154</v>
      </c>
      <c r="AP46">
        <f>VLOOKUP($O46,$K$42:$M$71,2,0)/(VLOOKUP($O46,$K$42:$M$71,2,0)+VLOOKUP(AP$41,$K$42:$M$71,2,0))</f>
        <v>0.75491907641039391</v>
      </c>
      <c r="AQ46">
        <f>VLOOKUP($O46,$K$42:$M$71,2,0)/(VLOOKUP($O46,$K$42:$M$71,2,0)+VLOOKUP(AQ$41,$K$42:$M$71,2,0))</f>
        <v>0.76885738598285935</v>
      </c>
      <c r="AR46">
        <f>VLOOKUP($O46,$K$42:$M$71,2,0)/(VLOOKUP($O46,$K$42:$M$71,2,0)+VLOOKUP(AR$41,$K$42:$M$71,2,0))</f>
        <v>0.7825263822559968</v>
      </c>
      <c r="AS46">
        <f>VLOOKUP($O46,$K$42:$M$71,2,0)/(VLOOKUP($O46,$K$42:$M$71,2,0)+VLOOKUP(AS$41,$K$42:$M$71,2,0))</f>
        <v>0.79586767272311343</v>
      </c>
    </row>
    <row r="47" spans="5:45" x14ac:dyDescent="0.25">
      <c r="K47">
        <v>6</v>
      </c>
      <c r="L47">
        <f>L$37-L$37/(1+EXP(-L$38*($K47-L$39)))</f>
        <v>0.72111517802286307</v>
      </c>
      <c r="M47">
        <f>M$37-M$37/(1+EXP(-M$38*($K47-M$39)))</f>
        <v>59.131444597874776</v>
      </c>
      <c r="O47">
        <v>6</v>
      </c>
      <c r="P47">
        <f>VLOOKUP($O47,$K$42:$M$71,2,0)/(VLOOKUP($O47,$K$42:$M$71,2,0)+VLOOKUP(P$41,$K$42:$M$71,2,0))</f>
        <v>0.47097431070275608</v>
      </c>
      <c r="Q47">
        <f>VLOOKUP($O47,$K$42:$M$71,2,0)/(VLOOKUP($O47,$K$42:$M$71,2,0)+VLOOKUP(Q$41,$K$42:$M$71,2,0))</f>
        <v>0.4759067149161717</v>
      </c>
      <c r="R47">
        <f>VLOOKUP($O47,$K$42:$M$71,2,0)/(VLOOKUP($O47,$K$42:$M$71,2,0)+VLOOKUP(R$41,$K$42:$M$71,2,0))</f>
        <v>0.48125196234618794</v>
      </c>
      <c r="S47">
        <f>VLOOKUP($O47,$K$42:$M$71,2,0)/(VLOOKUP($O47,$K$42:$M$71,2,0)+VLOOKUP(S$41,$K$42:$M$71,2,0))</f>
        <v>0.48703395169900238</v>
      </c>
      <c r="T47">
        <f>VLOOKUP($O47,$K$42:$M$71,2,0)/(VLOOKUP($O47,$K$42:$M$71,2,0)+VLOOKUP(T$41,$K$42:$M$71,2,0))</f>
        <v>0.49327592359171141</v>
      </c>
      <c r="U47">
        <f>VLOOKUP($O47,$K$42:$M$71,2,0)/(VLOOKUP($O47,$K$42:$M$71,2,0)+VLOOKUP(U$41,$K$42:$M$71,2,0))</f>
        <v>0.5</v>
      </c>
      <c r="V47">
        <f>VLOOKUP($O47,$K$42:$M$71,2,0)/(VLOOKUP($O47,$K$42:$M$71,2,0)+VLOOKUP(V$41,$K$42:$M$71,2,0))</f>
        <v>0.50722666212157341</v>
      </c>
      <c r="W47">
        <f>VLOOKUP($O47,$K$42:$M$71,2,0)/(VLOOKUP($O47,$K$42:$M$71,2,0)+VLOOKUP(W$41,$K$42:$M$71,2,0))</f>
        <v>0.51497417061173534</v>
      </c>
      <c r="X47">
        <f>VLOOKUP($O47,$K$42:$M$71,2,0)/(VLOOKUP($O47,$K$42:$M$71,2,0)+VLOOKUP(X$41,$K$42:$M$71,2,0))</f>
        <v>0.5232579357992978</v>
      </c>
      <c r="Y47">
        <f>VLOOKUP($O47,$K$42:$M$71,2,0)/(VLOOKUP($O47,$K$42:$M$71,2,0)+VLOOKUP(Y$41,$K$42:$M$71,2,0))</f>
        <v>0.53208984971618267</v>
      </c>
      <c r="Z47">
        <f>VLOOKUP($O47,$K$42:$M$71,2,0)/(VLOOKUP($O47,$K$42:$M$71,2,0)+VLOOKUP(Z$41,$K$42:$M$71,2,0))</f>
        <v>0.54147759642487181</v>
      </c>
      <c r="AA47">
        <f>VLOOKUP($O47,$K$42:$M$71,2,0)/(VLOOKUP($O47,$K$42:$M$71,2,0)+VLOOKUP(AA$41,$K$42:$M$71,2,0))</f>
        <v>0.55142396196460963</v>
      </c>
      <c r="AB47">
        <f>VLOOKUP($O47,$K$42:$M$71,2,0)/(VLOOKUP($O47,$K$42:$M$71,2,0)+VLOOKUP(AB$41,$K$42:$M$71,2,0))</f>
        <v>0.56192616992273725</v>
      </c>
      <c r="AC47">
        <f>VLOOKUP($O47,$K$42:$M$71,2,0)/(VLOOKUP($O47,$K$42:$M$71,2,0)+VLOOKUP(AC$41,$K$42:$M$71,2,0))</f>
        <v>0.57297527274302607</v>
      </c>
      <c r="AD47">
        <f>VLOOKUP($O47,$K$42:$M$71,2,0)/(VLOOKUP($O47,$K$42:$M$71,2,0)+VLOOKUP(AD$41,$K$42:$M$71,2,0))</f>
        <v>0.58455563190980453</v>
      </c>
      <c r="AE47">
        <f>VLOOKUP($O47,$K$42:$M$71,2,0)/(VLOOKUP($O47,$K$42:$M$71,2,0)+VLOOKUP(AE$41,$K$42:$M$71,2,0))</f>
        <v>0.5966445215664743</v>
      </c>
      <c r="AF47">
        <f>VLOOKUP($O47,$K$42:$M$71,2,0)/(VLOOKUP($O47,$K$42:$M$71,2,0)+VLOOKUP(AF$41,$K$42:$M$71,2,0))</f>
        <v>0.60921188943915972</v>
      </c>
      <c r="AG47">
        <f>VLOOKUP($O47,$K$42:$M$71,2,0)/(VLOOKUP($O47,$K$42:$M$71,2,0)+VLOOKUP(AG$41,$K$42:$M$71,2,0))</f>
        <v>0.62222030574062748</v>
      </c>
      <c r="AH47">
        <f>VLOOKUP($O47,$K$42:$M$71,2,0)/(VLOOKUP($O47,$K$42:$M$71,2,0)+VLOOKUP(AH$41,$K$42:$M$71,2,0))</f>
        <v>0.63562512480538425</v>
      </c>
      <c r="AI47">
        <f>VLOOKUP($O47,$K$42:$M$71,2,0)/(VLOOKUP($O47,$K$42:$M$71,2,0)+VLOOKUP(AI$41,$K$42:$M$71,2,0))</f>
        <v>0.64937487558491624</v>
      </c>
      <c r="AJ47">
        <f>VLOOKUP($O47,$K$42:$M$71,2,0)/(VLOOKUP($O47,$K$42:$M$71,2,0)+VLOOKUP(AJ$41,$K$42:$M$71,2,0))</f>
        <v>0.66341188614691138</v>
      </c>
      <c r="AK47">
        <f>VLOOKUP($O47,$K$42:$M$71,2,0)/(VLOOKUP($O47,$K$42:$M$71,2,0)+VLOOKUP(AK$41,$K$42:$M$71,2,0))</f>
        <v>0.67767313462764645</v>
      </c>
      <c r="AL47">
        <f>VLOOKUP($O47,$K$42:$M$71,2,0)/(VLOOKUP($O47,$K$42:$M$71,2,0)+VLOOKUP(AL$41,$K$42:$M$71,2,0))</f>
        <v>0.69209130562404242</v>
      </c>
      <c r="AM47">
        <f>VLOOKUP($O47,$K$42:$M$71,2,0)/(VLOOKUP($O47,$K$42:$M$71,2,0)+VLOOKUP(AM$41,$K$42:$M$71,2,0))</f>
        <v>0.70659601792777893</v>
      </c>
      <c r="AN47">
        <f>VLOOKUP($O47,$K$42:$M$71,2,0)/(VLOOKUP($O47,$K$42:$M$71,2,0)+VLOOKUP(AN$41,$K$42:$M$71,2,0))</f>
        <v>0.72111517802286307</v>
      </c>
      <c r="AO47">
        <f>VLOOKUP($O47,$K$42:$M$71,2,0)/(VLOOKUP($O47,$K$42:$M$71,2,0)+VLOOKUP(AO$41,$K$42:$M$71,2,0))</f>
        <v>0.73557640503724908</v>
      </c>
      <c r="AP47">
        <f>VLOOKUP($O47,$K$42:$M$71,2,0)/(VLOOKUP($O47,$K$42:$M$71,2,0)+VLOOKUP(AP$41,$K$42:$M$71,2,0))</f>
        <v>0.74990846776994036</v>
      </c>
      <c r="AQ47">
        <f>VLOOKUP($O47,$K$42:$M$71,2,0)/(VLOOKUP($O47,$K$42:$M$71,2,0)+VLOOKUP(AQ$41,$K$42:$M$71,2,0))</f>
        <v>0.7640426735507897</v>
      </c>
      <c r="AR47">
        <f>VLOOKUP($O47,$K$42:$M$71,2,0)/(VLOOKUP($O47,$K$42:$M$71,2,0)+VLOOKUP(AR$41,$K$42:$M$71,2,0))</f>
        <v>0.77791415212451098</v>
      </c>
      <c r="AS47">
        <f>VLOOKUP($O47,$K$42:$M$71,2,0)/(VLOOKUP($O47,$K$42:$M$71,2,0)+VLOOKUP(AS$41,$K$42:$M$71,2,0))</f>
        <v>0.79146298511296831</v>
      </c>
    </row>
    <row r="48" spans="5:45" x14ac:dyDescent="0.25">
      <c r="K48">
        <v>7</v>
      </c>
      <c r="L48">
        <f>L$37-L$37/(1+EXP(-L$38*($K48-L$39)))</f>
        <v>0.700567142473973</v>
      </c>
      <c r="M48">
        <f>M$37-M$37/(1+EXP(-M$38*($K48-M$39)))</f>
        <v>57.446505682865784</v>
      </c>
      <c r="O48">
        <v>7</v>
      </c>
      <c r="P48">
        <f>VLOOKUP($O48,$K$42:$M$71,2,0)/(VLOOKUP($O48,$K$42:$M$71,2,0)+VLOOKUP(P$41,$K$42:$M$71,2,0))</f>
        <v>0.46377804008771911</v>
      </c>
      <c r="Q48">
        <f>VLOOKUP($O48,$K$42:$M$71,2,0)/(VLOOKUP($O48,$K$42:$M$71,2,0)+VLOOKUP(Q$41,$K$42:$M$71,2,0))</f>
        <v>0.46870185058239244</v>
      </c>
      <c r="R48">
        <f>VLOOKUP($O48,$K$42:$M$71,2,0)/(VLOOKUP($O48,$K$42:$M$71,2,0)+VLOOKUP(R$41,$K$42:$M$71,2,0))</f>
        <v>0.47403936940493457</v>
      </c>
      <c r="S48">
        <f>VLOOKUP($O48,$K$42:$M$71,2,0)/(VLOOKUP($O48,$K$42:$M$71,2,0)+VLOOKUP(S$41,$K$42:$M$71,2,0))</f>
        <v>0.47981485507068428</v>
      </c>
      <c r="T48">
        <f>VLOOKUP($O48,$K$42:$M$71,2,0)/(VLOOKUP($O48,$K$42:$M$71,2,0)+VLOOKUP(T$41,$K$42:$M$71,2,0))</f>
        <v>0.48605197255538951</v>
      </c>
      <c r="U48">
        <f>VLOOKUP($O48,$K$42:$M$71,2,0)/(VLOOKUP($O48,$K$42:$M$71,2,0)+VLOOKUP(U$41,$K$42:$M$71,2,0))</f>
        <v>0.49277333787842664</v>
      </c>
      <c r="V48">
        <f>VLOOKUP($O48,$K$42:$M$71,2,0)/(VLOOKUP($O48,$K$42:$M$71,2,0)+VLOOKUP(V$41,$K$42:$M$71,2,0))</f>
        <v>0.5</v>
      </c>
      <c r="W48">
        <f>VLOOKUP($O48,$K$42:$M$71,2,0)/(VLOOKUP($O48,$K$42:$M$71,2,0)+VLOOKUP(W$41,$K$42:$M$71,2,0))</f>
        <v>0.50775086347533838</v>
      </c>
      <c r="X48">
        <f>VLOOKUP($O48,$K$42:$M$71,2,0)/(VLOOKUP($O48,$K$42:$M$71,2,0)+VLOOKUP(X$41,$K$42:$M$71,2,0))</f>
        <v>0.51604205889789367</v>
      </c>
      <c r="Y48">
        <f>VLOOKUP($O48,$K$42:$M$71,2,0)/(VLOOKUP($O48,$K$42:$M$71,2,0)+VLOOKUP(Y$41,$K$42:$M$71,2,0))</f>
        <v>0.52488627234984619</v>
      </c>
      <c r="Z48">
        <f>VLOOKUP($O48,$K$42:$M$71,2,0)/(VLOOKUP($O48,$K$42:$M$71,2,0)+VLOOKUP(Z$41,$K$42:$M$71,2,0))</f>
        <v>0.53429204972678024</v>
      </c>
      <c r="AA48">
        <f>VLOOKUP($O48,$K$42:$M$71,2,0)/(VLOOKUP($O48,$K$42:$M$71,2,0)+VLOOKUP(AA$41,$K$42:$M$71,2,0))</f>
        <v>0.54426309668804806</v>
      </c>
      <c r="AB48">
        <f>VLOOKUP($O48,$K$42:$M$71,2,0)/(VLOOKUP($O48,$K$42:$M$71,2,0)+VLOOKUP(AB$41,$K$42:$M$71,2,0))</f>
        <v>0.55479759978041154</v>
      </c>
      <c r="AC48">
        <f>VLOOKUP($O48,$K$42:$M$71,2,0)/(VLOOKUP($O48,$K$42:$M$71,2,0)+VLOOKUP(AC$41,$K$42:$M$71,2,0))</f>
        <v>0.56588759857073379</v>
      </c>
      <c r="AD48">
        <f>VLOOKUP($O48,$K$42:$M$71,2,0)/(VLOOKUP($O48,$K$42:$M$71,2,0)+VLOOKUP(AD$41,$K$42:$M$71,2,0))</f>
        <v>0.57751844190882151</v>
      </c>
      <c r="AE48">
        <f>VLOOKUP($O48,$K$42:$M$71,2,0)/(VLOOKUP($O48,$K$42:$M$71,2,0)+VLOOKUP(AE$41,$K$42:$M$71,2,0))</f>
        <v>0.58966836319053073</v>
      </c>
      <c r="AF48">
        <f>VLOOKUP($O48,$K$42:$M$71,2,0)/(VLOOKUP($O48,$K$42:$M$71,2,0)+VLOOKUP(AF$41,$K$42:$M$71,2,0))</f>
        <v>0.60230820918773997</v>
      </c>
      <c r="AG48">
        <f>VLOOKUP($O48,$K$42:$M$71,2,0)/(VLOOKUP($O48,$K$42:$M$71,2,0)+VLOOKUP(AG$41,$K$42:$M$71,2,0))</f>
        <v>0.61540135422811282</v>
      </c>
      <c r="AH48">
        <f>VLOOKUP($O48,$K$42:$M$71,2,0)/(VLOOKUP($O48,$K$42:$M$71,2,0)+VLOOKUP(AH$41,$K$42:$M$71,2,0))</f>
        <v>0.62890382598399397</v>
      </c>
      <c r="AI48">
        <f>VLOOKUP($O48,$K$42:$M$71,2,0)/(VLOOKUP($O48,$K$42:$M$71,2,0)+VLOOKUP(AI$41,$K$42:$M$71,2,0))</f>
        <v>0.64276466085010253</v>
      </c>
      <c r="AJ48">
        <f>VLOOKUP($O48,$K$42:$M$71,2,0)/(VLOOKUP($O48,$K$42:$M$71,2,0)+VLOOKUP(AJ$41,$K$42:$M$71,2,0))</f>
        <v>0.65692649613824394</v>
      </c>
      <c r="AK48">
        <f>VLOOKUP($O48,$K$42:$M$71,2,0)/(VLOOKUP($O48,$K$42:$M$71,2,0)+VLOOKUP(AK$41,$K$42:$M$71,2,0))</f>
        <v>0.67132639370189251</v>
      </c>
      <c r="AL48">
        <f>VLOOKUP($O48,$K$42:$M$71,2,0)/(VLOOKUP($O48,$K$42:$M$71,2,0)+VLOOKUP(AL$41,$K$42:$M$71,2,0))</f>
        <v>0.68589687603228333</v>
      </c>
      <c r="AM48">
        <f>VLOOKUP($O48,$K$42:$M$71,2,0)/(VLOOKUP($O48,$K$42:$M$71,2,0)+VLOOKUP(AM$41,$K$42:$M$71,2,0))</f>
        <v>0.700567142473973</v>
      </c>
      <c r="AN48">
        <f>VLOOKUP($O48,$K$42:$M$71,2,0)/(VLOOKUP($O48,$K$42:$M$71,2,0)+VLOOKUP(AN$41,$K$42:$M$71,2,0))</f>
        <v>0.71526442122822687</v>
      </c>
      <c r="AO48">
        <f>VLOOKUP($O48,$K$42:$M$71,2,0)/(VLOOKUP($O48,$K$42:$M$71,2,0)+VLOOKUP(AO$41,$K$42:$M$71,2,0))</f>
        <v>0.72991540343275085</v>
      </c>
      <c r="AP48">
        <f>VLOOKUP($O48,$K$42:$M$71,2,0)/(VLOOKUP($O48,$K$42:$M$71,2,0)+VLOOKUP(AP$41,$K$42:$M$71,2,0))</f>
        <v>0.74444769979948933</v>
      </c>
      <c r="AQ48">
        <f>VLOOKUP($O48,$K$42:$M$71,2,0)/(VLOOKUP($O48,$K$42:$M$71,2,0)+VLOOKUP(AQ$41,$K$42:$M$71,2,0))</f>
        <v>0.75879125867873198</v>
      </c>
      <c r="AR48">
        <f>VLOOKUP($O48,$K$42:$M$71,2,0)/(VLOOKUP($O48,$K$42:$M$71,2,0)+VLOOKUP(AR$41,$K$42:$M$71,2,0))</f>
        <v>0.77287968717222877</v>
      </c>
      <c r="AS48">
        <f>VLOOKUP($O48,$K$42:$M$71,2,0)/(VLOOKUP($O48,$K$42:$M$71,2,0)+VLOOKUP(AS$41,$K$42:$M$71,2,0))</f>
        <v>0.78665142374290065</v>
      </c>
    </row>
    <row r="49" spans="11:45" x14ac:dyDescent="0.25">
      <c r="K49">
        <v>8</v>
      </c>
      <c r="L49">
        <f>L$37-L$37/(1+EXP(-L$38*($K49-L$39)))</f>
        <v>0.67917869917539297</v>
      </c>
      <c r="M49">
        <f>M$37-M$37/(1+EXP(-M$38*($K49-M$39)))</f>
        <v>55.692653332382221</v>
      </c>
      <c r="O49">
        <v>8</v>
      </c>
      <c r="P49">
        <f>VLOOKUP($O49,$K$42:$M$71,2,0)/(VLOOKUP($O49,$K$42:$M$71,2,0)+VLOOKUP(P$41,$K$42:$M$71,2,0))</f>
        <v>0.45607650295714297</v>
      </c>
      <c r="Q49">
        <f>VLOOKUP($O49,$K$42:$M$71,2,0)/(VLOOKUP($O49,$K$42:$M$71,2,0)+VLOOKUP(Q$41,$K$42:$M$71,2,0))</f>
        <v>0.46098884161317694</v>
      </c>
      <c r="R49">
        <f>VLOOKUP($O49,$K$42:$M$71,2,0)/(VLOOKUP($O49,$K$42:$M$71,2,0)+VLOOKUP(R$41,$K$42:$M$71,2,0))</f>
        <v>0.46631561745209843</v>
      </c>
      <c r="S49">
        <f>VLOOKUP($O49,$K$42:$M$71,2,0)/(VLOOKUP($O49,$K$42:$M$71,2,0)+VLOOKUP(S$41,$K$42:$M$71,2,0))</f>
        <v>0.47208146327276818</v>
      </c>
      <c r="T49">
        <f>VLOOKUP($O49,$K$42:$M$71,2,0)/(VLOOKUP($O49,$K$42:$M$71,2,0)+VLOOKUP(T$41,$K$42:$M$71,2,0))</f>
        <v>0.4783104884279285</v>
      </c>
      <c r="U49">
        <f>VLOOKUP($O49,$K$42:$M$71,2,0)/(VLOOKUP($O49,$K$42:$M$71,2,0)+VLOOKUP(U$41,$K$42:$M$71,2,0))</f>
        <v>0.48502582938826466</v>
      </c>
      <c r="V49">
        <f>VLOOKUP($O49,$K$42:$M$71,2,0)/(VLOOKUP($O49,$K$42:$M$71,2,0)+VLOOKUP(V$41,$K$42:$M$71,2,0))</f>
        <v>0.49224913652466168</v>
      </c>
      <c r="W49">
        <f>VLOOKUP($O49,$K$42:$M$71,2,0)/(VLOOKUP($O49,$K$42:$M$71,2,0)+VLOOKUP(W$41,$K$42:$M$71,2,0))</f>
        <v>0.5</v>
      </c>
      <c r="X49">
        <f>VLOOKUP($O49,$K$42:$M$71,2,0)/(VLOOKUP($O49,$K$42:$M$71,2,0)+VLOOKUP(X$41,$K$42:$M$71,2,0))</f>
        <v>0.50829532117713783</v>
      </c>
      <c r="Y49">
        <f>VLOOKUP($O49,$K$42:$M$71,2,0)/(VLOOKUP($O49,$K$42:$M$71,2,0)+VLOOKUP(Y$41,$K$42:$M$71,2,0))</f>
        <v>0.51714864008607053</v>
      </c>
      <c r="Z49">
        <f>VLOOKUP($O49,$K$42:$M$71,2,0)/(VLOOKUP($O49,$K$42:$M$71,2,0)+VLOOKUP(Z$41,$K$42:$M$71,2,0))</f>
        <v>0.52656943412940949</v>
      </c>
      <c r="AA49">
        <f>VLOOKUP($O49,$K$42:$M$71,2,0)/(VLOOKUP($O49,$K$42:$M$71,2,0)+VLOOKUP(AA$41,$K$42:$M$71,2,0))</f>
        <v>0.53656240812997658</v>
      </c>
      <c r="AB49">
        <f>VLOOKUP($O49,$K$42:$M$71,2,0)/(VLOOKUP($O49,$K$42:$M$71,2,0)+VLOOKUP(AB$41,$K$42:$M$71,2,0))</f>
        <v>0.54712680072707121</v>
      </c>
      <c r="AC49">
        <f>VLOOKUP($O49,$K$42:$M$71,2,0)/(VLOOKUP($O49,$K$42:$M$71,2,0)+VLOOKUP(AC$41,$K$42:$M$71,2,0))</f>
        <v>0.55825573660082617</v>
      </c>
      <c r="AD49">
        <f>VLOOKUP($O49,$K$42:$M$71,2,0)/(VLOOKUP($O49,$K$42:$M$71,2,0)+VLOOKUP(AD$41,$K$42:$M$71,2,0))</f>
        <v>0.56993565755756936</v>
      </c>
      <c r="AE49">
        <f>VLOOKUP($O49,$K$42:$M$71,2,0)/(VLOOKUP($O49,$K$42:$M$71,2,0)+VLOOKUP(AE$41,$K$42:$M$71,2,0))</f>
        <v>0.58214586760645959</v>
      </c>
      <c r="AF49">
        <f>VLOOKUP($O49,$K$42:$M$71,2,0)/(VLOOKUP($O49,$K$42:$M$71,2,0)+VLOOKUP(AF$41,$K$42:$M$71,2,0))</f>
        <v>0.59485822726785176</v>
      </c>
      <c r="AG49">
        <f>VLOOKUP($O49,$K$42:$M$71,2,0)/(VLOOKUP($O49,$K$42:$M$71,2,0)+VLOOKUP(AG$41,$K$42:$M$71,2,0))</f>
        <v>0.60803703002141152</v>
      </c>
      <c r="AH49">
        <f>VLOOKUP($O49,$K$42:$M$71,2,0)/(VLOOKUP($O49,$K$42:$M$71,2,0)+VLOOKUP(AH$41,$K$42:$M$71,2,0))</f>
        <v>0.62163908872665263</v>
      </c>
      <c r="AI49">
        <f>VLOOKUP($O49,$K$42:$M$71,2,0)/(VLOOKUP($O49,$K$42:$M$71,2,0)+VLOOKUP(AI$41,$K$42:$M$71,2,0))</f>
        <v>0.63561405196357035</v>
      </c>
      <c r="AJ49">
        <f>VLOOKUP($O49,$K$42:$M$71,2,0)/(VLOOKUP($O49,$K$42:$M$71,2,0)+VLOOKUP(AJ$41,$K$42:$M$71,2,0))</f>
        <v>0.64990495977551932</v>
      </c>
      <c r="AK49">
        <f>VLOOKUP($O49,$K$42:$M$71,2,0)/(VLOOKUP($O49,$K$42:$M$71,2,0)+VLOOKUP(AK$41,$K$42:$M$71,2,0))</f>
        <v>0.66444903580618586</v>
      </c>
      <c r="AL49">
        <f>VLOOKUP($O49,$K$42:$M$71,2,0)/(VLOOKUP($O49,$K$42:$M$71,2,0)+VLOOKUP(AL$41,$K$42:$M$71,2,0))</f>
        <v>0.67917869917539297</v>
      </c>
      <c r="AM49">
        <f>VLOOKUP($O49,$K$42:$M$71,2,0)/(VLOOKUP($O49,$K$42:$M$71,2,0)+VLOOKUP(AM$41,$K$42:$M$71,2,0))</f>
        <v>0.69402276574852906</v>
      </c>
      <c r="AN49">
        <f>VLOOKUP($O49,$K$42:$M$71,2,0)/(VLOOKUP($O49,$K$42:$M$71,2,0)+VLOOKUP(AN$41,$K$42:$M$71,2,0))</f>
        <v>0.70890779596571585</v>
      </c>
      <c r="AO49">
        <f>VLOOKUP($O49,$K$42:$M$71,2,0)/(VLOOKUP($O49,$K$42:$M$71,2,0)+VLOOKUP(AO$41,$K$42:$M$71,2,0))</f>
        <v>0.72375953633210599</v>
      </c>
      <c r="AP49">
        <f>VLOOKUP($O49,$K$42:$M$71,2,0)/(VLOOKUP($O49,$K$42:$M$71,2,0)+VLOOKUP(AP$41,$K$42:$M$71,2,0))</f>
        <v>0.73850439506674237</v>
      </c>
      <c r="AQ49">
        <f>VLOOKUP($O49,$K$42:$M$71,2,0)/(VLOOKUP($O49,$K$42:$M$71,2,0)+VLOOKUP(AQ$41,$K$42:$M$71,2,0))</f>
        <v>0.75307088996677884</v>
      </c>
      <c r="AR49">
        <f>VLOOKUP($O49,$K$42:$M$71,2,0)/(VLOOKUP($O49,$K$42:$M$71,2,0)+VLOOKUP(AR$41,$K$42:$M$71,2,0))</f>
        <v>0.76739100853036124</v>
      </c>
      <c r="AS49">
        <f>VLOOKUP($O49,$K$42:$M$71,2,0)/(VLOOKUP($O49,$K$42:$M$71,2,0)+VLOOKUP(AS$41,$K$42:$M$71,2,0))</f>
        <v>0.78140142658022171</v>
      </c>
    </row>
    <row r="50" spans="11:45" x14ac:dyDescent="0.25">
      <c r="K50">
        <v>9</v>
      </c>
      <c r="L50">
        <f>L$37-L$37/(1+EXP(-L$38*($K50-L$39)))</f>
        <v>0.65701046267349883</v>
      </c>
      <c r="M50">
        <f>M$37-M$37/(1+EXP(-M$38*($K50-M$39)))</f>
        <v>53.874857939226899</v>
      </c>
      <c r="O50">
        <v>9</v>
      </c>
      <c r="P50">
        <f>VLOOKUP($O50,$K$42:$M$71,2,0)/(VLOOKUP($O50,$K$42:$M$71,2,0)+VLOOKUP(P$41,$K$42:$M$71,2,0))</f>
        <v>0.44785717671525666</v>
      </c>
      <c r="Q50">
        <f>VLOOKUP($O50,$K$42:$M$71,2,0)/(VLOOKUP($O50,$K$42:$M$71,2,0)+VLOOKUP(Q$41,$K$42:$M$71,2,0))</f>
        <v>0.45275467668903496</v>
      </c>
      <c r="R50">
        <f>VLOOKUP($O50,$K$42:$M$71,2,0)/(VLOOKUP($O50,$K$42:$M$71,2,0)+VLOOKUP(R$41,$K$42:$M$71,2,0))</f>
        <v>0.45806716423177474</v>
      </c>
      <c r="S50">
        <f>VLOOKUP($O50,$K$42:$M$71,2,0)/(VLOOKUP($O50,$K$42:$M$71,2,0)+VLOOKUP(S$41,$K$42:$M$71,2,0))</f>
        <v>0.46381965858400226</v>
      </c>
      <c r="T50">
        <f>VLOOKUP($O50,$K$42:$M$71,2,0)/(VLOOKUP($O50,$K$42:$M$71,2,0)+VLOOKUP(T$41,$K$42:$M$71,2,0))</f>
        <v>0.47003673139148761</v>
      </c>
      <c r="U50">
        <f>VLOOKUP($O50,$K$42:$M$71,2,0)/(VLOOKUP($O50,$K$42:$M$71,2,0)+VLOOKUP(U$41,$K$42:$M$71,2,0))</f>
        <v>0.4767420642007022</v>
      </c>
      <c r="V50">
        <f>VLOOKUP($O50,$K$42:$M$71,2,0)/(VLOOKUP($O50,$K$42:$M$71,2,0)+VLOOKUP(V$41,$K$42:$M$71,2,0))</f>
        <v>0.48395794110210644</v>
      </c>
      <c r="W50">
        <f>VLOOKUP($O50,$K$42:$M$71,2,0)/(VLOOKUP($O50,$K$42:$M$71,2,0)+VLOOKUP(W$41,$K$42:$M$71,2,0))</f>
        <v>0.49170467882286228</v>
      </c>
      <c r="X50">
        <f>VLOOKUP($O50,$K$42:$M$71,2,0)/(VLOOKUP($O50,$K$42:$M$71,2,0)+VLOOKUP(X$41,$K$42:$M$71,2,0))</f>
        <v>0.5</v>
      </c>
      <c r="Y50">
        <f>VLOOKUP($O50,$K$42:$M$71,2,0)/(VLOOKUP($O50,$K$42:$M$71,2,0)+VLOOKUP(Y$41,$K$42:$M$71,2,0))</f>
        <v>0.50885835943866475</v>
      </c>
      <c r="Z50">
        <f>VLOOKUP($O50,$K$42:$M$71,2,0)/(VLOOKUP($O50,$K$42:$M$71,2,0)+VLOOKUP(Z$41,$K$42:$M$71,2,0))</f>
        <v>0.51829023777145189</v>
      </c>
      <c r="AA50">
        <f>VLOOKUP($O50,$K$42:$M$71,2,0)/(VLOOKUP($O50,$K$42:$M$71,2,0)+VLOOKUP(AA$41,$K$42:$M$71,2,0))</f>
        <v>0.5283014218890254</v>
      </c>
      <c r="AB50">
        <f>VLOOKUP($O50,$K$42:$M$71,2,0)/(VLOOKUP($O50,$K$42:$M$71,2,0)+VLOOKUP(AB$41,$K$42:$M$71,2,0))</f>
        <v>0.53889229651490134</v>
      </c>
      <c r="AC50">
        <f>VLOOKUP($O50,$K$42:$M$71,2,0)/(VLOOKUP($O50,$K$42:$M$71,2,0)+VLOOKUP(AC$41,$K$42:$M$71,2,0))</f>
        <v>0.55005717595392067</v>
      </c>
      <c r="AD50">
        <f>VLOOKUP($O50,$K$42:$M$71,2,0)/(VLOOKUP($O50,$K$42:$M$71,2,0)+VLOOKUP(AD$41,$K$42:$M$71,2,0))</f>
        <v>0.56178370887279372</v>
      </c>
      <c r="AE50">
        <f>VLOOKUP($O50,$K$42:$M$71,2,0)/(VLOOKUP($O50,$K$42:$M$71,2,0)+VLOOKUP(AE$41,$K$42:$M$71,2,0))</f>
        <v>0.57405239143406794</v>
      </c>
      <c r="AF50">
        <f>VLOOKUP($O50,$K$42:$M$71,2,0)/(VLOOKUP($O50,$K$42:$M$71,2,0)+VLOOKUP(AF$41,$K$42:$M$71,2,0))</f>
        <v>0.58683622465749607</v>
      </c>
      <c r="AG50">
        <f>VLOOKUP($O50,$K$42:$M$71,2,0)/(VLOOKUP($O50,$K$42:$M$71,2,0)+VLOOKUP(AG$41,$K$42:$M$71,2,0))</f>
        <v>0.60010055004203433</v>
      </c>
      <c r="AH50">
        <f>VLOOKUP($O50,$K$42:$M$71,2,0)/(VLOOKUP($O50,$K$42:$M$71,2,0)+VLOOKUP(AH$41,$K$42:$M$71,2,0))</f>
        <v>0.61380309290543011</v>
      </c>
      <c r="AI50">
        <f>VLOOKUP($O50,$K$42:$M$71,2,0)/(VLOOKUP($O50,$K$42:$M$71,2,0)+VLOOKUP(AI$41,$K$42:$M$71,2,0))</f>
        <v>0.62789423546604783</v>
      </c>
      <c r="AJ50">
        <f>VLOOKUP($O50,$K$42:$M$71,2,0)/(VLOOKUP($O50,$K$42:$M$71,2,0)+VLOOKUP(AJ$41,$K$42:$M$71,2,0))</f>
        <v>0.64231753157208638</v>
      </c>
      <c r="AK50">
        <f>VLOOKUP($O50,$K$42:$M$71,2,0)/(VLOOKUP($O50,$K$42:$M$71,2,0)+VLOOKUP(AK$41,$K$42:$M$71,2,0))</f>
        <v>0.65701046267349883</v>
      </c>
      <c r="AL50">
        <f>VLOOKUP($O50,$K$42:$M$71,2,0)/(VLOOKUP($O50,$K$42:$M$71,2,0)+VLOOKUP(AL$41,$K$42:$M$71,2,0))</f>
        <v>0.67190542095206907</v>
      </c>
      <c r="AM50">
        <f>VLOOKUP($O50,$K$42:$M$71,2,0)/(VLOOKUP($O50,$K$42:$M$71,2,0)+VLOOKUP(AM$41,$K$42:$M$71,2,0))</f>
        <v>0.68693089156233367</v>
      </c>
      <c r="AN50">
        <f>VLOOKUP($O50,$K$42:$M$71,2,0)/(VLOOKUP($O50,$K$42:$M$71,2,0)+VLOOKUP(AN$41,$K$42:$M$71,2,0))</f>
        <v>0.70201279293629204</v>
      </c>
      <c r="AO50">
        <f>VLOOKUP($O50,$K$42:$M$71,2,0)/(VLOOKUP($O50,$K$42:$M$71,2,0)+VLOOKUP(AO$41,$K$42:$M$71,2,0))</f>
        <v>0.71707592332471737</v>
      </c>
      <c r="AP50">
        <f>VLOOKUP($O50,$K$42:$M$71,2,0)/(VLOOKUP($O50,$K$42:$M$71,2,0)+VLOOKUP(AP$41,$K$42:$M$71,2,0))</f>
        <v>0.73204545428846324</v>
      </c>
      <c r="AQ50">
        <f>VLOOKUP($O50,$K$42:$M$71,2,0)/(VLOOKUP($O50,$K$42:$M$71,2,0)+VLOOKUP(AQ$41,$K$42:$M$71,2,0))</f>
        <v>0.74684840850402012</v>
      </c>
      <c r="AR50">
        <f>VLOOKUP($O50,$K$42:$M$71,2,0)/(VLOOKUP($O50,$K$42:$M$71,2,0)+VLOOKUP(AR$41,$K$42:$M$71,2,0))</f>
        <v>0.76141506037002604</v>
      </c>
      <c r="AS50">
        <f>VLOOKUP($O50,$K$42:$M$71,2,0)/(VLOOKUP($O50,$K$42:$M$71,2,0)+VLOOKUP(AS$41,$K$42:$M$71,2,0))</f>
        <v>0.77568020337392563</v>
      </c>
    </row>
    <row r="51" spans="11:45" x14ac:dyDescent="0.25">
      <c r="K51">
        <v>10</v>
      </c>
      <c r="L51">
        <f>L$37-L$37/(1+EXP(-L$38*($K51-L$39)))</f>
        <v>0.63413559101080064</v>
      </c>
      <c r="M51">
        <f>M$37-M$37/(1+EXP(-M$38*($K51-M$39)))</f>
        <v>51.999118462885654</v>
      </c>
      <c r="O51">
        <v>10</v>
      </c>
      <c r="P51">
        <f>VLOOKUP($O51,$K$42:$M$71,2,0)/(VLOOKUP($O51,$K$42:$M$71,2,0)+VLOOKUP(P$41,$K$42:$M$71,2,0))</f>
        <v>0.43911131517920021</v>
      </c>
      <c r="Q51">
        <f>VLOOKUP($O51,$K$42:$M$71,2,0)/(VLOOKUP($O51,$K$42:$M$71,2,0)+VLOOKUP(Q$41,$K$42:$M$71,2,0))</f>
        <v>0.44399008145113128</v>
      </c>
      <c r="R51">
        <f>VLOOKUP($O51,$K$42:$M$71,2,0)/(VLOOKUP($O51,$K$42:$M$71,2,0)+VLOOKUP(R$41,$K$42:$M$71,2,0))</f>
        <v>0.44928415963258811</v>
      </c>
      <c r="S51">
        <f>VLOOKUP($O51,$K$42:$M$71,2,0)/(VLOOKUP($O51,$K$42:$M$71,2,0)+VLOOKUP(S$41,$K$42:$M$71,2,0))</f>
        <v>0.45501896455728896</v>
      </c>
      <c r="T51">
        <f>VLOOKUP($O51,$K$42:$M$71,2,0)/(VLOOKUP($O51,$K$42:$M$71,2,0)+VLOOKUP(T$41,$K$42:$M$71,2,0))</f>
        <v>0.46121954522421765</v>
      </c>
      <c r="U51">
        <f>VLOOKUP($O51,$K$42:$M$71,2,0)/(VLOOKUP($O51,$K$42:$M$71,2,0)+VLOOKUP(U$41,$K$42:$M$71,2,0))</f>
        <v>0.46791015028381738</v>
      </c>
      <c r="V51">
        <f>VLOOKUP($O51,$K$42:$M$71,2,0)/(VLOOKUP($O51,$K$42:$M$71,2,0)+VLOOKUP(V$41,$K$42:$M$71,2,0))</f>
        <v>0.47511372765015386</v>
      </c>
      <c r="W51">
        <f>VLOOKUP($O51,$K$42:$M$71,2,0)/(VLOOKUP($O51,$K$42:$M$71,2,0)+VLOOKUP(W$41,$K$42:$M$71,2,0))</f>
        <v>0.48285135991392952</v>
      </c>
      <c r="X51">
        <f>VLOOKUP($O51,$K$42:$M$71,2,0)/(VLOOKUP($O51,$K$42:$M$71,2,0)+VLOOKUP(X$41,$K$42:$M$71,2,0))</f>
        <v>0.49114164056133519</v>
      </c>
      <c r="Y51">
        <f>VLOOKUP($O51,$K$42:$M$71,2,0)/(VLOOKUP($O51,$K$42:$M$71,2,0)+VLOOKUP(Y$41,$K$42:$M$71,2,0))</f>
        <v>0.5</v>
      </c>
      <c r="Z51">
        <f>VLOOKUP($O51,$K$42:$M$71,2,0)/(VLOOKUP($O51,$K$42:$M$71,2,0)+VLOOKUP(Z$41,$K$42:$M$71,2,0))</f>
        <v>0.50943799496520714</v>
      </c>
      <c r="AA51">
        <f>VLOOKUP($O51,$K$42:$M$71,2,0)/(VLOOKUP($O51,$K$42:$M$71,2,0)+VLOOKUP(AA$41,$K$42:$M$71,2,0))</f>
        <v>0.51946257984989219</v>
      </c>
      <c r="AB51">
        <f>VLOOKUP($O51,$K$42:$M$71,2,0)/(VLOOKUP($O51,$K$42:$M$71,2,0)+VLOOKUP(AB$41,$K$42:$M$71,2,0))</f>
        <v>0.53007538359447692</v>
      </c>
      <c r="AC51">
        <f>VLOOKUP($O51,$K$42:$M$71,2,0)/(VLOOKUP($O51,$K$42:$M$71,2,0)+VLOOKUP(AC$41,$K$42:$M$71,2,0))</f>
        <v>0.54127202060858037</v>
      </c>
      <c r="AD51">
        <f>VLOOKUP($O51,$K$42:$M$71,2,0)/(VLOOKUP($O51,$K$42:$M$71,2,0)+VLOOKUP(AD$41,$K$42:$M$71,2,0))</f>
        <v>0.55304146830466083</v>
      </c>
      <c r="AE51">
        <f>VLOOKUP($O51,$K$42:$M$71,2,0)/(VLOOKUP($O51,$K$42:$M$71,2,0)+VLOOKUP(AE$41,$K$42:$M$71,2,0))</f>
        <v>0.5653655466667219</v>
      </c>
      <c r="AF51">
        <f>VLOOKUP($O51,$K$42:$M$71,2,0)/(VLOOKUP($O51,$K$42:$M$71,2,0)+VLOOKUP(AF$41,$K$42:$M$71,2,0))</f>
        <v>0.57821853629945141</v>
      </c>
      <c r="AG51">
        <f>VLOOKUP($O51,$K$42:$M$71,2,0)/(VLOOKUP($O51,$K$42:$M$71,2,0)+VLOOKUP(AG$41,$K$42:$M$71,2,0))</f>
        <v>0.59156697009477588</v>
      </c>
      <c r="AH51">
        <f>VLOOKUP($O51,$K$42:$M$71,2,0)/(VLOOKUP($O51,$K$42:$M$71,2,0)+VLOOKUP(AH$41,$K$42:$M$71,2,0))</f>
        <v>0.60536962962906693</v>
      </c>
      <c r="AI51">
        <f>VLOOKUP($O51,$K$42:$M$71,2,0)/(VLOOKUP($O51,$K$42:$M$71,2,0)+VLOOKUP(AI$41,$K$42:$M$71,2,0))</f>
        <v>0.61957777048799778</v>
      </c>
      <c r="AJ51">
        <f>VLOOKUP($O51,$K$42:$M$71,2,0)/(VLOOKUP($O51,$K$42:$M$71,2,0)+VLOOKUP(AJ$41,$K$42:$M$71,2,0))</f>
        <v>0.63413559101080075</v>
      </c>
      <c r="AK51">
        <f>VLOOKUP($O51,$K$42:$M$71,2,0)/(VLOOKUP($O51,$K$42:$M$71,2,0)+VLOOKUP(AK$41,$K$42:$M$71,2,0))</f>
        <v>0.64898094688226893</v>
      </c>
      <c r="AL51">
        <f>VLOOKUP($O51,$K$42:$M$71,2,0)/(VLOOKUP($O51,$K$42:$M$71,2,0)+VLOOKUP(AL$41,$K$42:$M$71,2,0))</f>
        <v>0.6640463003434689</v>
      </c>
      <c r="AM51">
        <f>VLOOKUP($O51,$K$42:$M$71,2,0)/(VLOOKUP($O51,$K$42:$M$71,2,0)+VLOOKUP(AM$41,$K$42:$M$71,2,0))</f>
        <v>0.67925987859237846</v>
      </c>
      <c r="AN51">
        <f>VLOOKUP($O51,$K$42:$M$71,2,0)/(VLOOKUP($O51,$K$42:$M$71,2,0)+VLOOKUP(AN$41,$K$42:$M$71,2,0))</f>
        <v>0.69454700244383094</v>
      </c>
      <c r="AO51">
        <f>VLOOKUP($O51,$K$42:$M$71,2,0)/(VLOOKUP($O51,$K$42:$M$71,2,0)+VLOOKUP(AO$41,$K$42:$M$71,2,0))</f>
        <v>0.70983153480009242</v>
      </c>
      <c r="AP51">
        <f>VLOOKUP($O51,$K$42:$M$71,2,0)/(VLOOKUP($O51,$K$42:$M$71,2,0)+VLOOKUP(AP$41,$K$42:$M$71,2,0))</f>
        <v>0.72503739011377732</v>
      </c>
      <c r="AQ51">
        <f>VLOOKUP($O51,$K$42:$M$71,2,0)/(VLOOKUP($O51,$K$42:$M$71,2,0)+VLOOKUP(AQ$41,$K$42:$M$71,2,0))</f>
        <v>0.74009004168406278</v>
      </c>
      <c r="AR51">
        <f>VLOOKUP($O51,$K$42:$M$71,2,0)/(VLOOKUP($O51,$K$42:$M$71,2,0)+VLOOKUP(AR$41,$K$42:$M$71,2,0))</f>
        <v>0.75491796378225895</v>
      </c>
      <c r="AS51">
        <f>VLOOKUP($O51,$K$42:$M$71,2,0)/(VLOOKUP($O51,$K$42:$M$71,2,0)+VLOOKUP(AS$41,$K$42:$M$71,2,0))</f>
        <v>0.76945395023695973</v>
      </c>
    </row>
    <row r="52" spans="11:45" x14ac:dyDescent="0.25">
      <c r="K52">
        <v>11</v>
      </c>
      <c r="L52">
        <f>L$37-L$37/(1+EXP(-L$38*($K52-L$39)))</f>
        <v>0.61063923394922193</v>
      </c>
      <c r="M52">
        <f>M$37-M$37/(1+EXP(-M$38*($K52-M$39)))</f>
        <v>50.072417183836201</v>
      </c>
      <c r="O52">
        <v>11</v>
      </c>
      <c r="P52">
        <f>VLOOKUP($O52,$K$42:$M$71,2,0)/(VLOOKUP($O52,$K$42:$M$71,2,0)+VLOOKUP(P$41,$K$42:$M$71,2,0))</f>
        <v>0.42983460718544747</v>
      </c>
      <c r="Q52">
        <f>VLOOKUP($O52,$K$42:$M$71,2,0)/(VLOOKUP($O52,$K$42:$M$71,2,0)+VLOOKUP(Q$41,$K$42:$M$71,2,0))</f>
        <v>0.43469018313474578</v>
      </c>
      <c r="R52">
        <f>VLOOKUP($O52,$K$42:$M$71,2,0)/(VLOOKUP($O52,$K$42:$M$71,2,0)+VLOOKUP(R$41,$K$42:$M$71,2,0))</f>
        <v>0.43996111651765601</v>
      </c>
      <c r="S52">
        <f>VLOOKUP($O52,$K$42:$M$71,2,0)/(VLOOKUP($O52,$K$42:$M$71,2,0)+VLOOKUP(S$41,$K$42:$M$71,2,0))</f>
        <v>0.44567322314919933</v>
      </c>
      <c r="T52">
        <f>VLOOKUP($O52,$K$42:$M$71,2,0)/(VLOOKUP($O52,$K$42:$M$71,2,0)+VLOOKUP(T$41,$K$42:$M$71,2,0))</f>
        <v>0.45185204074660917</v>
      </c>
      <c r="U52">
        <f>VLOOKUP($O52,$K$42:$M$71,2,0)/(VLOOKUP($O52,$K$42:$M$71,2,0)+VLOOKUP(U$41,$K$42:$M$71,2,0))</f>
        <v>0.45852240357512825</v>
      </c>
      <c r="V52">
        <f>VLOOKUP($O52,$K$42:$M$71,2,0)/(VLOOKUP($O52,$K$42:$M$71,2,0)+VLOOKUP(V$41,$K$42:$M$71,2,0))</f>
        <v>0.46570795027321976</v>
      </c>
      <c r="W52">
        <f>VLOOKUP($O52,$K$42:$M$71,2,0)/(VLOOKUP($O52,$K$42:$M$71,2,0)+VLOOKUP(W$41,$K$42:$M$71,2,0))</f>
        <v>0.47343056587059051</v>
      </c>
      <c r="X52">
        <f>VLOOKUP($O52,$K$42:$M$71,2,0)/(VLOOKUP($O52,$K$42:$M$71,2,0)+VLOOKUP(X$41,$K$42:$M$71,2,0))</f>
        <v>0.48170976222854806</v>
      </c>
      <c r="Y52">
        <f>VLOOKUP($O52,$K$42:$M$71,2,0)/(VLOOKUP($O52,$K$42:$M$71,2,0)+VLOOKUP(Y$41,$K$42:$M$71,2,0))</f>
        <v>0.4905620050347928</v>
      </c>
      <c r="Z52">
        <f>VLOOKUP($O52,$K$42:$M$71,2,0)/(VLOOKUP($O52,$K$42:$M$71,2,0)+VLOOKUP(Z$41,$K$42:$M$71,2,0))</f>
        <v>0.5</v>
      </c>
      <c r="AA52">
        <f>VLOOKUP($O52,$K$42:$M$71,2,0)/(VLOOKUP($O52,$K$42:$M$71,2,0)+VLOOKUP(AA$41,$K$42:$M$71,2,0))</f>
        <v>0.51003195587351791</v>
      </c>
      <c r="AB52">
        <f>VLOOKUP($O52,$K$42:$M$71,2,0)/(VLOOKUP($O52,$K$42:$M$71,2,0)+VLOOKUP(AB$41,$K$42:$M$71,2,0))</f>
        <v>0.52066084706402804</v>
      </c>
      <c r="AC52">
        <f>VLOOKUP($O52,$K$42:$M$71,2,0)/(VLOOKUP($O52,$K$42:$M$71,2,0)+VLOOKUP(AC$41,$K$42:$M$71,2,0))</f>
        <v>0.53188370365769178</v>
      </c>
      <c r="AD52">
        <f>VLOOKUP($O52,$K$42:$M$71,2,0)/(VLOOKUP($O52,$K$42:$M$71,2,0)+VLOOKUP(AD$41,$K$42:$M$71,2,0))</f>
        <v>0.54369096101297021</v>
      </c>
      <c r="AE52">
        <f>VLOOKUP($O52,$K$42:$M$71,2,0)/(VLOOKUP($O52,$K$42:$M$71,2,0)+VLOOKUP(AE$41,$K$42:$M$71,2,0))</f>
        <v>0.55606590434514591</v>
      </c>
      <c r="AF52">
        <f>VLOOKUP($O52,$K$42:$M$71,2,0)/(VLOOKUP($O52,$K$42:$M$71,2,0)+VLOOKUP(AF$41,$K$42:$M$71,2,0))</f>
        <v>0.56898424522980195</v>
      </c>
      <c r="AG52">
        <f>VLOOKUP($O52,$K$42:$M$71,2,0)/(VLOOKUP($O52,$K$42:$M$71,2,0)+VLOOKUP(AG$41,$K$42:$M$71,2,0))</f>
        <v>0.5824138662182502</v>
      </c>
      <c r="AH52">
        <f>VLOOKUP($O52,$K$42:$M$71,2,0)/(VLOOKUP($O52,$K$42:$M$71,2,0)+VLOOKUP(AH$41,$K$42:$M$71,2,0))</f>
        <v>0.59631476634173763</v>
      </c>
      <c r="AI52">
        <f>VLOOKUP($O52,$K$42:$M$71,2,0)/(VLOOKUP($O52,$K$42:$M$71,2,0)+VLOOKUP(AI$41,$K$42:$M$71,2,0))</f>
        <v>0.61063923394922204</v>
      </c>
      <c r="AJ52">
        <f>VLOOKUP($O52,$K$42:$M$71,2,0)/(VLOOKUP($O52,$K$42:$M$71,2,0)+VLOOKUP(AJ$41,$K$42:$M$71,2,0))</f>
        <v>0.6253322641088489</v>
      </c>
      <c r="AK52">
        <f>VLOOKUP($O52,$K$42:$M$71,2,0)/(VLOOKUP($O52,$K$42:$M$71,2,0)+VLOOKUP(AK$41,$K$42:$M$71,2,0))</f>
        <v>0.64033222606353968</v>
      </c>
      <c r="AL52">
        <f>VLOOKUP($O52,$K$42:$M$71,2,0)/(VLOOKUP($O52,$K$42:$M$71,2,0)+VLOOKUP(AL$41,$K$42:$M$71,2,0))</f>
        <v>0.65557177266505795</v>
      </c>
      <c r="AM52">
        <f>VLOOKUP($O52,$K$42:$M$71,2,0)/(VLOOKUP($O52,$K$42:$M$71,2,0)+VLOOKUP(AM$41,$K$42:$M$71,2,0))</f>
        <v>0.67097896932468382</v>
      </c>
      <c r="AN52">
        <f>VLOOKUP($O52,$K$42:$M$71,2,0)/(VLOOKUP($O52,$K$42:$M$71,2,0)+VLOOKUP(AN$41,$K$42:$M$71,2,0))</f>
        <v>0.68647860603758082</v>
      </c>
      <c r="AO52">
        <f>VLOOKUP($O52,$K$42:$M$71,2,0)/(VLOOKUP($O52,$K$42:$M$71,2,0)+VLOOKUP(AO$41,$K$42:$M$71,2,0))</f>
        <v>0.7019936437705987</v>
      </c>
      <c r="AP52">
        <f>VLOOKUP($O52,$K$42:$M$71,2,0)/(VLOOKUP($O52,$K$42:$M$71,2,0)+VLOOKUP(AP$41,$K$42:$M$71,2,0))</f>
        <v>0.71744673717528584</v>
      </c>
      <c r="AQ52">
        <f>VLOOKUP($O52,$K$42:$M$71,2,0)/(VLOOKUP($O52,$K$42:$M$71,2,0)+VLOOKUP(AQ$41,$K$42:$M$71,2,0))</f>
        <v>0.73276177017311905</v>
      </c>
      <c r="AR52">
        <f>VLOOKUP($O52,$K$42:$M$71,2,0)/(VLOOKUP($O52,$K$42:$M$71,2,0)+VLOOKUP(AR$41,$K$42:$M$71,2,0))</f>
        <v>0.7478653400387083</v>
      </c>
      <c r="AS52">
        <f>VLOOKUP($O52,$K$42:$M$71,2,0)/(VLOOKUP($O52,$K$42:$M$71,2,0)+VLOOKUP(AS$41,$K$42:$M$71,2,0))</f>
        <v>0.76268812927878615</v>
      </c>
    </row>
    <row r="53" spans="11:45" x14ac:dyDescent="0.25">
      <c r="K53">
        <v>12</v>
      </c>
      <c r="L53">
        <f>L$37-L$37/(1+EXP(-L$38*($K53-L$39)))</f>
        <v>0.58661757891733002</v>
      </c>
      <c r="M53">
        <f>M$37-M$37/(1+EXP(-M$38*($K53-M$39)))</f>
        <v>48.102641471221062</v>
      </c>
      <c r="O53">
        <v>12</v>
      </c>
      <c r="P53">
        <f>VLOOKUP($O53,$K$42:$M$71,2,0)/(VLOOKUP($O53,$K$42:$M$71,2,0)+VLOOKUP(P$41,$K$42:$M$71,2,0))</f>
        <v>0.42002781974295289</v>
      </c>
      <c r="Q53">
        <f>VLOOKUP($O53,$K$42:$M$71,2,0)/(VLOOKUP($O53,$K$42:$M$71,2,0)+VLOOKUP(Q$41,$K$42:$M$71,2,0))</f>
        <v>0.42485516240329735</v>
      </c>
      <c r="R53">
        <f>VLOOKUP($O53,$K$42:$M$71,2,0)/(VLOOKUP($O53,$K$42:$M$71,2,0)+VLOOKUP(R$41,$K$42:$M$71,2,0))</f>
        <v>0.43009757165195561</v>
      </c>
      <c r="S53">
        <f>VLOOKUP($O53,$K$42:$M$71,2,0)/(VLOOKUP($O53,$K$42:$M$71,2,0)+VLOOKUP(S$41,$K$42:$M$71,2,0))</f>
        <v>0.43578126510110854</v>
      </c>
      <c r="T53">
        <f>VLOOKUP($O53,$K$42:$M$71,2,0)/(VLOOKUP($O53,$K$42:$M$71,2,0)+VLOOKUP(T$41,$K$42:$M$71,2,0))</f>
        <v>0.44193227594390871</v>
      </c>
      <c r="U53">
        <f>VLOOKUP($O53,$K$42:$M$71,2,0)/(VLOOKUP($O53,$K$42:$M$71,2,0)+VLOOKUP(U$41,$K$42:$M$71,2,0))</f>
        <v>0.44857603803539042</v>
      </c>
      <c r="V53">
        <f>VLOOKUP($O53,$K$42:$M$71,2,0)/(VLOOKUP($O53,$K$42:$M$71,2,0)+VLOOKUP(V$41,$K$42:$M$71,2,0))</f>
        <v>0.45573690331195188</v>
      </c>
      <c r="W53">
        <f>VLOOKUP($O53,$K$42:$M$71,2,0)/(VLOOKUP($O53,$K$42:$M$71,2,0)+VLOOKUP(W$41,$K$42:$M$71,2,0))</f>
        <v>0.46343759187002342</v>
      </c>
      <c r="X53">
        <f>VLOOKUP($O53,$K$42:$M$71,2,0)/(VLOOKUP($O53,$K$42:$M$71,2,0)+VLOOKUP(X$41,$K$42:$M$71,2,0))</f>
        <v>0.47169857811097471</v>
      </c>
      <c r="Y53">
        <f>VLOOKUP($O53,$K$42:$M$71,2,0)/(VLOOKUP($O53,$K$42:$M$71,2,0)+VLOOKUP(Y$41,$K$42:$M$71,2,0))</f>
        <v>0.48053742015010775</v>
      </c>
      <c r="Z53">
        <f>VLOOKUP($O53,$K$42:$M$71,2,0)/(VLOOKUP($O53,$K$42:$M$71,2,0)+VLOOKUP(Z$41,$K$42:$M$71,2,0))</f>
        <v>0.48996804412648209</v>
      </c>
      <c r="AA53">
        <f>VLOOKUP($O53,$K$42:$M$71,2,0)/(VLOOKUP($O53,$K$42:$M$71,2,0)+VLOOKUP(AA$41,$K$42:$M$71,2,0))</f>
        <v>0.5</v>
      </c>
      <c r="AB53">
        <f>VLOOKUP($O53,$K$42:$M$71,2,0)/(VLOOKUP($O53,$K$42:$M$71,2,0)+VLOOKUP(AB$41,$K$42:$M$71,2,0))</f>
        <v>0.51063771064859609</v>
      </c>
      <c r="AC53">
        <f>VLOOKUP($O53,$K$42:$M$71,2,0)/(VLOOKUP($O53,$K$42:$M$71,2,0)+VLOOKUP(AC$41,$K$42:$M$71,2,0))</f>
        <v>0.52187974124219683</v>
      </c>
      <c r="AD53">
        <f>VLOOKUP($O53,$K$42:$M$71,2,0)/(VLOOKUP($O53,$K$42:$M$71,2,0)+VLOOKUP(AD$41,$K$42:$M$71,2,0))</f>
        <v>0.53371812052967493</v>
      </c>
      <c r="AE53">
        <f>VLOOKUP($O53,$K$42:$M$71,2,0)/(VLOOKUP($O53,$K$42:$M$71,2,0)+VLOOKUP(AE$41,$K$42:$M$71,2,0))</f>
        <v>0.54613774930521419</v>
      </c>
      <c r="AF53">
        <f>VLOOKUP($O53,$K$42:$M$71,2,0)/(VLOOKUP($O53,$K$42:$M$71,2,0)+VLOOKUP(AF$41,$K$42:$M$71,2,0))</f>
        <v>0.55911593335092113</v>
      </c>
      <c r="AG53">
        <f>VLOOKUP($O53,$K$42:$M$71,2,0)/(VLOOKUP($O53,$K$42:$M$71,2,0)+VLOOKUP(AG$41,$K$42:$M$71,2,0))</f>
        <v>0.5726220780257254</v>
      </c>
      <c r="AH53">
        <f>VLOOKUP($O53,$K$42:$M$71,2,0)/(VLOOKUP($O53,$K$42:$M$71,2,0)+VLOOKUP(AH$41,$K$42:$M$71,2,0))</f>
        <v>0.58661757891733013</v>
      </c>
      <c r="AI53">
        <f>VLOOKUP($O53,$K$42:$M$71,2,0)/(VLOOKUP($O53,$K$42:$M$71,2,0)+VLOOKUP(AI$41,$K$42:$M$71,2,0))</f>
        <v>0.60105593729797246</v>
      </c>
      <c r="AJ53">
        <f>VLOOKUP($O53,$K$42:$M$71,2,0)/(VLOOKUP($O53,$K$42:$M$71,2,0)+VLOOKUP(AJ$41,$K$42:$M$71,2,0))</f>
        <v>0.61588312048468585</v>
      </c>
      <c r="AK53">
        <f>VLOOKUP($O53,$K$42:$M$71,2,0)/(VLOOKUP($O53,$K$42:$M$71,2,0)+VLOOKUP(AK$41,$K$42:$M$71,2,0))</f>
        <v>0.63103817587758571</v>
      </c>
      <c r="AL53">
        <f>VLOOKUP($O53,$K$42:$M$71,2,0)/(VLOOKUP($O53,$K$42:$M$71,2,0)+VLOOKUP(AL$41,$K$42:$M$71,2,0))</f>
        <v>0.64645409405882615</v>
      </c>
      <c r="AM53">
        <f>VLOOKUP($O53,$K$42:$M$71,2,0)/(VLOOKUP($O53,$K$42:$M$71,2,0)+VLOOKUP(AM$41,$K$42:$M$71,2,0))</f>
        <v>0.6620589018296037</v>
      </c>
      <c r="AN53">
        <f>VLOOKUP($O53,$K$42:$M$71,2,0)/(VLOOKUP($O53,$K$42:$M$71,2,0)+VLOOKUP(AN$41,$K$42:$M$71,2,0))</f>
        <v>0.67777695164228424</v>
      </c>
      <c r="AO53">
        <f>VLOOKUP($O53,$K$42:$M$71,2,0)/(VLOOKUP($O53,$K$42:$M$71,2,0)+VLOOKUP(AO$41,$K$42:$M$71,2,0))</f>
        <v>0.69353036087159081</v>
      </c>
      <c r="AP53">
        <f>VLOOKUP($O53,$K$42:$M$71,2,0)/(VLOOKUP($O53,$K$42:$M$71,2,0)+VLOOKUP(AP$41,$K$42:$M$71,2,0))</f>
        <v>0.7092405440446935</v>
      </c>
      <c r="AQ53">
        <f>VLOOKUP($O53,$K$42:$M$71,2,0)/(VLOOKUP($O53,$K$42:$M$71,2,0)+VLOOKUP(AQ$41,$K$42:$M$71,2,0))</f>
        <v>0.72482977458288267</v>
      </c>
      <c r="AR53">
        <f>VLOOKUP($O53,$K$42:$M$71,2,0)/(VLOOKUP($O53,$K$42:$M$71,2,0)+VLOOKUP(AR$41,$K$42:$M$71,2,0))</f>
        <v>0.74022271049754751</v>
      </c>
      <c r="AS53">
        <f>VLOOKUP($O53,$K$42:$M$71,2,0)/(VLOOKUP($O53,$K$42:$M$71,2,0)+VLOOKUP(AS$41,$K$42:$M$71,2,0))</f>
        <v>0.75534782105868381</v>
      </c>
    </row>
    <row r="54" spans="11:45" x14ac:dyDescent="0.25">
      <c r="K54">
        <v>13</v>
      </c>
      <c r="L54">
        <f>L$37-L$37/(1+EXP(-L$38*($K54-L$39)))</f>
        <v>0.56217650088579807</v>
      </c>
      <c r="M54">
        <f>M$37-M$37/(1+EXP(-M$38*($K54-M$39)))</f>
        <v>46.098473072635443</v>
      </c>
      <c r="O54">
        <v>13</v>
      </c>
      <c r="P54">
        <f>VLOOKUP($O54,$K$42:$M$71,2,0)/(VLOOKUP($O54,$K$42:$M$71,2,0)+VLOOKUP(P$41,$K$42:$M$71,2,0))</f>
        <v>0.40969739834145852</v>
      </c>
      <c r="Q54">
        <f>VLOOKUP($O54,$K$42:$M$71,2,0)/(VLOOKUP($O54,$K$42:$M$71,2,0)+VLOOKUP(Q$41,$K$42:$M$71,2,0))</f>
        <v>0.4144908651744566</v>
      </c>
      <c r="R54">
        <f>VLOOKUP($O54,$K$42:$M$71,2,0)/(VLOOKUP($O54,$K$42:$M$71,2,0)+VLOOKUP(R$41,$K$42:$M$71,2,0))</f>
        <v>0.41969870974133011</v>
      </c>
      <c r="S54">
        <f>VLOOKUP($O54,$K$42:$M$71,2,0)/(VLOOKUP($O54,$K$42:$M$71,2,0)+VLOOKUP(S$41,$K$42:$M$71,2,0))</f>
        <v>0.42534754685545401</v>
      </c>
      <c r="T54">
        <f>VLOOKUP($O54,$K$42:$M$71,2,0)/(VLOOKUP($O54,$K$42:$M$71,2,0)+VLOOKUP(T$41,$K$42:$M$71,2,0))</f>
        <v>0.4314639063717029</v>
      </c>
      <c r="U54">
        <f>VLOOKUP($O54,$K$42:$M$71,2,0)/(VLOOKUP($O54,$K$42:$M$71,2,0)+VLOOKUP(U$41,$K$42:$M$71,2,0))</f>
        <v>0.4380738300772628</v>
      </c>
      <c r="V54">
        <f>VLOOKUP($O54,$K$42:$M$71,2,0)/(VLOOKUP($O54,$K$42:$M$71,2,0)+VLOOKUP(V$41,$K$42:$M$71,2,0))</f>
        <v>0.4452024002195884</v>
      </c>
      <c r="W54">
        <f>VLOOKUP($O54,$K$42:$M$71,2,0)/(VLOOKUP($O54,$K$42:$M$71,2,0)+VLOOKUP(W$41,$K$42:$M$71,2,0))</f>
        <v>0.45287319927292868</v>
      </c>
      <c r="X54">
        <f>VLOOKUP($O54,$K$42:$M$71,2,0)/(VLOOKUP($O54,$K$42:$M$71,2,0)+VLOOKUP(X$41,$K$42:$M$71,2,0))</f>
        <v>0.46110770348509866</v>
      </c>
      <c r="Y54">
        <f>VLOOKUP($O54,$K$42:$M$71,2,0)/(VLOOKUP($O54,$K$42:$M$71,2,0)+VLOOKUP(Y$41,$K$42:$M$71,2,0))</f>
        <v>0.46992461640552319</v>
      </c>
      <c r="Z54">
        <f>VLOOKUP($O54,$K$42:$M$71,2,0)/(VLOOKUP($O54,$K$42:$M$71,2,0)+VLOOKUP(Z$41,$K$42:$M$71,2,0))</f>
        <v>0.47933915293597207</v>
      </c>
      <c r="AA54">
        <f>VLOOKUP($O54,$K$42:$M$71,2,0)/(VLOOKUP($O54,$K$42:$M$71,2,0)+VLOOKUP(AA$41,$K$42:$M$71,2,0))</f>
        <v>0.4893622893514038</v>
      </c>
      <c r="AB54">
        <f>VLOOKUP($O54,$K$42:$M$71,2,0)/(VLOOKUP($O54,$K$42:$M$71,2,0)+VLOOKUP(AB$41,$K$42:$M$71,2,0))</f>
        <v>0.5</v>
      </c>
      <c r="AC54">
        <f>VLOOKUP($O54,$K$42:$M$71,2,0)/(VLOOKUP($O54,$K$42:$M$71,2,0)+VLOOKUP(AC$41,$K$42:$M$71,2,0))</f>
        <v>0.51125250669337374</v>
      </c>
      <c r="AD54">
        <f>VLOOKUP($O54,$K$42:$M$71,2,0)/(VLOOKUP($O54,$K$42:$M$71,2,0)+VLOOKUP(AD$41,$K$42:$M$71,2,0))</f>
        <v>0.52311357171843698</v>
      </c>
      <c r="AE54">
        <f>VLOOKUP($O54,$K$42:$M$71,2,0)/(VLOOKUP($O54,$K$42:$M$71,2,0)+VLOOKUP(AE$41,$K$42:$M$71,2,0))</f>
        <v>0.53556986942813323</v>
      </c>
      <c r="AF54">
        <f>VLOOKUP($O54,$K$42:$M$71,2,0)/(VLOOKUP($O54,$K$42:$M$71,2,0)+VLOOKUP(AF$41,$K$42:$M$71,2,0))</f>
        <v>0.54860047392731426</v>
      </c>
      <c r="AG54">
        <f>VLOOKUP($O54,$K$42:$M$71,2,0)/(VLOOKUP($O54,$K$42:$M$71,2,0)+VLOOKUP(AG$41,$K$42:$M$71,2,0))</f>
        <v>0.56217650088579807</v>
      </c>
      <c r="AH54">
        <f>VLOOKUP($O54,$K$42:$M$71,2,0)/(VLOOKUP($O54,$K$42:$M$71,2,0)+VLOOKUP(AH$41,$K$42:$M$71,2,0))</f>
        <v>0.57626093947400625</v>
      </c>
      <c r="AI54">
        <f>VLOOKUP($O54,$K$42:$M$71,2,0)/(VLOOKUP($O54,$K$42:$M$71,2,0)+VLOOKUP(AI$41,$K$42:$M$71,2,0))</f>
        <v>0.59080870547056519</v>
      </c>
      <c r="AJ54">
        <f>VLOOKUP($O54,$K$42:$M$71,2,0)/(VLOOKUP($O54,$K$42:$M$71,2,0)+VLOOKUP(AJ$41,$K$42:$M$71,2,0))</f>
        <v>0.60576693861644582</v>
      </c>
      <c r="AK54">
        <f>VLOOKUP($O54,$K$42:$M$71,2,0)/(VLOOKUP($O54,$K$42:$M$71,2,0)+VLOOKUP(AK$41,$K$42:$M$71,2,0))</f>
        <v>0.62107555647590951</v>
      </c>
      <c r="AL54">
        <f>VLOOKUP($O54,$K$42:$M$71,2,0)/(VLOOKUP($O54,$K$42:$M$71,2,0)+VLOOKUP(AL$41,$K$42:$M$71,2,0))</f>
        <v>0.63666806394856001</v>
      </c>
      <c r="AM54">
        <f>VLOOKUP($O54,$K$42:$M$71,2,0)/(VLOOKUP($O54,$K$42:$M$71,2,0)+VLOOKUP(AM$41,$K$42:$M$71,2,0))</f>
        <v>0.65247260303908339</v>
      </c>
      <c r="AN54">
        <f>VLOOKUP($O54,$K$42:$M$71,2,0)/(VLOOKUP($O54,$K$42:$M$71,2,0)+VLOOKUP(AN$41,$K$42:$M$71,2,0))</f>
        <v>0.66841321269200027</v>
      </c>
      <c r="AO54">
        <f>VLOOKUP($O54,$K$42:$M$71,2,0)/(VLOOKUP($O54,$K$42:$M$71,2,0)+VLOOKUP(AO$41,$K$42:$M$71,2,0))</f>
        <v>0.68441125476235365</v>
      </c>
      <c r="AP54">
        <f>VLOOKUP($O54,$K$42:$M$71,2,0)/(VLOOKUP($O54,$K$42:$M$71,2,0)+VLOOKUP(AP$41,$K$42:$M$71,2,0))</f>
        <v>0.70038695085018321</v>
      </c>
      <c r="AQ54">
        <f>VLOOKUP($O54,$K$42:$M$71,2,0)/(VLOOKUP($O54,$K$42:$M$71,2,0)+VLOOKUP(AQ$41,$K$42:$M$71,2,0))</f>
        <v>0.71626096693707286</v>
      </c>
      <c r="AR54">
        <f>VLOOKUP($O54,$K$42:$M$71,2,0)/(VLOOKUP($O54,$K$42:$M$71,2,0)+VLOOKUP(AR$41,$K$42:$M$71,2,0))</f>
        <v>0.73195597935216994</v>
      </c>
      <c r="AS54">
        <f>VLOOKUP($O54,$K$42:$M$71,2,0)/(VLOOKUP($O54,$K$42:$M$71,2,0)+VLOOKUP(AS$41,$K$42:$M$71,2,0))</f>
        <v>0.74739815693098044</v>
      </c>
    </row>
    <row r="55" spans="11:45" x14ac:dyDescent="0.25">
      <c r="K55">
        <v>14</v>
      </c>
      <c r="L55">
        <f>L$37-L$37/(1+EXP(-L$38*($K55-L$39)))</f>
        <v>0.5374298453437496</v>
      </c>
      <c r="M55">
        <f>M$37-M$37/(1+EXP(-M$38*($K55-M$39)))</f>
        <v>44.069247318187465</v>
      </c>
      <c r="O55">
        <v>14</v>
      </c>
      <c r="P55">
        <f>VLOOKUP($O55,$K$42:$M$71,2,0)/(VLOOKUP($O55,$K$42:$M$71,2,0)+VLOOKUP(P$41,$K$42:$M$71,2,0))</f>
        <v>0.39885599373912994</v>
      </c>
      <c r="Q55">
        <f>VLOOKUP($O55,$K$42:$M$71,2,0)/(VLOOKUP($O55,$K$42:$M$71,2,0)+VLOOKUP(Q$41,$K$42:$M$71,2,0))</f>
        <v>0.40360934379734575</v>
      </c>
      <c r="R55">
        <f>VLOOKUP($O55,$K$42:$M$71,2,0)/(VLOOKUP($O55,$K$42:$M$71,2,0)+VLOOKUP(R$41,$K$42:$M$71,2,0))</f>
        <v>0.40877592000786772</v>
      </c>
      <c r="S55">
        <f>VLOOKUP($O55,$K$42:$M$71,2,0)/(VLOOKUP($O55,$K$42:$M$71,2,0)+VLOOKUP(S$41,$K$42:$M$71,2,0))</f>
        <v>0.4143827235359831</v>
      </c>
      <c r="T55">
        <f>VLOOKUP($O55,$K$42:$M$71,2,0)/(VLOOKUP($O55,$K$42:$M$71,2,0)+VLOOKUP(T$41,$K$42:$M$71,2,0))</f>
        <v>0.42045677552471189</v>
      </c>
      <c r="U55">
        <f>VLOOKUP($O55,$K$42:$M$71,2,0)/(VLOOKUP($O55,$K$42:$M$71,2,0)+VLOOKUP(U$41,$K$42:$M$71,2,0))</f>
        <v>0.42702472725697388</v>
      </c>
      <c r="V55">
        <f>VLOOKUP($O55,$K$42:$M$71,2,0)/(VLOOKUP($O55,$K$42:$M$71,2,0)+VLOOKUP(V$41,$K$42:$M$71,2,0))</f>
        <v>0.43411240142926621</v>
      </c>
      <c r="W55">
        <f>VLOOKUP($O55,$K$42:$M$71,2,0)/(VLOOKUP($O55,$K$42:$M$71,2,0)+VLOOKUP(W$41,$K$42:$M$71,2,0))</f>
        <v>0.44174426339917383</v>
      </c>
      <c r="X55">
        <f>VLOOKUP($O55,$K$42:$M$71,2,0)/(VLOOKUP($O55,$K$42:$M$71,2,0)+VLOOKUP(X$41,$K$42:$M$71,2,0))</f>
        <v>0.44994282404607938</v>
      </c>
      <c r="Y55">
        <f>VLOOKUP($O55,$K$42:$M$71,2,0)/(VLOOKUP($O55,$K$42:$M$71,2,0)+VLOOKUP(Y$41,$K$42:$M$71,2,0))</f>
        <v>0.45872797939141957</v>
      </c>
      <c r="Z55">
        <f>VLOOKUP($O55,$K$42:$M$71,2,0)/(VLOOKUP($O55,$K$42:$M$71,2,0)+VLOOKUP(Z$41,$K$42:$M$71,2,0))</f>
        <v>0.46811629634230822</v>
      </c>
      <c r="AA55">
        <f>VLOOKUP($O55,$K$42:$M$71,2,0)/(VLOOKUP($O55,$K$42:$M$71,2,0)+VLOOKUP(AA$41,$K$42:$M$71,2,0))</f>
        <v>0.47812025875780323</v>
      </c>
      <c r="AB55">
        <f>VLOOKUP($O55,$K$42:$M$71,2,0)/(VLOOKUP($O55,$K$42:$M$71,2,0)+VLOOKUP(AB$41,$K$42:$M$71,2,0))</f>
        <v>0.4887474933066262</v>
      </c>
      <c r="AC55">
        <f>VLOOKUP($O55,$K$42:$M$71,2,0)/(VLOOKUP($O55,$K$42:$M$71,2,0)+VLOOKUP(AC$41,$K$42:$M$71,2,0))</f>
        <v>0.5</v>
      </c>
      <c r="AD55">
        <f>VLOOKUP($O55,$K$42:$M$71,2,0)/(VLOOKUP($O55,$K$42:$M$71,2,0)+VLOOKUP(AD$41,$K$42:$M$71,2,0))</f>
        <v>0.51187341744563697</v>
      </c>
      <c r="AE55">
        <f>VLOOKUP($O55,$K$42:$M$71,2,0)/(VLOOKUP($O55,$K$42:$M$71,2,0)+VLOOKUP(AE$41,$K$42:$M$71,2,0))</f>
        <v>0.52435635728165053</v>
      </c>
      <c r="AF55">
        <f>VLOOKUP($O55,$K$42:$M$71,2,0)/(VLOOKUP($O55,$K$42:$M$71,2,0)+VLOOKUP(AF$41,$K$42:$M$71,2,0))</f>
        <v>0.5374298453437496</v>
      </c>
      <c r="AG55">
        <f>VLOOKUP($O55,$K$42:$M$71,2,0)/(VLOOKUP($O55,$K$42:$M$71,2,0)+VLOOKUP(AG$41,$K$42:$M$71,2,0))</f>
        <v>0.5510669083041746</v>
      </c>
      <c r="AH55">
        <f>VLOOKUP($O55,$K$42:$M$71,2,0)/(VLOOKUP($O55,$K$42:$M$71,2,0)+VLOOKUP(AH$41,$K$42:$M$71,2,0))</f>
        <v>0.56523234325073746</v>
      </c>
      <c r="AI55">
        <f>VLOOKUP($O55,$K$42:$M$71,2,0)/(VLOOKUP($O55,$K$42:$M$71,2,0)+VLOOKUP(AI$41,$K$42:$M$71,2,0))</f>
        <v>0.57988270353223281</v>
      </c>
      <c r="AJ55">
        <f>VLOOKUP($O55,$K$42:$M$71,2,0)/(VLOOKUP($O55,$K$42:$M$71,2,0)+VLOOKUP(AJ$41,$K$42:$M$71,2,0))</f>
        <v>0.59496652698253094</v>
      </c>
      <c r="AK55">
        <f>VLOOKUP($O55,$K$42:$M$71,2,0)/(VLOOKUP($O55,$K$42:$M$71,2,0)+VLOOKUP(AK$41,$K$42:$M$71,2,0))</f>
        <v>0.61042482244514229</v>
      </c>
      <c r="AL55">
        <f>VLOOKUP($O55,$K$42:$M$71,2,0)/(VLOOKUP($O55,$K$42:$M$71,2,0)+VLOOKUP(AL$41,$K$42:$M$71,2,0))</f>
        <v>0.62619181779493494</v>
      </c>
      <c r="AM55">
        <f>VLOOKUP($O55,$K$42:$M$71,2,0)/(VLOOKUP($O55,$K$42:$M$71,2,0)+VLOOKUP(AM$41,$K$42:$M$71,2,0))</f>
        <v>0.64219595819098008</v>
      </c>
      <c r="AN55">
        <f>VLOOKUP($O55,$K$42:$M$71,2,0)/(VLOOKUP($O55,$K$42:$M$71,2,0)+VLOOKUP(AN$41,$K$42:$M$71,2,0))</f>
        <v>0.65836112820019976</v>
      </c>
      <c r="AO55">
        <f>VLOOKUP($O55,$K$42:$M$71,2,0)/(VLOOKUP($O55,$K$42:$M$71,2,0)+VLOOKUP(AO$41,$K$42:$M$71,2,0))</f>
        <v>0.67460805701786974</v>
      </c>
      <c r="AP55">
        <f>VLOOKUP($O55,$K$42:$M$71,2,0)/(VLOOKUP($O55,$K$42:$M$71,2,0)+VLOOKUP(AP$41,$K$42:$M$71,2,0))</f>
        <v>0.69085585364637281</v>
      </c>
      <c r="AQ55">
        <f>VLOOKUP($O55,$K$42:$M$71,2,0)/(VLOOKUP($O55,$K$42:$M$71,2,0)+VLOOKUP(AQ$41,$K$42:$M$71,2,0))</f>
        <v>0.70702360982542323</v>
      </c>
      <c r="AR55">
        <f>VLOOKUP($O55,$K$42:$M$71,2,0)/(VLOOKUP($O55,$K$42:$M$71,2,0)+VLOOKUP(AR$41,$K$42:$M$71,2,0))</f>
        <v>0.72303200368785736</v>
      </c>
      <c r="AS55">
        <f>VLOOKUP($O55,$K$42:$M$71,2,0)/(VLOOKUP($O55,$K$42:$M$71,2,0)+VLOOKUP(AS$41,$K$42:$M$71,2,0))</f>
        <v>0.73880483706315025</v>
      </c>
    </row>
    <row r="56" spans="11:45" x14ac:dyDescent="0.25">
      <c r="K56">
        <v>15</v>
      </c>
      <c r="L56">
        <f>L$37-L$37/(1+EXP(-L$38*($K56-L$39)))</f>
        <v>0.51249739648421033</v>
      </c>
      <c r="M56">
        <f>M$37-M$37/(1+EXP(-M$38*($K56-M$39)))</f>
        <v>42.024786511705251</v>
      </c>
      <c r="O56">
        <v>15</v>
      </c>
      <c r="P56">
        <f>VLOOKUP($O56,$K$42:$M$71,2,0)/(VLOOKUP($O56,$K$42:$M$71,2,0)+VLOOKUP(P$41,$K$42:$M$71,2,0))</f>
        <v>0.3875228826260283</v>
      </c>
      <c r="Q56">
        <f>VLOOKUP($O56,$K$42:$M$71,2,0)/(VLOOKUP($O56,$K$42:$M$71,2,0)+VLOOKUP(Q$41,$K$42:$M$71,2,0))</f>
        <v>0.39222929481995361</v>
      </c>
      <c r="R56">
        <f>VLOOKUP($O56,$K$42:$M$71,2,0)/(VLOOKUP($O56,$K$42:$M$71,2,0)+VLOOKUP(R$41,$K$42:$M$71,2,0))</f>
        <v>0.39734725240030316</v>
      </c>
      <c r="S56">
        <f>VLOOKUP($O56,$K$42:$M$71,2,0)/(VLOOKUP($O56,$K$42:$M$71,2,0)+VLOOKUP(S$41,$K$42:$M$71,2,0))</f>
        <v>0.40290412497455375</v>
      </c>
      <c r="T56">
        <f>VLOOKUP($O56,$K$42:$M$71,2,0)/(VLOOKUP($O56,$K$42:$M$71,2,0)+VLOOKUP(T$41,$K$42:$M$71,2,0))</f>
        <v>0.40892741206867239</v>
      </c>
      <c r="U56">
        <f>VLOOKUP($O56,$K$42:$M$71,2,0)/(VLOOKUP($O56,$K$42:$M$71,2,0)+VLOOKUP(U$41,$K$42:$M$71,2,0))</f>
        <v>0.41544436809019553</v>
      </c>
      <c r="V56">
        <f>VLOOKUP($O56,$K$42:$M$71,2,0)/(VLOOKUP($O56,$K$42:$M$71,2,0)+VLOOKUP(V$41,$K$42:$M$71,2,0))</f>
        <v>0.42248155809117843</v>
      </c>
      <c r="W56">
        <f>VLOOKUP($O56,$K$42:$M$71,2,0)/(VLOOKUP($O56,$K$42:$M$71,2,0)+VLOOKUP(W$41,$K$42:$M$71,2,0))</f>
        <v>0.43006434244243064</v>
      </c>
      <c r="X56">
        <f>VLOOKUP($O56,$K$42:$M$71,2,0)/(VLOOKUP($O56,$K$42:$M$71,2,0)+VLOOKUP(X$41,$K$42:$M$71,2,0))</f>
        <v>0.43821629112720617</v>
      </c>
      <c r="Y56">
        <f>VLOOKUP($O56,$K$42:$M$71,2,0)/(VLOOKUP($O56,$K$42:$M$71,2,0)+VLOOKUP(Y$41,$K$42:$M$71,2,0))</f>
        <v>0.44695853169533922</v>
      </c>
      <c r="Z56">
        <f>VLOOKUP($O56,$K$42:$M$71,2,0)/(VLOOKUP($O56,$K$42:$M$71,2,0)+VLOOKUP(Z$41,$K$42:$M$71,2,0))</f>
        <v>0.45630903898702979</v>
      </c>
      <c r="AA56">
        <f>VLOOKUP($O56,$K$42:$M$71,2,0)/(VLOOKUP($O56,$K$42:$M$71,2,0)+VLOOKUP(AA$41,$K$42:$M$71,2,0))</f>
        <v>0.46628187947032507</v>
      </c>
      <c r="AB56">
        <f>VLOOKUP($O56,$K$42:$M$71,2,0)/(VLOOKUP($O56,$K$42:$M$71,2,0)+VLOOKUP(AB$41,$K$42:$M$71,2,0))</f>
        <v>0.47688642828156308</v>
      </c>
      <c r="AC56">
        <f>VLOOKUP($O56,$K$42:$M$71,2,0)/(VLOOKUP($O56,$K$42:$M$71,2,0)+VLOOKUP(AC$41,$K$42:$M$71,2,0))</f>
        <v>0.48812658255436298</v>
      </c>
      <c r="AD56">
        <f>VLOOKUP($O56,$K$42:$M$71,2,0)/(VLOOKUP($O56,$K$42:$M$71,2,0)+VLOOKUP(AD$41,$K$42:$M$71,2,0))</f>
        <v>0.5</v>
      </c>
      <c r="AE56">
        <f>VLOOKUP($O56,$K$42:$M$71,2,0)/(VLOOKUP($O56,$K$42:$M$71,2,0)+VLOOKUP(AE$41,$K$42:$M$71,2,0))</f>
        <v>0.51249739648421033</v>
      </c>
      <c r="AF56">
        <f>VLOOKUP($O56,$K$42:$M$71,2,0)/(VLOOKUP($O56,$K$42:$M$71,2,0)+VLOOKUP(AF$41,$K$42:$M$71,2,0))</f>
        <v>0.52560193997306337</v>
      </c>
      <c r="AG56">
        <f>VLOOKUP($O56,$K$42:$M$71,2,0)/(VLOOKUP($O56,$K$42:$M$71,2,0)+VLOOKUP(AG$41,$K$42:$M$71,2,0))</f>
        <v>0.53928878009305825</v>
      </c>
      <c r="AH56">
        <f>VLOOKUP($O56,$K$42:$M$71,2,0)/(VLOOKUP($O56,$K$42:$M$71,2,0)+VLOOKUP(AH$41,$K$42:$M$71,2,0))</f>
        <v>0.55352475209039809</v>
      </c>
      <c r="AI56">
        <f>VLOOKUP($O56,$K$42:$M$71,2,0)/(VLOOKUP($O56,$K$42:$M$71,2,0)+VLOOKUP(AI$41,$K$42:$M$71,2,0))</f>
        <v>0.56826829070732909</v>
      </c>
      <c r="AJ56">
        <f>VLOOKUP($O56,$K$42:$M$71,2,0)/(VLOOKUP($O56,$K$42:$M$71,2,0)+VLOOKUP(AJ$41,$K$42:$M$71,2,0))</f>
        <v>0.58346958313834041</v>
      </c>
      <c r="AK56">
        <f>VLOOKUP($O56,$K$42:$M$71,2,0)/(VLOOKUP($O56,$K$42:$M$71,2,0)+VLOOKUP(AK$41,$K$42:$M$71,2,0))</f>
        <v>0.59907098078204846</v>
      </c>
      <c r="AL56">
        <f>VLOOKUP($O56,$K$42:$M$71,2,0)/(VLOOKUP($O56,$K$42:$M$71,2,0)+VLOOKUP(AL$41,$K$42:$M$71,2,0))</f>
        <v>0.61500767730198336</v>
      </c>
      <c r="AM56">
        <f>VLOOKUP($O56,$K$42:$M$71,2,0)/(VLOOKUP($O56,$K$42:$M$71,2,0)+VLOOKUP(AM$41,$K$42:$M$71,2,0))</f>
        <v>0.63120864625121909</v>
      </c>
      <c r="AN56">
        <f>VLOOKUP($O56,$K$42:$M$71,2,0)/(VLOOKUP($O56,$K$42:$M$71,2,0)+VLOOKUP(AN$41,$K$42:$M$71,2,0))</f>
        <v>0.64759781623680968</v>
      </c>
      <c r="AO56">
        <f>VLOOKUP($O56,$K$42:$M$71,2,0)/(VLOOKUP($O56,$K$42:$M$71,2,0)+VLOOKUP(AO$41,$K$42:$M$71,2,0))</f>
        <v>0.66409544658332809</v>
      </c>
      <c r="AP56">
        <f>VLOOKUP($O56,$K$42:$M$71,2,0)/(VLOOKUP($O56,$K$42:$M$71,2,0)+VLOOKUP(AP$41,$K$42:$M$71,2,0))</f>
        <v>0.68061965309208583</v>
      </c>
      <c r="AQ56">
        <f>VLOOKUP($O56,$K$42:$M$71,2,0)/(VLOOKUP($O56,$K$42:$M$71,2,0)+VLOOKUP(AQ$41,$K$42:$M$71,2,0))</f>
        <v>0.69708802310993623</v>
      </c>
      <c r="AR56">
        <f>VLOOKUP($O56,$K$42:$M$71,2,0)/(VLOOKUP($O56,$K$42:$M$71,2,0)+VLOOKUP(AR$41,$K$42:$M$71,2,0))</f>
        <v>0.71341925279806462</v>
      </c>
      <c r="AS56">
        <f>VLOOKUP($O56,$K$42:$M$71,2,0)/(VLOOKUP($O56,$K$42:$M$71,2,0)+VLOOKUP(AS$41,$K$42:$M$71,2,0))</f>
        <v>0.72953473790298751</v>
      </c>
    </row>
    <row r="57" spans="11:45" x14ac:dyDescent="0.25">
      <c r="K57">
        <v>16</v>
      </c>
      <c r="L57">
        <f>L$37-L$37/(1+EXP(-L$38*($K57-L$39)))</f>
        <v>0.48750260351578967</v>
      </c>
      <c r="M57">
        <f>M$37-M$37/(1+EXP(-M$38*($K57-M$39)))</f>
        <v>39.975213488294749</v>
      </c>
      <c r="O57">
        <v>16</v>
      </c>
      <c r="P57">
        <f>VLOOKUP($O57,$K$42:$M$71,2,0)/(VLOOKUP($O57,$K$42:$M$71,2,0)+VLOOKUP(P$41,$K$42:$M$71,2,0))</f>
        <v>0.3757242494810803</v>
      </c>
      <c r="Q57">
        <f>VLOOKUP($O57,$K$42:$M$71,2,0)/(VLOOKUP($O57,$K$42:$M$71,2,0)+VLOOKUP(Q$41,$K$42:$M$71,2,0))</f>
        <v>0.38037636027887983</v>
      </c>
      <c r="R57">
        <f>VLOOKUP($O57,$K$42:$M$71,2,0)/(VLOOKUP($O57,$K$42:$M$71,2,0)+VLOOKUP(R$41,$K$42:$M$71,2,0))</f>
        <v>0.38543773998344483</v>
      </c>
      <c r="S57">
        <f>VLOOKUP($O57,$K$42:$M$71,2,0)/(VLOOKUP($O57,$K$42:$M$71,2,0)+VLOOKUP(S$41,$K$42:$M$71,2,0))</f>
        <v>0.39093610094463382</v>
      </c>
      <c r="T57">
        <f>VLOOKUP($O57,$K$42:$M$71,2,0)/(VLOOKUP($O57,$K$42:$M$71,2,0)+VLOOKUP(T$41,$K$42:$M$71,2,0))</f>
        <v>0.39689939972439248</v>
      </c>
      <c r="U57">
        <f>VLOOKUP($O57,$K$42:$M$71,2,0)/(VLOOKUP($O57,$K$42:$M$71,2,0)+VLOOKUP(U$41,$K$42:$M$71,2,0))</f>
        <v>0.40335547843352565</v>
      </c>
      <c r="V57">
        <f>VLOOKUP($O57,$K$42:$M$71,2,0)/(VLOOKUP($O57,$K$42:$M$71,2,0)+VLOOKUP(V$41,$K$42:$M$71,2,0))</f>
        <v>0.41033163680946921</v>
      </c>
      <c r="W57">
        <f>VLOOKUP($O57,$K$42:$M$71,2,0)/(VLOOKUP($O57,$K$42:$M$71,2,0)+VLOOKUP(W$41,$K$42:$M$71,2,0))</f>
        <v>0.41785413239354047</v>
      </c>
      <c r="X57">
        <f>VLOOKUP($O57,$K$42:$M$71,2,0)/(VLOOKUP($O57,$K$42:$M$71,2,0)+VLOOKUP(X$41,$K$42:$M$71,2,0))</f>
        <v>0.42594760856593195</v>
      </c>
      <c r="Y57">
        <f>VLOOKUP($O57,$K$42:$M$71,2,0)/(VLOOKUP($O57,$K$42:$M$71,2,0)+VLOOKUP(Y$41,$K$42:$M$71,2,0))</f>
        <v>0.43463445333327816</v>
      </c>
      <c r="Z57">
        <f>VLOOKUP($O57,$K$42:$M$71,2,0)/(VLOOKUP($O57,$K$42:$M$71,2,0)+VLOOKUP(Z$41,$K$42:$M$71,2,0))</f>
        <v>0.44393409565485409</v>
      </c>
      <c r="AA57">
        <f>VLOOKUP($O57,$K$42:$M$71,2,0)/(VLOOKUP($O57,$K$42:$M$71,2,0)+VLOOKUP(AA$41,$K$42:$M$71,2,0))</f>
        <v>0.45386225069478586</v>
      </c>
      <c r="AB57">
        <f>VLOOKUP($O57,$K$42:$M$71,2,0)/(VLOOKUP($O57,$K$42:$M$71,2,0)+VLOOKUP(AB$41,$K$42:$M$71,2,0))</f>
        <v>0.46443013057186694</v>
      </c>
      <c r="AC57">
        <f>VLOOKUP($O57,$K$42:$M$71,2,0)/(VLOOKUP($O57,$K$42:$M$71,2,0)+VLOOKUP(AC$41,$K$42:$M$71,2,0))</f>
        <v>0.47564364271834947</v>
      </c>
      <c r="AD57">
        <f>VLOOKUP($O57,$K$42:$M$71,2,0)/(VLOOKUP($O57,$K$42:$M$71,2,0)+VLOOKUP(AD$41,$K$42:$M$71,2,0))</f>
        <v>0.48750260351578967</v>
      </c>
      <c r="AE57">
        <f>VLOOKUP($O57,$K$42:$M$71,2,0)/(VLOOKUP($O57,$K$42:$M$71,2,0)+VLOOKUP(AE$41,$K$42:$M$71,2,0))</f>
        <v>0.5</v>
      </c>
      <c r="AF57">
        <f>VLOOKUP($O57,$K$42:$M$71,2,0)/(VLOOKUP($O57,$K$42:$M$71,2,0)+VLOOKUP(AF$41,$K$42:$M$71,2,0))</f>
        <v>0.51312133657400605</v>
      </c>
      <c r="AG57">
        <f>VLOOKUP($O57,$K$42:$M$71,2,0)/(VLOOKUP($O57,$K$42:$M$71,2,0)+VLOOKUP(AG$41,$K$42:$M$71,2,0))</f>
        <v>0.52684410623475775</v>
      </c>
      <c r="AH57">
        <f>VLOOKUP($O57,$K$42:$M$71,2,0)/(VLOOKUP($O57,$K$42:$M$71,2,0)+VLOOKUP(AH$41,$K$42:$M$71,2,0))</f>
        <v>0.54113742620272576</v>
      </c>
      <c r="AI57">
        <f>VLOOKUP($O57,$K$42:$M$71,2,0)/(VLOOKUP($O57,$K$42:$M$71,2,0)+VLOOKUP(AI$41,$K$42:$M$71,2,0))</f>
        <v>0.55596187551632081</v>
      </c>
      <c r="AJ57">
        <f>VLOOKUP($O57,$K$42:$M$71,2,0)/(VLOOKUP($O57,$K$42:$M$71,2,0)+VLOOKUP(AJ$41,$K$42:$M$71,2,0))</f>
        <v>0.57126956675389373</v>
      </c>
      <c r="AK57">
        <f>VLOOKUP($O57,$K$42:$M$71,2,0)/(VLOOKUP($O57,$K$42:$M$71,2,0)+VLOOKUP(AK$41,$K$42:$M$71,2,0))</f>
        <v>0.5870044754684387</v>
      </c>
      <c r="AL57">
        <f>VLOOKUP($O57,$K$42:$M$71,2,0)/(VLOOKUP($O57,$K$42:$M$71,2,0)+VLOOKUP(AL$41,$K$42:$M$71,2,0))</f>
        <v>0.603103039385676</v>
      </c>
      <c r="AM57">
        <f>VLOOKUP($O57,$K$42:$M$71,2,0)/(VLOOKUP($O57,$K$42:$M$71,2,0)+VLOOKUP(AM$41,$K$42:$M$71,2,0))</f>
        <v>0.61949502551376889</v>
      </c>
      <c r="AN57">
        <f>VLOOKUP($O57,$K$42:$M$71,2,0)/(VLOOKUP($O57,$K$42:$M$71,2,0)+VLOOKUP(AN$41,$K$42:$M$71,2,0))</f>
        <v>0.63610464798823751</v>
      </c>
      <c r="AO57">
        <f>VLOOKUP($O57,$K$42:$M$71,2,0)/(VLOOKUP($O57,$K$42:$M$71,2,0)+VLOOKUP(AO$41,$K$42:$M$71,2,0))</f>
        <v>0.65285190396253867</v>
      </c>
      <c r="AP57">
        <f>VLOOKUP($O57,$K$42:$M$71,2,0)/(VLOOKUP($O57,$K$42:$M$71,2,0)+VLOOKUP(AP$41,$K$42:$M$71,2,0))</f>
        <v>0.66965408054991304</v>
      </c>
      <c r="AQ57">
        <f>VLOOKUP($O57,$K$42:$M$71,2,0)/(VLOOKUP($O57,$K$42:$M$71,2,0)+VLOOKUP(AQ$41,$K$42:$M$71,2,0))</f>
        <v>0.68642737411685506</v>
      </c>
      <c r="AR57">
        <f>VLOOKUP($O57,$K$42:$M$71,2,0)/(VLOOKUP($O57,$K$42:$M$71,2,0)+VLOOKUP(AR$41,$K$42:$M$71,2,0))</f>
        <v>0.70308855532348313</v>
      </c>
      <c r="AS57">
        <f>VLOOKUP($O57,$K$42:$M$71,2,0)/(VLOOKUP($O57,$K$42:$M$71,2,0)+VLOOKUP(AS$41,$K$42:$M$71,2,0))</f>
        <v>0.71955661004003546</v>
      </c>
    </row>
    <row r="58" spans="11:45" x14ac:dyDescent="0.25">
      <c r="K58">
        <v>17</v>
      </c>
      <c r="L58">
        <f>L$37-L$37/(1+EXP(-L$38*($K58-L$39)))</f>
        <v>0.4625701546562504</v>
      </c>
      <c r="M58">
        <f>M$37-M$37/(1+EXP(-M$38*($K58-M$39)))</f>
        <v>37.930752681812535</v>
      </c>
      <c r="O58">
        <v>17</v>
      </c>
      <c r="P58">
        <f>VLOOKUP($O58,$K$42:$M$71,2,0)/(VLOOKUP($O58,$K$42:$M$71,2,0)+VLOOKUP(P$41,$K$42:$M$71,2,0))</f>
        <v>0.36349329913153089</v>
      </c>
      <c r="Q58">
        <f>VLOOKUP($O58,$K$42:$M$71,2,0)/(VLOOKUP($O58,$K$42:$M$71,2,0)+VLOOKUP(Q$41,$K$42:$M$71,2,0))</f>
        <v>0.36808326138583486</v>
      </c>
      <c r="R58">
        <f>VLOOKUP($O58,$K$42:$M$71,2,0)/(VLOOKUP($O58,$K$42:$M$71,2,0)+VLOOKUP(R$41,$K$42:$M$71,2,0))</f>
        <v>0.37307955571959134</v>
      </c>
      <c r="S58">
        <f>VLOOKUP($O58,$K$42:$M$71,2,0)/(VLOOKUP($O58,$K$42:$M$71,2,0)+VLOOKUP(S$41,$K$42:$M$71,2,0))</f>
        <v>0.37851020313129041</v>
      </c>
      <c r="T58">
        <f>VLOOKUP($O58,$K$42:$M$71,2,0)/(VLOOKUP($O58,$K$42:$M$71,2,0)+VLOOKUP(T$41,$K$42:$M$71,2,0))</f>
        <v>0.38440358663606417</v>
      </c>
      <c r="U58">
        <f>VLOOKUP($O58,$K$42:$M$71,2,0)/(VLOOKUP($O58,$K$42:$M$71,2,0)+VLOOKUP(U$41,$K$42:$M$71,2,0))</f>
        <v>0.39078811056084028</v>
      </c>
      <c r="V58">
        <f>VLOOKUP($O58,$K$42:$M$71,2,0)/(VLOOKUP($O58,$K$42:$M$71,2,0)+VLOOKUP(V$41,$K$42:$M$71,2,0))</f>
        <v>0.39769179081226008</v>
      </c>
      <c r="W58">
        <f>VLOOKUP($O58,$K$42:$M$71,2,0)/(VLOOKUP($O58,$K$42:$M$71,2,0)+VLOOKUP(W$41,$K$42:$M$71,2,0))</f>
        <v>0.40514177273214824</v>
      </c>
      <c r="X58">
        <f>VLOOKUP($O58,$K$42:$M$71,2,0)/(VLOOKUP($O58,$K$42:$M$71,2,0)+VLOOKUP(X$41,$K$42:$M$71,2,0))</f>
        <v>0.41316377534250398</v>
      </c>
      <c r="Y58">
        <f>VLOOKUP($O58,$K$42:$M$71,2,0)/(VLOOKUP($O58,$K$42:$M$71,2,0)+VLOOKUP(Y$41,$K$42:$M$71,2,0))</f>
        <v>0.42178146370054864</v>
      </c>
      <c r="Z58">
        <f>VLOOKUP($O58,$K$42:$M$71,2,0)/(VLOOKUP($O58,$K$42:$M$71,2,0)+VLOOKUP(Z$41,$K$42:$M$71,2,0))</f>
        <v>0.43101575477019799</v>
      </c>
      <c r="AA58">
        <f>VLOOKUP($O58,$K$42:$M$71,2,0)/(VLOOKUP($O58,$K$42:$M$71,2,0)+VLOOKUP(AA$41,$K$42:$M$71,2,0))</f>
        <v>0.44088406664907881</v>
      </c>
      <c r="AB58">
        <f>VLOOKUP($O58,$K$42:$M$71,2,0)/(VLOOKUP($O58,$K$42:$M$71,2,0)+VLOOKUP(AB$41,$K$42:$M$71,2,0))</f>
        <v>0.45139952607268569</v>
      </c>
      <c r="AC58">
        <f>VLOOKUP($O58,$K$42:$M$71,2,0)/(VLOOKUP($O58,$K$42:$M$71,2,0)+VLOOKUP(AC$41,$K$42:$M$71,2,0))</f>
        <v>0.4625701546562504</v>
      </c>
      <c r="AD58">
        <f>VLOOKUP($O58,$K$42:$M$71,2,0)/(VLOOKUP($O58,$K$42:$M$71,2,0)+VLOOKUP(AD$41,$K$42:$M$71,2,0))</f>
        <v>0.47439806002693663</v>
      </c>
      <c r="AE58">
        <f>VLOOKUP($O58,$K$42:$M$71,2,0)/(VLOOKUP($O58,$K$42:$M$71,2,0)+VLOOKUP(AE$41,$K$42:$M$71,2,0))</f>
        <v>0.4868786634259939</v>
      </c>
      <c r="AF58">
        <f>VLOOKUP($O58,$K$42:$M$71,2,0)/(VLOOKUP($O58,$K$42:$M$71,2,0)+VLOOKUP(AF$41,$K$42:$M$71,2,0))</f>
        <v>0.5</v>
      </c>
      <c r="AG58">
        <f>VLOOKUP($O58,$K$42:$M$71,2,0)/(VLOOKUP($O58,$K$42:$M$71,2,0)+VLOOKUP(AG$41,$K$42:$M$71,2,0))</f>
        <v>0.51374213125471302</v>
      </c>
      <c r="AH58">
        <f>VLOOKUP($O58,$K$42:$M$71,2,0)/(VLOOKUP($O58,$K$42:$M$71,2,0)+VLOOKUP(AH$41,$K$42:$M$71,2,0))</f>
        <v>0.52807671039273307</v>
      </c>
      <c r="AI58">
        <f>VLOOKUP($O58,$K$42:$M$71,2,0)/(VLOOKUP($O58,$K$42:$M$71,2,0)+VLOOKUP(AI$41,$K$42:$M$71,2,0))</f>
        <v>0.54296673992341715</v>
      </c>
      <c r="AJ58">
        <f>VLOOKUP($O58,$K$42:$M$71,2,0)/(VLOOKUP($O58,$K$42:$M$71,2,0)+VLOOKUP(AJ$41,$K$42:$M$71,2,0))</f>
        <v>0.55836655658203493</v>
      </c>
      <c r="AK58">
        <f>VLOOKUP($O58,$K$42:$M$71,2,0)/(VLOOKUP($O58,$K$42:$M$71,2,0)+VLOOKUP(AK$41,$K$42:$M$71,2,0))</f>
        <v>0.57422207101463918</v>
      </c>
      <c r="AL58">
        <f>VLOOKUP($O58,$K$42:$M$71,2,0)/(VLOOKUP($O58,$K$42:$M$71,2,0)+VLOOKUP(AL$41,$K$42:$M$71,2,0))</f>
        <v>0.59047127897548735</v>
      </c>
      <c r="AM58">
        <f>VLOOKUP($O58,$K$42:$M$71,2,0)/(VLOOKUP($O58,$K$42:$M$71,2,0)+VLOOKUP(AM$41,$K$42:$M$71,2,0))</f>
        <v>0.60704504740933996</v>
      </c>
      <c r="AN58">
        <f>VLOOKUP($O58,$K$42:$M$71,2,0)/(VLOOKUP($O58,$K$42:$M$71,2,0)+VLOOKUP(AN$41,$K$42:$M$71,2,0))</f>
        <v>0.62386816358907304</v>
      </c>
      <c r="AO58">
        <f>VLOOKUP($O58,$K$42:$M$71,2,0)/(VLOOKUP($O58,$K$42:$M$71,2,0)+VLOOKUP(AO$41,$K$42:$M$71,2,0))</f>
        <v>0.64086061961216512</v>
      </c>
      <c r="AP58">
        <f>VLOOKUP($O58,$K$42:$M$71,2,0)/(VLOOKUP($O58,$K$42:$M$71,2,0)+VLOOKUP(AP$41,$K$42:$M$71,2,0))</f>
        <v>0.65793908940705059</v>
      </c>
      <c r="AQ58">
        <f>VLOOKUP($O58,$K$42:$M$71,2,0)/(VLOOKUP($O58,$K$42:$M$71,2,0)+VLOOKUP(AQ$41,$K$42:$M$71,2,0))</f>
        <v>0.67501854240044945</v>
      </c>
      <c r="AR58">
        <f>VLOOKUP($O58,$K$42:$M$71,2,0)/(VLOOKUP($O58,$K$42:$M$71,2,0)+VLOOKUP(AR$41,$K$42:$M$71,2,0))</f>
        <v>0.69201392846109877</v>
      </c>
      <c r="AS58">
        <f>VLOOKUP($O58,$K$42:$M$71,2,0)/(VLOOKUP($O58,$K$42:$M$71,2,0)+VLOOKUP(AS$41,$K$42:$M$71,2,0))</f>
        <v>0.70884186366552659</v>
      </c>
    </row>
    <row r="59" spans="11:45" x14ac:dyDescent="0.25">
      <c r="K59">
        <v>18</v>
      </c>
      <c r="L59">
        <f>L$37-L$37/(1+EXP(-L$38*($K59-L$39)))</f>
        <v>0.43782349911420193</v>
      </c>
      <c r="M59">
        <f>M$37-M$37/(1+EXP(-M$38*($K59-M$39)))</f>
        <v>35.901526927364557</v>
      </c>
      <c r="O59">
        <v>18</v>
      </c>
      <c r="P59">
        <f>VLOOKUP($O59,$K$42:$M$71,2,0)/(VLOOKUP($O59,$K$42:$M$71,2,0)+VLOOKUP(P$41,$K$42:$M$71,2,0))</f>
        <v>0.35087017426187905</v>
      </c>
      <c r="Q59">
        <f>VLOOKUP($O59,$K$42:$M$71,2,0)/(VLOOKUP($O59,$K$42:$M$71,2,0)+VLOOKUP(Q$41,$K$42:$M$71,2,0))</f>
        <v>0.35538973797570023</v>
      </c>
      <c r="R59">
        <f>VLOOKUP($O59,$K$42:$M$71,2,0)/(VLOOKUP($O59,$K$42:$M$71,2,0)+VLOOKUP(R$41,$K$42:$M$71,2,0))</f>
        <v>0.36031197606974674</v>
      </c>
      <c r="S59">
        <f>VLOOKUP($O59,$K$42:$M$71,2,0)/(VLOOKUP($O59,$K$42:$M$71,2,0)+VLOOKUP(S$41,$K$42:$M$71,2,0))</f>
        <v>0.36566517527635367</v>
      </c>
      <c r="T59">
        <f>VLOOKUP($O59,$K$42:$M$71,2,0)/(VLOOKUP($O59,$K$42:$M$71,2,0)+VLOOKUP(T$41,$K$42:$M$71,2,0))</f>
        <v>0.37147810462585762</v>
      </c>
      <c r="U59">
        <f>VLOOKUP($O59,$K$42:$M$71,2,0)/(VLOOKUP($O59,$K$42:$M$71,2,0)+VLOOKUP(U$41,$K$42:$M$71,2,0))</f>
        <v>0.37777969425937236</v>
      </c>
      <c r="V59">
        <f>VLOOKUP($O59,$K$42:$M$71,2,0)/(VLOOKUP($O59,$K$42:$M$71,2,0)+VLOOKUP(V$41,$K$42:$M$71,2,0))</f>
        <v>0.38459864577188729</v>
      </c>
      <c r="W59">
        <f>VLOOKUP($O59,$K$42:$M$71,2,0)/(VLOOKUP($O59,$K$42:$M$71,2,0)+VLOOKUP(W$41,$K$42:$M$71,2,0))</f>
        <v>0.39196296997858859</v>
      </c>
      <c r="X59">
        <f>VLOOKUP($O59,$K$42:$M$71,2,0)/(VLOOKUP($O59,$K$42:$M$71,2,0)+VLOOKUP(X$41,$K$42:$M$71,2,0))</f>
        <v>0.39989944995796567</v>
      </c>
      <c r="Y59">
        <f>VLOOKUP($O59,$K$42:$M$71,2,0)/(VLOOKUP($O59,$K$42:$M$71,2,0)+VLOOKUP(Y$41,$K$42:$M$71,2,0))</f>
        <v>0.40843302990522401</v>
      </c>
      <c r="Z59">
        <f>VLOOKUP($O59,$K$42:$M$71,2,0)/(VLOOKUP($O59,$K$42:$M$71,2,0)+VLOOKUP(Z$41,$K$42:$M$71,2,0))</f>
        <v>0.41758613378174975</v>
      </c>
      <c r="AA59">
        <f>VLOOKUP($O59,$K$42:$M$71,2,0)/(VLOOKUP($O59,$K$42:$M$71,2,0)+VLOOKUP(AA$41,$K$42:$M$71,2,0))</f>
        <v>0.42737792197427477</v>
      </c>
      <c r="AB59">
        <f>VLOOKUP($O59,$K$42:$M$71,2,0)/(VLOOKUP($O59,$K$42:$M$71,2,0)+VLOOKUP(AB$41,$K$42:$M$71,2,0))</f>
        <v>0.43782349911420193</v>
      </c>
      <c r="AC59">
        <f>VLOOKUP($O59,$K$42:$M$71,2,0)/(VLOOKUP($O59,$K$42:$M$71,2,0)+VLOOKUP(AC$41,$K$42:$M$71,2,0))</f>
        <v>0.4489330916958254</v>
      </c>
      <c r="AD59">
        <f>VLOOKUP($O59,$K$42:$M$71,2,0)/(VLOOKUP($O59,$K$42:$M$71,2,0)+VLOOKUP(AD$41,$K$42:$M$71,2,0))</f>
        <v>0.46071121990694175</v>
      </c>
      <c r="AE59">
        <f>VLOOKUP($O59,$K$42:$M$71,2,0)/(VLOOKUP($O59,$K$42:$M$71,2,0)+VLOOKUP(AE$41,$K$42:$M$71,2,0))</f>
        <v>0.47315589376524225</v>
      </c>
      <c r="AF59">
        <f>VLOOKUP($O59,$K$42:$M$71,2,0)/(VLOOKUP($O59,$K$42:$M$71,2,0)+VLOOKUP(AF$41,$K$42:$M$71,2,0))</f>
        <v>0.48625786874528693</v>
      </c>
      <c r="AG59">
        <f>VLOOKUP($O59,$K$42:$M$71,2,0)/(VLOOKUP($O59,$K$42:$M$71,2,0)+VLOOKUP(AG$41,$K$42:$M$71,2,0))</f>
        <v>0.5</v>
      </c>
      <c r="AH59">
        <f>VLOOKUP($O59,$K$42:$M$71,2,0)/(VLOOKUP($O59,$K$42:$M$71,2,0)+VLOOKUP(AH$41,$K$42:$M$71,2,0))</f>
        <v>0.51435673639692214</v>
      </c>
      <c r="AI59">
        <f>VLOOKUP($O59,$K$42:$M$71,2,0)/(VLOOKUP($O59,$K$42:$M$71,2,0)+VLOOKUP(AI$41,$K$42:$M$71,2,0))</f>
        <v>0.5292937952910397</v>
      </c>
      <c r="AJ59">
        <f>VLOOKUP($O59,$K$42:$M$71,2,0)/(VLOOKUP($O59,$K$42:$M$71,2,0)+VLOOKUP(AJ$41,$K$42:$M$71,2,0))</f>
        <v>0.54476805573373421</v>
      </c>
      <c r="AK59">
        <f>VLOOKUP($O59,$K$42:$M$71,2,0)/(VLOOKUP($O59,$K$42:$M$71,2,0)+VLOOKUP(AK$41,$K$42:$M$71,2,0))</f>
        <v>0.56072770135857142</v>
      </c>
      <c r="AL59">
        <f>VLOOKUP($O59,$K$42:$M$71,2,0)/(VLOOKUP($O59,$K$42:$M$71,2,0)+VLOOKUP(AL$41,$K$42:$M$71,2,0))</f>
        <v>0.57711263446281591</v>
      </c>
      <c r="AM59">
        <f>VLOOKUP($O59,$K$42:$M$71,2,0)/(VLOOKUP($O59,$K$42:$M$71,2,0)+VLOOKUP(AM$41,$K$42:$M$71,2,0))</f>
        <v>0.59385517014654077</v>
      </c>
      <c r="AN59">
        <f>VLOOKUP($O59,$K$42:$M$71,2,0)/(VLOOKUP($O59,$K$42:$M$71,2,0)+VLOOKUP(AN$41,$K$42:$M$71,2,0))</f>
        <v>0.61088100448941873</v>
      </c>
      <c r="AO59">
        <f>VLOOKUP($O59,$K$42:$M$71,2,0)/(VLOOKUP($O59,$K$42:$M$71,2,0)+VLOOKUP(AO$41,$K$42:$M$71,2,0))</f>
        <v>0.62811043470553318</v>
      </c>
      <c r="AP59">
        <f>VLOOKUP($O59,$K$42:$M$71,2,0)/(VLOOKUP($O59,$K$42:$M$71,2,0)+VLOOKUP(AP$41,$K$42:$M$71,2,0))</f>
        <v>0.64545979335474335</v>
      </c>
      <c r="AQ59">
        <f>VLOOKUP($O59,$K$42:$M$71,2,0)/(VLOOKUP($O59,$K$42:$M$71,2,0)+VLOOKUP(AQ$41,$K$42:$M$71,2,0))</f>
        <v>0.66284304446693665</v>
      </c>
      <c r="AR59">
        <f>VLOOKUP($O59,$K$42:$M$71,2,0)/(VLOOKUP($O59,$K$42:$M$71,2,0)+VLOOKUP(AR$41,$K$42:$M$71,2,0))</f>
        <v>0.6801734782587594</v>
      </c>
      <c r="AS59">
        <f>VLOOKUP($O59,$K$42:$M$71,2,0)/(VLOOKUP($O59,$K$42:$M$71,2,0)+VLOOKUP(AS$41,$K$42:$M$71,2,0))</f>
        <v>0.69736543414984997</v>
      </c>
    </row>
    <row r="60" spans="11:45" x14ac:dyDescent="0.25">
      <c r="K60">
        <v>19</v>
      </c>
      <c r="L60">
        <f>L$37-L$37/(1+EXP(-L$38*($K60-L$39)))</f>
        <v>0.41338242108266987</v>
      </c>
      <c r="M60">
        <f>M$37-M$37/(1+EXP(-M$38*($K60-M$39)))</f>
        <v>33.897358528778931</v>
      </c>
      <c r="O60">
        <v>19</v>
      </c>
      <c r="P60">
        <f>VLOOKUP($O60,$K$42:$M$71,2,0)/(VLOOKUP($O60,$K$42:$M$71,2,0)+VLOOKUP(P$41,$K$42:$M$71,2,0))</f>
        <v>0.33790165946311934</v>
      </c>
      <c r="Q60">
        <f>VLOOKUP($O60,$K$42:$M$71,2,0)/(VLOOKUP($O60,$K$42:$M$71,2,0)+VLOOKUP(Q$41,$K$42:$M$71,2,0))</f>
        <v>0.34234227420634566</v>
      </c>
      <c r="R60">
        <f>VLOOKUP($O60,$K$42:$M$71,2,0)/(VLOOKUP($O60,$K$42:$M$71,2,0)+VLOOKUP(R$41,$K$42:$M$71,2,0))</f>
        <v>0.34718113072024276</v>
      </c>
      <c r="S60">
        <f>VLOOKUP($O60,$K$42:$M$71,2,0)/(VLOOKUP($O60,$K$42:$M$71,2,0)+VLOOKUP(S$41,$K$42:$M$71,2,0))</f>
        <v>0.35244672953498246</v>
      </c>
      <c r="T60">
        <f>VLOOKUP($O60,$K$42:$M$71,2,0)/(VLOOKUP($O60,$K$42:$M$71,2,0)+VLOOKUP(T$41,$K$42:$M$71,2,0))</f>
        <v>0.35816817501778558</v>
      </c>
      <c r="U60">
        <f>VLOOKUP($O60,$K$42:$M$71,2,0)/(VLOOKUP($O60,$K$42:$M$71,2,0)+VLOOKUP(U$41,$K$42:$M$71,2,0))</f>
        <v>0.36437487519461587</v>
      </c>
      <c r="V60">
        <f>VLOOKUP($O60,$K$42:$M$71,2,0)/(VLOOKUP($O60,$K$42:$M$71,2,0)+VLOOKUP(V$41,$K$42:$M$71,2,0))</f>
        <v>0.37109617401600598</v>
      </c>
      <c r="W60">
        <f>VLOOKUP($O60,$K$42:$M$71,2,0)/(VLOOKUP($O60,$K$42:$M$71,2,0)+VLOOKUP(W$41,$K$42:$M$71,2,0))</f>
        <v>0.37836091127334731</v>
      </c>
      <c r="X60">
        <f>VLOOKUP($O60,$K$42:$M$71,2,0)/(VLOOKUP($O60,$K$42:$M$71,2,0)+VLOOKUP(X$41,$K$42:$M$71,2,0))</f>
        <v>0.38619690709456994</v>
      </c>
      <c r="Y60">
        <f>VLOOKUP($O60,$K$42:$M$71,2,0)/(VLOOKUP($O60,$K$42:$M$71,2,0)+VLOOKUP(Y$41,$K$42:$M$71,2,0))</f>
        <v>0.39463037037093318</v>
      </c>
      <c r="Z60">
        <f>VLOOKUP($O60,$K$42:$M$71,2,0)/(VLOOKUP($O60,$K$42:$M$71,2,0)+VLOOKUP(Z$41,$K$42:$M$71,2,0))</f>
        <v>0.40368523365826248</v>
      </c>
      <c r="AA60">
        <f>VLOOKUP($O60,$K$42:$M$71,2,0)/(VLOOKUP($O60,$K$42:$M$71,2,0)+VLOOKUP(AA$41,$K$42:$M$71,2,0))</f>
        <v>0.41338242108266993</v>
      </c>
      <c r="AB60">
        <f>VLOOKUP($O60,$K$42:$M$71,2,0)/(VLOOKUP($O60,$K$42:$M$71,2,0)+VLOOKUP(AB$41,$K$42:$M$71,2,0))</f>
        <v>0.42373906052599375</v>
      </c>
      <c r="AC60">
        <f>VLOOKUP($O60,$K$42:$M$71,2,0)/(VLOOKUP($O60,$K$42:$M$71,2,0)+VLOOKUP(AC$41,$K$42:$M$71,2,0))</f>
        <v>0.43476765674926249</v>
      </c>
      <c r="AD60">
        <f>VLOOKUP($O60,$K$42:$M$71,2,0)/(VLOOKUP($O60,$K$42:$M$71,2,0)+VLOOKUP(AD$41,$K$42:$M$71,2,0))</f>
        <v>0.44647524790960197</v>
      </c>
      <c r="AE60">
        <f>VLOOKUP($O60,$K$42:$M$71,2,0)/(VLOOKUP($O60,$K$42:$M$71,2,0)+VLOOKUP(AE$41,$K$42:$M$71,2,0))</f>
        <v>0.45886257379727424</v>
      </c>
      <c r="AF60">
        <f>VLOOKUP($O60,$K$42:$M$71,2,0)/(VLOOKUP($O60,$K$42:$M$71,2,0)+VLOOKUP(AF$41,$K$42:$M$71,2,0))</f>
        <v>0.47192328960726693</v>
      </c>
      <c r="AG60">
        <f>VLOOKUP($O60,$K$42:$M$71,2,0)/(VLOOKUP($O60,$K$42:$M$71,2,0)+VLOOKUP(AG$41,$K$42:$M$71,2,0))</f>
        <v>0.48564326360307786</v>
      </c>
      <c r="AH60">
        <f>VLOOKUP($O60,$K$42:$M$71,2,0)/(VLOOKUP($O60,$K$42:$M$71,2,0)+VLOOKUP(AH$41,$K$42:$M$71,2,0))</f>
        <v>0.5</v>
      </c>
      <c r="AI60">
        <f>VLOOKUP($O60,$K$42:$M$71,2,0)/(VLOOKUP($O60,$K$42:$M$71,2,0)+VLOOKUP(AI$41,$K$42:$M$71,2,0))</f>
        <v>0.51496222915181122</v>
      </c>
      <c r="AJ60">
        <f>VLOOKUP($O60,$K$42:$M$71,2,0)/(VLOOKUP($O60,$K$42:$M$71,2,0)+VLOOKUP(AJ$41,$K$42:$M$71,2,0))</f>
        <v>0.53048970509709237</v>
      </c>
      <c r="AK60">
        <f>VLOOKUP($O60,$K$42:$M$71,2,0)/(VLOOKUP($O60,$K$42:$M$71,2,0)+VLOOKUP(AK$41,$K$42:$M$71,2,0))</f>
        <v>0.54653324529919223</v>
      </c>
      <c r="AL60">
        <f>VLOOKUP($O60,$K$42:$M$71,2,0)/(VLOOKUP($O60,$K$42:$M$71,2,0)+VLOOKUP(AL$41,$K$42:$M$71,2,0))</f>
        <v>0.56303503884290607</v>
      </c>
      <c r="AM60">
        <f>VLOOKUP($O60,$K$42:$M$71,2,0)/(VLOOKUP($O60,$K$42:$M$71,2,0)+VLOOKUP(AM$41,$K$42:$M$71,2,0))</f>
        <v>0.57992923761332282</v>
      </c>
      <c r="AN60">
        <f>VLOOKUP($O60,$K$42:$M$71,2,0)/(VLOOKUP($O60,$K$42:$M$71,2,0)+VLOOKUP(AN$41,$K$42:$M$71,2,0))</f>
        <v>0.59714283064373841</v>
      </c>
      <c r="AO60">
        <f>VLOOKUP($O60,$K$42:$M$71,2,0)/(VLOOKUP($O60,$K$42:$M$71,2,0)+VLOOKUP(AO$41,$K$42:$M$71,2,0))</f>
        <v>0.61459678582632993</v>
      </c>
      <c r="AP60">
        <f>VLOOKUP($O60,$K$42:$M$71,2,0)/(VLOOKUP($O60,$K$42:$M$71,2,0)+VLOOKUP(AP$41,$K$42:$M$71,2,0))</f>
        <v>0.6322074267947192</v>
      </c>
      <c r="AQ60">
        <f>VLOOKUP($O60,$K$42:$M$71,2,0)/(VLOOKUP($O60,$K$42:$M$71,2,0)+VLOOKUP(AQ$41,$K$42:$M$71,2,0))</f>
        <v>0.64988799746761383</v>
      </c>
      <c r="AR60">
        <f>VLOOKUP($O60,$K$42:$M$71,2,0)/(VLOOKUP($O60,$K$42:$M$71,2,0)+VLOOKUP(AR$41,$K$42:$M$71,2,0))</f>
        <v>0.66755035396402529</v>
      </c>
      <c r="AS60">
        <f>VLOOKUP($O60,$K$42:$M$71,2,0)/(VLOOKUP($O60,$K$42:$M$71,2,0)+VLOOKUP(AS$41,$K$42:$M$71,2,0))</f>
        <v>0.68510671466583217</v>
      </c>
    </row>
    <row r="61" spans="11:45" x14ac:dyDescent="0.25">
      <c r="K61">
        <v>20</v>
      </c>
      <c r="L61">
        <f>L$37-L$37/(1+EXP(-L$38*($K61-L$39)))</f>
        <v>0.38936076605077796</v>
      </c>
      <c r="M61">
        <f>M$37-M$37/(1+EXP(-M$38*($K61-M$39)))</f>
        <v>31.927582816163792</v>
      </c>
      <c r="O61">
        <v>20</v>
      </c>
      <c r="P61">
        <f>VLOOKUP($O61,$K$42:$M$71,2,0)/(VLOOKUP($O61,$K$42:$M$71,2,0)+VLOOKUP(P$41,$K$42:$M$71,2,0))</f>
        <v>0.32464066314684092</v>
      </c>
      <c r="Q61">
        <f>VLOOKUP($O61,$K$42:$M$71,2,0)/(VLOOKUP($O61,$K$42:$M$71,2,0)+VLOOKUP(Q$41,$K$42:$M$71,2,0))</f>
        <v>0.32899360057550692</v>
      </c>
      <c r="R61">
        <f>VLOOKUP($O61,$K$42:$M$71,2,0)/(VLOOKUP($O61,$K$42:$M$71,2,0)+VLOOKUP(R$41,$K$42:$M$71,2,0))</f>
        <v>0.33373952712945198</v>
      </c>
      <c r="S61">
        <f>VLOOKUP($O61,$K$42:$M$71,2,0)/(VLOOKUP($O61,$K$42:$M$71,2,0)+VLOOKUP(S$41,$K$42:$M$71,2,0))</f>
        <v>0.3389070962512491</v>
      </c>
      <c r="T61">
        <f>VLOOKUP($O61,$K$42:$M$71,2,0)/(VLOOKUP($O61,$K$42:$M$71,2,0)+VLOOKUP(T$41,$K$42:$M$71,2,0))</f>
        <v>0.34452568663119476</v>
      </c>
      <c r="U61">
        <f>VLOOKUP($O61,$K$42:$M$71,2,0)/(VLOOKUP($O61,$K$42:$M$71,2,0)+VLOOKUP(U$41,$K$42:$M$71,2,0))</f>
        <v>0.3506251244150837</v>
      </c>
      <c r="V61">
        <f>VLOOKUP($O61,$K$42:$M$71,2,0)/(VLOOKUP($O61,$K$42:$M$71,2,0)+VLOOKUP(V$41,$K$42:$M$71,2,0))</f>
        <v>0.35723533914989763</v>
      </c>
      <c r="W61">
        <f>VLOOKUP($O61,$K$42:$M$71,2,0)/(VLOOKUP($O61,$K$42:$M$71,2,0)+VLOOKUP(W$41,$K$42:$M$71,2,0))</f>
        <v>0.36438594803642982</v>
      </c>
      <c r="X61">
        <f>VLOOKUP($O61,$K$42:$M$71,2,0)/(VLOOKUP($O61,$K$42:$M$71,2,0)+VLOOKUP(X$41,$K$42:$M$71,2,0))</f>
        <v>0.37210576453395217</v>
      </c>
      <c r="Y61">
        <f>VLOOKUP($O61,$K$42:$M$71,2,0)/(VLOOKUP($O61,$K$42:$M$71,2,0)+VLOOKUP(Y$41,$K$42:$M$71,2,0))</f>
        <v>0.38042222951200211</v>
      </c>
      <c r="Z61">
        <f>VLOOKUP($O61,$K$42:$M$71,2,0)/(VLOOKUP($O61,$K$42:$M$71,2,0)+VLOOKUP(Z$41,$K$42:$M$71,2,0))</f>
        <v>0.38936076605077802</v>
      </c>
      <c r="AA61">
        <f>VLOOKUP($O61,$K$42:$M$71,2,0)/(VLOOKUP($O61,$K$42:$M$71,2,0)+VLOOKUP(AA$41,$K$42:$M$71,2,0))</f>
        <v>0.39894406270202759</v>
      </c>
      <c r="AB61">
        <f>VLOOKUP($O61,$K$42:$M$71,2,0)/(VLOOKUP($O61,$K$42:$M$71,2,0)+VLOOKUP(AB$41,$K$42:$M$71,2,0))</f>
        <v>0.40919129452943487</v>
      </c>
      <c r="AC61">
        <f>VLOOKUP($O61,$K$42:$M$71,2,0)/(VLOOKUP($O61,$K$42:$M$71,2,0)+VLOOKUP(AC$41,$K$42:$M$71,2,0))</f>
        <v>0.42011729646776719</v>
      </c>
      <c r="AD61">
        <f>VLOOKUP($O61,$K$42:$M$71,2,0)/(VLOOKUP($O61,$K$42:$M$71,2,0)+VLOOKUP(AD$41,$K$42:$M$71,2,0))</f>
        <v>0.43173170929267096</v>
      </c>
      <c r="AE61">
        <f>VLOOKUP($O61,$K$42:$M$71,2,0)/(VLOOKUP($O61,$K$42:$M$71,2,0)+VLOOKUP(AE$41,$K$42:$M$71,2,0))</f>
        <v>0.44403812448367919</v>
      </c>
      <c r="AF61">
        <f>VLOOKUP($O61,$K$42:$M$71,2,0)/(VLOOKUP($O61,$K$42:$M$71,2,0)+VLOOKUP(AF$41,$K$42:$M$71,2,0))</f>
        <v>0.45703326007658285</v>
      </c>
      <c r="AG61">
        <f>VLOOKUP($O61,$K$42:$M$71,2,0)/(VLOOKUP($O61,$K$42:$M$71,2,0)+VLOOKUP(AG$41,$K$42:$M$71,2,0))</f>
        <v>0.47070620470896035</v>
      </c>
      <c r="AH61">
        <f>VLOOKUP($O61,$K$42:$M$71,2,0)/(VLOOKUP($O61,$K$42:$M$71,2,0)+VLOOKUP(AH$41,$K$42:$M$71,2,0))</f>
        <v>0.48503777084818872</v>
      </c>
      <c r="AI61">
        <f>VLOOKUP($O61,$K$42:$M$71,2,0)/(VLOOKUP($O61,$K$42:$M$71,2,0)+VLOOKUP(AI$41,$K$42:$M$71,2,0))</f>
        <v>0.5</v>
      </c>
      <c r="AJ61">
        <f>VLOOKUP($O61,$K$42:$M$71,2,0)/(VLOOKUP($O61,$K$42:$M$71,2,0)+VLOOKUP(AJ$41,$K$42:$M$71,2,0))</f>
        <v>0.51555586190591096</v>
      </c>
      <c r="AK61">
        <f>VLOOKUP($O61,$K$42:$M$71,2,0)/(VLOOKUP($O61,$K$42:$M$71,2,0)+VLOOKUP(AK$41,$K$42:$M$71,2,0))</f>
        <v>0.53165918585029115</v>
      </c>
      <c r="AL61">
        <f>VLOOKUP($O61,$K$42:$M$71,2,0)/(VLOOKUP($O61,$K$42:$M$71,2,0)+VLOOKUP(AL$41,$K$42:$M$71,2,0))</f>
        <v>0.54825485493299386</v>
      </c>
      <c r="AM61">
        <f>VLOOKUP($O61,$K$42:$M$71,2,0)/(VLOOKUP($O61,$K$42:$M$71,2,0)+VLOOKUP(AM$41,$K$42:$M$71,2,0))</f>
        <v>0.56527928355213886</v>
      </c>
      <c r="AN61">
        <f>VLOOKUP($O61,$K$42:$M$71,2,0)/(VLOOKUP($O61,$K$42:$M$71,2,0)+VLOOKUP(AN$41,$K$42:$M$71,2,0))</f>
        <v>0.58266118478961515</v>
      </c>
      <c r="AO61">
        <f>VLOOKUP($O61,$K$42:$M$71,2,0)/(VLOOKUP($O61,$K$42:$M$71,2,0)+VLOOKUP(AO$41,$K$42:$M$71,2,0))</f>
        <v>0.60032261870061066</v>
      </c>
      <c r="AP61">
        <f>VLOOKUP($O61,$K$42:$M$71,2,0)/(VLOOKUP($O61,$K$42:$M$71,2,0)+VLOOKUP(AP$41,$K$42:$M$71,2,0))</f>
        <v>0.61818029583734879</v>
      </c>
      <c r="AQ61">
        <f>VLOOKUP($O61,$K$42:$M$71,2,0)/(VLOOKUP($O61,$K$42:$M$71,2,0)+VLOOKUP(AQ$41,$K$42:$M$71,2,0))</f>
        <v>0.63614709410267745</v>
      </c>
      <c r="AR61">
        <f>VLOOKUP($O61,$K$42:$M$71,2,0)/(VLOOKUP($O61,$K$42:$M$71,2,0)+VLOOKUP(AR$41,$K$42:$M$71,2,0))</f>
        <v>0.65413373274798248</v>
      </c>
      <c r="AS61">
        <f>VLOOKUP($O61,$K$42:$M$71,2,0)/(VLOOKUP($O61,$K$42:$M$71,2,0)+VLOOKUP(AS$41,$K$42:$M$71,2,0))</f>
        <v>0.67205053642728285</v>
      </c>
    </row>
    <row r="62" spans="11:45" x14ac:dyDescent="0.25">
      <c r="K62">
        <v>21</v>
      </c>
      <c r="L62">
        <f>L$37-L$37/(1+EXP(-L$38*($K62-L$39)))</f>
        <v>0.36586440898919925</v>
      </c>
      <c r="M62">
        <f>M$37-M$37/(1+EXP(-M$38*($K62-M$39)))</f>
        <v>30.000881537114346</v>
      </c>
      <c r="O62">
        <v>21</v>
      </c>
      <c r="P62">
        <f>VLOOKUP($O62,$K$42:$M$71,2,0)/(VLOOKUP($O62,$K$42:$M$71,2,0)+VLOOKUP(P$41,$K$42:$M$71,2,0))</f>
        <v>0.31114548025336697</v>
      </c>
      <c r="Q62">
        <f>VLOOKUP($O62,$K$42:$M$71,2,0)/(VLOOKUP($O62,$K$42:$M$71,2,0)+VLOOKUP(Q$41,$K$42:$M$71,2,0))</f>
        <v>0.31540197385499513</v>
      </c>
      <c r="R62">
        <f>VLOOKUP($O62,$K$42:$M$71,2,0)/(VLOOKUP($O62,$K$42:$M$71,2,0)+VLOOKUP(R$41,$K$42:$M$71,2,0))</f>
        <v>0.32004535003245588</v>
      </c>
      <c r="S62">
        <f>VLOOKUP($O62,$K$42:$M$71,2,0)/(VLOOKUP($O62,$K$42:$M$71,2,0)+VLOOKUP(S$41,$K$42:$M$71,2,0))</f>
        <v>0.32510434568498336</v>
      </c>
      <c r="T62">
        <f>VLOOKUP($O62,$K$42:$M$71,2,0)/(VLOOKUP($O62,$K$42:$M$71,2,0)+VLOOKUP(T$41,$K$42:$M$71,2,0))</f>
        <v>0.33060854271819196</v>
      </c>
      <c r="U62">
        <f>VLOOKUP($O62,$K$42:$M$71,2,0)/(VLOOKUP($O62,$K$42:$M$71,2,0)+VLOOKUP(U$41,$K$42:$M$71,2,0))</f>
        <v>0.33658811385308857</v>
      </c>
      <c r="V62">
        <f>VLOOKUP($O62,$K$42:$M$71,2,0)/(VLOOKUP($O62,$K$42:$M$71,2,0)+VLOOKUP(V$41,$K$42:$M$71,2,0))</f>
        <v>0.34307350386175622</v>
      </c>
      <c r="W62">
        <f>VLOOKUP($O62,$K$42:$M$71,2,0)/(VLOOKUP($O62,$K$42:$M$71,2,0)+VLOOKUP(W$41,$K$42:$M$71,2,0))</f>
        <v>0.35009504022448074</v>
      </c>
      <c r="X62">
        <f>VLOOKUP($O62,$K$42:$M$71,2,0)/(VLOOKUP($O62,$K$42:$M$71,2,0)+VLOOKUP(X$41,$K$42:$M$71,2,0))</f>
        <v>0.35768246842791368</v>
      </c>
      <c r="Y62">
        <f>VLOOKUP($O62,$K$42:$M$71,2,0)/(VLOOKUP($O62,$K$42:$M$71,2,0)+VLOOKUP(Y$41,$K$42:$M$71,2,0))</f>
        <v>0.36586440898919931</v>
      </c>
      <c r="Z62">
        <f>VLOOKUP($O62,$K$42:$M$71,2,0)/(VLOOKUP($O62,$K$42:$M$71,2,0)+VLOOKUP(Z$41,$K$42:$M$71,2,0))</f>
        <v>0.37466773589115104</v>
      </c>
      <c r="AA62">
        <f>VLOOKUP($O62,$K$42:$M$71,2,0)/(VLOOKUP($O62,$K$42:$M$71,2,0)+VLOOKUP(AA$41,$K$42:$M$71,2,0))</f>
        <v>0.3841168795153142</v>
      </c>
      <c r="AB62">
        <f>VLOOKUP($O62,$K$42:$M$71,2,0)/(VLOOKUP($O62,$K$42:$M$71,2,0)+VLOOKUP(AB$41,$K$42:$M$71,2,0))</f>
        <v>0.39423306138355413</v>
      </c>
      <c r="AC62">
        <f>VLOOKUP($O62,$K$42:$M$71,2,0)/(VLOOKUP($O62,$K$42:$M$71,2,0)+VLOOKUP(AC$41,$K$42:$M$71,2,0))</f>
        <v>0.40503347301746906</v>
      </c>
      <c r="AD62">
        <f>VLOOKUP($O62,$K$42:$M$71,2,0)/(VLOOKUP($O62,$K$42:$M$71,2,0)+VLOOKUP(AD$41,$K$42:$M$71,2,0))</f>
        <v>0.41653041686165959</v>
      </c>
      <c r="AE62">
        <f>VLOOKUP($O62,$K$42:$M$71,2,0)/(VLOOKUP($O62,$K$42:$M$71,2,0)+VLOOKUP(AE$41,$K$42:$M$71,2,0))</f>
        <v>0.42873043324610621</v>
      </c>
      <c r="AF62">
        <f>VLOOKUP($O62,$K$42:$M$71,2,0)/(VLOOKUP($O62,$K$42:$M$71,2,0)+VLOOKUP(AF$41,$K$42:$M$71,2,0))</f>
        <v>0.44163344341796507</v>
      </c>
      <c r="AG62">
        <f>VLOOKUP($O62,$K$42:$M$71,2,0)/(VLOOKUP($O62,$K$42:$M$71,2,0)+VLOOKUP(AG$41,$K$42:$M$71,2,0))</f>
        <v>0.45523194426626579</v>
      </c>
      <c r="AH62">
        <f>VLOOKUP($O62,$K$42:$M$71,2,0)/(VLOOKUP($O62,$K$42:$M$71,2,0)+VLOOKUP(AH$41,$K$42:$M$71,2,0))</f>
        <v>0.46951029490290769</v>
      </c>
      <c r="AI62">
        <f>VLOOKUP($O62,$K$42:$M$71,2,0)/(VLOOKUP($O62,$K$42:$M$71,2,0)+VLOOKUP(AI$41,$K$42:$M$71,2,0))</f>
        <v>0.48444413809408898</v>
      </c>
      <c r="AJ62">
        <f>VLOOKUP($O62,$K$42:$M$71,2,0)/(VLOOKUP($O62,$K$42:$M$71,2,0)+VLOOKUP(AJ$41,$K$42:$M$71,2,0))</f>
        <v>0.5</v>
      </c>
      <c r="AK62">
        <f>VLOOKUP($O62,$K$42:$M$71,2,0)/(VLOOKUP($O62,$K$42:$M$71,2,0)+VLOOKUP(AK$41,$K$42:$M$71,2,0))</f>
        <v>0.51613510920097938</v>
      </c>
      <c r="AL62">
        <f>VLOOKUP($O62,$K$42:$M$71,2,0)/(VLOOKUP($O62,$K$42:$M$71,2,0)+VLOOKUP(AL$41,$K$42:$M$71,2,0))</f>
        <v>0.53279747016783385</v>
      </c>
      <c r="AM62">
        <f>VLOOKUP($O62,$K$42:$M$71,2,0)/(VLOOKUP($O62,$K$42:$M$71,2,0)+VLOOKUP(AM$41,$K$42:$M$71,2,0))</f>
        <v>0.54992621705116529</v>
      </c>
      <c r="AN62">
        <f>VLOOKUP($O62,$K$42:$M$71,2,0)/(VLOOKUP($O62,$K$42:$M$71,2,0)+VLOOKUP(AN$41,$K$42:$M$71,2,0))</f>
        <v>0.56745226115407632</v>
      </c>
      <c r="AO62">
        <f>VLOOKUP($O62,$K$42:$M$71,2,0)/(VLOOKUP($O62,$K$42:$M$71,2,0)+VLOOKUP(AO$41,$K$42:$M$71,2,0))</f>
        <v>0.58529923034884324</v>
      </c>
      <c r="AP62">
        <f>VLOOKUP($O62,$K$42:$M$71,2,0)/(VLOOKUP($O62,$K$42:$M$71,2,0)+VLOOKUP(AP$41,$K$42:$M$71,2,0))</f>
        <v>0.60338468202473983</v>
      </c>
      <c r="AQ62">
        <f>VLOOKUP($O62,$K$42:$M$71,2,0)/(VLOOKUP($O62,$K$42:$M$71,2,0)+VLOOKUP(AQ$41,$K$42:$M$71,2,0))</f>
        <v>0.62162155425050336</v>
      </c>
      <c r="AR62">
        <f>VLOOKUP($O62,$K$42:$M$71,2,0)/(VLOOKUP($O62,$K$42:$M$71,2,0)+VLOOKUP(AR$41,$K$42:$M$71,2,0))</f>
        <v>0.63991980422035699</v>
      </c>
      <c r="AS62">
        <f>VLOOKUP($O62,$K$42:$M$71,2,0)/(VLOOKUP($O62,$K$42:$M$71,2,0)+VLOOKUP(AS$41,$K$42:$M$71,2,0))</f>
        <v>0.65818817024414811</v>
      </c>
    </row>
    <row r="63" spans="11:45" x14ac:dyDescent="0.25">
      <c r="K63">
        <v>22</v>
      </c>
      <c r="L63">
        <f>L$37-L$37/(1+EXP(-L$38*($K63-L$39)))</f>
        <v>0.34298953732650117</v>
      </c>
      <c r="M63">
        <f>M$37-M$37/(1+EXP(-M$38*($K63-M$39)))</f>
        <v>28.125142060773101</v>
      </c>
      <c r="O63">
        <v>22</v>
      </c>
      <c r="P63">
        <f>VLOOKUP($O63,$K$42:$M$71,2,0)/(VLOOKUP($O63,$K$42:$M$71,2,0)+VLOOKUP(P$41,$K$42:$M$71,2,0))</f>
        <v>0.29747885135041813</v>
      </c>
      <c r="Q63">
        <f>VLOOKUP($O63,$K$42:$M$71,2,0)/(VLOOKUP($O63,$K$42:$M$71,2,0)+VLOOKUP(Q$41,$K$42:$M$71,2,0))</f>
        <v>0.30163024925182597</v>
      </c>
      <c r="R63">
        <f>VLOOKUP($O63,$K$42:$M$71,2,0)/(VLOOKUP($O63,$K$42:$M$71,2,0)+VLOOKUP(R$41,$K$42:$M$71,2,0))</f>
        <v>0.30616154877960861</v>
      </c>
      <c r="S63">
        <f>VLOOKUP($O63,$K$42:$M$71,2,0)/(VLOOKUP($O63,$K$42:$M$71,2,0)+VLOOKUP(S$41,$K$42:$M$71,2,0))</f>
        <v>0.31110149297113832</v>
      </c>
      <c r="T63">
        <f>VLOOKUP($O63,$K$42:$M$71,2,0)/(VLOOKUP($O63,$K$42:$M$71,2,0)+VLOOKUP(T$41,$K$42:$M$71,2,0))</f>
        <v>0.31647978635601037</v>
      </c>
      <c r="U63">
        <f>VLOOKUP($O63,$K$42:$M$71,2,0)/(VLOOKUP($O63,$K$42:$M$71,2,0)+VLOOKUP(U$41,$K$42:$M$71,2,0))</f>
        <v>0.32232686537235361</v>
      </c>
      <c r="V63">
        <f>VLOOKUP($O63,$K$42:$M$71,2,0)/(VLOOKUP($O63,$K$42:$M$71,2,0)+VLOOKUP(V$41,$K$42:$M$71,2,0))</f>
        <v>0.32867360629810738</v>
      </c>
      <c r="W63">
        <f>VLOOKUP($O63,$K$42:$M$71,2,0)/(VLOOKUP($O63,$K$42:$M$71,2,0)+VLOOKUP(W$41,$K$42:$M$71,2,0))</f>
        <v>0.33555096419381403</v>
      </c>
      <c r="X63">
        <f>VLOOKUP($O63,$K$42:$M$71,2,0)/(VLOOKUP($O63,$K$42:$M$71,2,0)+VLOOKUP(X$41,$K$42:$M$71,2,0))</f>
        <v>0.34298953732650117</v>
      </c>
      <c r="Y63">
        <f>VLOOKUP($O63,$K$42:$M$71,2,0)/(VLOOKUP($O63,$K$42:$M$71,2,0)+VLOOKUP(Y$41,$K$42:$M$71,2,0))</f>
        <v>0.35101905311773113</v>
      </c>
      <c r="Z63">
        <f>VLOOKUP($O63,$K$42:$M$71,2,0)/(VLOOKUP($O63,$K$42:$M$71,2,0)+VLOOKUP(Z$41,$K$42:$M$71,2,0))</f>
        <v>0.35966777393646027</v>
      </c>
      <c r="AA63">
        <f>VLOOKUP($O63,$K$42:$M$71,2,0)/(VLOOKUP($O63,$K$42:$M$71,2,0)+VLOOKUP(AA$41,$K$42:$M$71,2,0))</f>
        <v>0.36896182412241429</v>
      </c>
      <c r="AB63">
        <f>VLOOKUP($O63,$K$42:$M$71,2,0)/(VLOOKUP($O63,$K$42:$M$71,2,0)+VLOOKUP(AB$41,$K$42:$M$71,2,0))</f>
        <v>0.37892444352409055</v>
      </c>
      <c r="AC63">
        <f>VLOOKUP($O63,$K$42:$M$71,2,0)/(VLOOKUP($O63,$K$42:$M$71,2,0)+VLOOKUP(AC$41,$K$42:$M$71,2,0))</f>
        <v>0.38957517755485771</v>
      </c>
      <c r="AD63">
        <f>VLOOKUP($O63,$K$42:$M$71,2,0)/(VLOOKUP($O63,$K$42:$M$71,2,0)+VLOOKUP(AD$41,$K$42:$M$71,2,0))</f>
        <v>0.40092901921795154</v>
      </c>
      <c r="AE63">
        <f>VLOOKUP($O63,$K$42:$M$71,2,0)/(VLOOKUP($O63,$K$42:$M$71,2,0)+VLOOKUP(AE$41,$K$42:$M$71,2,0))</f>
        <v>0.4129955245315613</v>
      </c>
      <c r="AF63">
        <f>VLOOKUP($O63,$K$42:$M$71,2,0)/(VLOOKUP($O63,$K$42:$M$71,2,0)+VLOOKUP(AF$41,$K$42:$M$71,2,0))</f>
        <v>0.42577792898536088</v>
      </c>
      <c r="AG63">
        <f>VLOOKUP($O63,$K$42:$M$71,2,0)/(VLOOKUP($O63,$K$42:$M$71,2,0)+VLOOKUP(AG$41,$K$42:$M$71,2,0))</f>
        <v>0.43927229864142858</v>
      </c>
      <c r="AH63">
        <f>VLOOKUP($O63,$K$42:$M$71,2,0)/(VLOOKUP($O63,$K$42:$M$71,2,0)+VLOOKUP(AH$41,$K$42:$M$71,2,0))</f>
        <v>0.45346675470080783</v>
      </c>
      <c r="AI63">
        <f>VLOOKUP($O63,$K$42:$M$71,2,0)/(VLOOKUP($O63,$K$42:$M$71,2,0)+VLOOKUP(AI$41,$K$42:$M$71,2,0))</f>
        <v>0.46834081414970885</v>
      </c>
      <c r="AJ63">
        <f>VLOOKUP($O63,$K$42:$M$71,2,0)/(VLOOKUP($O63,$K$42:$M$71,2,0)+VLOOKUP(AJ$41,$K$42:$M$71,2,0))</f>
        <v>0.48386489079902056</v>
      </c>
      <c r="AK63">
        <f>VLOOKUP($O63,$K$42:$M$71,2,0)/(VLOOKUP($O63,$K$42:$M$71,2,0)+VLOOKUP(AK$41,$K$42:$M$71,2,0))</f>
        <v>0.5</v>
      </c>
      <c r="AL63">
        <f>VLOOKUP($O63,$K$42:$M$71,2,0)/(VLOOKUP($O63,$K$42:$M$71,2,0)+VLOOKUP(AL$41,$K$42:$M$71,2,0))</f>
        <v>0.51669770605406096</v>
      </c>
      <c r="AM63">
        <f>VLOOKUP($O63,$K$42:$M$71,2,0)/(VLOOKUP($O63,$K$42:$M$71,2,0)+VLOOKUP(AM$41,$K$42:$M$71,2,0))</f>
        <v>0.53390034356637961</v>
      </c>
      <c r="AN63">
        <f>VLOOKUP($O63,$K$42:$M$71,2,0)/(VLOOKUP($O63,$K$42:$M$71,2,0)+VLOOKUP(AN$41,$K$42:$M$71,2,0))</f>
        <v>0.55154153277934415</v>
      </c>
      <c r="AO63">
        <f>VLOOKUP($O63,$K$42:$M$71,2,0)/(VLOOKUP($O63,$K$42:$M$71,2,0)+VLOOKUP(AO$41,$K$42:$M$71,2,0))</f>
        <v>0.56954699471169057</v>
      </c>
      <c r="AP63">
        <f>VLOOKUP($O63,$K$42:$M$71,2,0)/(VLOOKUP($O63,$K$42:$M$71,2,0)+VLOOKUP(AP$41,$K$42:$M$71,2,0))</f>
        <v>0.58783565558007556</v>
      </c>
      <c r="AQ63">
        <f>VLOOKUP($O63,$K$42:$M$71,2,0)/(VLOOKUP($O63,$K$42:$M$71,2,0)+VLOOKUP(AQ$41,$K$42:$M$71,2,0))</f>
        <v>0.60632101271449668</v>
      </c>
      <c r="AR63">
        <f>VLOOKUP($O63,$K$42:$M$71,2,0)/(VLOOKUP($O63,$K$42:$M$71,2,0)+VLOOKUP(AR$41,$K$42:$M$71,2,0))</f>
        <v>0.62491271747606736</v>
      </c>
      <c r="AS63">
        <f>VLOOKUP($O63,$K$42:$M$71,2,0)/(VLOOKUP($O63,$K$42:$M$71,2,0)+VLOOKUP(AS$41,$K$42:$M$71,2,0))</f>
        <v>0.64351831611443899</v>
      </c>
    </row>
    <row r="64" spans="11:45" x14ac:dyDescent="0.25">
      <c r="K64">
        <v>23</v>
      </c>
      <c r="L64">
        <f>L$37-L$37/(1+EXP(-L$38*($K64-L$39)))</f>
        <v>0.32082130082460703</v>
      </c>
      <c r="M64">
        <f>M$37-M$37/(1+EXP(-M$38*($K64-M$39)))</f>
        <v>26.307346667617779</v>
      </c>
      <c r="O64">
        <v>23</v>
      </c>
      <c r="P64">
        <f>VLOOKUP($O64,$K$42:$M$71,2,0)/(VLOOKUP($O64,$K$42:$M$71,2,0)+VLOOKUP(P$41,$K$42:$M$71,2,0))</f>
        <v>0.28370684641324517</v>
      </c>
      <c r="Q64">
        <f>VLOOKUP($O64,$K$42:$M$71,2,0)/(VLOOKUP($O64,$K$42:$M$71,2,0)+VLOOKUP(Q$41,$K$42:$M$71,2,0))</f>
        <v>0.2877447719654746</v>
      </c>
      <c r="R64">
        <f>VLOOKUP($O64,$K$42:$M$71,2,0)/(VLOOKUP($O64,$K$42:$M$71,2,0)+VLOOKUP(R$41,$K$42:$M$71,2,0))</f>
        <v>0.29215473840837614</v>
      </c>
      <c r="S64">
        <f>VLOOKUP($O64,$K$42:$M$71,2,0)/(VLOOKUP($O64,$K$42:$M$71,2,0)+VLOOKUP(S$41,$K$42:$M$71,2,0))</f>
        <v>0.29696541077497046</v>
      </c>
      <c r="T64">
        <f>VLOOKUP($O64,$K$42:$M$71,2,0)/(VLOOKUP($O64,$K$42:$M$71,2,0)+VLOOKUP(T$41,$K$42:$M$71,2,0))</f>
        <v>0.30220652713580148</v>
      </c>
      <c r="U64">
        <f>VLOOKUP($O64,$K$42:$M$71,2,0)/(VLOOKUP($O64,$K$42:$M$71,2,0)+VLOOKUP(U$41,$K$42:$M$71,2,0))</f>
        <v>0.30790869437595753</v>
      </c>
      <c r="V64">
        <f>VLOOKUP($O64,$K$42:$M$71,2,0)/(VLOOKUP($O64,$K$42:$M$71,2,0)+VLOOKUP(V$41,$K$42:$M$71,2,0))</f>
        <v>0.31410312396771667</v>
      </c>
      <c r="W64">
        <f>VLOOKUP($O64,$K$42:$M$71,2,0)/(VLOOKUP($O64,$K$42:$M$71,2,0)+VLOOKUP(W$41,$K$42:$M$71,2,0))</f>
        <v>0.32082130082460703</v>
      </c>
      <c r="X64">
        <f>VLOOKUP($O64,$K$42:$M$71,2,0)/(VLOOKUP($O64,$K$42:$M$71,2,0)+VLOOKUP(X$41,$K$42:$M$71,2,0))</f>
        <v>0.32809457904793099</v>
      </c>
      <c r="Y64">
        <f>VLOOKUP($O64,$K$42:$M$71,2,0)/(VLOOKUP($O64,$K$42:$M$71,2,0)+VLOOKUP(Y$41,$K$42:$M$71,2,0))</f>
        <v>0.3359536996565311</v>
      </c>
      <c r="Z64">
        <f>VLOOKUP($O64,$K$42:$M$71,2,0)/(VLOOKUP($O64,$K$42:$M$71,2,0)+VLOOKUP(Z$41,$K$42:$M$71,2,0))</f>
        <v>0.34442822733494199</v>
      </c>
      <c r="AA64">
        <f>VLOOKUP($O64,$K$42:$M$71,2,0)/(VLOOKUP($O64,$K$42:$M$71,2,0)+VLOOKUP(AA$41,$K$42:$M$71,2,0))</f>
        <v>0.35354590594117385</v>
      </c>
      <c r="AB64">
        <f>VLOOKUP($O64,$K$42:$M$71,2,0)/(VLOOKUP($O64,$K$42:$M$71,2,0)+VLOOKUP(AB$41,$K$42:$M$71,2,0))</f>
        <v>0.36333193605144004</v>
      </c>
      <c r="AC64">
        <f>VLOOKUP($O64,$K$42:$M$71,2,0)/(VLOOKUP($O64,$K$42:$M$71,2,0)+VLOOKUP(AC$41,$K$42:$M$71,2,0))</f>
        <v>0.37380818220506512</v>
      </c>
      <c r="AD64">
        <f>VLOOKUP($O64,$K$42:$M$71,2,0)/(VLOOKUP($O64,$K$42:$M$71,2,0)+VLOOKUP(AD$41,$K$42:$M$71,2,0))</f>
        <v>0.38499232269801659</v>
      </c>
      <c r="AE64">
        <f>VLOOKUP($O64,$K$42:$M$71,2,0)/(VLOOKUP($O64,$K$42:$M$71,2,0)+VLOOKUP(AE$41,$K$42:$M$71,2,0))</f>
        <v>0.396896960614324</v>
      </c>
      <c r="AF64">
        <f>VLOOKUP($O64,$K$42:$M$71,2,0)/(VLOOKUP($O64,$K$42:$M$71,2,0)+VLOOKUP(AF$41,$K$42:$M$71,2,0))</f>
        <v>0.40952872102451271</v>
      </c>
      <c r="AG64">
        <f>VLOOKUP($O64,$K$42:$M$71,2,0)/(VLOOKUP($O64,$K$42:$M$71,2,0)+VLOOKUP(AG$41,$K$42:$M$71,2,0))</f>
        <v>0.42288736553718415</v>
      </c>
      <c r="AH64">
        <f>VLOOKUP($O64,$K$42:$M$71,2,0)/(VLOOKUP($O64,$K$42:$M$71,2,0)+VLOOKUP(AH$41,$K$42:$M$71,2,0))</f>
        <v>0.43696496115709393</v>
      </c>
      <c r="AI64">
        <f>VLOOKUP($O64,$K$42:$M$71,2,0)/(VLOOKUP($O64,$K$42:$M$71,2,0)+VLOOKUP(AI$41,$K$42:$M$71,2,0))</f>
        <v>0.45174514506700608</v>
      </c>
      <c r="AJ64">
        <f>VLOOKUP($O64,$K$42:$M$71,2,0)/(VLOOKUP($O64,$K$42:$M$71,2,0)+VLOOKUP(AJ$41,$K$42:$M$71,2,0))</f>
        <v>0.46720252983216615</v>
      </c>
      <c r="AK64">
        <f>VLOOKUP($O64,$K$42:$M$71,2,0)/(VLOOKUP($O64,$K$42:$M$71,2,0)+VLOOKUP(AK$41,$K$42:$M$71,2,0))</f>
        <v>0.48330229394593899</v>
      </c>
      <c r="AL64">
        <f>VLOOKUP($O64,$K$42:$M$71,2,0)/(VLOOKUP($O64,$K$42:$M$71,2,0)+VLOOKUP(AL$41,$K$42:$M$71,2,0))</f>
        <v>0.5</v>
      </c>
      <c r="AM64">
        <f>VLOOKUP($O64,$K$42:$M$71,2,0)/(VLOOKUP($O64,$K$42:$M$71,2,0)+VLOOKUP(AM$41,$K$42:$M$71,2,0))</f>
        <v>0.51724167666642951</v>
      </c>
      <c r="AN64">
        <f>VLOOKUP($O64,$K$42:$M$71,2,0)/(VLOOKUP($O64,$K$42:$M$71,2,0)+VLOOKUP(AN$41,$K$42:$M$71,2,0))</f>
        <v>0.53496419100371084</v>
      </c>
      <c r="AO64">
        <f>VLOOKUP($O64,$K$42:$M$71,2,0)/(VLOOKUP($O64,$K$42:$M$71,2,0)+VLOOKUP(AO$41,$K$42:$M$71,2,0))</f>
        <v>0.55309592459529611</v>
      </c>
      <c r="AP64">
        <f>VLOOKUP($O64,$K$42:$M$71,2,0)/(VLOOKUP($O64,$K$42:$M$71,2,0)+VLOOKUP(AP$41,$K$42:$M$71,2,0))</f>
        <v>0.57155775136304665</v>
      </c>
      <c r="AQ64">
        <f>VLOOKUP($O64,$K$42:$M$71,2,0)/(VLOOKUP($O64,$K$42:$M$71,2,0)+VLOOKUP(AQ$41,$K$42:$M$71,2,0))</f>
        <v>0.59026429763515698</v>
      </c>
      <c r="AR64">
        <f>VLOOKUP($O64,$K$42:$M$71,2,0)/(VLOOKUP($O64,$K$42:$M$71,2,0)+VLOOKUP(AR$41,$K$42:$M$71,2,0))</f>
        <v>0.60912544757982423</v>
      </c>
      <c r="AS64">
        <f>VLOOKUP($O64,$K$42:$M$71,2,0)/(VLOOKUP($O64,$K$42:$M$71,2,0)+VLOOKUP(AS$41,$K$42:$M$71,2,0))</f>
        <v>0.62804804101525269</v>
      </c>
    </row>
    <row r="65" spans="11:45" x14ac:dyDescent="0.25">
      <c r="K65">
        <v>24</v>
      </c>
      <c r="L65">
        <f>L$37-L$37/(1+EXP(-L$38*($K65-L$39)))</f>
        <v>0.299432857526027</v>
      </c>
      <c r="M65">
        <f>M$37-M$37/(1+EXP(-M$38*($K65-M$39)))</f>
        <v>24.553494317134216</v>
      </c>
      <c r="O65">
        <v>24</v>
      </c>
      <c r="P65">
        <f>VLOOKUP($O65,$K$42:$M$71,2,0)/(VLOOKUP($O65,$K$42:$M$71,2,0)+VLOOKUP(P$41,$K$42:$M$71,2,0))</f>
        <v>0.269897613144018</v>
      </c>
      <c r="Q65">
        <f>VLOOKUP($O65,$K$42:$M$71,2,0)/(VLOOKUP($O65,$K$42:$M$71,2,0)+VLOOKUP(Q$41,$K$42:$M$71,2,0))</f>
        <v>0.27381412716209808</v>
      </c>
      <c r="R65">
        <f>VLOOKUP($O65,$K$42:$M$71,2,0)/(VLOOKUP($O65,$K$42:$M$71,2,0)+VLOOKUP(R$41,$K$42:$M$71,2,0))</f>
        <v>0.27809395249672492</v>
      </c>
      <c r="S65">
        <f>VLOOKUP($O65,$K$42:$M$71,2,0)/(VLOOKUP($O65,$K$42:$M$71,2,0)+VLOOKUP(S$41,$K$42:$M$71,2,0))</f>
        <v>0.28276558656236483</v>
      </c>
      <c r="T65">
        <f>VLOOKUP($O65,$K$42:$M$71,2,0)/(VLOOKUP($O65,$K$42:$M$71,2,0)+VLOOKUP(T$41,$K$42:$M$71,2,0))</f>
        <v>0.28785870475875486</v>
      </c>
      <c r="U65">
        <f>VLOOKUP($O65,$K$42:$M$71,2,0)/(VLOOKUP($O65,$K$42:$M$71,2,0)+VLOOKUP(U$41,$K$42:$M$71,2,0))</f>
        <v>0.29340398207222107</v>
      </c>
      <c r="V65">
        <f>VLOOKUP($O65,$K$42:$M$71,2,0)/(VLOOKUP($O65,$K$42:$M$71,2,0)+VLOOKUP(V$41,$K$42:$M$71,2,0))</f>
        <v>0.299432857526027</v>
      </c>
      <c r="W65">
        <f>VLOOKUP($O65,$K$42:$M$71,2,0)/(VLOOKUP($O65,$K$42:$M$71,2,0)+VLOOKUP(W$41,$K$42:$M$71,2,0))</f>
        <v>0.30597723425147094</v>
      </c>
      <c r="X65">
        <f>VLOOKUP($O65,$K$42:$M$71,2,0)/(VLOOKUP($O65,$K$42:$M$71,2,0)+VLOOKUP(X$41,$K$42:$M$71,2,0))</f>
        <v>0.31306910843766633</v>
      </c>
      <c r="Y65">
        <f>VLOOKUP($O65,$K$42:$M$71,2,0)/(VLOOKUP($O65,$K$42:$M$71,2,0)+VLOOKUP(Y$41,$K$42:$M$71,2,0))</f>
        <v>0.32074012140762154</v>
      </c>
      <c r="Z65">
        <f>VLOOKUP($O65,$K$42:$M$71,2,0)/(VLOOKUP($O65,$K$42:$M$71,2,0)+VLOOKUP(Z$41,$K$42:$M$71,2,0))</f>
        <v>0.32902103067531613</v>
      </c>
      <c r="AA65">
        <f>VLOOKUP($O65,$K$42:$M$71,2,0)/(VLOOKUP($O65,$K$42:$M$71,2,0)+VLOOKUP(AA$41,$K$42:$M$71,2,0))</f>
        <v>0.3379410981703963</v>
      </c>
      <c r="AB65">
        <f>VLOOKUP($O65,$K$42:$M$71,2,0)/(VLOOKUP($O65,$K$42:$M$71,2,0)+VLOOKUP(AB$41,$K$42:$M$71,2,0))</f>
        <v>0.34752739696091661</v>
      </c>
      <c r="AC65">
        <f>VLOOKUP($O65,$K$42:$M$71,2,0)/(VLOOKUP($O65,$K$42:$M$71,2,0)+VLOOKUP(AC$41,$K$42:$M$71,2,0))</f>
        <v>0.35780404180901998</v>
      </c>
      <c r="AD65">
        <f>VLOOKUP($O65,$K$42:$M$71,2,0)/(VLOOKUP($O65,$K$42:$M$71,2,0)+VLOOKUP(AD$41,$K$42:$M$71,2,0))</f>
        <v>0.36879135374878091</v>
      </c>
      <c r="AE65">
        <f>VLOOKUP($O65,$K$42:$M$71,2,0)/(VLOOKUP($O65,$K$42:$M$71,2,0)+VLOOKUP(AE$41,$K$42:$M$71,2,0))</f>
        <v>0.38050497448623116</v>
      </c>
      <c r="AF65">
        <f>VLOOKUP($O65,$K$42:$M$71,2,0)/(VLOOKUP($O65,$K$42:$M$71,2,0)+VLOOKUP(AF$41,$K$42:$M$71,2,0))</f>
        <v>0.3929549525906601</v>
      </c>
      <c r="AG65">
        <f>VLOOKUP($O65,$K$42:$M$71,2,0)/(VLOOKUP($O65,$K$42:$M$71,2,0)+VLOOKUP(AG$41,$K$42:$M$71,2,0))</f>
        <v>0.40614482985345918</v>
      </c>
      <c r="AH65">
        <f>VLOOKUP($O65,$K$42:$M$71,2,0)/(VLOOKUP($O65,$K$42:$M$71,2,0)+VLOOKUP(AH$41,$K$42:$M$71,2,0))</f>
        <v>0.42007076238667718</v>
      </c>
      <c r="AI65">
        <f>VLOOKUP($O65,$K$42:$M$71,2,0)/(VLOOKUP($O65,$K$42:$M$71,2,0)+VLOOKUP(AI$41,$K$42:$M$71,2,0))</f>
        <v>0.43472071644786109</v>
      </c>
      <c r="AJ65">
        <f>VLOOKUP($O65,$K$42:$M$71,2,0)/(VLOOKUP($O65,$K$42:$M$71,2,0)+VLOOKUP(AJ$41,$K$42:$M$71,2,0))</f>
        <v>0.45007378294883477</v>
      </c>
      <c r="AK65">
        <f>VLOOKUP($O65,$K$42:$M$71,2,0)/(VLOOKUP($O65,$K$42:$M$71,2,0)+VLOOKUP(AK$41,$K$42:$M$71,2,0))</f>
        <v>0.46609965643362039</v>
      </c>
      <c r="AL65">
        <f>VLOOKUP($O65,$K$42:$M$71,2,0)/(VLOOKUP($O65,$K$42:$M$71,2,0)+VLOOKUP(AL$41,$K$42:$M$71,2,0))</f>
        <v>0.48275832333357049</v>
      </c>
      <c r="AM65">
        <f>VLOOKUP($O65,$K$42:$M$71,2,0)/(VLOOKUP($O65,$K$42:$M$71,2,0)+VLOOKUP(AM$41,$K$42:$M$71,2,0))</f>
        <v>0.5</v>
      </c>
      <c r="AN65">
        <f>VLOOKUP($O65,$K$42:$M$71,2,0)/(VLOOKUP($O65,$K$42:$M$71,2,0)+VLOOKUP(AN$41,$K$42:$M$71,2,0))</f>
        <v>0.51776535308979577</v>
      </c>
      <c r="AO65">
        <f>VLOOKUP($O65,$K$42:$M$71,2,0)/(VLOOKUP($O65,$K$42:$M$71,2,0)+VLOOKUP(AO$41,$K$42:$M$71,2,0))</f>
        <v>0.53598602338663159</v>
      </c>
      <c r="AP65">
        <f>VLOOKUP($O65,$K$42:$M$71,2,0)/(VLOOKUP($O65,$K$42:$M$71,2,0)+VLOOKUP(AP$41,$K$42:$M$71,2,0))</f>
        <v>0.5545854595315719</v>
      </c>
      <c r="AQ65">
        <f>VLOOKUP($O65,$K$42:$M$71,2,0)/(VLOOKUP($O65,$K$42:$M$71,2,0)+VLOOKUP(AQ$41,$K$42:$M$71,2,0))</f>
        <v>0.57348005128667034</v>
      </c>
      <c r="AR65">
        <f>VLOOKUP($O65,$K$42:$M$71,2,0)/(VLOOKUP($O65,$K$42:$M$71,2,0)+VLOOKUP(AR$41,$K$42:$M$71,2,0))</f>
        <v>0.59258053411779887</v>
      </c>
      <c r="AS65">
        <f>VLOOKUP($O65,$K$42:$M$71,2,0)/(VLOOKUP($O65,$K$42:$M$71,2,0)+VLOOKUP(AS$41,$K$42:$M$71,2,0))</f>
        <v>0.61179361958126655</v>
      </c>
    </row>
    <row r="66" spans="11:45" x14ac:dyDescent="0.25">
      <c r="K66">
        <v>25</v>
      </c>
      <c r="L66">
        <f>L$37-L$37/(1+EXP(-L$38*($K66-L$39)))</f>
        <v>0.27888482197713693</v>
      </c>
      <c r="M66">
        <f>M$37-M$37/(1+EXP(-M$38*($K66-M$39)))</f>
        <v>22.868555402125224</v>
      </c>
      <c r="O66">
        <v>25</v>
      </c>
      <c r="P66">
        <f>VLOOKUP($O66,$K$42:$M$71,2,0)/(VLOOKUP($O66,$K$42:$M$71,2,0)+VLOOKUP(P$41,$K$42:$M$71,2,0))</f>
        <v>0.25612003899425795</v>
      </c>
      <c r="Q66">
        <f>VLOOKUP($O66,$K$42:$M$71,2,0)/(VLOOKUP($O66,$K$42:$M$71,2,0)+VLOOKUP(Q$41,$K$42:$M$71,2,0))</f>
        <v>0.25990779707705136</v>
      </c>
      <c r="R66">
        <f>VLOOKUP($O66,$K$42:$M$71,2,0)/(VLOOKUP($O66,$K$42:$M$71,2,0)+VLOOKUP(R$41,$K$42:$M$71,2,0))</f>
        <v>0.26404929594784404</v>
      </c>
      <c r="S66">
        <f>VLOOKUP($O66,$K$42:$M$71,2,0)/(VLOOKUP($O66,$K$42:$M$71,2,0)+VLOOKUP(S$41,$K$42:$M$71,2,0))</f>
        <v>0.2685727719429179</v>
      </c>
      <c r="T66">
        <f>VLOOKUP($O66,$K$42:$M$71,2,0)/(VLOOKUP($O66,$K$42:$M$71,2,0)+VLOOKUP(T$41,$K$42:$M$71,2,0))</f>
        <v>0.27350773614952834</v>
      </c>
      <c r="U66">
        <f>VLOOKUP($O66,$K$42:$M$71,2,0)/(VLOOKUP($O66,$K$42:$M$71,2,0)+VLOOKUP(U$41,$K$42:$M$71,2,0))</f>
        <v>0.27888482197713693</v>
      </c>
      <c r="V66">
        <f>VLOOKUP($O66,$K$42:$M$71,2,0)/(VLOOKUP($O66,$K$42:$M$71,2,0)+VLOOKUP(V$41,$K$42:$M$71,2,0))</f>
        <v>0.28473557877177313</v>
      </c>
      <c r="W66">
        <f>VLOOKUP($O66,$K$42:$M$71,2,0)/(VLOOKUP($O66,$K$42:$M$71,2,0)+VLOOKUP(W$41,$K$42:$M$71,2,0))</f>
        <v>0.29109220403428415</v>
      </c>
      <c r="X66">
        <f>VLOOKUP($O66,$K$42:$M$71,2,0)/(VLOOKUP($O66,$K$42:$M$71,2,0)+VLOOKUP(X$41,$K$42:$M$71,2,0))</f>
        <v>0.29798720706370802</v>
      </c>
      <c r="Y66">
        <f>VLOOKUP($O66,$K$42:$M$71,2,0)/(VLOOKUP($O66,$K$42:$M$71,2,0)+VLOOKUP(Y$41,$K$42:$M$71,2,0))</f>
        <v>0.305452997556169</v>
      </c>
      <c r="Z66">
        <f>VLOOKUP($O66,$K$42:$M$71,2,0)/(VLOOKUP($O66,$K$42:$M$71,2,0)+VLOOKUP(Z$41,$K$42:$M$71,2,0))</f>
        <v>0.31352139396241918</v>
      </c>
      <c r="AA66">
        <f>VLOOKUP($O66,$K$42:$M$71,2,0)/(VLOOKUP($O66,$K$42:$M$71,2,0)+VLOOKUP(AA$41,$K$42:$M$71,2,0))</f>
        <v>0.32222304835771576</v>
      </c>
      <c r="AB66">
        <f>VLOOKUP($O66,$K$42:$M$71,2,0)/(VLOOKUP($O66,$K$42:$M$71,2,0)+VLOOKUP(AB$41,$K$42:$M$71,2,0))</f>
        <v>0.33158678730799973</v>
      </c>
      <c r="AC66">
        <f>VLOOKUP($O66,$K$42:$M$71,2,0)/(VLOOKUP($O66,$K$42:$M$71,2,0)+VLOOKUP(AC$41,$K$42:$M$71,2,0))</f>
        <v>0.34163887179980024</v>
      </c>
      <c r="AD66">
        <f>VLOOKUP($O66,$K$42:$M$71,2,0)/(VLOOKUP($O66,$K$42:$M$71,2,0)+VLOOKUP(AD$41,$K$42:$M$71,2,0))</f>
        <v>0.35240218376319032</v>
      </c>
      <c r="AE66">
        <f>VLOOKUP($O66,$K$42:$M$71,2,0)/(VLOOKUP($O66,$K$42:$M$71,2,0)+VLOOKUP(AE$41,$K$42:$M$71,2,0))</f>
        <v>0.36389535201176249</v>
      </c>
      <c r="AF66">
        <f>VLOOKUP($O66,$K$42:$M$71,2,0)/(VLOOKUP($O66,$K$42:$M$71,2,0)+VLOOKUP(AF$41,$K$42:$M$71,2,0))</f>
        <v>0.37613183641092696</v>
      </c>
      <c r="AG66">
        <f>VLOOKUP($O66,$K$42:$M$71,2,0)/(VLOOKUP($O66,$K$42:$M$71,2,0)+VLOOKUP(AG$41,$K$42:$M$71,2,0))</f>
        <v>0.38911899551058127</v>
      </c>
      <c r="AH66">
        <f>VLOOKUP($O66,$K$42:$M$71,2,0)/(VLOOKUP($O66,$K$42:$M$71,2,0)+VLOOKUP(AH$41,$K$42:$M$71,2,0))</f>
        <v>0.40285716935626165</v>
      </c>
      <c r="AI66">
        <f>VLOOKUP($O66,$K$42:$M$71,2,0)/(VLOOKUP($O66,$K$42:$M$71,2,0)+VLOOKUP(AI$41,$K$42:$M$71,2,0))</f>
        <v>0.41733881521038485</v>
      </c>
      <c r="AJ66">
        <f>VLOOKUP($O66,$K$42:$M$71,2,0)/(VLOOKUP($O66,$K$42:$M$71,2,0)+VLOOKUP(AJ$41,$K$42:$M$71,2,0))</f>
        <v>0.43254773884592373</v>
      </c>
      <c r="AK66">
        <f>VLOOKUP($O66,$K$42:$M$71,2,0)/(VLOOKUP($O66,$K$42:$M$71,2,0)+VLOOKUP(AK$41,$K$42:$M$71,2,0))</f>
        <v>0.44845846722065585</v>
      </c>
      <c r="AL66">
        <f>VLOOKUP($O66,$K$42:$M$71,2,0)/(VLOOKUP($O66,$K$42:$M$71,2,0)+VLOOKUP(AL$41,$K$42:$M$71,2,0))</f>
        <v>0.46503580899628916</v>
      </c>
      <c r="AM66">
        <f>VLOOKUP($O66,$K$42:$M$71,2,0)/(VLOOKUP($O66,$K$42:$M$71,2,0)+VLOOKUP(AM$41,$K$42:$M$71,2,0))</f>
        <v>0.48223464691020429</v>
      </c>
      <c r="AN66">
        <f>VLOOKUP($O66,$K$42:$M$71,2,0)/(VLOOKUP($O66,$K$42:$M$71,2,0)+VLOOKUP(AN$41,$K$42:$M$71,2,0))</f>
        <v>0.5</v>
      </c>
      <c r="AO66">
        <f>VLOOKUP($O66,$K$42:$M$71,2,0)/(VLOOKUP($O66,$K$42:$M$71,2,0)+VLOOKUP(AO$41,$K$42:$M$71,2,0))</f>
        <v>0.51826738397349825</v>
      </c>
      <c r="AP66">
        <f>VLOOKUP($O66,$K$42:$M$71,2,0)/(VLOOKUP($O66,$K$42:$M$71,2,0)+VLOOKUP(AP$41,$K$42:$M$71,2,0))</f>
        <v>0.53696348483678247</v>
      </c>
      <c r="AQ66">
        <f>VLOOKUP($O66,$K$42:$M$71,2,0)/(VLOOKUP($O66,$K$42:$M$71,2,0)+VLOOKUP(AQ$41,$K$42:$M$71,2,0))</f>
        <v>0.5560071448932028</v>
      </c>
      <c r="AR66">
        <f>VLOOKUP($O66,$K$42:$M$71,2,0)/(VLOOKUP($O66,$K$42:$M$71,2,0)+VLOOKUP(AR$41,$K$42:$M$71,2,0))</f>
        <v>0.57531064247824737</v>
      </c>
      <c r="AS66">
        <f>VLOOKUP($O66,$K$42:$M$71,2,0)/(VLOOKUP($O66,$K$42:$M$71,2,0)+VLOOKUP(AS$41,$K$42:$M$71,2,0))</f>
        <v>0.59478122871339911</v>
      </c>
    </row>
    <row r="67" spans="11:45" x14ac:dyDescent="0.25">
      <c r="K67">
        <v>26</v>
      </c>
      <c r="L67">
        <f>L$37-L$37/(1+EXP(-L$38*($K67-L$39)))</f>
        <v>0.259225100817846</v>
      </c>
      <c r="M67">
        <f>M$37-M$37/(1+EXP(-M$38*($K67-M$39)))</f>
        <v>21.256458267063365</v>
      </c>
      <c r="O67">
        <v>26</v>
      </c>
      <c r="P67">
        <f>VLOOKUP($O67,$K$42:$M$71,2,0)/(VLOOKUP($O67,$K$42:$M$71,2,0)+VLOOKUP(P$41,$K$42:$M$71,2,0))</f>
        <v>0.24244238214015779</v>
      </c>
      <c r="Q67">
        <f>VLOOKUP($O67,$K$42:$M$71,2,0)/(VLOOKUP($O67,$K$42:$M$71,2,0)+VLOOKUP(Q$41,$K$42:$M$71,2,0))</f>
        <v>0.24609478049221095</v>
      </c>
      <c r="R67">
        <f>VLOOKUP($O67,$K$42:$M$71,2,0)/(VLOOKUP($O67,$K$42:$M$71,2,0)+VLOOKUP(R$41,$K$42:$M$71,2,0))</f>
        <v>0.2500905528792392</v>
      </c>
      <c r="S67">
        <f>VLOOKUP($O67,$K$42:$M$71,2,0)/(VLOOKUP($O67,$K$42:$M$71,2,0)+VLOOKUP(S$41,$K$42:$M$71,2,0))</f>
        <v>0.25445757909498545</v>
      </c>
      <c r="T67">
        <f>VLOOKUP($O67,$K$42:$M$71,2,0)/(VLOOKUP($O67,$K$42:$M$71,2,0)+VLOOKUP(T$41,$K$42:$M$71,2,0))</f>
        <v>0.259225100817846</v>
      </c>
      <c r="U67">
        <f>VLOOKUP($O67,$K$42:$M$71,2,0)/(VLOOKUP($O67,$K$42:$M$71,2,0)+VLOOKUP(U$41,$K$42:$M$71,2,0))</f>
        <v>0.26442359496275097</v>
      </c>
      <c r="V67">
        <f>VLOOKUP($O67,$K$42:$M$71,2,0)/(VLOOKUP($O67,$K$42:$M$71,2,0)+VLOOKUP(V$41,$K$42:$M$71,2,0))</f>
        <v>0.27008459656724915</v>
      </c>
      <c r="W67">
        <f>VLOOKUP($O67,$K$42:$M$71,2,0)/(VLOOKUP($O67,$K$42:$M$71,2,0)+VLOOKUP(W$41,$K$42:$M$71,2,0))</f>
        <v>0.27624046366789401</v>
      </c>
      <c r="X67">
        <f>VLOOKUP($O67,$K$42:$M$71,2,0)/(VLOOKUP($O67,$K$42:$M$71,2,0)+VLOOKUP(X$41,$K$42:$M$71,2,0))</f>
        <v>0.28292407667528258</v>
      </c>
      <c r="Y67">
        <f>VLOOKUP($O67,$K$42:$M$71,2,0)/(VLOOKUP($O67,$K$42:$M$71,2,0)+VLOOKUP(Y$41,$K$42:$M$71,2,0))</f>
        <v>0.29016846519990758</v>
      </c>
      <c r="Z67">
        <f>VLOOKUP($O67,$K$42:$M$71,2,0)/(VLOOKUP($O67,$K$42:$M$71,2,0)+VLOOKUP(Z$41,$K$42:$M$71,2,0))</f>
        <v>0.29800635622940125</v>
      </c>
      <c r="AA67">
        <f>VLOOKUP($O67,$K$42:$M$71,2,0)/(VLOOKUP($O67,$K$42:$M$71,2,0)+VLOOKUP(AA$41,$K$42:$M$71,2,0))</f>
        <v>0.30646963912840919</v>
      </c>
      <c r="AB67">
        <f>VLOOKUP($O67,$K$42:$M$71,2,0)/(VLOOKUP($O67,$K$42:$M$71,2,0)+VLOOKUP(AB$41,$K$42:$M$71,2,0))</f>
        <v>0.31558874523764635</v>
      </c>
      <c r="AC67">
        <f>VLOOKUP($O67,$K$42:$M$71,2,0)/(VLOOKUP($O67,$K$42:$M$71,2,0)+VLOOKUP(AC$41,$K$42:$M$71,2,0))</f>
        <v>0.32539194298213031</v>
      </c>
      <c r="AD67">
        <f>VLOOKUP($O67,$K$42:$M$71,2,0)/(VLOOKUP($O67,$K$42:$M$71,2,0)+VLOOKUP(AD$41,$K$42:$M$71,2,0))</f>
        <v>0.33590455341667186</v>
      </c>
      <c r="AE67">
        <f>VLOOKUP($O67,$K$42:$M$71,2,0)/(VLOOKUP($O67,$K$42:$M$71,2,0)+VLOOKUP(AE$41,$K$42:$M$71,2,0))</f>
        <v>0.34714809603746133</v>
      </c>
      <c r="AF67">
        <f>VLOOKUP($O67,$K$42:$M$71,2,0)/(VLOOKUP($O67,$K$42:$M$71,2,0)+VLOOKUP(AF$41,$K$42:$M$71,2,0))</f>
        <v>0.35913938038783494</v>
      </c>
      <c r="AG67">
        <f>VLOOKUP($O67,$K$42:$M$71,2,0)/(VLOOKUP($O67,$K$42:$M$71,2,0)+VLOOKUP(AG$41,$K$42:$M$71,2,0))</f>
        <v>0.37188956529446682</v>
      </c>
      <c r="AH67">
        <f>VLOOKUP($O67,$K$42:$M$71,2,0)/(VLOOKUP($O67,$K$42:$M$71,2,0)+VLOOKUP(AH$41,$K$42:$M$71,2,0))</f>
        <v>0.38540321417367007</v>
      </c>
      <c r="AI67">
        <f>VLOOKUP($O67,$K$42:$M$71,2,0)/(VLOOKUP($O67,$K$42:$M$71,2,0)+VLOOKUP(AI$41,$K$42:$M$71,2,0))</f>
        <v>0.39967738129938934</v>
      </c>
      <c r="AJ67">
        <f>VLOOKUP($O67,$K$42:$M$71,2,0)/(VLOOKUP($O67,$K$42:$M$71,2,0)+VLOOKUP(AJ$41,$K$42:$M$71,2,0))</f>
        <v>0.41470076965115682</v>
      </c>
      <c r="AK67">
        <f>VLOOKUP($O67,$K$42:$M$71,2,0)/(VLOOKUP($O67,$K$42:$M$71,2,0)+VLOOKUP(AK$41,$K$42:$M$71,2,0))</f>
        <v>0.43045300528830938</v>
      </c>
      <c r="AL67">
        <f>VLOOKUP($O67,$K$42:$M$71,2,0)/(VLOOKUP($O67,$K$42:$M$71,2,0)+VLOOKUP(AL$41,$K$42:$M$71,2,0))</f>
        <v>0.44690407540470389</v>
      </c>
      <c r="AM67">
        <f>VLOOKUP($O67,$K$42:$M$71,2,0)/(VLOOKUP($O67,$K$42:$M$71,2,0)+VLOOKUP(AM$41,$K$42:$M$71,2,0))</f>
        <v>0.46401397661336835</v>
      </c>
      <c r="AN67">
        <f>VLOOKUP($O67,$K$42:$M$71,2,0)/(VLOOKUP($O67,$K$42:$M$71,2,0)+VLOOKUP(AN$41,$K$42:$M$71,2,0))</f>
        <v>0.48173261602650175</v>
      </c>
      <c r="AO67">
        <f>VLOOKUP($O67,$K$42:$M$71,2,0)/(VLOOKUP($O67,$K$42:$M$71,2,0)+VLOOKUP(AO$41,$K$42:$M$71,2,0))</f>
        <v>0.5</v>
      </c>
      <c r="AP67">
        <f>VLOOKUP($O67,$K$42:$M$71,2,0)/(VLOOKUP($O67,$K$42:$M$71,2,0)+VLOOKUP(AP$41,$K$42:$M$71,2,0))</f>
        <v>0.51874673400493132</v>
      </c>
      <c r="AQ67">
        <f>VLOOKUP($O67,$K$42:$M$71,2,0)/(VLOOKUP($O67,$K$42:$M$71,2,0)+VLOOKUP(AQ$41,$K$42:$M$71,2,0))</f>
        <v>0.53789484238217344</v>
      </c>
      <c r="AR67">
        <f>VLOOKUP($O67,$K$42:$M$71,2,0)/(VLOOKUP($O67,$K$42:$M$71,2,0)+VLOOKUP(AR$41,$K$42:$M$71,2,0))</f>
        <v>0.5573588995787</v>
      </c>
      <c r="AS67">
        <f>VLOOKUP($O67,$K$42:$M$71,2,0)/(VLOOKUP($O67,$K$42:$M$71,2,0)+VLOOKUP(AS$41,$K$42:$M$71,2,0))</f>
        <v>0.57704744610390912</v>
      </c>
    </row>
    <row r="68" spans="11:45" x14ac:dyDescent="0.25">
      <c r="K68">
        <v>27</v>
      </c>
      <c r="L68">
        <f>L$37-L$37/(1+EXP(-L$38*($K68-L$39)))</f>
        <v>0.24048908305088901</v>
      </c>
      <c r="M68">
        <f>M$37-M$37/(1+EXP(-M$38*($K68-M$39)))</f>
        <v>19.720104810172892</v>
      </c>
      <c r="O68">
        <v>27</v>
      </c>
      <c r="P68">
        <f>VLOOKUP($O68,$K$42:$M$71,2,0)/(VLOOKUP($O68,$K$42:$M$71,2,0)+VLOOKUP(P$41,$K$42:$M$71,2,0))</f>
        <v>0.22893092887913349</v>
      </c>
      <c r="Q68">
        <f>VLOOKUP($O68,$K$42:$M$71,2,0)/(VLOOKUP($O68,$K$42:$M$71,2,0)+VLOOKUP(Q$41,$K$42:$M$71,2,0))</f>
        <v>0.23244223252095431</v>
      </c>
      <c r="R68">
        <f>VLOOKUP($O68,$K$42:$M$71,2,0)/(VLOOKUP($O68,$K$42:$M$71,2,0)+VLOOKUP(R$41,$K$42:$M$71,2,0))</f>
        <v>0.23628580799123672</v>
      </c>
      <c r="S68">
        <f>VLOOKUP($O68,$K$42:$M$71,2,0)/(VLOOKUP($O68,$K$42:$M$71,2,0)+VLOOKUP(S$41,$K$42:$M$71,2,0))</f>
        <v>0.24048908305088901</v>
      </c>
      <c r="T68">
        <f>VLOOKUP($O68,$K$42:$M$71,2,0)/(VLOOKUP($O68,$K$42:$M$71,2,0)+VLOOKUP(T$41,$K$42:$M$71,2,0))</f>
        <v>0.24508092358960609</v>
      </c>
      <c r="U68">
        <f>VLOOKUP($O68,$K$42:$M$71,2,0)/(VLOOKUP($O68,$K$42:$M$71,2,0)+VLOOKUP(U$41,$K$42:$M$71,2,0))</f>
        <v>0.2500915322300597</v>
      </c>
      <c r="V68">
        <f>VLOOKUP($O68,$K$42:$M$71,2,0)/(VLOOKUP($O68,$K$42:$M$71,2,0)+VLOOKUP(V$41,$K$42:$M$71,2,0))</f>
        <v>0.25555230020051067</v>
      </c>
      <c r="W68">
        <f>VLOOKUP($O68,$K$42:$M$71,2,0)/(VLOOKUP($O68,$K$42:$M$71,2,0)+VLOOKUP(W$41,$K$42:$M$71,2,0))</f>
        <v>0.26149560493325757</v>
      </c>
      <c r="X68">
        <f>VLOOKUP($O68,$K$42:$M$71,2,0)/(VLOOKUP($O68,$K$42:$M$71,2,0)+VLOOKUP(X$41,$K$42:$M$71,2,0))</f>
        <v>0.26795454571153682</v>
      </c>
      <c r="Y68">
        <f>VLOOKUP($O68,$K$42:$M$71,2,0)/(VLOOKUP($O68,$K$42:$M$71,2,0)+VLOOKUP(Y$41,$K$42:$M$71,2,0))</f>
        <v>0.27496260988622268</v>
      </c>
      <c r="Z68">
        <f>VLOOKUP($O68,$K$42:$M$71,2,0)/(VLOOKUP($O68,$K$42:$M$71,2,0)+VLOOKUP(Z$41,$K$42:$M$71,2,0))</f>
        <v>0.28255326282471421</v>
      </c>
      <c r="AA68">
        <f>VLOOKUP($O68,$K$42:$M$71,2,0)/(VLOOKUP($O68,$K$42:$M$71,2,0)+VLOOKUP(AA$41,$K$42:$M$71,2,0))</f>
        <v>0.29075945595530656</v>
      </c>
      <c r="AB68">
        <f>VLOOKUP($O68,$K$42:$M$71,2,0)/(VLOOKUP($O68,$K$42:$M$71,2,0)+VLOOKUP(AB$41,$K$42:$M$71,2,0))</f>
        <v>0.29961304914981679</v>
      </c>
      <c r="AC68">
        <f>VLOOKUP($O68,$K$42:$M$71,2,0)/(VLOOKUP($O68,$K$42:$M$71,2,0)+VLOOKUP(AC$41,$K$42:$M$71,2,0))</f>
        <v>0.30914414635362719</v>
      </c>
      <c r="AD68">
        <f>VLOOKUP($O68,$K$42:$M$71,2,0)/(VLOOKUP($O68,$K$42:$M$71,2,0)+VLOOKUP(AD$41,$K$42:$M$71,2,0))</f>
        <v>0.31938034690791411</v>
      </c>
      <c r="AE68">
        <f>VLOOKUP($O68,$K$42:$M$71,2,0)/(VLOOKUP($O68,$K$42:$M$71,2,0)+VLOOKUP(AE$41,$K$42:$M$71,2,0))</f>
        <v>0.33034591945008701</v>
      </c>
      <c r="AF68">
        <f>VLOOKUP($O68,$K$42:$M$71,2,0)/(VLOOKUP($O68,$K$42:$M$71,2,0)+VLOOKUP(AF$41,$K$42:$M$71,2,0))</f>
        <v>0.34206091059294946</v>
      </c>
      <c r="AG68">
        <f>VLOOKUP($O68,$K$42:$M$71,2,0)/(VLOOKUP($O68,$K$42:$M$71,2,0)+VLOOKUP(AG$41,$K$42:$M$71,2,0))</f>
        <v>0.35454020664525671</v>
      </c>
      <c r="AH68">
        <f>VLOOKUP($O68,$K$42:$M$71,2,0)/(VLOOKUP($O68,$K$42:$M$71,2,0)+VLOOKUP(AH$41,$K$42:$M$71,2,0))</f>
        <v>0.3677925732052808</v>
      </c>
      <c r="AI68">
        <f>VLOOKUP($O68,$K$42:$M$71,2,0)/(VLOOKUP($O68,$K$42:$M$71,2,0)+VLOOKUP(AI$41,$K$42:$M$71,2,0))</f>
        <v>0.38181970416265126</v>
      </c>
      <c r="AJ68">
        <f>VLOOKUP($O68,$K$42:$M$71,2,0)/(VLOOKUP($O68,$K$42:$M$71,2,0)+VLOOKUP(AJ$41,$K$42:$M$71,2,0))</f>
        <v>0.39661531797526017</v>
      </c>
      <c r="AK68">
        <f>VLOOKUP($O68,$K$42:$M$71,2,0)/(VLOOKUP($O68,$K$42:$M$71,2,0)+VLOOKUP(AK$41,$K$42:$M$71,2,0))</f>
        <v>0.4121643444199245</v>
      </c>
      <c r="AL68">
        <f>VLOOKUP($O68,$K$42:$M$71,2,0)/(VLOOKUP($O68,$K$42:$M$71,2,0)+VLOOKUP(AL$41,$K$42:$M$71,2,0))</f>
        <v>0.42844224863695335</v>
      </c>
      <c r="AM68">
        <f>VLOOKUP($O68,$K$42:$M$71,2,0)/(VLOOKUP($O68,$K$42:$M$71,2,0)+VLOOKUP(AM$41,$K$42:$M$71,2,0))</f>
        <v>0.44541454046842816</v>
      </c>
      <c r="AN68">
        <f>VLOOKUP($O68,$K$42:$M$71,2,0)/(VLOOKUP($O68,$K$42:$M$71,2,0)+VLOOKUP(AN$41,$K$42:$M$71,2,0))</f>
        <v>0.46303651516321748</v>
      </c>
      <c r="AO68">
        <f>VLOOKUP($O68,$K$42:$M$71,2,0)/(VLOOKUP($O68,$K$42:$M$71,2,0)+VLOOKUP(AO$41,$K$42:$M$71,2,0))</f>
        <v>0.48125326599506874</v>
      </c>
      <c r="AP68">
        <f>VLOOKUP($O68,$K$42:$M$71,2,0)/(VLOOKUP($O68,$K$42:$M$71,2,0)+VLOOKUP(AP$41,$K$42:$M$71,2,0))</f>
        <v>0.5</v>
      </c>
      <c r="AQ68">
        <f>VLOOKUP($O68,$K$42:$M$71,2,0)/(VLOOKUP($O68,$K$42:$M$71,2,0)+VLOOKUP(AQ$41,$K$42:$M$71,2,0))</f>
        <v>0.51920267504662998</v>
      </c>
      <c r="AR68">
        <f>VLOOKUP($O68,$K$42:$M$71,2,0)/(VLOOKUP($O68,$K$42:$M$71,2,0)+VLOOKUP(AR$41,$K$42:$M$71,2,0))</f>
        <v>0.53877896040247764</v>
      </c>
      <c r="AS68">
        <f>VLOOKUP($O68,$K$42:$M$71,2,0)/(VLOOKUP($O68,$K$42:$M$71,2,0)+VLOOKUP(AS$41,$K$42:$M$71,2,0))</f>
        <v>0.5586395048824998</v>
      </c>
    </row>
    <row r="69" spans="11:45" x14ac:dyDescent="0.25">
      <c r="K69">
        <v>28</v>
      </c>
      <c r="L69">
        <f>L$37-L$37/(1+EXP(-L$38*($K69-L$39)))</f>
        <v>0.22270013882530892</v>
      </c>
      <c r="M69">
        <f>M$37-M$37/(1+EXP(-M$38*($K69-M$39)))</f>
        <v>18.26141138367533</v>
      </c>
      <c r="O69">
        <v>28</v>
      </c>
      <c r="P69">
        <f>VLOOKUP($O69,$K$42:$M$71,2,0)/(VLOOKUP($O69,$K$42:$M$71,2,0)+VLOOKUP(P$41,$K$42:$M$71,2,0))</f>
        <v>0.21564873302704085</v>
      </c>
      <c r="Q69">
        <f>VLOOKUP($O69,$K$42:$M$71,2,0)/(VLOOKUP($O69,$K$42:$M$71,2,0)+VLOOKUP(Q$41,$K$42:$M$71,2,0))</f>
        <v>0.21901418118100136</v>
      </c>
      <c r="R69">
        <f>VLOOKUP($O69,$K$42:$M$71,2,0)/(VLOOKUP($O69,$K$42:$M$71,2,0)+VLOOKUP(R$41,$K$42:$M$71,2,0))</f>
        <v>0.22270013882530892</v>
      </c>
      <c r="S69">
        <f>VLOOKUP($O69,$K$42:$M$71,2,0)/(VLOOKUP($O69,$K$42:$M$71,2,0)+VLOOKUP(S$41,$K$42:$M$71,2,0))</f>
        <v>0.22673348820098749</v>
      </c>
      <c r="T69">
        <f>VLOOKUP($O69,$K$42:$M$71,2,0)/(VLOOKUP($O69,$K$42:$M$71,2,0)+VLOOKUP(T$41,$K$42:$M$71,2,0))</f>
        <v>0.23114261401714065</v>
      </c>
      <c r="U69">
        <f>VLOOKUP($O69,$K$42:$M$71,2,0)/(VLOOKUP($O69,$K$42:$M$71,2,0)+VLOOKUP(U$41,$K$42:$M$71,2,0))</f>
        <v>0.23595732644921025</v>
      </c>
      <c r="V69">
        <f>VLOOKUP($O69,$K$42:$M$71,2,0)/(VLOOKUP($O69,$K$42:$M$71,2,0)+VLOOKUP(V$41,$K$42:$M$71,2,0))</f>
        <v>0.24120874132126804</v>
      </c>
      <c r="W69">
        <f>VLOOKUP($O69,$K$42:$M$71,2,0)/(VLOOKUP($O69,$K$42:$M$71,2,0)+VLOOKUP(W$41,$K$42:$M$71,2,0))</f>
        <v>0.24692911003322113</v>
      </c>
      <c r="X69">
        <f>VLOOKUP($O69,$K$42:$M$71,2,0)/(VLOOKUP($O69,$K$42:$M$71,2,0)+VLOOKUP(X$41,$K$42:$M$71,2,0))</f>
        <v>0.25315159149597988</v>
      </c>
      <c r="Y69">
        <f>VLOOKUP($O69,$K$42:$M$71,2,0)/(VLOOKUP($O69,$K$42:$M$71,2,0)+VLOOKUP(Y$41,$K$42:$M$71,2,0))</f>
        <v>0.25990995831593727</v>
      </c>
      <c r="Z69">
        <f>VLOOKUP($O69,$K$42:$M$71,2,0)/(VLOOKUP($O69,$K$42:$M$71,2,0)+VLOOKUP(Z$41,$K$42:$M$71,2,0))</f>
        <v>0.267238229826881</v>
      </c>
      <c r="AA69">
        <f>VLOOKUP($O69,$K$42:$M$71,2,0)/(VLOOKUP($O69,$K$42:$M$71,2,0)+VLOOKUP(AA$41,$K$42:$M$71,2,0))</f>
        <v>0.27517022541711739</v>
      </c>
      <c r="AB69">
        <f>VLOOKUP($O69,$K$42:$M$71,2,0)/(VLOOKUP($O69,$K$42:$M$71,2,0)+VLOOKUP(AB$41,$K$42:$M$71,2,0))</f>
        <v>0.28373903306292714</v>
      </c>
      <c r="AC69">
        <f>VLOOKUP($O69,$K$42:$M$71,2,0)/(VLOOKUP($O69,$K$42:$M$71,2,0)+VLOOKUP(AC$41,$K$42:$M$71,2,0))</f>
        <v>0.29297639017457672</v>
      </c>
      <c r="AD69">
        <f>VLOOKUP($O69,$K$42:$M$71,2,0)/(VLOOKUP($O69,$K$42:$M$71,2,0)+VLOOKUP(AD$41,$K$42:$M$71,2,0))</f>
        <v>0.30291197689006377</v>
      </c>
      <c r="AE69">
        <f>VLOOKUP($O69,$K$42:$M$71,2,0)/(VLOOKUP($O69,$K$42:$M$71,2,0)+VLOOKUP(AE$41,$K$42:$M$71,2,0))</f>
        <v>0.313572625883145</v>
      </c>
      <c r="AF69">
        <f>VLOOKUP($O69,$K$42:$M$71,2,0)/(VLOOKUP($O69,$K$42:$M$71,2,0)+VLOOKUP(AF$41,$K$42:$M$71,2,0))</f>
        <v>0.32498145759955055</v>
      </c>
      <c r="AG69">
        <f>VLOOKUP($O69,$K$42:$M$71,2,0)/(VLOOKUP($O69,$K$42:$M$71,2,0)+VLOOKUP(AG$41,$K$42:$M$71,2,0))</f>
        <v>0.33715695553306341</v>
      </c>
      <c r="AH69">
        <f>VLOOKUP($O69,$K$42:$M$71,2,0)/(VLOOKUP($O69,$K$42:$M$71,2,0)+VLOOKUP(AH$41,$K$42:$M$71,2,0))</f>
        <v>0.35011200253238611</v>
      </c>
      <c r="AI69">
        <f>VLOOKUP($O69,$K$42:$M$71,2,0)/(VLOOKUP($O69,$K$42:$M$71,2,0)+VLOOKUP(AI$41,$K$42:$M$71,2,0))</f>
        <v>0.36385290589732255</v>
      </c>
      <c r="AJ69">
        <f>VLOOKUP($O69,$K$42:$M$71,2,0)/(VLOOKUP($O69,$K$42:$M$71,2,0)+VLOOKUP(AJ$41,$K$42:$M$71,2,0))</f>
        <v>0.37837844574949669</v>
      </c>
      <c r="AK69">
        <f>VLOOKUP($O69,$K$42:$M$71,2,0)/(VLOOKUP($O69,$K$42:$M$71,2,0)+VLOOKUP(AK$41,$K$42:$M$71,2,0))</f>
        <v>0.39367898728550332</v>
      </c>
      <c r="AL69">
        <f>VLOOKUP($O69,$K$42:$M$71,2,0)/(VLOOKUP($O69,$K$42:$M$71,2,0)+VLOOKUP(AL$41,$K$42:$M$71,2,0))</f>
        <v>0.40973570236484297</v>
      </c>
      <c r="AM69">
        <f>VLOOKUP($O69,$K$42:$M$71,2,0)/(VLOOKUP($O69,$K$42:$M$71,2,0)+VLOOKUP(AM$41,$K$42:$M$71,2,0))</f>
        <v>0.42651994871332966</v>
      </c>
      <c r="AN69">
        <f>VLOOKUP($O69,$K$42:$M$71,2,0)/(VLOOKUP($O69,$K$42:$M$71,2,0)+VLOOKUP(AN$41,$K$42:$M$71,2,0))</f>
        <v>0.44399285510679726</v>
      </c>
      <c r="AO69">
        <f>VLOOKUP($O69,$K$42:$M$71,2,0)/(VLOOKUP($O69,$K$42:$M$71,2,0)+VLOOKUP(AO$41,$K$42:$M$71,2,0))</f>
        <v>0.4621051576178265</v>
      </c>
      <c r="AP69">
        <f>VLOOKUP($O69,$K$42:$M$71,2,0)/(VLOOKUP($O69,$K$42:$M$71,2,0)+VLOOKUP(AP$41,$K$42:$M$71,2,0))</f>
        <v>0.48079732495336996</v>
      </c>
      <c r="AQ69">
        <f>VLOOKUP($O69,$K$42:$M$71,2,0)/(VLOOKUP($O69,$K$42:$M$71,2,0)+VLOOKUP(AQ$41,$K$42:$M$71,2,0))</f>
        <v>0.5</v>
      </c>
      <c r="AR69">
        <f>VLOOKUP($O69,$K$42:$M$71,2,0)/(VLOOKUP($O69,$K$42:$M$71,2,0)+VLOOKUP(AR$41,$K$42:$M$71,2,0))</f>
        <v>0.51963477025025462</v>
      </c>
      <c r="AS69">
        <f>VLOOKUP($O69,$K$42:$M$71,2,0)/(VLOOKUP($O69,$K$42:$M$71,2,0)+VLOOKUP(AS$41,$K$42:$M$71,2,0))</f>
        <v>0.53961526258126746</v>
      </c>
    </row>
    <row r="70" spans="11:45" x14ac:dyDescent="0.25">
      <c r="K70">
        <v>29</v>
      </c>
      <c r="L70">
        <f>L$37-L$37/(1+EXP(-L$38*($K70-L$39)))</f>
        <v>0.20587037180094725</v>
      </c>
      <c r="M70">
        <f>M$37-M$37/(1+EXP(-M$38*($K70-M$39)))</f>
        <v>16.881370487677671</v>
      </c>
      <c r="O70">
        <v>29</v>
      </c>
      <c r="P70">
        <f>VLOOKUP($O70,$K$42:$M$71,2,0)/(VLOOKUP($O70,$K$42:$M$71,2,0)+VLOOKUP(P$41,$K$42:$M$71,2,0))</f>
        <v>0.20265448710351422</v>
      </c>
      <c r="Q70">
        <f>VLOOKUP($O70,$K$42:$M$71,2,0)/(VLOOKUP($O70,$K$42:$M$71,2,0)+VLOOKUP(Q$41,$K$42:$M$71,2,0))</f>
        <v>0.20587037180094728</v>
      </c>
      <c r="R70">
        <f>VLOOKUP($O70,$K$42:$M$71,2,0)/(VLOOKUP($O70,$K$42:$M$71,2,0)+VLOOKUP(R$41,$K$42:$M$71,2,0))</f>
        <v>0.20939443129585517</v>
      </c>
      <c r="S70">
        <f>VLOOKUP($O70,$K$42:$M$71,2,0)/(VLOOKUP($O70,$K$42:$M$71,2,0)+VLOOKUP(S$41,$K$42:$M$71,2,0))</f>
        <v>0.21325291281282335</v>
      </c>
      <c r="T70">
        <f>VLOOKUP($O70,$K$42:$M$71,2,0)/(VLOOKUP($O70,$K$42:$M$71,2,0)+VLOOKUP(T$41,$K$42:$M$71,2,0))</f>
        <v>0.21747361774400317</v>
      </c>
      <c r="U70">
        <f>VLOOKUP($O70,$K$42:$M$71,2,0)/(VLOOKUP($O70,$K$42:$M$71,2,0)+VLOOKUP(U$41,$K$42:$M$71,2,0))</f>
        <v>0.22208584787548899</v>
      </c>
      <c r="V70">
        <f>VLOOKUP($O70,$K$42:$M$71,2,0)/(VLOOKUP($O70,$K$42:$M$71,2,0)+VLOOKUP(V$41,$K$42:$M$71,2,0))</f>
        <v>0.22712031282777123</v>
      </c>
      <c r="W70">
        <f>VLOOKUP($O70,$K$42:$M$71,2,0)/(VLOOKUP($O70,$K$42:$M$71,2,0)+VLOOKUP(W$41,$K$42:$M$71,2,0))</f>
        <v>0.23260899146963879</v>
      </c>
      <c r="X70">
        <f>VLOOKUP($O70,$K$42:$M$71,2,0)/(VLOOKUP($O70,$K$42:$M$71,2,0)+VLOOKUP(X$41,$K$42:$M$71,2,0))</f>
        <v>0.23858493962997393</v>
      </c>
      <c r="Y70">
        <f>VLOOKUP($O70,$K$42:$M$71,2,0)/(VLOOKUP($O70,$K$42:$M$71,2,0)+VLOOKUP(Y$41,$K$42:$M$71,2,0))</f>
        <v>0.24508203621774108</v>
      </c>
      <c r="Z70">
        <f>VLOOKUP($O70,$K$42:$M$71,2,0)/(VLOOKUP($O70,$K$42:$M$71,2,0)+VLOOKUP(Z$41,$K$42:$M$71,2,0))</f>
        <v>0.2521346599612917</v>
      </c>
      <c r="AA70">
        <f>VLOOKUP($O70,$K$42:$M$71,2,0)/(VLOOKUP($O70,$K$42:$M$71,2,0)+VLOOKUP(AA$41,$K$42:$M$71,2,0))</f>
        <v>0.25977728950245255</v>
      </c>
      <c r="AB70">
        <f>VLOOKUP($O70,$K$42:$M$71,2,0)/(VLOOKUP($O70,$K$42:$M$71,2,0)+VLOOKUP(AB$41,$K$42:$M$71,2,0))</f>
        <v>0.26804402064783006</v>
      </c>
      <c r="AC70">
        <f>VLOOKUP($O70,$K$42:$M$71,2,0)/(VLOOKUP($O70,$K$42:$M$71,2,0)+VLOOKUP(AC$41,$K$42:$M$71,2,0))</f>
        <v>0.27696799631214269</v>
      </c>
      <c r="AD70">
        <f>VLOOKUP($O70,$K$42:$M$71,2,0)/(VLOOKUP($O70,$K$42:$M$71,2,0)+VLOOKUP(AD$41,$K$42:$M$71,2,0))</f>
        <v>0.28658074720193538</v>
      </c>
      <c r="AE70">
        <f>VLOOKUP($O70,$K$42:$M$71,2,0)/(VLOOKUP($O70,$K$42:$M$71,2,0)+VLOOKUP(AE$41,$K$42:$M$71,2,0))</f>
        <v>0.29691144467651692</v>
      </c>
      <c r="AF70">
        <f>VLOOKUP($O70,$K$42:$M$71,2,0)/(VLOOKUP($O70,$K$42:$M$71,2,0)+VLOOKUP(AF$41,$K$42:$M$71,2,0))</f>
        <v>0.30798607153890117</v>
      </c>
      <c r="AG70">
        <f>VLOOKUP($O70,$K$42:$M$71,2,0)/(VLOOKUP($O70,$K$42:$M$71,2,0)+VLOOKUP(AG$41,$K$42:$M$71,2,0))</f>
        <v>0.31982652174124054</v>
      </c>
      <c r="AH70">
        <f>VLOOKUP($O70,$K$42:$M$71,2,0)/(VLOOKUP($O70,$K$42:$M$71,2,0)+VLOOKUP(AH$41,$K$42:$M$71,2,0))</f>
        <v>0.33244964603597466</v>
      </c>
      <c r="AI70">
        <f>VLOOKUP($O70,$K$42:$M$71,2,0)/(VLOOKUP($O70,$K$42:$M$71,2,0)+VLOOKUP(AI$41,$K$42:$M$71,2,0))</f>
        <v>0.34586626725201747</v>
      </c>
      <c r="AJ70">
        <f>VLOOKUP($O70,$K$42:$M$71,2,0)/(VLOOKUP($O70,$K$42:$M$71,2,0)+VLOOKUP(AJ$41,$K$42:$M$71,2,0))</f>
        <v>0.36008019577964306</v>
      </c>
      <c r="AK70">
        <f>VLOOKUP($O70,$K$42:$M$71,2,0)/(VLOOKUP($O70,$K$42:$M$71,2,0)+VLOOKUP(AK$41,$K$42:$M$71,2,0))</f>
        <v>0.37508728252393264</v>
      </c>
      <c r="AL70">
        <f>VLOOKUP($O70,$K$42:$M$71,2,0)/(VLOOKUP($O70,$K$42:$M$71,2,0)+VLOOKUP(AL$41,$K$42:$M$71,2,0))</f>
        <v>0.39087455242017571</v>
      </c>
      <c r="AM70">
        <f>VLOOKUP($O70,$K$42:$M$71,2,0)/(VLOOKUP($O70,$K$42:$M$71,2,0)+VLOOKUP(AM$41,$K$42:$M$71,2,0))</f>
        <v>0.40741946588220118</v>
      </c>
      <c r="AN70">
        <f>VLOOKUP($O70,$K$42:$M$71,2,0)/(VLOOKUP($O70,$K$42:$M$71,2,0)+VLOOKUP(AN$41,$K$42:$M$71,2,0))</f>
        <v>0.42468935752175258</v>
      </c>
      <c r="AO70">
        <f>VLOOKUP($O70,$K$42:$M$71,2,0)/(VLOOKUP($O70,$K$42:$M$71,2,0)+VLOOKUP(AO$41,$K$42:$M$71,2,0))</f>
        <v>0.4426411004213</v>
      </c>
      <c r="AP70">
        <f>VLOOKUP($O70,$K$42:$M$71,2,0)/(VLOOKUP($O70,$K$42:$M$71,2,0)+VLOOKUP(AP$41,$K$42:$M$71,2,0))</f>
        <v>0.46122103959752231</v>
      </c>
      <c r="AQ70">
        <f>VLOOKUP($O70,$K$42:$M$71,2,0)/(VLOOKUP($O70,$K$42:$M$71,2,0)+VLOOKUP(AQ$41,$K$42:$M$71,2,0))</f>
        <v>0.48036522974974538</v>
      </c>
      <c r="AR70">
        <f>VLOOKUP($O70,$K$42:$M$71,2,0)/(VLOOKUP($O70,$K$42:$M$71,2,0)+VLOOKUP(AR$41,$K$42:$M$71,2,0))</f>
        <v>0.5</v>
      </c>
      <c r="AS70">
        <f>VLOOKUP($O70,$K$42:$M$71,2,0)/(VLOOKUP($O70,$K$42:$M$71,2,0)+VLOOKUP(AS$41,$K$42:$M$71,2,0))</f>
        <v>0.52004285258658534</v>
      </c>
    </row>
    <row r="71" spans="11:45" x14ac:dyDescent="0.25">
      <c r="K71">
        <v>30</v>
      </c>
      <c r="L71">
        <f>L$37-L$37/(1+EXP(-L$38*($K71-L$39)))</f>
        <v>0.19000156601531293</v>
      </c>
      <c r="M71">
        <f>M$37-M$37/(1+EXP(-M$38*($K71-M$39)))</f>
        <v>15.580128413255665</v>
      </c>
      <c r="O71">
        <v>30</v>
      </c>
      <c r="P71">
        <f>VLOOKUP($O71,$K$42:$M$71,2,0)/(VLOOKUP($O71,$K$42:$M$71,2,0)+VLOOKUP(P$41,$K$42:$M$71,2,0))</f>
        <v>0.19000156601531293</v>
      </c>
      <c r="Q71">
        <f>VLOOKUP($O71,$K$42:$M$71,2,0)/(VLOOKUP($O71,$K$42:$M$71,2,0)+VLOOKUP(Q$41,$K$42:$M$71,2,0))</f>
        <v>0.19306528147092386</v>
      </c>
      <c r="R71">
        <f>VLOOKUP($O71,$K$42:$M$71,2,0)/(VLOOKUP($O71,$K$42:$M$71,2,0)+VLOOKUP(R$41,$K$42:$M$71,2,0))</f>
        <v>0.19642436232857072</v>
      </c>
      <c r="S71">
        <f>VLOOKUP($O71,$K$42:$M$71,2,0)/(VLOOKUP($O71,$K$42:$M$71,2,0)+VLOOKUP(S$41,$K$42:$M$71,2,0))</f>
        <v>0.20010433714585701</v>
      </c>
      <c r="T71">
        <f>VLOOKUP($O71,$K$42:$M$71,2,0)/(VLOOKUP($O71,$K$42:$M$71,2,0)+VLOOKUP(T$41,$K$42:$M$71,2,0))</f>
        <v>0.20413232727688654</v>
      </c>
      <c r="U71">
        <f>VLOOKUP($O71,$K$42:$M$71,2,0)/(VLOOKUP($O71,$K$42:$M$71,2,0)+VLOOKUP(U$41,$K$42:$M$71,2,0))</f>
        <v>0.20853701488703166</v>
      </c>
      <c r="V71">
        <f>VLOOKUP($O71,$K$42:$M$71,2,0)/(VLOOKUP($O71,$K$42:$M$71,2,0)+VLOOKUP(V$41,$K$42:$M$71,2,0))</f>
        <v>0.21334857625709938</v>
      </c>
      <c r="W71">
        <f>VLOOKUP($O71,$K$42:$M$71,2,0)/(VLOOKUP($O71,$K$42:$M$71,2,0)+VLOOKUP(W$41,$K$42:$M$71,2,0))</f>
        <v>0.21859857341977834</v>
      </c>
      <c r="X71">
        <f>VLOOKUP($O71,$K$42:$M$71,2,0)/(VLOOKUP($O71,$K$42:$M$71,2,0)+VLOOKUP(X$41,$K$42:$M$71,2,0))</f>
        <v>0.22431979662607437</v>
      </c>
      <c r="Y71">
        <f>VLOOKUP($O71,$K$42:$M$71,2,0)/(VLOOKUP($O71,$K$42:$M$71,2,0)+VLOOKUP(Y$41,$K$42:$M$71,2,0))</f>
        <v>0.2305460497630403</v>
      </c>
      <c r="Z71">
        <f>VLOOKUP($O71,$K$42:$M$71,2,0)/(VLOOKUP($O71,$K$42:$M$71,2,0)+VLOOKUP(Z$41,$K$42:$M$71,2,0))</f>
        <v>0.23731187072121385</v>
      </c>
      <c r="AA71">
        <f>VLOOKUP($O71,$K$42:$M$71,2,0)/(VLOOKUP($O71,$K$42:$M$71,2,0)+VLOOKUP(AA$41,$K$42:$M$71,2,0))</f>
        <v>0.24465217894131619</v>
      </c>
      <c r="AB71">
        <f>VLOOKUP($O71,$K$42:$M$71,2,0)/(VLOOKUP($O71,$K$42:$M$71,2,0)+VLOOKUP(AB$41,$K$42:$M$71,2,0))</f>
        <v>0.25260184306901956</v>
      </c>
      <c r="AC71">
        <f>VLOOKUP($O71,$K$42:$M$71,2,0)/(VLOOKUP($O71,$K$42:$M$71,2,0)+VLOOKUP(AC$41,$K$42:$M$71,2,0))</f>
        <v>0.26119516293684975</v>
      </c>
      <c r="AD71">
        <f>VLOOKUP($O71,$K$42:$M$71,2,0)/(VLOOKUP($O71,$K$42:$M$71,2,0)+VLOOKUP(AD$41,$K$42:$M$71,2,0))</f>
        <v>0.27046526209701249</v>
      </c>
      <c r="AE71">
        <f>VLOOKUP($O71,$K$42:$M$71,2,0)/(VLOOKUP($O71,$K$42:$M$71,2,0)+VLOOKUP(AE$41,$K$42:$M$71,2,0))</f>
        <v>0.28044338995996454</v>
      </c>
      <c r="AF71">
        <f>VLOOKUP($O71,$K$42:$M$71,2,0)/(VLOOKUP($O71,$K$42:$M$71,2,0)+VLOOKUP(AF$41,$K$42:$M$71,2,0))</f>
        <v>0.29115813633447341</v>
      </c>
      <c r="AG71">
        <f>VLOOKUP($O71,$K$42:$M$71,2,0)/(VLOOKUP($O71,$K$42:$M$71,2,0)+VLOOKUP(AG$41,$K$42:$M$71,2,0))</f>
        <v>0.30263456585015008</v>
      </c>
      <c r="AH71">
        <f>VLOOKUP($O71,$K$42:$M$71,2,0)/(VLOOKUP($O71,$K$42:$M$71,2,0)+VLOOKUP(AH$41,$K$42:$M$71,2,0))</f>
        <v>0.31489328533416783</v>
      </c>
      <c r="AI71">
        <f>VLOOKUP($O71,$K$42:$M$71,2,0)/(VLOOKUP($O71,$K$42:$M$71,2,0)+VLOOKUP(AI$41,$K$42:$M$71,2,0))</f>
        <v>0.32794946357271715</v>
      </c>
      <c r="AJ71">
        <f>VLOOKUP($O71,$K$42:$M$71,2,0)/(VLOOKUP($O71,$K$42:$M$71,2,0)+VLOOKUP(AJ$41,$K$42:$M$71,2,0))</f>
        <v>0.34181182975585189</v>
      </c>
      <c r="AK71">
        <f>VLOOKUP($O71,$K$42:$M$71,2,0)/(VLOOKUP($O71,$K$42:$M$71,2,0)+VLOOKUP(AK$41,$K$42:$M$71,2,0))</f>
        <v>0.35648168388556095</v>
      </c>
      <c r="AL71">
        <f>VLOOKUP($O71,$K$42:$M$71,2,0)/(VLOOKUP($O71,$K$42:$M$71,2,0)+VLOOKUP(AL$41,$K$42:$M$71,2,0))</f>
        <v>0.37195195898474726</v>
      </c>
      <c r="AM71">
        <f>VLOOKUP($O71,$K$42:$M$71,2,0)/(VLOOKUP($O71,$K$42:$M$71,2,0)+VLOOKUP(AM$41,$K$42:$M$71,2,0))</f>
        <v>0.38820638041873345</v>
      </c>
      <c r="AN71">
        <f>VLOOKUP($O71,$K$42:$M$71,2,0)/(VLOOKUP($O71,$K$42:$M$71,2,0)+VLOOKUP(AN$41,$K$42:$M$71,2,0))</f>
        <v>0.40521877128660083</v>
      </c>
      <c r="AO71">
        <f>VLOOKUP($O71,$K$42:$M$71,2,0)/(VLOOKUP($O71,$K$42:$M$71,2,0)+VLOOKUP(AO$41,$K$42:$M$71,2,0))</f>
        <v>0.42295255389609093</v>
      </c>
      <c r="AP71">
        <f>VLOOKUP($O71,$K$42:$M$71,2,0)/(VLOOKUP($O71,$K$42:$M$71,2,0)+VLOOKUP(AP$41,$K$42:$M$71,2,0))</f>
        <v>0.44136049511750025</v>
      </c>
      <c r="AQ71">
        <f>VLOOKUP($O71,$K$42:$M$71,2,0)/(VLOOKUP($O71,$K$42:$M$71,2,0)+VLOOKUP(AQ$41,$K$42:$M$71,2,0))</f>
        <v>0.46038473741873248</v>
      </c>
      <c r="AR71">
        <f>VLOOKUP($O71,$K$42:$M$71,2,0)/(VLOOKUP($O71,$K$42:$M$71,2,0)+VLOOKUP(AR$41,$K$42:$M$71,2,0))</f>
        <v>0.47995714741341472</v>
      </c>
      <c r="AS71">
        <f>VLOOKUP($O71,$K$42:$M$71,2,0)/(VLOOKUP($O71,$K$42:$M$71,2,0)+VLOOKUP(AS$41,$K$42:$M$71,2,0))</f>
        <v>0.5</v>
      </c>
    </row>
    <row r="72" spans="11:45" x14ac:dyDescent="0.25">
      <c r="M72">
        <f>SUM(M42:M71)</f>
        <v>1229.9999999999998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I149"/>
  <sheetViews>
    <sheetView zoomScale="80" zoomScaleNormal="80" workbookViewId="0">
      <selection activeCell="B3" sqref="B3"/>
    </sheetView>
  </sheetViews>
  <sheetFormatPr defaultRowHeight="15" x14ac:dyDescent="0.25"/>
  <cols>
    <col min="2" max="32" width="5.7109375" customWidth="1"/>
  </cols>
  <sheetData>
    <row r="1" spans="1:33" x14ac:dyDescent="0.25">
      <c r="A1" t="s">
        <v>40</v>
      </c>
      <c r="AG1" t="s">
        <v>62</v>
      </c>
    </row>
    <row r="2" spans="1:33" x14ac:dyDescent="0.25">
      <c r="B2" t="s">
        <v>14</v>
      </c>
      <c r="C2" t="s">
        <v>11</v>
      </c>
      <c r="D2" t="s">
        <v>10</v>
      </c>
      <c r="E2" t="s">
        <v>6</v>
      </c>
      <c r="F2" t="s">
        <v>18</v>
      </c>
      <c r="G2" t="s">
        <v>28</v>
      </c>
      <c r="H2" t="s">
        <v>2</v>
      </c>
      <c r="I2" t="s">
        <v>20</v>
      </c>
      <c r="J2" t="s">
        <v>21</v>
      </c>
      <c r="K2" t="s">
        <v>24</v>
      </c>
      <c r="L2" t="s">
        <v>4</v>
      </c>
      <c r="M2" t="s">
        <v>8</v>
      </c>
      <c r="N2" t="s">
        <v>29</v>
      </c>
      <c r="O2" t="s">
        <v>5</v>
      </c>
      <c r="P2" t="s">
        <v>16</v>
      </c>
      <c r="Q2" t="s">
        <v>12</v>
      </c>
      <c r="R2" t="s">
        <v>7</v>
      </c>
      <c r="S2" t="s">
        <v>17</v>
      </c>
      <c r="T2" t="s">
        <v>0</v>
      </c>
      <c r="U2" t="s">
        <v>19</v>
      </c>
      <c r="V2" t="s">
        <v>26</v>
      </c>
      <c r="W2" t="s">
        <v>1</v>
      </c>
      <c r="X2" t="s">
        <v>9</v>
      </c>
      <c r="Y2" t="s">
        <v>23</v>
      </c>
      <c r="Z2" t="s">
        <v>27</v>
      </c>
      <c r="AA2" t="s">
        <v>3</v>
      </c>
      <c r="AB2" t="s">
        <v>25</v>
      </c>
      <c r="AC2" t="s">
        <v>15</v>
      </c>
      <c r="AD2" t="s">
        <v>22</v>
      </c>
      <c r="AE2" t="s">
        <v>13</v>
      </c>
    </row>
    <row r="3" spans="1:33" x14ac:dyDescent="0.25">
      <c r="A3" t="s">
        <v>14</v>
      </c>
      <c r="B3">
        <v>0</v>
      </c>
      <c r="C3">
        <v>4</v>
      </c>
      <c r="D3">
        <v>2</v>
      </c>
      <c r="E3">
        <v>2</v>
      </c>
      <c r="F3">
        <v>2</v>
      </c>
      <c r="G3">
        <v>3</v>
      </c>
      <c r="H3">
        <v>2</v>
      </c>
      <c r="I3">
        <v>1</v>
      </c>
      <c r="J3">
        <v>3</v>
      </c>
      <c r="K3">
        <v>1</v>
      </c>
      <c r="L3">
        <v>2</v>
      </c>
      <c r="M3">
        <v>3</v>
      </c>
      <c r="N3">
        <v>2</v>
      </c>
      <c r="O3">
        <v>1</v>
      </c>
      <c r="P3">
        <v>1</v>
      </c>
      <c r="Q3">
        <v>4</v>
      </c>
      <c r="R3">
        <v>3</v>
      </c>
      <c r="S3">
        <v>2</v>
      </c>
      <c r="T3">
        <v>1</v>
      </c>
      <c r="U3">
        <v>2</v>
      </c>
      <c r="V3">
        <v>1</v>
      </c>
      <c r="W3">
        <v>3</v>
      </c>
      <c r="X3">
        <v>3</v>
      </c>
      <c r="Y3">
        <v>2</v>
      </c>
      <c r="Z3">
        <v>2</v>
      </c>
      <c r="AA3">
        <v>0</v>
      </c>
      <c r="AB3">
        <v>2</v>
      </c>
      <c r="AC3">
        <v>1</v>
      </c>
      <c r="AD3">
        <v>2</v>
      </c>
      <c r="AE3">
        <v>3</v>
      </c>
      <c r="AG3">
        <f t="shared" ref="AG3:AG32" si="0">ROUND(SUM(B3:AE3),2)</f>
        <v>60</v>
      </c>
    </row>
    <row r="4" spans="1:33" x14ac:dyDescent="0.25">
      <c r="A4" t="s">
        <v>11</v>
      </c>
      <c r="B4">
        <v>0</v>
      </c>
      <c r="C4">
        <v>0</v>
      </c>
      <c r="D4">
        <v>1</v>
      </c>
      <c r="E4">
        <v>2</v>
      </c>
      <c r="F4">
        <v>1</v>
      </c>
      <c r="G4">
        <v>1</v>
      </c>
      <c r="H4">
        <v>1</v>
      </c>
      <c r="I4">
        <v>2</v>
      </c>
      <c r="J4">
        <v>2</v>
      </c>
      <c r="K4">
        <v>1</v>
      </c>
      <c r="L4">
        <v>0</v>
      </c>
      <c r="M4">
        <v>2</v>
      </c>
      <c r="N4">
        <v>1</v>
      </c>
      <c r="O4">
        <v>2</v>
      </c>
      <c r="P4">
        <v>0</v>
      </c>
      <c r="Q4">
        <v>0</v>
      </c>
      <c r="R4">
        <v>1</v>
      </c>
      <c r="S4">
        <v>1</v>
      </c>
      <c r="T4">
        <v>0</v>
      </c>
      <c r="U4">
        <v>4</v>
      </c>
      <c r="V4">
        <v>2</v>
      </c>
      <c r="W4">
        <v>3</v>
      </c>
      <c r="X4">
        <v>3</v>
      </c>
      <c r="Y4">
        <v>0</v>
      </c>
      <c r="Z4">
        <v>1</v>
      </c>
      <c r="AA4">
        <v>1</v>
      </c>
      <c r="AB4">
        <v>2</v>
      </c>
      <c r="AC4">
        <v>2</v>
      </c>
      <c r="AD4">
        <v>0</v>
      </c>
      <c r="AE4">
        <v>2</v>
      </c>
      <c r="AG4">
        <f t="shared" si="0"/>
        <v>38</v>
      </c>
    </row>
    <row r="5" spans="1:33" x14ac:dyDescent="0.25">
      <c r="A5" t="s">
        <v>10</v>
      </c>
      <c r="B5">
        <v>1</v>
      </c>
      <c r="C5">
        <v>3</v>
      </c>
      <c r="D5">
        <v>0</v>
      </c>
      <c r="E5">
        <v>2</v>
      </c>
      <c r="F5">
        <v>1</v>
      </c>
      <c r="G5">
        <v>2</v>
      </c>
      <c r="H5">
        <v>0</v>
      </c>
      <c r="I5">
        <v>2</v>
      </c>
      <c r="J5">
        <v>2</v>
      </c>
      <c r="K5">
        <v>0</v>
      </c>
      <c r="L5">
        <v>0</v>
      </c>
      <c r="M5">
        <v>3</v>
      </c>
      <c r="N5">
        <v>0</v>
      </c>
      <c r="O5">
        <v>1</v>
      </c>
      <c r="P5">
        <v>1</v>
      </c>
      <c r="Q5">
        <v>1</v>
      </c>
      <c r="R5">
        <v>1</v>
      </c>
      <c r="S5">
        <v>1</v>
      </c>
      <c r="T5">
        <v>2</v>
      </c>
      <c r="U5">
        <v>3</v>
      </c>
      <c r="V5">
        <v>0</v>
      </c>
      <c r="W5">
        <v>2</v>
      </c>
      <c r="X5">
        <v>4</v>
      </c>
      <c r="Y5">
        <v>1</v>
      </c>
      <c r="Z5">
        <v>1</v>
      </c>
      <c r="AA5">
        <v>0</v>
      </c>
      <c r="AB5">
        <v>1</v>
      </c>
      <c r="AC5">
        <v>2</v>
      </c>
      <c r="AD5">
        <v>2</v>
      </c>
      <c r="AE5">
        <v>1</v>
      </c>
      <c r="AG5">
        <f t="shared" si="0"/>
        <v>40</v>
      </c>
    </row>
    <row r="6" spans="1:33" x14ac:dyDescent="0.25">
      <c r="A6" t="s">
        <v>6</v>
      </c>
      <c r="B6">
        <v>2</v>
      </c>
      <c r="C6">
        <v>1</v>
      </c>
      <c r="D6">
        <v>2</v>
      </c>
      <c r="E6">
        <v>0</v>
      </c>
      <c r="F6">
        <v>2</v>
      </c>
      <c r="G6">
        <v>0</v>
      </c>
      <c r="H6">
        <v>0</v>
      </c>
      <c r="I6">
        <v>2</v>
      </c>
      <c r="J6">
        <v>2</v>
      </c>
      <c r="K6">
        <v>0</v>
      </c>
      <c r="L6">
        <v>0</v>
      </c>
      <c r="M6">
        <v>1</v>
      </c>
      <c r="N6">
        <v>0</v>
      </c>
      <c r="O6">
        <v>1</v>
      </c>
      <c r="P6">
        <v>0</v>
      </c>
      <c r="Q6">
        <v>2</v>
      </c>
      <c r="R6">
        <v>2</v>
      </c>
      <c r="S6">
        <v>2</v>
      </c>
      <c r="T6">
        <v>1</v>
      </c>
      <c r="U6">
        <v>3</v>
      </c>
      <c r="V6">
        <v>0</v>
      </c>
      <c r="W6">
        <v>2</v>
      </c>
      <c r="X6">
        <v>2</v>
      </c>
      <c r="Y6">
        <v>1</v>
      </c>
      <c r="Z6">
        <v>0</v>
      </c>
      <c r="AA6">
        <v>0</v>
      </c>
      <c r="AB6">
        <v>0</v>
      </c>
      <c r="AC6">
        <v>2</v>
      </c>
      <c r="AD6">
        <v>1</v>
      </c>
      <c r="AE6">
        <v>2</v>
      </c>
      <c r="AG6">
        <f t="shared" si="0"/>
        <v>33</v>
      </c>
    </row>
    <row r="7" spans="1:33" x14ac:dyDescent="0.25">
      <c r="A7" t="s">
        <v>18</v>
      </c>
      <c r="B7">
        <v>1</v>
      </c>
      <c r="C7">
        <v>3</v>
      </c>
      <c r="D7">
        <v>3</v>
      </c>
      <c r="E7">
        <v>2</v>
      </c>
      <c r="F7">
        <v>0</v>
      </c>
      <c r="G7">
        <v>1</v>
      </c>
      <c r="H7">
        <v>1</v>
      </c>
      <c r="I7">
        <v>1</v>
      </c>
      <c r="J7">
        <v>2</v>
      </c>
      <c r="K7">
        <v>1</v>
      </c>
      <c r="L7">
        <v>1</v>
      </c>
      <c r="M7">
        <v>2</v>
      </c>
      <c r="N7">
        <v>1</v>
      </c>
      <c r="O7">
        <v>1</v>
      </c>
      <c r="P7">
        <v>1</v>
      </c>
      <c r="Q7">
        <v>2</v>
      </c>
      <c r="R7">
        <v>3</v>
      </c>
      <c r="S7">
        <v>2</v>
      </c>
      <c r="T7">
        <v>2</v>
      </c>
      <c r="U7">
        <v>3</v>
      </c>
      <c r="V7">
        <v>1</v>
      </c>
      <c r="W7">
        <v>2</v>
      </c>
      <c r="X7">
        <v>3</v>
      </c>
      <c r="Y7">
        <v>1</v>
      </c>
      <c r="Z7">
        <v>1</v>
      </c>
      <c r="AA7">
        <v>1</v>
      </c>
      <c r="AB7">
        <v>1</v>
      </c>
      <c r="AC7">
        <v>4</v>
      </c>
      <c r="AD7">
        <v>1</v>
      </c>
      <c r="AE7">
        <v>2</v>
      </c>
      <c r="AG7">
        <f t="shared" si="0"/>
        <v>50</v>
      </c>
    </row>
    <row r="8" spans="1:33" x14ac:dyDescent="0.25">
      <c r="A8" t="s">
        <v>28</v>
      </c>
      <c r="B8">
        <v>1</v>
      </c>
      <c r="C8">
        <v>3</v>
      </c>
      <c r="D8">
        <v>2</v>
      </c>
      <c r="E8">
        <v>3</v>
      </c>
      <c r="F8">
        <v>3</v>
      </c>
      <c r="G8">
        <v>0</v>
      </c>
      <c r="H8">
        <v>1</v>
      </c>
      <c r="I8">
        <v>1</v>
      </c>
      <c r="J8">
        <v>3</v>
      </c>
      <c r="K8">
        <v>1</v>
      </c>
      <c r="L8">
        <v>0</v>
      </c>
      <c r="M8">
        <v>2</v>
      </c>
      <c r="N8">
        <v>2</v>
      </c>
      <c r="O8">
        <v>2</v>
      </c>
      <c r="P8">
        <v>2</v>
      </c>
      <c r="Q8">
        <v>2</v>
      </c>
      <c r="R8">
        <v>3</v>
      </c>
      <c r="S8">
        <v>2</v>
      </c>
      <c r="T8">
        <v>1</v>
      </c>
      <c r="U8">
        <v>2</v>
      </c>
      <c r="V8">
        <v>1</v>
      </c>
      <c r="W8">
        <v>3</v>
      </c>
      <c r="X8">
        <v>2</v>
      </c>
      <c r="Y8">
        <v>1</v>
      </c>
      <c r="Z8">
        <v>1</v>
      </c>
      <c r="AA8">
        <v>1</v>
      </c>
      <c r="AB8">
        <v>1</v>
      </c>
      <c r="AC8">
        <v>3</v>
      </c>
      <c r="AD8">
        <v>1</v>
      </c>
      <c r="AE8">
        <v>3</v>
      </c>
      <c r="AG8">
        <f t="shared" si="0"/>
        <v>53</v>
      </c>
    </row>
    <row r="9" spans="1:33" x14ac:dyDescent="0.25">
      <c r="A9" t="s">
        <v>2</v>
      </c>
      <c r="B9">
        <v>0</v>
      </c>
      <c r="C9">
        <v>1</v>
      </c>
      <c r="D9">
        <v>2</v>
      </c>
      <c r="E9">
        <v>2</v>
      </c>
      <c r="F9">
        <v>1</v>
      </c>
      <c r="G9">
        <v>1</v>
      </c>
      <c r="H9">
        <v>0</v>
      </c>
      <c r="I9">
        <v>2</v>
      </c>
      <c r="J9">
        <v>1</v>
      </c>
      <c r="K9">
        <v>0</v>
      </c>
      <c r="L9">
        <v>1</v>
      </c>
      <c r="M9">
        <v>0</v>
      </c>
      <c r="N9">
        <v>1</v>
      </c>
      <c r="O9">
        <v>4</v>
      </c>
      <c r="P9">
        <v>1</v>
      </c>
      <c r="Q9">
        <v>1</v>
      </c>
      <c r="R9">
        <v>2</v>
      </c>
      <c r="S9">
        <v>3</v>
      </c>
      <c r="T9">
        <v>3</v>
      </c>
      <c r="U9">
        <v>2</v>
      </c>
      <c r="V9">
        <v>3</v>
      </c>
      <c r="W9">
        <v>2</v>
      </c>
      <c r="X9">
        <v>2</v>
      </c>
      <c r="Y9">
        <v>1</v>
      </c>
      <c r="Z9">
        <v>2</v>
      </c>
      <c r="AA9">
        <v>2</v>
      </c>
      <c r="AB9">
        <v>3</v>
      </c>
      <c r="AC9">
        <v>2</v>
      </c>
      <c r="AD9">
        <v>3</v>
      </c>
      <c r="AE9">
        <v>2</v>
      </c>
      <c r="AG9">
        <f t="shared" si="0"/>
        <v>50</v>
      </c>
    </row>
    <row r="10" spans="1:33" x14ac:dyDescent="0.25">
      <c r="A10" t="s">
        <v>20</v>
      </c>
      <c r="B10">
        <v>1</v>
      </c>
      <c r="C10">
        <v>0</v>
      </c>
      <c r="D10">
        <v>0</v>
      </c>
      <c r="E10">
        <v>0</v>
      </c>
      <c r="F10">
        <v>1</v>
      </c>
      <c r="G10">
        <v>1</v>
      </c>
      <c r="H10">
        <v>1</v>
      </c>
      <c r="I10">
        <v>0</v>
      </c>
      <c r="J10">
        <v>1</v>
      </c>
      <c r="K10">
        <v>1</v>
      </c>
      <c r="L10">
        <v>0</v>
      </c>
      <c r="M10">
        <v>2</v>
      </c>
      <c r="N10">
        <v>1</v>
      </c>
      <c r="O10">
        <v>3</v>
      </c>
      <c r="P10">
        <v>1</v>
      </c>
      <c r="Q10">
        <v>1</v>
      </c>
      <c r="R10">
        <v>1</v>
      </c>
      <c r="S10">
        <v>3</v>
      </c>
      <c r="T10">
        <v>3</v>
      </c>
      <c r="U10">
        <v>1</v>
      </c>
      <c r="V10">
        <v>1</v>
      </c>
      <c r="W10">
        <v>2</v>
      </c>
      <c r="X10">
        <v>0</v>
      </c>
      <c r="Y10">
        <v>1</v>
      </c>
      <c r="Z10">
        <v>0</v>
      </c>
      <c r="AA10">
        <v>0</v>
      </c>
      <c r="AB10">
        <v>2</v>
      </c>
      <c r="AC10">
        <v>0</v>
      </c>
      <c r="AD10">
        <v>2</v>
      </c>
      <c r="AE10">
        <v>0</v>
      </c>
      <c r="AG10">
        <f t="shared" si="0"/>
        <v>30</v>
      </c>
    </row>
    <row r="11" spans="1:33" x14ac:dyDescent="0.25">
      <c r="A11" t="s">
        <v>21</v>
      </c>
      <c r="B11">
        <v>1</v>
      </c>
      <c r="C11">
        <v>1</v>
      </c>
      <c r="D11">
        <v>1</v>
      </c>
      <c r="E11">
        <v>2</v>
      </c>
      <c r="F11">
        <v>2</v>
      </c>
      <c r="G11">
        <v>1</v>
      </c>
      <c r="H11">
        <v>1</v>
      </c>
      <c r="I11">
        <v>1</v>
      </c>
      <c r="J11">
        <v>0</v>
      </c>
      <c r="K11">
        <v>0</v>
      </c>
      <c r="L11">
        <v>1</v>
      </c>
      <c r="M11">
        <v>2</v>
      </c>
      <c r="N11">
        <v>0</v>
      </c>
      <c r="O11">
        <v>0</v>
      </c>
      <c r="P11">
        <v>1</v>
      </c>
      <c r="Q11">
        <v>2</v>
      </c>
      <c r="R11">
        <v>1</v>
      </c>
      <c r="S11">
        <v>0</v>
      </c>
      <c r="T11">
        <v>0</v>
      </c>
      <c r="U11">
        <v>3</v>
      </c>
      <c r="V11">
        <v>1</v>
      </c>
      <c r="W11">
        <v>3</v>
      </c>
      <c r="X11">
        <v>1</v>
      </c>
      <c r="Y11">
        <v>1</v>
      </c>
      <c r="Z11">
        <v>0</v>
      </c>
      <c r="AA11">
        <v>1</v>
      </c>
      <c r="AB11">
        <v>2</v>
      </c>
      <c r="AC11">
        <v>2</v>
      </c>
      <c r="AD11">
        <v>0</v>
      </c>
      <c r="AE11">
        <v>1</v>
      </c>
      <c r="AG11">
        <f t="shared" si="0"/>
        <v>32</v>
      </c>
    </row>
    <row r="12" spans="1:33" x14ac:dyDescent="0.25">
      <c r="A12" t="s">
        <v>24</v>
      </c>
      <c r="B12">
        <v>1</v>
      </c>
      <c r="C12">
        <v>1</v>
      </c>
      <c r="D12">
        <v>2</v>
      </c>
      <c r="E12">
        <v>2</v>
      </c>
      <c r="F12">
        <v>1</v>
      </c>
      <c r="G12">
        <v>1</v>
      </c>
      <c r="H12">
        <v>4</v>
      </c>
      <c r="I12">
        <v>2</v>
      </c>
      <c r="J12">
        <v>2</v>
      </c>
      <c r="K12">
        <v>0</v>
      </c>
      <c r="L12">
        <v>4</v>
      </c>
      <c r="M12">
        <v>1</v>
      </c>
      <c r="N12">
        <v>3</v>
      </c>
      <c r="O12">
        <v>3</v>
      </c>
      <c r="P12">
        <v>2</v>
      </c>
      <c r="Q12">
        <v>2</v>
      </c>
      <c r="R12">
        <v>2</v>
      </c>
      <c r="S12">
        <v>4</v>
      </c>
      <c r="T12">
        <v>3</v>
      </c>
      <c r="U12">
        <v>2</v>
      </c>
      <c r="V12">
        <v>3</v>
      </c>
      <c r="W12">
        <v>2</v>
      </c>
      <c r="X12">
        <v>2</v>
      </c>
      <c r="Y12">
        <v>3</v>
      </c>
      <c r="Z12">
        <v>3</v>
      </c>
      <c r="AA12">
        <v>1</v>
      </c>
      <c r="AB12">
        <v>4</v>
      </c>
      <c r="AC12">
        <v>2</v>
      </c>
      <c r="AD12">
        <v>3</v>
      </c>
      <c r="AE12">
        <v>2</v>
      </c>
      <c r="AG12">
        <f t="shared" si="0"/>
        <v>67</v>
      </c>
    </row>
    <row r="13" spans="1:33" x14ac:dyDescent="0.25">
      <c r="A13" t="s">
        <v>4</v>
      </c>
      <c r="B13">
        <v>0</v>
      </c>
      <c r="C13">
        <v>2</v>
      </c>
      <c r="D13">
        <v>2</v>
      </c>
      <c r="E13">
        <v>2</v>
      </c>
      <c r="F13">
        <v>1</v>
      </c>
      <c r="G13">
        <v>2</v>
      </c>
      <c r="H13">
        <v>3</v>
      </c>
      <c r="I13">
        <v>4</v>
      </c>
      <c r="J13">
        <v>1</v>
      </c>
      <c r="K13">
        <v>0</v>
      </c>
      <c r="L13">
        <v>0</v>
      </c>
      <c r="M13">
        <v>2</v>
      </c>
      <c r="N13">
        <v>2</v>
      </c>
      <c r="O13">
        <v>2</v>
      </c>
      <c r="P13">
        <v>2</v>
      </c>
      <c r="Q13">
        <v>2</v>
      </c>
      <c r="R13">
        <v>2</v>
      </c>
      <c r="S13">
        <v>4</v>
      </c>
      <c r="T13">
        <v>2</v>
      </c>
      <c r="U13">
        <v>2</v>
      </c>
      <c r="V13">
        <v>3</v>
      </c>
      <c r="W13">
        <v>1</v>
      </c>
      <c r="X13">
        <v>2</v>
      </c>
      <c r="Y13">
        <v>3</v>
      </c>
      <c r="Z13">
        <v>1</v>
      </c>
      <c r="AA13">
        <v>1</v>
      </c>
      <c r="AB13">
        <v>3</v>
      </c>
      <c r="AC13">
        <v>1</v>
      </c>
      <c r="AD13">
        <v>3</v>
      </c>
      <c r="AE13">
        <v>1</v>
      </c>
      <c r="AG13">
        <f t="shared" si="0"/>
        <v>56</v>
      </c>
    </row>
    <row r="14" spans="1:33" x14ac:dyDescent="0.25">
      <c r="A14" t="s">
        <v>8</v>
      </c>
      <c r="B14">
        <v>0</v>
      </c>
      <c r="C14">
        <v>1</v>
      </c>
      <c r="D14">
        <v>1</v>
      </c>
      <c r="E14">
        <v>3</v>
      </c>
      <c r="F14">
        <v>2</v>
      </c>
      <c r="G14">
        <v>2</v>
      </c>
      <c r="H14">
        <v>2</v>
      </c>
      <c r="I14">
        <v>0</v>
      </c>
      <c r="J14">
        <v>2</v>
      </c>
      <c r="K14">
        <v>1</v>
      </c>
      <c r="L14">
        <v>0</v>
      </c>
      <c r="M14">
        <v>0</v>
      </c>
      <c r="N14">
        <v>0</v>
      </c>
      <c r="O14">
        <v>1</v>
      </c>
      <c r="P14">
        <v>0</v>
      </c>
      <c r="Q14">
        <v>3</v>
      </c>
      <c r="R14">
        <v>2</v>
      </c>
      <c r="S14">
        <v>1</v>
      </c>
      <c r="T14">
        <v>2</v>
      </c>
      <c r="U14">
        <v>4</v>
      </c>
      <c r="V14">
        <v>1</v>
      </c>
      <c r="W14">
        <v>3</v>
      </c>
      <c r="X14">
        <v>3</v>
      </c>
      <c r="Y14">
        <v>0</v>
      </c>
      <c r="Z14">
        <v>0</v>
      </c>
      <c r="AA14">
        <v>0</v>
      </c>
      <c r="AB14">
        <v>0</v>
      </c>
      <c r="AC14">
        <v>0</v>
      </c>
      <c r="AD14">
        <v>2</v>
      </c>
      <c r="AE14">
        <v>2</v>
      </c>
      <c r="AG14">
        <f t="shared" si="0"/>
        <v>38</v>
      </c>
    </row>
    <row r="15" spans="1:33" x14ac:dyDescent="0.25">
      <c r="A15" t="s">
        <v>29</v>
      </c>
      <c r="B15">
        <v>0</v>
      </c>
      <c r="C15">
        <v>1</v>
      </c>
      <c r="D15">
        <v>2</v>
      </c>
      <c r="E15">
        <v>2</v>
      </c>
      <c r="F15">
        <v>1</v>
      </c>
      <c r="G15">
        <v>0</v>
      </c>
      <c r="H15">
        <v>2</v>
      </c>
      <c r="I15">
        <v>3</v>
      </c>
      <c r="J15">
        <v>2</v>
      </c>
      <c r="K15">
        <v>1</v>
      </c>
      <c r="L15">
        <v>2</v>
      </c>
      <c r="M15">
        <v>2</v>
      </c>
      <c r="N15">
        <v>0</v>
      </c>
      <c r="O15">
        <v>4</v>
      </c>
      <c r="P15">
        <v>2</v>
      </c>
      <c r="Q15">
        <v>1</v>
      </c>
      <c r="R15">
        <v>1</v>
      </c>
      <c r="S15">
        <v>3</v>
      </c>
      <c r="T15">
        <v>2</v>
      </c>
      <c r="U15">
        <v>2</v>
      </c>
      <c r="V15">
        <v>2</v>
      </c>
      <c r="W15">
        <v>2</v>
      </c>
      <c r="X15">
        <v>2</v>
      </c>
      <c r="Y15">
        <v>4</v>
      </c>
      <c r="Z15">
        <v>3</v>
      </c>
      <c r="AA15">
        <v>2</v>
      </c>
      <c r="AB15">
        <v>3</v>
      </c>
      <c r="AC15">
        <v>0</v>
      </c>
      <c r="AD15">
        <v>4</v>
      </c>
      <c r="AE15">
        <v>1</v>
      </c>
      <c r="AG15">
        <f t="shared" si="0"/>
        <v>56</v>
      </c>
    </row>
    <row r="16" spans="1:33" x14ac:dyDescent="0.25">
      <c r="A16" t="s">
        <v>5</v>
      </c>
      <c r="B16">
        <v>1</v>
      </c>
      <c r="C16">
        <v>0</v>
      </c>
      <c r="D16">
        <v>1</v>
      </c>
      <c r="E16">
        <v>1</v>
      </c>
      <c r="F16">
        <v>1</v>
      </c>
      <c r="G16">
        <v>0</v>
      </c>
      <c r="H16">
        <v>0</v>
      </c>
      <c r="I16">
        <v>1</v>
      </c>
      <c r="J16">
        <v>2</v>
      </c>
      <c r="K16">
        <v>1</v>
      </c>
      <c r="L16">
        <v>1</v>
      </c>
      <c r="M16">
        <v>1</v>
      </c>
      <c r="N16">
        <v>0</v>
      </c>
      <c r="O16">
        <v>0</v>
      </c>
      <c r="P16">
        <v>0</v>
      </c>
      <c r="Q16">
        <v>0</v>
      </c>
      <c r="R16">
        <v>1</v>
      </c>
      <c r="S16">
        <v>3</v>
      </c>
      <c r="T16">
        <v>0</v>
      </c>
      <c r="U16">
        <v>0</v>
      </c>
      <c r="V16">
        <v>0</v>
      </c>
      <c r="W16">
        <v>1</v>
      </c>
      <c r="X16">
        <v>2</v>
      </c>
      <c r="Y16">
        <v>0</v>
      </c>
      <c r="Z16">
        <v>0</v>
      </c>
      <c r="AA16">
        <v>1</v>
      </c>
      <c r="AB16">
        <v>1</v>
      </c>
      <c r="AC16">
        <v>1</v>
      </c>
      <c r="AD16">
        <v>1</v>
      </c>
      <c r="AE16">
        <v>0</v>
      </c>
      <c r="AG16">
        <f t="shared" si="0"/>
        <v>21</v>
      </c>
    </row>
    <row r="17" spans="1:33" x14ac:dyDescent="0.25">
      <c r="A17" t="s">
        <v>16</v>
      </c>
      <c r="B17">
        <v>1</v>
      </c>
      <c r="C17">
        <v>2</v>
      </c>
      <c r="D17">
        <v>1</v>
      </c>
      <c r="E17">
        <v>2</v>
      </c>
      <c r="F17">
        <v>1</v>
      </c>
      <c r="G17">
        <v>0</v>
      </c>
      <c r="H17">
        <v>3</v>
      </c>
      <c r="I17">
        <v>2</v>
      </c>
      <c r="J17">
        <v>1</v>
      </c>
      <c r="K17">
        <v>1</v>
      </c>
      <c r="L17">
        <v>2</v>
      </c>
      <c r="M17">
        <v>2</v>
      </c>
      <c r="N17">
        <v>2</v>
      </c>
      <c r="O17">
        <v>4</v>
      </c>
      <c r="P17">
        <v>0</v>
      </c>
      <c r="Q17">
        <v>2</v>
      </c>
      <c r="R17">
        <v>1</v>
      </c>
      <c r="S17">
        <v>2</v>
      </c>
      <c r="T17">
        <v>2</v>
      </c>
      <c r="U17">
        <v>2</v>
      </c>
      <c r="V17">
        <v>3</v>
      </c>
      <c r="W17">
        <v>2</v>
      </c>
      <c r="X17">
        <v>2</v>
      </c>
      <c r="Y17">
        <v>3</v>
      </c>
      <c r="Z17">
        <v>4</v>
      </c>
      <c r="AA17">
        <v>2</v>
      </c>
      <c r="AB17">
        <v>3</v>
      </c>
      <c r="AC17">
        <v>1</v>
      </c>
      <c r="AD17">
        <v>2</v>
      </c>
      <c r="AE17">
        <v>0</v>
      </c>
      <c r="AG17">
        <f t="shared" si="0"/>
        <v>55</v>
      </c>
    </row>
    <row r="18" spans="1:33" x14ac:dyDescent="0.25">
      <c r="A18" t="s">
        <v>12</v>
      </c>
      <c r="B18">
        <v>0</v>
      </c>
      <c r="C18">
        <v>4</v>
      </c>
      <c r="D18">
        <v>3</v>
      </c>
      <c r="E18">
        <v>2</v>
      </c>
      <c r="F18">
        <v>1</v>
      </c>
      <c r="G18">
        <v>2</v>
      </c>
      <c r="H18">
        <v>1</v>
      </c>
      <c r="I18">
        <v>1</v>
      </c>
      <c r="J18">
        <v>1</v>
      </c>
      <c r="K18">
        <v>0</v>
      </c>
      <c r="L18">
        <v>0</v>
      </c>
      <c r="M18">
        <v>1</v>
      </c>
      <c r="N18">
        <v>1</v>
      </c>
      <c r="O18">
        <v>2</v>
      </c>
      <c r="P18">
        <v>0</v>
      </c>
      <c r="Q18">
        <v>0</v>
      </c>
      <c r="R18">
        <v>0</v>
      </c>
      <c r="S18">
        <v>1</v>
      </c>
      <c r="T18">
        <v>0</v>
      </c>
      <c r="U18">
        <v>3</v>
      </c>
      <c r="V18">
        <v>0</v>
      </c>
      <c r="W18">
        <v>3</v>
      </c>
      <c r="X18">
        <v>3</v>
      </c>
      <c r="Y18">
        <v>2</v>
      </c>
      <c r="Z18">
        <v>1</v>
      </c>
      <c r="AA18">
        <v>0</v>
      </c>
      <c r="AB18">
        <v>2</v>
      </c>
      <c r="AC18">
        <v>1</v>
      </c>
      <c r="AD18">
        <v>1</v>
      </c>
      <c r="AE18">
        <v>1</v>
      </c>
      <c r="AG18">
        <f t="shared" si="0"/>
        <v>37</v>
      </c>
    </row>
    <row r="19" spans="1:33" x14ac:dyDescent="0.25">
      <c r="A19" t="s">
        <v>7</v>
      </c>
      <c r="B19">
        <v>1</v>
      </c>
      <c r="C19">
        <v>3</v>
      </c>
      <c r="D19">
        <v>2</v>
      </c>
      <c r="E19">
        <v>1</v>
      </c>
      <c r="F19">
        <v>1</v>
      </c>
      <c r="G19">
        <v>1</v>
      </c>
      <c r="H19">
        <v>0</v>
      </c>
      <c r="I19">
        <v>1</v>
      </c>
      <c r="J19">
        <v>3</v>
      </c>
      <c r="K19">
        <v>0</v>
      </c>
      <c r="L19">
        <v>0</v>
      </c>
      <c r="M19">
        <v>2</v>
      </c>
      <c r="N19">
        <v>1</v>
      </c>
      <c r="O19">
        <v>1</v>
      </c>
      <c r="P19">
        <v>1</v>
      </c>
      <c r="Q19">
        <v>4</v>
      </c>
      <c r="R19">
        <v>0</v>
      </c>
      <c r="S19">
        <v>2</v>
      </c>
      <c r="T19">
        <v>0</v>
      </c>
      <c r="U19">
        <v>4</v>
      </c>
      <c r="V19">
        <v>1</v>
      </c>
      <c r="W19">
        <v>2</v>
      </c>
      <c r="X19">
        <v>4</v>
      </c>
      <c r="Y19">
        <v>1</v>
      </c>
      <c r="Z19">
        <v>1</v>
      </c>
      <c r="AA19">
        <v>0</v>
      </c>
      <c r="AB19">
        <v>2</v>
      </c>
      <c r="AC19">
        <v>1</v>
      </c>
      <c r="AD19">
        <v>0</v>
      </c>
      <c r="AE19">
        <v>1</v>
      </c>
      <c r="AG19">
        <f t="shared" si="0"/>
        <v>41</v>
      </c>
    </row>
    <row r="20" spans="1:33" x14ac:dyDescent="0.25">
      <c r="A20" t="s">
        <v>17</v>
      </c>
      <c r="B20">
        <v>0</v>
      </c>
      <c r="C20">
        <v>1</v>
      </c>
      <c r="D20">
        <v>1</v>
      </c>
      <c r="E20">
        <v>0</v>
      </c>
      <c r="F20">
        <v>0</v>
      </c>
      <c r="G20">
        <v>0</v>
      </c>
      <c r="H20">
        <v>0</v>
      </c>
      <c r="I20">
        <v>1</v>
      </c>
      <c r="J20">
        <v>2</v>
      </c>
      <c r="K20">
        <v>0</v>
      </c>
      <c r="L20">
        <v>0</v>
      </c>
      <c r="M20">
        <v>1</v>
      </c>
      <c r="N20">
        <v>0</v>
      </c>
      <c r="O20">
        <v>1</v>
      </c>
      <c r="P20">
        <v>1</v>
      </c>
      <c r="Q20">
        <v>1</v>
      </c>
      <c r="R20">
        <v>0</v>
      </c>
      <c r="S20">
        <v>0</v>
      </c>
      <c r="T20">
        <v>0</v>
      </c>
      <c r="U20">
        <v>2</v>
      </c>
      <c r="V20">
        <v>0</v>
      </c>
      <c r="W20">
        <v>0</v>
      </c>
      <c r="X20">
        <v>0</v>
      </c>
      <c r="Y20">
        <v>1</v>
      </c>
      <c r="Z20">
        <v>2</v>
      </c>
      <c r="AA20">
        <v>0</v>
      </c>
      <c r="AB20">
        <v>0</v>
      </c>
      <c r="AC20">
        <v>0</v>
      </c>
      <c r="AD20">
        <v>1</v>
      </c>
      <c r="AE20">
        <v>1</v>
      </c>
      <c r="AG20">
        <f t="shared" si="0"/>
        <v>16</v>
      </c>
    </row>
    <row r="21" spans="1:33" x14ac:dyDescent="0.25">
      <c r="A21" t="s">
        <v>0</v>
      </c>
      <c r="B21">
        <v>1</v>
      </c>
      <c r="C21">
        <v>2</v>
      </c>
      <c r="D21">
        <v>0</v>
      </c>
      <c r="E21">
        <v>1</v>
      </c>
      <c r="F21">
        <v>0</v>
      </c>
      <c r="G21">
        <v>1</v>
      </c>
      <c r="H21">
        <v>1</v>
      </c>
      <c r="I21">
        <v>1</v>
      </c>
      <c r="J21">
        <v>2</v>
      </c>
      <c r="K21">
        <v>1</v>
      </c>
      <c r="L21">
        <v>2</v>
      </c>
      <c r="M21">
        <v>0</v>
      </c>
      <c r="N21">
        <v>1</v>
      </c>
      <c r="O21">
        <v>4</v>
      </c>
      <c r="P21">
        <v>2</v>
      </c>
      <c r="Q21">
        <v>2</v>
      </c>
      <c r="R21">
        <v>2</v>
      </c>
      <c r="S21">
        <v>4</v>
      </c>
      <c r="T21">
        <v>0</v>
      </c>
      <c r="U21">
        <v>1</v>
      </c>
      <c r="V21">
        <v>3</v>
      </c>
      <c r="W21">
        <v>1</v>
      </c>
      <c r="X21">
        <v>1</v>
      </c>
      <c r="Y21">
        <v>2</v>
      </c>
      <c r="Z21">
        <v>0</v>
      </c>
      <c r="AA21">
        <v>3</v>
      </c>
      <c r="AB21">
        <v>3</v>
      </c>
      <c r="AC21">
        <v>2</v>
      </c>
      <c r="AD21">
        <v>2</v>
      </c>
      <c r="AE21">
        <v>0</v>
      </c>
      <c r="AG21">
        <f t="shared" si="0"/>
        <v>45</v>
      </c>
    </row>
    <row r="22" spans="1:33" x14ac:dyDescent="0.25">
      <c r="A22" t="s">
        <v>19</v>
      </c>
      <c r="B22">
        <v>1</v>
      </c>
      <c r="C22">
        <v>0</v>
      </c>
      <c r="D22">
        <v>1</v>
      </c>
      <c r="E22">
        <v>1</v>
      </c>
      <c r="F22">
        <v>0</v>
      </c>
      <c r="G22">
        <v>1</v>
      </c>
      <c r="H22">
        <v>0</v>
      </c>
      <c r="I22">
        <v>1</v>
      </c>
      <c r="J22">
        <v>1</v>
      </c>
      <c r="K22">
        <v>0</v>
      </c>
      <c r="L22">
        <v>0</v>
      </c>
      <c r="M22">
        <v>0</v>
      </c>
      <c r="N22">
        <v>0</v>
      </c>
      <c r="O22">
        <v>2</v>
      </c>
      <c r="P22">
        <v>0</v>
      </c>
      <c r="Q22">
        <v>0</v>
      </c>
      <c r="R22">
        <v>0</v>
      </c>
      <c r="S22">
        <v>0</v>
      </c>
      <c r="T22">
        <v>1</v>
      </c>
      <c r="U22">
        <v>0</v>
      </c>
      <c r="V22">
        <v>1</v>
      </c>
      <c r="W22">
        <v>2</v>
      </c>
      <c r="X22">
        <v>3</v>
      </c>
      <c r="Y22">
        <v>0</v>
      </c>
      <c r="Z22">
        <v>0</v>
      </c>
      <c r="AA22">
        <v>1</v>
      </c>
      <c r="AB22">
        <v>0</v>
      </c>
      <c r="AC22">
        <v>1</v>
      </c>
      <c r="AD22">
        <v>0</v>
      </c>
      <c r="AE22">
        <v>0</v>
      </c>
      <c r="AG22">
        <f t="shared" si="0"/>
        <v>17</v>
      </c>
    </row>
    <row r="23" spans="1:33" x14ac:dyDescent="0.25">
      <c r="A23" t="s">
        <v>26</v>
      </c>
      <c r="B23">
        <v>1</v>
      </c>
      <c r="C23">
        <v>0</v>
      </c>
      <c r="D23">
        <v>2</v>
      </c>
      <c r="E23">
        <v>2</v>
      </c>
      <c r="F23">
        <v>1</v>
      </c>
      <c r="G23">
        <v>1</v>
      </c>
      <c r="H23">
        <v>1</v>
      </c>
      <c r="I23">
        <v>3</v>
      </c>
      <c r="J23">
        <v>1</v>
      </c>
      <c r="K23">
        <v>1</v>
      </c>
      <c r="L23">
        <v>0</v>
      </c>
      <c r="M23">
        <v>1</v>
      </c>
      <c r="N23">
        <v>1</v>
      </c>
      <c r="O23">
        <v>3</v>
      </c>
      <c r="P23">
        <v>1</v>
      </c>
      <c r="Q23">
        <v>2</v>
      </c>
      <c r="R23">
        <v>1</v>
      </c>
      <c r="S23">
        <v>4</v>
      </c>
      <c r="T23">
        <v>1</v>
      </c>
      <c r="U23">
        <v>1</v>
      </c>
      <c r="V23">
        <v>0</v>
      </c>
      <c r="W23">
        <v>2</v>
      </c>
      <c r="X23">
        <v>2</v>
      </c>
      <c r="Y23">
        <v>3</v>
      </c>
      <c r="Z23">
        <v>1</v>
      </c>
      <c r="AA23">
        <v>1</v>
      </c>
      <c r="AB23">
        <v>3</v>
      </c>
      <c r="AC23">
        <v>1</v>
      </c>
      <c r="AD23">
        <v>2</v>
      </c>
      <c r="AE23">
        <v>2</v>
      </c>
      <c r="AG23">
        <f t="shared" si="0"/>
        <v>45</v>
      </c>
    </row>
    <row r="24" spans="1:33" x14ac:dyDescent="0.25">
      <c r="A24" t="s">
        <v>1</v>
      </c>
      <c r="B24">
        <v>1</v>
      </c>
      <c r="C24">
        <v>0</v>
      </c>
      <c r="D24">
        <v>2</v>
      </c>
      <c r="E24">
        <v>2</v>
      </c>
      <c r="F24">
        <v>2</v>
      </c>
      <c r="G24">
        <v>0</v>
      </c>
      <c r="H24">
        <v>0</v>
      </c>
      <c r="I24">
        <v>0</v>
      </c>
      <c r="J24">
        <v>1</v>
      </c>
      <c r="K24">
        <v>0</v>
      </c>
      <c r="L24">
        <v>1</v>
      </c>
      <c r="M24">
        <v>0</v>
      </c>
      <c r="N24">
        <v>0</v>
      </c>
      <c r="O24">
        <v>1</v>
      </c>
      <c r="P24">
        <v>0</v>
      </c>
      <c r="Q24">
        <v>1</v>
      </c>
      <c r="R24">
        <v>2</v>
      </c>
      <c r="S24">
        <v>2</v>
      </c>
      <c r="T24">
        <v>1</v>
      </c>
      <c r="U24">
        <v>2</v>
      </c>
      <c r="V24">
        <v>0</v>
      </c>
      <c r="W24">
        <v>0</v>
      </c>
      <c r="X24">
        <v>2</v>
      </c>
      <c r="Y24">
        <v>1</v>
      </c>
      <c r="Z24">
        <v>1</v>
      </c>
      <c r="AA24">
        <v>0</v>
      </c>
      <c r="AB24">
        <v>2</v>
      </c>
      <c r="AC24">
        <v>0</v>
      </c>
      <c r="AD24">
        <v>1</v>
      </c>
      <c r="AE24">
        <v>0</v>
      </c>
      <c r="AG24">
        <f t="shared" si="0"/>
        <v>25</v>
      </c>
    </row>
    <row r="25" spans="1:33" x14ac:dyDescent="0.25">
      <c r="A25" t="s">
        <v>9</v>
      </c>
      <c r="B25">
        <v>1</v>
      </c>
      <c r="C25">
        <v>1</v>
      </c>
      <c r="D25">
        <v>0</v>
      </c>
      <c r="E25">
        <v>1</v>
      </c>
      <c r="F25">
        <v>0</v>
      </c>
      <c r="G25">
        <v>1</v>
      </c>
      <c r="H25">
        <v>0</v>
      </c>
      <c r="I25">
        <v>2</v>
      </c>
      <c r="J25">
        <v>3</v>
      </c>
      <c r="K25">
        <v>0</v>
      </c>
      <c r="L25">
        <v>0</v>
      </c>
      <c r="M25">
        <v>1</v>
      </c>
      <c r="N25">
        <v>0</v>
      </c>
      <c r="O25">
        <v>0</v>
      </c>
      <c r="P25">
        <v>0</v>
      </c>
      <c r="Q25">
        <v>1</v>
      </c>
      <c r="R25">
        <v>0</v>
      </c>
      <c r="S25">
        <v>2</v>
      </c>
      <c r="T25">
        <v>1</v>
      </c>
      <c r="U25">
        <v>1</v>
      </c>
      <c r="V25">
        <v>0</v>
      </c>
      <c r="W25">
        <v>1</v>
      </c>
      <c r="X25">
        <v>0</v>
      </c>
      <c r="Y25">
        <v>0</v>
      </c>
      <c r="Z25">
        <v>0</v>
      </c>
      <c r="AA25">
        <v>0</v>
      </c>
      <c r="AB25">
        <v>1</v>
      </c>
      <c r="AC25">
        <v>0</v>
      </c>
      <c r="AD25">
        <v>0</v>
      </c>
      <c r="AE25">
        <v>1</v>
      </c>
      <c r="AG25">
        <f t="shared" si="0"/>
        <v>18</v>
      </c>
    </row>
    <row r="26" spans="1:33" x14ac:dyDescent="0.25">
      <c r="A26" t="s">
        <v>23</v>
      </c>
      <c r="B26">
        <v>0</v>
      </c>
      <c r="C26">
        <v>2</v>
      </c>
      <c r="D26">
        <v>1</v>
      </c>
      <c r="E26">
        <v>1</v>
      </c>
      <c r="F26">
        <v>1</v>
      </c>
      <c r="G26">
        <v>1</v>
      </c>
      <c r="H26">
        <v>3</v>
      </c>
      <c r="I26">
        <v>2</v>
      </c>
      <c r="J26">
        <v>1</v>
      </c>
      <c r="K26">
        <v>1</v>
      </c>
      <c r="L26">
        <v>1</v>
      </c>
      <c r="M26">
        <v>1</v>
      </c>
      <c r="N26">
        <v>0</v>
      </c>
      <c r="O26">
        <v>4</v>
      </c>
      <c r="P26">
        <v>0</v>
      </c>
      <c r="Q26">
        <v>0</v>
      </c>
      <c r="R26">
        <v>1</v>
      </c>
      <c r="S26">
        <v>3</v>
      </c>
      <c r="T26">
        <v>1</v>
      </c>
      <c r="U26">
        <v>2</v>
      </c>
      <c r="V26">
        <v>1</v>
      </c>
      <c r="W26">
        <v>1</v>
      </c>
      <c r="X26">
        <v>2</v>
      </c>
      <c r="Y26">
        <v>0</v>
      </c>
      <c r="Z26">
        <v>1</v>
      </c>
      <c r="AA26">
        <v>1</v>
      </c>
      <c r="AB26">
        <v>1</v>
      </c>
      <c r="AC26">
        <v>1</v>
      </c>
      <c r="AD26">
        <v>2</v>
      </c>
      <c r="AE26">
        <v>2</v>
      </c>
      <c r="AG26">
        <f t="shared" si="0"/>
        <v>38</v>
      </c>
    </row>
    <row r="27" spans="1:33" x14ac:dyDescent="0.25">
      <c r="A27" t="s">
        <v>27</v>
      </c>
      <c r="B27">
        <v>0</v>
      </c>
      <c r="C27">
        <v>1</v>
      </c>
      <c r="D27">
        <v>1</v>
      </c>
      <c r="E27">
        <v>2</v>
      </c>
      <c r="F27">
        <v>1</v>
      </c>
      <c r="G27">
        <v>1</v>
      </c>
      <c r="H27">
        <v>2</v>
      </c>
      <c r="I27">
        <v>4</v>
      </c>
      <c r="J27">
        <v>2</v>
      </c>
      <c r="K27">
        <v>0</v>
      </c>
      <c r="L27">
        <v>2</v>
      </c>
      <c r="M27">
        <v>2</v>
      </c>
      <c r="N27">
        <v>1</v>
      </c>
      <c r="O27">
        <v>4</v>
      </c>
      <c r="P27">
        <v>0</v>
      </c>
      <c r="Q27">
        <v>1</v>
      </c>
      <c r="R27">
        <v>1</v>
      </c>
      <c r="S27">
        <v>2</v>
      </c>
      <c r="T27">
        <v>3</v>
      </c>
      <c r="U27">
        <v>2</v>
      </c>
      <c r="V27">
        <v>3</v>
      </c>
      <c r="W27">
        <v>1</v>
      </c>
      <c r="X27">
        <v>2</v>
      </c>
      <c r="Y27">
        <v>3</v>
      </c>
      <c r="Z27">
        <v>0</v>
      </c>
      <c r="AA27">
        <v>3</v>
      </c>
      <c r="AB27">
        <v>2</v>
      </c>
      <c r="AC27">
        <v>2</v>
      </c>
      <c r="AD27">
        <v>2</v>
      </c>
      <c r="AE27">
        <v>1</v>
      </c>
      <c r="AG27">
        <f t="shared" si="0"/>
        <v>51</v>
      </c>
    </row>
    <row r="28" spans="1:33" x14ac:dyDescent="0.25">
      <c r="A28" t="s">
        <v>3</v>
      </c>
      <c r="B28">
        <v>2</v>
      </c>
      <c r="C28">
        <v>1</v>
      </c>
      <c r="D28">
        <v>2</v>
      </c>
      <c r="E28">
        <v>2</v>
      </c>
      <c r="F28">
        <v>1</v>
      </c>
      <c r="G28">
        <v>1</v>
      </c>
      <c r="H28">
        <v>2</v>
      </c>
      <c r="I28">
        <v>4</v>
      </c>
      <c r="J28">
        <v>1</v>
      </c>
      <c r="K28">
        <v>2</v>
      </c>
      <c r="L28">
        <v>3</v>
      </c>
      <c r="M28">
        <v>2</v>
      </c>
      <c r="N28">
        <v>2</v>
      </c>
      <c r="O28">
        <v>2</v>
      </c>
      <c r="P28">
        <v>2</v>
      </c>
      <c r="Q28">
        <v>2</v>
      </c>
      <c r="R28">
        <v>2</v>
      </c>
      <c r="S28">
        <v>4</v>
      </c>
      <c r="T28">
        <v>1</v>
      </c>
      <c r="U28">
        <v>1</v>
      </c>
      <c r="V28">
        <v>2</v>
      </c>
      <c r="W28">
        <v>2</v>
      </c>
      <c r="X28">
        <v>2</v>
      </c>
      <c r="Y28">
        <v>3</v>
      </c>
      <c r="Z28">
        <v>1</v>
      </c>
      <c r="AA28">
        <v>0</v>
      </c>
      <c r="AB28">
        <v>3</v>
      </c>
      <c r="AC28">
        <v>1</v>
      </c>
      <c r="AD28">
        <v>1</v>
      </c>
      <c r="AE28">
        <v>1</v>
      </c>
      <c r="AG28">
        <f t="shared" si="0"/>
        <v>55</v>
      </c>
    </row>
    <row r="29" spans="1:33" x14ac:dyDescent="0.25">
      <c r="A29" t="s">
        <v>25</v>
      </c>
      <c r="B29">
        <v>0</v>
      </c>
      <c r="C29">
        <v>0</v>
      </c>
      <c r="D29">
        <v>1</v>
      </c>
      <c r="E29">
        <v>2</v>
      </c>
      <c r="F29">
        <v>1</v>
      </c>
      <c r="G29">
        <v>1</v>
      </c>
      <c r="H29">
        <v>0</v>
      </c>
      <c r="I29">
        <v>2</v>
      </c>
      <c r="J29">
        <v>0</v>
      </c>
      <c r="K29">
        <v>0</v>
      </c>
      <c r="L29">
        <v>0</v>
      </c>
      <c r="M29">
        <v>2</v>
      </c>
      <c r="N29">
        <v>1</v>
      </c>
      <c r="O29">
        <v>3</v>
      </c>
      <c r="P29">
        <v>1</v>
      </c>
      <c r="Q29">
        <v>0</v>
      </c>
      <c r="R29">
        <v>0</v>
      </c>
      <c r="S29">
        <v>3</v>
      </c>
      <c r="T29">
        <v>1</v>
      </c>
      <c r="U29">
        <v>2</v>
      </c>
      <c r="V29">
        <v>1</v>
      </c>
      <c r="W29">
        <v>0</v>
      </c>
      <c r="X29">
        <v>1</v>
      </c>
      <c r="Y29">
        <v>3</v>
      </c>
      <c r="Z29">
        <v>1</v>
      </c>
      <c r="AA29">
        <v>1</v>
      </c>
      <c r="AB29">
        <v>0</v>
      </c>
      <c r="AC29">
        <v>0</v>
      </c>
      <c r="AD29">
        <v>1</v>
      </c>
      <c r="AE29">
        <v>1</v>
      </c>
      <c r="AG29">
        <f t="shared" si="0"/>
        <v>29</v>
      </c>
    </row>
    <row r="30" spans="1:33" x14ac:dyDescent="0.25">
      <c r="A30" t="s">
        <v>15</v>
      </c>
      <c r="B30">
        <v>3</v>
      </c>
      <c r="C30">
        <v>2</v>
      </c>
      <c r="D30">
        <v>2</v>
      </c>
      <c r="E30">
        <v>2</v>
      </c>
      <c r="F30">
        <v>0</v>
      </c>
      <c r="G30">
        <v>1</v>
      </c>
      <c r="H30">
        <v>0</v>
      </c>
      <c r="I30">
        <v>2</v>
      </c>
      <c r="J30">
        <v>2</v>
      </c>
      <c r="K30">
        <v>0</v>
      </c>
      <c r="L30">
        <v>1</v>
      </c>
      <c r="M30">
        <v>3</v>
      </c>
      <c r="N30">
        <v>2</v>
      </c>
      <c r="O30">
        <v>1</v>
      </c>
      <c r="P30">
        <v>1</v>
      </c>
      <c r="Q30">
        <v>1</v>
      </c>
      <c r="R30">
        <v>2</v>
      </c>
      <c r="S30">
        <v>2</v>
      </c>
      <c r="T30">
        <v>0</v>
      </c>
      <c r="U30">
        <v>3</v>
      </c>
      <c r="V30">
        <v>1</v>
      </c>
      <c r="W30">
        <v>4</v>
      </c>
      <c r="X30">
        <v>4</v>
      </c>
      <c r="Y30">
        <v>1</v>
      </c>
      <c r="Z30">
        <v>0</v>
      </c>
      <c r="AA30">
        <v>1</v>
      </c>
      <c r="AB30">
        <v>2</v>
      </c>
      <c r="AC30">
        <v>0</v>
      </c>
      <c r="AD30">
        <v>2</v>
      </c>
      <c r="AE30">
        <v>3</v>
      </c>
      <c r="AG30">
        <f t="shared" si="0"/>
        <v>48</v>
      </c>
    </row>
    <row r="31" spans="1:33" x14ac:dyDescent="0.25">
      <c r="A31" t="s">
        <v>22</v>
      </c>
      <c r="B31">
        <v>0</v>
      </c>
      <c r="C31">
        <v>2</v>
      </c>
      <c r="D31">
        <v>0</v>
      </c>
      <c r="E31">
        <v>1</v>
      </c>
      <c r="F31">
        <v>1</v>
      </c>
      <c r="G31">
        <v>1</v>
      </c>
      <c r="H31">
        <v>1</v>
      </c>
      <c r="I31">
        <v>2</v>
      </c>
      <c r="J31">
        <v>2</v>
      </c>
      <c r="K31">
        <v>1</v>
      </c>
      <c r="L31">
        <v>1</v>
      </c>
      <c r="M31">
        <v>0</v>
      </c>
      <c r="N31">
        <v>0</v>
      </c>
      <c r="O31">
        <v>2</v>
      </c>
      <c r="P31">
        <v>2</v>
      </c>
      <c r="Q31">
        <v>1</v>
      </c>
      <c r="R31">
        <v>2</v>
      </c>
      <c r="S31">
        <v>3</v>
      </c>
      <c r="T31">
        <v>1</v>
      </c>
      <c r="U31">
        <v>2</v>
      </c>
      <c r="V31">
        <v>2</v>
      </c>
      <c r="W31">
        <v>1</v>
      </c>
      <c r="X31">
        <v>2</v>
      </c>
      <c r="Y31">
        <v>1</v>
      </c>
      <c r="Z31">
        <v>2</v>
      </c>
      <c r="AA31">
        <v>2</v>
      </c>
      <c r="AB31">
        <v>3</v>
      </c>
      <c r="AC31">
        <v>0</v>
      </c>
      <c r="AD31">
        <v>0</v>
      </c>
      <c r="AE31">
        <v>0</v>
      </c>
      <c r="AG31">
        <f t="shared" si="0"/>
        <v>38</v>
      </c>
    </row>
    <row r="32" spans="1:33" x14ac:dyDescent="0.25">
      <c r="A32" t="s">
        <v>13</v>
      </c>
      <c r="B32">
        <v>1</v>
      </c>
      <c r="C32">
        <v>2</v>
      </c>
      <c r="D32">
        <v>2</v>
      </c>
      <c r="E32">
        <v>2</v>
      </c>
      <c r="F32">
        <v>2</v>
      </c>
      <c r="G32">
        <v>1</v>
      </c>
      <c r="H32">
        <v>0</v>
      </c>
      <c r="I32">
        <v>2</v>
      </c>
      <c r="J32">
        <v>2</v>
      </c>
      <c r="K32">
        <v>0</v>
      </c>
      <c r="L32">
        <v>1</v>
      </c>
      <c r="M32">
        <v>2</v>
      </c>
      <c r="N32">
        <v>1</v>
      </c>
      <c r="O32">
        <v>2</v>
      </c>
      <c r="P32">
        <v>2</v>
      </c>
      <c r="Q32">
        <v>3</v>
      </c>
      <c r="R32">
        <v>2</v>
      </c>
      <c r="S32">
        <v>1</v>
      </c>
      <c r="T32">
        <v>2</v>
      </c>
      <c r="U32">
        <v>4</v>
      </c>
      <c r="V32">
        <v>0</v>
      </c>
      <c r="W32">
        <v>4</v>
      </c>
      <c r="X32">
        <v>3</v>
      </c>
      <c r="Y32">
        <v>0</v>
      </c>
      <c r="Z32">
        <v>1</v>
      </c>
      <c r="AA32">
        <v>1</v>
      </c>
      <c r="AB32">
        <v>1</v>
      </c>
      <c r="AC32">
        <v>0</v>
      </c>
      <c r="AD32">
        <v>2</v>
      </c>
      <c r="AE32">
        <v>0</v>
      </c>
      <c r="AG32">
        <f t="shared" si="0"/>
        <v>46</v>
      </c>
    </row>
    <row r="33" spans="1:33" x14ac:dyDescent="0.25">
      <c r="AG33">
        <f>SUM(AG3:AG32)</f>
        <v>1228</v>
      </c>
    </row>
    <row r="34" spans="1:33" x14ac:dyDescent="0.25">
      <c r="F34" t="s">
        <v>46</v>
      </c>
      <c r="G34">
        <v>1</v>
      </c>
      <c r="H34">
        <v>1</v>
      </c>
      <c r="I34">
        <v>1</v>
      </c>
      <c r="J34">
        <v>1</v>
      </c>
      <c r="K34">
        <v>2</v>
      </c>
      <c r="L34">
        <v>2</v>
      </c>
      <c r="M34">
        <v>2</v>
      </c>
      <c r="N34">
        <v>2</v>
      </c>
    </row>
    <row r="35" spans="1:33" x14ac:dyDescent="0.25">
      <c r="A35" t="s">
        <v>31</v>
      </c>
      <c r="B35" t="s">
        <v>37</v>
      </c>
      <c r="C35" t="s">
        <v>38</v>
      </c>
      <c r="D35" t="s">
        <v>65</v>
      </c>
      <c r="G35" t="s">
        <v>47</v>
      </c>
      <c r="H35" t="s">
        <v>48</v>
      </c>
      <c r="I35" t="s">
        <v>49</v>
      </c>
      <c r="J35" t="s">
        <v>50</v>
      </c>
      <c r="K35" t="s">
        <v>47</v>
      </c>
      <c r="L35" t="s">
        <v>48</v>
      </c>
      <c r="M35" t="s">
        <v>49</v>
      </c>
      <c r="N35" t="s">
        <v>50</v>
      </c>
      <c r="P35" t="s">
        <v>66</v>
      </c>
      <c r="Q35" t="s">
        <v>68</v>
      </c>
      <c r="R35" t="s">
        <v>67</v>
      </c>
    </row>
    <row r="36" spans="1:33" x14ac:dyDescent="0.25">
      <c r="A36" t="s">
        <v>14</v>
      </c>
      <c r="B36" t="e">
        <f>VLOOKUP($A36,#REF!,6,0)</f>
        <v>#REF!</v>
      </c>
      <c r="C36" t="e">
        <f t="shared" ref="C36:C65" si="1">RANK(B36,$B$36:$B$65)</f>
        <v>#REF!</v>
      </c>
      <c r="D36" t="e">
        <f>VLOOKUP($A36,#REF!,6,0)</f>
        <v>#REF!</v>
      </c>
      <c r="G36">
        <v>1</v>
      </c>
      <c r="H36">
        <v>1</v>
      </c>
      <c r="I36">
        <v>1</v>
      </c>
      <c r="J36">
        <v>2</v>
      </c>
      <c r="K36" t="e">
        <f>VLOOKUP($A36,#REF!,6,0)</f>
        <v>#REF!</v>
      </c>
      <c r="L36" t="e">
        <f>VLOOKUP($A36,#REF!,7,0)</f>
        <v>#REF!</v>
      </c>
      <c r="M36">
        <v>43</v>
      </c>
      <c r="N36">
        <v>2</v>
      </c>
      <c r="P36" t="e">
        <f t="shared" ref="P36:P65" si="2">$D36-$N36</f>
        <v>#REF!</v>
      </c>
      <c r="Q36" t="e">
        <f t="shared" ref="Q36:Q65" si="3">ABS($D36-$N36)</f>
        <v>#REF!</v>
      </c>
      <c r="R36" t="e">
        <f t="shared" ref="R36:R65" si="4">($D36-$N36)^2</f>
        <v>#REF!</v>
      </c>
    </row>
    <row r="37" spans="1:33" x14ac:dyDescent="0.25">
      <c r="A37" t="s">
        <v>11</v>
      </c>
      <c r="B37">
        <v>10.761587527420664</v>
      </c>
      <c r="C37" t="e">
        <f t="shared" si="1"/>
        <v>#REF!</v>
      </c>
      <c r="D37" t="e">
        <f>VLOOKUP($A37,#REF!,6,0)</f>
        <v>#REF!</v>
      </c>
      <c r="G37">
        <v>1</v>
      </c>
      <c r="H37">
        <v>1</v>
      </c>
      <c r="I37">
        <v>0.25014651564787588</v>
      </c>
      <c r="J37">
        <v>21</v>
      </c>
      <c r="K37" t="e">
        <f>VLOOKUP($A37,#REF!,6,0)</f>
        <v>#REF!</v>
      </c>
      <c r="L37" t="e">
        <f>VLOOKUP($A37,#REF!,7,0)</f>
        <v>#REF!</v>
      </c>
      <c r="M37">
        <v>10.761587527420664</v>
      </c>
      <c r="N37">
        <v>21</v>
      </c>
      <c r="P37" t="e">
        <f t="shared" si="2"/>
        <v>#REF!</v>
      </c>
      <c r="Q37" t="e">
        <f t="shared" si="3"/>
        <v>#REF!</v>
      </c>
      <c r="R37" t="e">
        <f t="shared" si="4"/>
        <v>#REF!</v>
      </c>
    </row>
    <row r="38" spans="1:33" x14ac:dyDescent="0.25">
      <c r="A38" t="s">
        <v>10</v>
      </c>
      <c r="B38">
        <v>13.542177580845294</v>
      </c>
      <c r="C38" t="e">
        <f t="shared" si="1"/>
        <v>#REF!</v>
      </c>
      <c r="D38" t="e">
        <f>VLOOKUP($A38,#REF!,6,0)</f>
        <v>#REF!</v>
      </c>
      <c r="G38">
        <v>1</v>
      </c>
      <c r="H38">
        <v>1</v>
      </c>
      <c r="I38">
        <v>0.31489120266608039</v>
      </c>
      <c r="J38">
        <v>16</v>
      </c>
      <c r="K38" t="e">
        <f>VLOOKUP($A38,#REF!,6,0)</f>
        <v>#REF!</v>
      </c>
      <c r="L38" t="e">
        <f>VLOOKUP($A38,#REF!,7,0)</f>
        <v>#REF!</v>
      </c>
      <c r="M38">
        <v>13.542177580845294</v>
      </c>
      <c r="N38">
        <v>16</v>
      </c>
      <c r="P38" t="e">
        <f t="shared" si="2"/>
        <v>#REF!</v>
      </c>
      <c r="Q38" t="e">
        <f t="shared" si="3"/>
        <v>#REF!</v>
      </c>
      <c r="R38" t="e">
        <f t="shared" si="4"/>
        <v>#REF!</v>
      </c>
    </row>
    <row r="39" spans="1:33" x14ac:dyDescent="0.25">
      <c r="A39" t="s">
        <v>6</v>
      </c>
      <c r="B39">
        <v>9.9730390463024055</v>
      </c>
      <c r="C39" t="e">
        <f t="shared" si="1"/>
        <v>#REF!</v>
      </c>
      <c r="D39" t="e">
        <f>VLOOKUP($A39,#REF!,6,0)</f>
        <v>#REF!</v>
      </c>
      <c r="G39">
        <v>1</v>
      </c>
      <c r="H39">
        <v>1</v>
      </c>
      <c r="I39">
        <v>0.23194621123808754</v>
      </c>
      <c r="J39">
        <v>22</v>
      </c>
      <c r="K39" t="e">
        <f>VLOOKUP($A39,#REF!,6,0)</f>
        <v>#REF!</v>
      </c>
      <c r="L39" t="e">
        <f>VLOOKUP($A39,#REF!,7,0)</f>
        <v>#REF!</v>
      </c>
      <c r="M39">
        <v>9.9730390463024055</v>
      </c>
      <c r="N39">
        <v>22</v>
      </c>
      <c r="P39" t="e">
        <f t="shared" si="2"/>
        <v>#REF!</v>
      </c>
      <c r="Q39" t="e">
        <f t="shared" si="3"/>
        <v>#REF!</v>
      </c>
      <c r="R39" t="e">
        <f t="shared" si="4"/>
        <v>#REF!</v>
      </c>
    </row>
    <row r="40" spans="1:33" x14ac:dyDescent="0.25">
      <c r="A40" t="s">
        <v>18</v>
      </c>
      <c r="B40">
        <v>22.760035517450483</v>
      </c>
      <c r="C40" t="e">
        <f t="shared" si="1"/>
        <v>#REF!</v>
      </c>
      <c r="D40" t="e">
        <f>VLOOKUP($A40,#REF!,6,0)</f>
        <v>#REF!</v>
      </c>
      <c r="G40">
        <v>1</v>
      </c>
      <c r="H40">
        <v>1</v>
      </c>
      <c r="I40">
        <v>0.52946542311963796</v>
      </c>
      <c r="J40">
        <v>10</v>
      </c>
      <c r="K40" t="e">
        <f>VLOOKUP($A40,#REF!,6,0)</f>
        <v>#REF!</v>
      </c>
      <c r="L40" t="e">
        <f>VLOOKUP($A40,#REF!,7,0)</f>
        <v>#REF!</v>
      </c>
      <c r="M40">
        <v>22.760035517450483</v>
      </c>
      <c r="N40">
        <v>10</v>
      </c>
      <c r="P40" t="e">
        <f t="shared" si="2"/>
        <v>#REF!</v>
      </c>
      <c r="Q40" t="e">
        <f t="shared" si="3"/>
        <v>#REF!</v>
      </c>
      <c r="R40" t="e">
        <f t="shared" si="4"/>
        <v>#REF!</v>
      </c>
    </row>
    <row r="41" spans="1:33" x14ac:dyDescent="0.25">
      <c r="A41" t="s">
        <v>28</v>
      </c>
      <c r="B41">
        <v>28.475724448151958</v>
      </c>
      <c r="C41" t="e">
        <f t="shared" si="1"/>
        <v>#REF!</v>
      </c>
      <c r="D41" t="e">
        <f>VLOOKUP($A41,#REF!,6,0)</f>
        <v>#REF!</v>
      </c>
      <c r="G41">
        <v>1</v>
      </c>
      <c r="H41">
        <v>1</v>
      </c>
      <c r="I41">
        <v>0.66220498477993961</v>
      </c>
      <c r="J41">
        <v>7</v>
      </c>
      <c r="K41" t="e">
        <f>VLOOKUP($A41,#REF!,6,0)</f>
        <v>#REF!</v>
      </c>
      <c r="L41" t="e">
        <f>VLOOKUP($A41,#REF!,7,0)</f>
        <v>#REF!</v>
      </c>
      <c r="M41">
        <v>28.475724448151958</v>
      </c>
      <c r="N41">
        <v>7</v>
      </c>
      <c r="P41" t="e">
        <f t="shared" si="2"/>
        <v>#REF!</v>
      </c>
      <c r="Q41" t="e">
        <f t="shared" si="3"/>
        <v>#REF!</v>
      </c>
      <c r="R41" t="e">
        <f t="shared" si="4"/>
        <v>#REF!</v>
      </c>
    </row>
    <row r="42" spans="1:33" x14ac:dyDescent="0.25">
      <c r="A42" t="s">
        <v>2</v>
      </c>
      <c r="B42">
        <v>24.607952411794539</v>
      </c>
      <c r="C42" t="e">
        <f t="shared" si="1"/>
        <v>#REF!</v>
      </c>
      <c r="D42" t="e">
        <f>VLOOKUP($A42,#REF!,6,0)</f>
        <v>#REF!</v>
      </c>
      <c r="G42">
        <v>1</v>
      </c>
      <c r="H42">
        <v>1</v>
      </c>
      <c r="I42">
        <v>0.57254632407945649</v>
      </c>
      <c r="J42">
        <v>9</v>
      </c>
      <c r="K42" t="e">
        <f>VLOOKUP($A42,#REF!,6,0)</f>
        <v>#REF!</v>
      </c>
      <c r="L42" t="e">
        <f>VLOOKUP($A42,#REF!,7,0)</f>
        <v>#REF!</v>
      </c>
      <c r="M42">
        <v>24.607952411794539</v>
      </c>
      <c r="N42">
        <v>9</v>
      </c>
      <c r="P42" t="e">
        <f t="shared" si="2"/>
        <v>#REF!</v>
      </c>
      <c r="Q42" t="e">
        <f t="shared" si="3"/>
        <v>#REF!</v>
      </c>
      <c r="R42" t="e">
        <f t="shared" si="4"/>
        <v>#REF!</v>
      </c>
    </row>
    <row r="43" spans="1:33" x14ac:dyDescent="0.25">
      <c r="A43" t="s">
        <v>20</v>
      </c>
      <c r="B43">
        <v>8.3809962077627915</v>
      </c>
      <c r="C43" t="e">
        <f t="shared" si="1"/>
        <v>#REF!</v>
      </c>
      <c r="D43" t="e">
        <f>VLOOKUP($A43,#REF!,6,0)</f>
        <v>#REF!</v>
      </c>
      <c r="G43">
        <v>1</v>
      </c>
      <c r="H43">
        <v>1</v>
      </c>
      <c r="I43">
        <v>0.19498734270007739</v>
      </c>
      <c r="J43">
        <v>25</v>
      </c>
      <c r="K43" t="e">
        <f>VLOOKUP($A43,#REF!,6,0)</f>
        <v>#REF!</v>
      </c>
      <c r="L43" t="e">
        <f>VLOOKUP($A43,#REF!,7,0)</f>
        <v>#REF!</v>
      </c>
      <c r="M43">
        <v>8.3809962077627915</v>
      </c>
      <c r="N43">
        <v>25</v>
      </c>
      <c r="P43" t="e">
        <f t="shared" si="2"/>
        <v>#REF!</v>
      </c>
      <c r="Q43" t="e">
        <f t="shared" si="3"/>
        <v>#REF!</v>
      </c>
      <c r="R43" t="e">
        <f t="shared" si="4"/>
        <v>#REF!</v>
      </c>
    </row>
    <row r="44" spans="1:33" x14ac:dyDescent="0.25">
      <c r="A44" t="s">
        <v>21</v>
      </c>
      <c r="B44">
        <v>8.9436937570043664</v>
      </c>
      <c r="C44" t="e">
        <f t="shared" si="1"/>
        <v>#REF!</v>
      </c>
      <c r="D44" t="e">
        <f>VLOOKUP($A44,#REF!,6,0)</f>
        <v>#REF!</v>
      </c>
      <c r="G44">
        <v>1</v>
      </c>
      <c r="H44">
        <v>1</v>
      </c>
      <c r="I44">
        <v>0.20797979680876644</v>
      </c>
      <c r="J44">
        <v>23</v>
      </c>
      <c r="K44" t="e">
        <f>VLOOKUP($A44,#REF!,6,0)</f>
        <v>#REF!</v>
      </c>
      <c r="L44" t="e">
        <f>VLOOKUP($A44,#REF!,7,0)</f>
        <v>#REF!</v>
      </c>
      <c r="M44">
        <v>8.9436937570043664</v>
      </c>
      <c r="N44">
        <v>23</v>
      </c>
      <c r="P44" t="e">
        <f t="shared" si="2"/>
        <v>#REF!</v>
      </c>
      <c r="Q44" t="e">
        <f t="shared" si="3"/>
        <v>#REF!</v>
      </c>
      <c r="R44" t="e">
        <f t="shared" si="4"/>
        <v>#REF!</v>
      </c>
    </row>
    <row r="45" spans="1:33" x14ac:dyDescent="0.25">
      <c r="A45" t="s">
        <v>24</v>
      </c>
      <c r="B45">
        <v>87.221791544951827</v>
      </c>
      <c r="C45" t="e">
        <f t="shared" si="1"/>
        <v>#REF!</v>
      </c>
      <c r="D45" t="e">
        <f>VLOOKUP($A45,#REF!,6,0)</f>
        <v>#REF!</v>
      </c>
      <c r="G45">
        <v>1</v>
      </c>
      <c r="H45">
        <v>1</v>
      </c>
      <c r="I45">
        <v>2.0274698013462968</v>
      </c>
      <c r="J45">
        <v>1</v>
      </c>
      <c r="K45" t="e">
        <f>VLOOKUP($A45,#REF!,6,0)</f>
        <v>#REF!</v>
      </c>
      <c r="L45" t="e">
        <f>VLOOKUP($A45,#REF!,7,0)</f>
        <v>#REF!</v>
      </c>
      <c r="M45">
        <v>87.221791544951827</v>
      </c>
      <c r="N45">
        <v>1</v>
      </c>
      <c r="P45" t="e">
        <f t="shared" si="2"/>
        <v>#REF!</v>
      </c>
      <c r="Q45" t="e">
        <f t="shared" si="3"/>
        <v>#REF!</v>
      </c>
      <c r="R45" t="e">
        <f t="shared" si="4"/>
        <v>#REF!</v>
      </c>
    </row>
    <row r="46" spans="1:33" x14ac:dyDescent="0.25">
      <c r="A46" t="s">
        <v>4</v>
      </c>
      <c r="B46">
        <v>34.280310955987886</v>
      </c>
      <c r="C46" t="e">
        <f t="shared" si="1"/>
        <v>#REF!</v>
      </c>
      <c r="D46" t="e">
        <f>VLOOKUP($A46,#REF!,6,0)</f>
        <v>#REF!</v>
      </c>
      <c r="G46">
        <v>1</v>
      </c>
      <c r="H46">
        <v>1</v>
      </c>
      <c r="I46">
        <v>0.79834984241511631</v>
      </c>
      <c r="J46">
        <v>5</v>
      </c>
      <c r="K46" t="e">
        <f>VLOOKUP($A46,#REF!,6,0)</f>
        <v>#REF!</v>
      </c>
      <c r="L46" t="e">
        <f>VLOOKUP($A46,#REF!,7,0)</f>
        <v>#REF!</v>
      </c>
      <c r="M46">
        <v>34.280310955987886</v>
      </c>
      <c r="N46">
        <v>5</v>
      </c>
      <c r="P46" t="e">
        <f t="shared" si="2"/>
        <v>#REF!</v>
      </c>
      <c r="Q46" t="e">
        <f t="shared" si="3"/>
        <v>#REF!</v>
      </c>
      <c r="R46" t="e">
        <f t="shared" si="4"/>
        <v>#REF!</v>
      </c>
    </row>
    <row r="47" spans="1:33" x14ac:dyDescent="0.25">
      <c r="A47" t="s">
        <v>8</v>
      </c>
      <c r="B47">
        <v>13.226523181264582</v>
      </c>
      <c r="C47" t="e">
        <f t="shared" si="1"/>
        <v>#REF!</v>
      </c>
      <c r="D47" t="e">
        <f>VLOOKUP($A47,#REF!,6,0)</f>
        <v>#REF!</v>
      </c>
      <c r="G47">
        <v>1</v>
      </c>
      <c r="H47">
        <v>1</v>
      </c>
      <c r="I47">
        <v>0.30757164248393182</v>
      </c>
      <c r="J47">
        <v>18</v>
      </c>
      <c r="K47" t="e">
        <f>VLOOKUP($A47,#REF!,6,0)</f>
        <v>#REF!</v>
      </c>
      <c r="L47" t="e">
        <f>VLOOKUP($A47,#REF!,7,0)</f>
        <v>#REF!</v>
      </c>
      <c r="M47">
        <v>13.226523181264582</v>
      </c>
      <c r="N47">
        <v>18</v>
      </c>
      <c r="P47" t="e">
        <f t="shared" si="2"/>
        <v>#REF!</v>
      </c>
      <c r="Q47" t="e">
        <f t="shared" si="3"/>
        <v>#REF!</v>
      </c>
      <c r="R47" t="e">
        <f t="shared" si="4"/>
        <v>#REF!</v>
      </c>
    </row>
    <row r="48" spans="1:33" x14ac:dyDescent="0.25">
      <c r="A48" t="s">
        <v>29</v>
      </c>
      <c r="B48">
        <v>38.120470592671523</v>
      </c>
      <c r="C48" t="e">
        <f t="shared" si="1"/>
        <v>#REF!</v>
      </c>
      <c r="D48" t="e">
        <f>VLOOKUP($A48,#REF!,6,0)</f>
        <v>#REF!</v>
      </c>
      <c r="G48">
        <v>1</v>
      </c>
      <c r="H48">
        <v>1</v>
      </c>
      <c r="I48">
        <v>0.88409046388660839</v>
      </c>
      <c r="J48">
        <v>3</v>
      </c>
      <c r="K48" t="e">
        <f>VLOOKUP($A48,#REF!,6,0)</f>
        <v>#REF!</v>
      </c>
      <c r="L48" t="e">
        <f>VLOOKUP($A48,#REF!,7,0)</f>
        <v>#REF!</v>
      </c>
      <c r="M48">
        <v>38.120470592671523</v>
      </c>
      <c r="N48">
        <v>3</v>
      </c>
      <c r="P48" t="e">
        <f t="shared" si="2"/>
        <v>#REF!</v>
      </c>
      <c r="Q48" t="e">
        <f t="shared" si="3"/>
        <v>#REF!</v>
      </c>
      <c r="R48" t="e">
        <f t="shared" si="4"/>
        <v>#REF!</v>
      </c>
    </row>
    <row r="49" spans="1:18" x14ac:dyDescent="0.25">
      <c r="A49" t="s">
        <v>5</v>
      </c>
      <c r="B49">
        <v>4.0186723412683305</v>
      </c>
      <c r="C49" t="e">
        <f t="shared" si="1"/>
        <v>#REF!</v>
      </c>
      <c r="D49" t="e">
        <f>VLOOKUP($A49,#REF!,6,0)</f>
        <v>#REF!</v>
      </c>
      <c r="G49">
        <v>1</v>
      </c>
      <c r="H49">
        <v>1</v>
      </c>
      <c r="I49">
        <v>9.3443551008829034E-2</v>
      </c>
      <c r="J49">
        <v>27</v>
      </c>
      <c r="K49" t="e">
        <f>VLOOKUP($A49,#REF!,6,0)</f>
        <v>#REF!</v>
      </c>
      <c r="L49" t="e">
        <f>VLOOKUP($A49,#REF!,7,0)</f>
        <v>#REF!</v>
      </c>
      <c r="M49">
        <v>4.0186723412683305</v>
      </c>
      <c r="N49">
        <v>27</v>
      </c>
      <c r="P49" t="e">
        <f t="shared" si="2"/>
        <v>#REF!</v>
      </c>
      <c r="Q49" t="e">
        <f t="shared" si="3"/>
        <v>#REF!</v>
      </c>
      <c r="R49" t="e">
        <f t="shared" si="4"/>
        <v>#REF!</v>
      </c>
    </row>
    <row r="50" spans="1:18" x14ac:dyDescent="0.25">
      <c r="A50" t="s">
        <v>16</v>
      </c>
      <c r="B50">
        <v>37.190378430933976</v>
      </c>
      <c r="C50" t="e">
        <f t="shared" si="1"/>
        <v>#REF!</v>
      </c>
      <c r="D50" t="e">
        <f>VLOOKUP($A50,#REF!,6,0)</f>
        <v>#REF!</v>
      </c>
      <c r="G50">
        <v>1</v>
      </c>
      <c r="H50">
        <v>1</v>
      </c>
      <c r="I50">
        <v>0.86716388418585333</v>
      </c>
      <c r="J50">
        <v>4</v>
      </c>
      <c r="K50" t="e">
        <f>VLOOKUP($A50,#REF!,6,0)</f>
        <v>#REF!</v>
      </c>
      <c r="L50" t="e">
        <f>VLOOKUP($A50,#REF!,7,0)</f>
        <v>#REF!</v>
      </c>
      <c r="M50">
        <v>37.190378430933976</v>
      </c>
      <c r="N50">
        <v>4</v>
      </c>
      <c r="P50" t="e">
        <f t="shared" si="2"/>
        <v>#REF!</v>
      </c>
      <c r="Q50" t="e">
        <f t="shared" si="3"/>
        <v>#REF!</v>
      </c>
      <c r="R50" t="e">
        <f t="shared" si="4"/>
        <v>#REF!</v>
      </c>
    </row>
    <row r="51" spans="1:18" x14ac:dyDescent="0.25">
      <c r="A51" t="s">
        <v>12</v>
      </c>
      <c r="B51">
        <v>11.65957137688112</v>
      </c>
      <c r="C51" t="e">
        <f t="shared" si="1"/>
        <v>#REF!</v>
      </c>
      <c r="D51" t="e">
        <f>VLOOKUP($A51,#REF!,6,0)</f>
        <v>#REF!</v>
      </c>
      <c r="G51">
        <v>1</v>
      </c>
      <c r="H51">
        <v>1</v>
      </c>
      <c r="I51">
        <v>0.27116683974396016</v>
      </c>
      <c r="J51">
        <v>20</v>
      </c>
      <c r="K51" t="e">
        <f>VLOOKUP($A51,#REF!,6,0)</f>
        <v>#REF!</v>
      </c>
      <c r="L51" t="e">
        <f>VLOOKUP($A51,#REF!,7,0)</f>
        <v>#REF!</v>
      </c>
      <c r="M51">
        <v>11.65957137688112</v>
      </c>
      <c r="N51">
        <v>20</v>
      </c>
      <c r="P51" t="e">
        <f t="shared" si="2"/>
        <v>#REF!</v>
      </c>
      <c r="Q51" t="e">
        <f t="shared" si="3"/>
        <v>#REF!</v>
      </c>
      <c r="R51" t="e">
        <f t="shared" si="4"/>
        <v>#REF!</v>
      </c>
    </row>
    <row r="52" spans="1:18" x14ac:dyDescent="0.25">
      <c r="A52" t="s">
        <v>7</v>
      </c>
      <c r="B52">
        <v>14.800320032633566</v>
      </c>
      <c r="C52" t="e">
        <f t="shared" si="1"/>
        <v>#REF!</v>
      </c>
      <c r="D52" t="e">
        <f>VLOOKUP($A52,#REF!,6,0)</f>
        <v>#REF!</v>
      </c>
      <c r="G52">
        <v>1</v>
      </c>
      <c r="H52">
        <v>1</v>
      </c>
      <c r="I52">
        <v>0.34426279523602787</v>
      </c>
      <c r="J52">
        <v>15</v>
      </c>
      <c r="K52" t="e">
        <f>VLOOKUP($A52,#REF!,6,0)</f>
        <v>#REF!</v>
      </c>
      <c r="L52" t="e">
        <f>VLOOKUP($A52,#REF!,7,0)</f>
        <v>#REF!</v>
      </c>
      <c r="M52">
        <v>14.800320032633566</v>
      </c>
      <c r="N52">
        <v>15</v>
      </c>
      <c r="P52" t="e">
        <f t="shared" si="2"/>
        <v>#REF!</v>
      </c>
      <c r="Q52" t="e">
        <f t="shared" si="3"/>
        <v>#REF!</v>
      </c>
      <c r="R52" t="e">
        <f t="shared" si="4"/>
        <v>#REF!</v>
      </c>
    </row>
    <row r="53" spans="1:18" x14ac:dyDescent="0.25">
      <c r="A53" t="s">
        <v>17</v>
      </c>
      <c r="B53">
        <v>2.8776765531779223</v>
      </c>
      <c r="C53" t="e">
        <f t="shared" si="1"/>
        <v>#REF!</v>
      </c>
      <c r="D53" t="e">
        <f>VLOOKUP($A53,#REF!,6,0)</f>
        <v>#REF!</v>
      </c>
      <c r="G53">
        <v>1</v>
      </c>
      <c r="H53">
        <v>1</v>
      </c>
      <c r="I53">
        <v>6.6912031414692111E-2</v>
      </c>
      <c r="J53">
        <v>30</v>
      </c>
      <c r="K53" t="e">
        <f>VLOOKUP($A53,#REF!,6,0)</f>
        <v>#REF!</v>
      </c>
      <c r="L53" t="e">
        <f>VLOOKUP($A53,#REF!,7,0)</f>
        <v>#REF!</v>
      </c>
      <c r="M53">
        <v>2.8776765531779223</v>
      </c>
      <c r="N53">
        <v>30</v>
      </c>
      <c r="P53" t="e">
        <f t="shared" si="2"/>
        <v>#REF!</v>
      </c>
      <c r="Q53" t="e">
        <f t="shared" si="3"/>
        <v>#REF!</v>
      </c>
      <c r="R53" t="e">
        <f t="shared" si="4"/>
        <v>#REF!</v>
      </c>
    </row>
    <row r="54" spans="1:18" x14ac:dyDescent="0.25">
      <c r="A54" t="s">
        <v>0</v>
      </c>
      <c r="B54">
        <v>20.833280127135495</v>
      </c>
      <c r="C54" t="e">
        <f t="shared" si="1"/>
        <v>#REF!</v>
      </c>
      <c r="D54" t="e">
        <f>VLOOKUP($A54,#REF!,6,0)</f>
        <v>#REF!</v>
      </c>
      <c r="G54">
        <v>1</v>
      </c>
      <c r="H54">
        <v>1</v>
      </c>
      <c r="I54">
        <v>0.48366101640935577</v>
      </c>
      <c r="J54">
        <v>11</v>
      </c>
      <c r="K54" t="e">
        <f>VLOOKUP($A54,#REF!,6,0)</f>
        <v>#REF!</v>
      </c>
      <c r="L54" t="e">
        <f>VLOOKUP($A54,#REF!,7,0)</f>
        <v>#REF!</v>
      </c>
      <c r="M54">
        <v>20.833280127135495</v>
      </c>
      <c r="N54">
        <v>11</v>
      </c>
      <c r="P54" t="e">
        <f t="shared" si="2"/>
        <v>#REF!</v>
      </c>
      <c r="Q54" t="e">
        <f t="shared" si="3"/>
        <v>#REF!</v>
      </c>
      <c r="R54" t="e">
        <f t="shared" si="4"/>
        <v>#REF!</v>
      </c>
    </row>
    <row r="55" spans="1:18" x14ac:dyDescent="0.25">
      <c r="A55" t="s">
        <v>19</v>
      </c>
      <c r="B55">
        <v>3.1934374010878672</v>
      </c>
      <c r="C55" t="e">
        <f t="shared" si="1"/>
        <v>#REF!</v>
      </c>
      <c r="D55" t="e">
        <f>VLOOKUP($A55,#REF!,6,0)</f>
        <v>#REF!</v>
      </c>
      <c r="G55">
        <v>1</v>
      </c>
      <c r="H55">
        <v>1</v>
      </c>
      <c r="I55">
        <v>7.4280476366190409E-2</v>
      </c>
      <c r="J55">
        <v>29</v>
      </c>
      <c r="K55" t="e">
        <f>VLOOKUP($A55,#REF!,6,0)</f>
        <v>#REF!</v>
      </c>
      <c r="L55" t="e">
        <f>VLOOKUP($A55,#REF!,7,0)</f>
        <v>#REF!</v>
      </c>
      <c r="M55">
        <v>3.1934374010878672</v>
      </c>
      <c r="N55">
        <v>29</v>
      </c>
      <c r="P55" t="e">
        <f t="shared" si="2"/>
        <v>#REF!</v>
      </c>
      <c r="Q55" t="e">
        <f t="shared" si="3"/>
        <v>#REF!</v>
      </c>
      <c r="R55" t="e">
        <f t="shared" si="4"/>
        <v>#REF!</v>
      </c>
    </row>
    <row r="56" spans="1:18" x14ac:dyDescent="0.25">
      <c r="A56" t="s">
        <v>26</v>
      </c>
      <c r="B56">
        <v>17.489783225231893</v>
      </c>
      <c r="C56" t="e">
        <f t="shared" si="1"/>
        <v>#REF!</v>
      </c>
      <c r="D56" t="e">
        <f>VLOOKUP($A56,#REF!,6,0)</f>
        <v>#REF!</v>
      </c>
      <c r="G56">
        <v>1</v>
      </c>
      <c r="H56">
        <v>1</v>
      </c>
      <c r="I56">
        <v>0.40685615368250755</v>
      </c>
      <c r="J56">
        <v>13</v>
      </c>
      <c r="K56" t="e">
        <f>VLOOKUP($A56,#REF!,6,0)</f>
        <v>#REF!</v>
      </c>
      <c r="L56" t="e">
        <f>VLOOKUP($A56,#REF!,7,0)</f>
        <v>#REF!</v>
      </c>
      <c r="M56">
        <v>17.489783225231893</v>
      </c>
      <c r="N56">
        <v>13</v>
      </c>
      <c r="P56" t="e">
        <f t="shared" si="2"/>
        <v>#REF!</v>
      </c>
      <c r="Q56" t="e">
        <f t="shared" si="3"/>
        <v>#REF!</v>
      </c>
      <c r="R56" t="e">
        <f t="shared" si="4"/>
        <v>#REF!</v>
      </c>
    </row>
    <row r="57" spans="1:18" x14ac:dyDescent="0.25">
      <c r="A57" t="s">
        <v>1</v>
      </c>
      <c r="B57">
        <v>5.4534148857319229</v>
      </c>
      <c r="C57" t="e">
        <f t="shared" si="1"/>
        <v>#REF!</v>
      </c>
      <c r="D57" t="e">
        <f>VLOOKUP($A57,#REF!,6,0)</f>
        <v>#REF!</v>
      </c>
      <c r="G57">
        <v>1</v>
      </c>
      <c r="H57">
        <v>1</v>
      </c>
      <c r="I57">
        <v>0.12681730495280349</v>
      </c>
      <c r="J57">
        <v>26</v>
      </c>
      <c r="K57" t="e">
        <f>VLOOKUP($A57,#REF!,6,0)</f>
        <v>#REF!</v>
      </c>
      <c r="L57" t="e">
        <f>VLOOKUP($A57,#REF!,7,0)</f>
        <v>#REF!</v>
      </c>
      <c r="M57">
        <v>5.4534148857319229</v>
      </c>
      <c r="N57">
        <v>26</v>
      </c>
      <c r="P57" t="e">
        <f t="shared" si="2"/>
        <v>#REF!</v>
      </c>
      <c r="Q57" t="e">
        <f t="shared" si="3"/>
        <v>#REF!</v>
      </c>
      <c r="R57" t="e">
        <f t="shared" si="4"/>
        <v>#REF!</v>
      </c>
    </row>
    <row r="58" spans="1:18" x14ac:dyDescent="0.25">
      <c r="A58" t="s">
        <v>9</v>
      </c>
      <c r="B58">
        <v>3.5173424173030634</v>
      </c>
      <c r="C58" t="e">
        <f t="shared" si="1"/>
        <v>#REF!</v>
      </c>
      <c r="D58" t="e">
        <f>VLOOKUP($A58,#REF!,6,0)</f>
        <v>#REF!</v>
      </c>
      <c r="G58">
        <v>1</v>
      </c>
      <c r="H58">
        <v>1</v>
      </c>
      <c r="I58">
        <v>8.177550929665936E-2</v>
      </c>
      <c r="J58">
        <v>28</v>
      </c>
      <c r="K58" t="e">
        <f>VLOOKUP($A58,#REF!,6,0)</f>
        <v>#REF!</v>
      </c>
      <c r="L58" t="e">
        <f>VLOOKUP($A58,#REF!,7,0)</f>
        <v>#REF!</v>
      </c>
      <c r="M58">
        <v>3.5173424173030634</v>
      </c>
      <c r="N58">
        <v>28</v>
      </c>
      <c r="P58" t="e">
        <f t="shared" si="2"/>
        <v>#REF!</v>
      </c>
      <c r="Q58" t="e">
        <f t="shared" si="3"/>
        <v>#REF!</v>
      </c>
      <c r="R58" t="e">
        <f t="shared" si="4"/>
        <v>#REF!</v>
      </c>
    </row>
    <row r="59" spans="1:18" x14ac:dyDescent="0.25">
      <c r="A59" t="s">
        <v>23</v>
      </c>
      <c r="B59">
        <v>12.664829277580379</v>
      </c>
      <c r="C59" t="e">
        <f t="shared" si="1"/>
        <v>#REF!</v>
      </c>
      <c r="D59" t="e">
        <f>VLOOKUP($A59,#REF!,6,0)</f>
        <v>#REF!</v>
      </c>
      <c r="G59">
        <v>1</v>
      </c>
      <c r="H59">
        <v>1</v>
      </c>
      <c r="I59">
        <v>0.29442095405356583</v>
      </c>
      <c r="J59">
        <v>19</v>
      </c>
      <c r="K59" t="e">
        <f>VLOOKUP($A59,#REF!,6,0)</f>
        <v>#REF!</v>
      </c>
      <c r="L59" t="e">
        <f>VLOOKUP($A59,#REF!,7,0)</f>
        <v>#REF!</v>
      </c>
      <c r="M59">
        <v>12.664829277580379</v>
      </c>
      <c r="N59">
        <v>19</v>
      </c>
      <c r="P59" t="e">
        <f t="shared" si="2"/>
        <v>#REF!</v>
      </c>
      <c r="Q59" t="e">
        <f t="shared" si="3"/>
        <v>#REF!</v>
      </c>
      <c r="R59" t="e">
        <f t="shared" si="4"/>
        <v>#REF!</v>
      </c>
    </row>
    <row r="60" spans="1:18" x14ac:dyDescent="0.25">
      <c r="A60" t="s">
        <v>27</v>
      </c>
      <c r="B60">
        <v>27.319698947835668</v>
      </c>
      <c r="C60" t="e">
        <f t="shared" si="1"/>
        <v>#REF!</v>
      </c>
      <c r="D60" t="e">
        <f>VLOOKUP($A60,#REF!,6,0)</f>
        <v>#REF!</v>
      </c>
      <c r="G60">
        <v>1</v>
      </c>
      <c r="H60">
        <v>1</v>
      </c>
      <c r="I60">
        <v>0.63482229705919779</v>
      </c>
      <c r="J60">
        <v>8</v>
      </c>
      <c r="K60" t="e">
        <f>VLOOKUP($A60,#REF!,6,0)</f>
        <v>#REF!</v>
      </c>
      <c r="L60" t="e">
        <f>VLOOKUP($A60,#REF!,7,0)</f>
        <v>#REF!</v>
      </c>
      <c r="M60">
        <v>27.319698947835668</v>
      </c>
      <c r="N60">
        <v>8</v>
      </c>
      <c r="P60" t="e">
        <f t="shared" si="2"/>
        <v>#REF!</v>
      </c>
      <c r="Q60" t="e">
        <f t="shared" si="3"/>
        <v>#REF!</v>
      </c>
      <c r="R60" t="e">
        <f t="shared" si="4"/>
        <v>#REF!</v>
      </c>
    </row>
    <row r="61" spans="1:18" x14ac:dyDescent="0.25">
      <c r="A61" t="s">
        <v>3</v>
      </c>
      <c r="B61">
        <v>32.185652977605855</v>
      </c>
      <c r="C61" t="e">
        <f t="shared" si="1"/>
        <v>#REF!</v>
      </c>
      <c r="D61" t="e">
        <f>VLOOKUP($A61,#REF!,6,0)</f>
        <v>#REF!</v>
      </c>
      <c r="G61">
        <v>1</v>
      </c>
      <c r="H61">
        <v>1</v>
      </c>
      <c r="I61">
        <v>0.74773488441654934</v>
      </c>
      <c r="J61">
        <v>6</v>
      </c>
      <c r="K61" t="e">
        <f>VLOOKUP($A61,#REF!,6,0)</f>
        <v>#REF!</v>
      </c>
      <c r="L61" t="e">
        <f>VLOOKUP($A61,#REF!,7,0)</f>
        <v>#REF!</v>
      </c>
      <c r="M61">
        <v>32.185652977605855</v>
      </c>
      <c r="N61">
        <v>6</v>
      </c>
      <c r="P61" t="e">
        <f t="shared" si="2"/>
        <v>#REF!</v>
      </c>
      <c r="Q61" t="e">
        <f t="shared" si="3"/>
        <v>#REF!</v>
      </c>
      <c r="R61" t="e">
        <f t="shared" si="4"/>
        <v>#REF!</v>
      </c>
    </row>
    <row r="62" spans="1:18" x14ac:dyDescent="0.25">
      <c r="A62" t="s">
        <v>25</v>
      </c>
      <c r="B62">
        <v>8.5076340200797205</v>
      </c>
      <c r="C62" t="e">
        <f t="shared" si="1"/>
        <v>#REF!</v>
      </c>
      <c r="D62" t="e">
        <f>VLOOKUP($A62,#REF!,6,0)</f>
        <v>#REF!</v>
      </c>
      <c r="G62">
        <v>1</v>
      </c>
      <c r="H62">
        <v>1</v>
      </c>
      <c r="I62">
        <v>0.19792342767564522</v>
      </c>
      <c r="J62">
        <v>24</v>
      </c>
      <c r="K62" t="e">
        <f>VLOOKUP($A62,#REF!,6,0)</f>
        <v>#REF!</v>
      </c>
      <c r="L62" t="e">
        <f>VLOOKUP($A62,#REF!,7,0)</f>
        <v>#REF!</v>
      </c>
      <c r="M62">
        <v>8.5076340200797205</v>
      </c>
      <c r="N62">
        <v>24</v>
      </c>
      <c r="P62" t="e">
        <f t="shared" si="2"/>
        <v>#REF!</v>
      </c>
      <c r="Q62" t="e">
        <f t="shared" si="3"/>
        <v>#REF!</v>
      </c>
      <c r="R62" t="e">
        <f t="shared" si="4"/>
        <v>#REF!</v>
      </c>
    </row>
    <row r="63" spans="1:18" x14ac:dyDescent="0.25">
      <c r="A63" t="s">
        <v>15</v>
      </c>
      <c r="B63">
        <v>19.312219888739858</v>
      </c>
      <c r="C63" t="e">
        <f t="shared" si="1"/>
        <v>#REF!</v>
      </c>
      <c r="D63" t="e">
        <f>VLOOKUP($A63,#REF!,6,0)</f>
        <v>#REF!</v>
      </c>
      <c r="G63">
        <v>1</v>
      </c>
      <c r="H63">
        <v>1</v>
      </c>
      <c r="I63">
        <v>0.44931036278660286</v>
      </c>
      <c r="J63">
        <v>12</v>
      </c>
      <c r="K63" t="e">
        <f>VLOOKUP($A63,#REF!,6,0)</f>
        <v>#REF!</v>
      </c>
      <c r="L63" t="e">
        <f>VLOOKUP($A63,#REF!,7,0)</f>
        <v>#REF!</v>
      </c>
      <c r="M63">
        <v>19.312219888739858</v>
      </c>
      <c r="N63">
        <v>12</v>
      </c>
      <c r="P63" t="e">
        <f t="shared" si="2"/>
        <v>#REF!</v>
      </c>
      <c r="Q63" t="e">
        <f t="shared" si="3"/>
        <v>#REF!</v>
      </c>
      <c r="R63" t="e">
        <f t="shared" si="4"/>
        <v>#REF!</v>
      </c>
    </row>
    <row r="64" spans="1:18" x14ac:dyDescent="0.25">
      <c r="A64" t="s">
        <v>22</v>
      </c>
      <c r="B64">
        <v>13.476276399408899</v>
      </c>
      <c r="C64" t="e">
        <f t="shared" si="1"/>
        <v>#REF!</v>
      </c>
      <c r="D64" t="e">
        <f>VLOOKUP($A64,#REF!,6,0)</f>
        <v>#REF!</v>
      </c>
      <c r="G64">
        <v>1</v>
      </c>
      <c r="H64">
        <v>1</v>
      </c>
      <c r="I64">
        <v>0.31322873343352264</v>
      </c>
      <c r="J64">
        <v>17</v>
      </c>
      <c r="K64" t="e">
        <f>VLOOKUP($A64,#REF!,6,0)</f>
        <v>#REF!</v>
      </c>
      <c r="L64" t="e">
        <f>VLOOKUP($A64,#REF!,7,0)</f>
        <v>#REF!</v>
      </c>
      <c r="M64">
        <v>13.476276399408899</v>
      </c>
      <c r="N64">
        <v>17</v>
      </c>
      <c r="P64" t="e">
        <f t="shared" si="2"/>
        <v>#REF!</v>
      </c>
      <c r="Q64" t="e">
        <f t="shared" si="3"/>
        <v>#REF!</v>
      </c>
      <c r="R64" t="e">
        <f t="shared" si="4"/>
        <v>#REF!</v>
      </c>
    </row>
    <row r="65" spans="1:35" x14ac:dyDescent="0.25">
      <c r="A65" t="s">
        <v>13</v>
      </c>
      <c r="B65">
        <v>17.323085475278511</v>
      </c>
      <c r="C65" t="e">
        <f t="shared" si="1"/>
        <v>#REF!</v>
      </c>
      <c r="D65" t="e">
        <f>VLOOKUP($A65,#REF!,6,0)</f>
        <v>#REF!</v>
      </c>
      <c r="G65">
        <v>1</v>
      </c>
      <c r="H65">
        <v>1</v>
      </c>
      <c r="I65">
        <v>0.40272458118742654</v>
      </c>
      <c r="J65">
        <v>14</v>
      </c>
      <c r="K65" t="e">
        <f>VLOOKUP($A65,#REF!,6,0)</f>
        <v>#REF!</v>
      </c>
      <c r="L65" t="e">
        <f>VLOOKUP($A65,#REF!,7,0)</f>
        <v>#REF!</v>
      </c>
      <c r="M65">
        <v>17.323085475278511</v>
      </c>
      <c r="N65">
        <v>14</v>
      </c>
      <c r="P65" t="e">
        <f t="shared" si="2"/>
        <v>#REF!</v>
      </c>
      <c r="Q65" t="e">
        <f t="shared" si="3"/>
        <v>#REF!</v>
      </c>
      <c r="R65" t="e">
        <f t="shared" si="4"/>
        <v>#REF!</v>
      </c>
    </row>
    <row r="67" spans="1:35" x14ac:dyDescent="0.25">
      <c r="A67" t="s">
        <v>51</v>
      </c>
      <c r="G67">
        <v>796</v>
      </c>
      <c r="I67">
        <v>391.52928254564472</v>
      </c>
      <c r="L67">
        <v>591.70970423303186</v>
      </c>
      <c r="N67">
        <v>391.52877615519378</v>
      </c>
      <c r="P67" t="e">
        <f>SUM(P36:P65)</f>
        <v>#REF!</v>
      </c>
      <c r="Q67" t="e">
        <f>SUM(Q36:Q65)</f>
        <v>#REF!</v>
      </c>
      <c r="R67" t="e">
        <f>SUM(R36:R65)</f>
        <v>#REF!</v>
      </c>
    </row>
    <row r="69" spans="1:35" x14ac:dyDescent="0.25">
      <c r="A69" t="s">
        <v>41</v>
      </c>
      <c r="AG69" t="s">
        <v>62</v>
      </c>
      <c r="AH69" t="s">
        <v>63</v>
      </c>
    </row>
    <row r="70" spans="1:35" x14ac:dyDescent="0.25">
      <c r="B70" t="s">
        <v>14</v>
      </c>
      <c r="C70" t="s">
        <v>11</v>
      </c>
      <c r="D70" t="s">
        <v>10</v>
      </c>
      <c r="E70" t="s">
        <v>6</v>
      </c>
      <c r="F70" t="s">
        <v>18</v>
      </c>
      <c r="G70" t="s">
        <v>28</v>
      </c>
      <c r="H70" t="s">
        <v>2</v>
      </c>
      <c r="I70" t="s">
        <v>20</v>
      </c>
      <c r="J70" t="s">
        <v>21</v>
      </c>
      <c r="K70" t="s">
        <v>24</v>
      </c>
      <c r="L70" t="s">
        <v>4</v>
      </c>
      <c r="M70" t="s">
        <v>8</v>
      </c>
      <c r="N70" t="s">
        <v>29</v>
      </c>
      <c r="O70" t="s">
        <v>5</v>
      </c>
      <c r="P70" t="s">
        <v>16</v>
      </c>
      <c r="Q70" t="s">
        <v>12</v>
      </c>
      <c r="R70" t="s">
        <v>7</v>
      </c>
      <c r="S70" t="s">
        <v>17</v>
      </c>
      <c r="T70" t="s">
        <v>0</v>
      </c>
      <c r="U70" t="s">
        <v>19</v>
      </c>
      <c r="V70" t="s">
        <v>26</v>
      </c>
      <c r="W70" t="s">
        <v>1</v>
      </c>
      <c r="X70" t="s">
        <v>9</v>
      </c>
      <c r="Y70" t="s">
        <v>23</v>
      </c>
      <c r="Z70" t="s">
        <v>27</v>
      </c>
      <c r="AA70" t="s">
        <v>3</v>
      </c>
      <c r="AB70" t="s">
        <v>25</v>
      </c>
      <c r="AC70" t="s">
        <v>15</v>
      </c>
      <c r="AD70" t="s">
        <v>22</v>
      </c>
      <c r="AE70" t="s">
        <v>13</v>
      </c>
    </row>
    <row r="71" spans="1:35" x14ac:dyDescent="0.25">
      <c r="A71" t="s">
        <v>14</v>
      </c>
      <c r="B71">
        <f t="shared" ref="B71:AE71" si="5">IFERROR(VLOOKUP($A71,table_rank_wins,2,0)/(VLOOKUP($A71,table_rank_wins,2,0)+VLOOKUP(B$70,table_rank_wins,2,0))*(B3+HLOOKUP($A71,table_h2h_wins,MATCH(B$70,$A$2:$A$32,0),0)),0)</f>
        <v>0</v>
      </c>
      <c r="C71">
        <f t="shared" si="5"/>
        <v>0</v>
      </c>
      <c r="D71">
        <f t="shared" si="5"/>
        <v>0</v>
      </c>
      <c r="E71">
        <f t="shared" si="5"/>
        <v>0</v>
      </c>
      <c r="F71">
        <f t="shared" si="5"/>
        <v>0</v>
      </c>
      <c r="G71">
        <f t="shared" si="5"/>
        <v>0</v>
      </c>
      <c r="H71">
        <f t="shared" si="5"/>
        <v>0</v>
      </c>
      <c r="I71">
        <f t="shared" si="5"/>
        <v>0</v>
      </c>
      <c r="J71">
        <f t="shared" si="5"/>
        <v>0</v>
      </c>
      <c r="K71">
        <f t="shared" si="5"/>
        <v>0</v>
      </c>
      <c r="L71">
        <f t="shared" si="5"/>
        <v>0</v>
      </c>
      <c r="M71">
        <f t="shared" si="5"/>
        <v>0</v>
      </c>
      <c r="N71">
        <f t="shared" si="5"/>
        <v>0</v>
      </c>
      <c r="O71">
        <f t="shared" si="5"/>
        <v>0</v>
      </c>
      <c r="P71">
        <f t="shared" si="5"/>
        <v>0</v>
      </c>
      <c r="Q71">
        <f t="shared" si="5"/>
        <v>0</v>
      </c>
      <c r="R71">
        <f t="shared" si="5"/>
        <v>0</v>
      </c>
      <c r="S71">
        <f t="shared" si="5"/>
        <v>0</v>
      </c>
      <c r="T71">
        <f t="shared" si="5"/>
        <v>0</v>
      </c>
      <c r="U71">
        <f t="shared" si="5"/>
        <v>0</v>
      </c>
      <c r="V71">
        <f t="shared" si="5"/>
        <v>0</v>
      </c>
      <c r="W71">
        <f t="shared" si="5"/>
        <v>0</v>
      </c>
      <c r="X71">
        <f t="shared" si="5"/>
        <v>0</v>
      </c>
      <c r="Y71">
        <f t="shared" si="5"/>
        <v>0</v>
      </c>
      <c r="Z71">
        <f t="shared" si="5"/>
        <v>0</v>
      </c>
      <c r="AA71">
        <f t="shared" si="5"/>
        <v>0</v>
      </c>
      <c r="AB71">
        <f t="shared" si="5"/>
        <v>0</v>
      </c>
      <c r="AC71">
        <f t="shared" si="5"/>
        <v>0</v>
      </c>
      <c r="AD71">
        <f t="shared" si="5"/>
        <v>0</v>
      </c>
      <c r="AE71">
        <f t="shared" si="5"/>
        <v>0</v>
      </c>
      <c r="AG71">
        <f t="shared" ref="AG71:AG101" si="6">AG3</f>
        <v>60</v>
      </c>
      <c r="AH71">
        <f t="shared" ref="AH71:AH100" si="7">ROUND(SUM(B71:AE71),2)</f>
        <v>0</v>
      </c>
      <c r="AI71">
        <f t="shared" ref="AI71:AI100" si="8">AG71-AH71</f>
        <v>60</v>
      </c>
    </row>
    <row r="72" spans="1:35" x14ac:dyDescent="0.25">
      <c r="A72" t="s">
        <v>11</v>
      </c>
      <c r="B72">
        <f t="shared" ref="B72:AE72" si="9">IFERROR(VLOOKUP($A72,table_rank_wins,2,0)/(VLOOKUP($A72,table_rank_wins,2,0)+VLOOKUP(B$70,table_rank_wins,2,0))*(B4+HLOOKUP($A72,table_h2h_wins,MATCH(B$70,$A$2:$A$32,0),0)),0)</f>
        <v>0</v>
      </c>
      <c r="C72">
        <f t="shared" si="9"/>
        <v>0</v>
      </c>
      <c r="D72">
        <f t="shared" si="9"/>
        <v>1.7711803055174424</v>
      </c>
      <c r="E72">
        <f t="shared" si="9"/>
        <v>1.5570457691857531</v>
      </c>
      <c r="F72">
        <f t="shared" si="9"/>
        <v>1.2841368108000606</v>
      </c>
      <c r="G72">
        <f t="shared" si="9"/>
        <v>1.0970769388199011</v>
      </c>
      <c r="H72">
        <f t="shared" si="9"/>
        <v>0.60852290111294272</v>
      </c>
      <c r="I72">
        <f t="shared" si="9"/>
        <v>1.1243610242269657</v>
      </c>
      <c r="J72">
        <f t="shared" si="9"/>
        <v>1.6383812093958654</v>
      </c>
      <c r="K72">
        <f t="shared" si="9"/>
        <v>0.2196614901282786</v>
      </c>
      <c r="L72">
        <f t="shared" si="9"/>
        <v>0.47784786564379644</v>
      </c>
      <c r="M72">
        <f t="shared" si="9"/>
        <v>1.3458651652200695</v>
      </c>
      <c r="N72">
        <f t="shared" si="9"/>
        <v>0.4403082824778724</v>
      </c>
      <c r="O72">
        <f t="shared" si="9"/>
        <v>1.456210868148317</v>
      </c>
      <c r="P72">
        <f t="shared" si="9"/>
        <v>0.4488486472803595</v>
      </c>
      <c r="Q72">
        <f t="shared" si="9"/>
        <v>1.9198985339434738</v>
      </c>
      <c r="R72">
        <f t="shared" si="9"/>
        <v>1.6840038251664553</v>
      </c>
      <c r="S72">
        <f t="shared" si="9"/>
        <v>1.5780305247888962</v>
      </c>
      <c r="T72">
        <f t="shared" si="9"/>
        <v>0.68122377628436004</v>
      </c>
      <c r="U72">
        <f t="shared" si="9"/>
        <v>3.0846487433887595</v>
      </c>
      <c r="V72">
        <f t="shared" si="9"/>
        <v>0.7618453364009069</v>
      </c>
      <c r="W72">
        <f t="shared" si="9"/>
        <v>1.9910427244879489</v>
      </c>
      <c r="X72">
        <f t="shared" si="9"/>
        <v>3.0146761890647769</v>
      </c>
      <c r="Y72">
        <f t="shared" si="9"/>
        <v>0.91875660003823489</v>
      </c>
      <c r="Z72">
        <f t="shared" si="9"/>
        <v>0.56519033485977976</v>
      </c>
      <c r="AA72">
        <f t="shared" si="9"/>
        <v>0.50115385300068971</v>
      </c>
      <c r="AB72">
        <f t="shared" si="9"/>
        <v>1.1169716950829975</v>
      </c>
      <c r="AC72">
        <f t="shared" si="9"/>
        <v>1.4313568453108862</v>
      </c>
      <c r="AD72">
        <f t="shared" si="9"/>
        <v>0.88799801499903341</v>
      </c>
      <c r="AE72">
        <f t="shared" si="9"/>
        <v>1.5327346024483011</v>
      </c>
      <c r="AG72">
        <f t="shared" si="6"/>
        <v>38</v>
      </c>
      <c r="AH72">
        <f t="shared" si="7"/>
        <v>35.14</v>
      </c>
      <c r="AI72">
        <f t="shared" si="8"/>
        <v>2.8599999999999994</v>
      </c>
    </row>
    <row r="73" spans="1:35" x14ac:dyDescent="0.25">
      <c r="A73" t="s">
        <v>10</v>
      </c>
      <c r="B73">
        <f t="shared" ref="B73:AE73" si="10">IFERROR(VLOOKUP($A73,table_rank_wins,2,0)/(VLOOKUP($A73,table_rank_wins,2,0)+VLOOKUP(B$70,table_rank_wins,2,0))*(B5+HLOOKUP($A73,table_h2h_wins,MATCH(B$70,$A$2:$A$32,0),0)),0)</f>
        <v>0</v>
      </c>
      <c r="C73">
        <f t="shared" si="10"/>
        <v>2.2288196944825578</v>
      </c>
      <c r="D73">
        <f t="shared" si="10"/>
        <v>0</v>
      </c>
      <c r="E73">
        <f t="shared" si="10"/>
        <v>2.3035599111106984</v>
      </c>
      <c r="F73">
        <f t="shared" si="10"/>
        <v>1.492160000733513</v>
      </c>
      <c r="G73">
        <f t="shared" si="10"/>
        <v>1.2891816989339078</v>
      </c>
      <c r="H73">
        <f t="shared" si="10"/>
        <v>0.70994135975200801</v>
      </c>
      <c r="I73">
        <f t="shared" si="10"/>
        <v>1.2354212680540078</v>
      </c>
      <c r="J73">
        <f t="shared" si="10"/>
        <v>1.8067582141747249</v>
      </c>
      <c r="K73">
        <f t="shared" si="10"/>
        <v>0.26879007840468822</v>
      </c>
      <c r="L73">
        <f t="shared" si="10"/>
        <v>0.56635185642482933</v>
      </c>
      <c r="M73">
        <f t="shared" si="10"/>
        <v>2.0235838416205474</v>
      </c>
      <c r="N73">
        <f t="shared" si="10"/>
        <v>0.52425410077167722</v>
      </c>
      <c r="O73">
        <f t="shared" si="10"/>
        <v>1.542314596492532</v>
      </c>
      <c r="P73">
        <f t="shared" si="10"/>
        <v>0.53386537739990958</v>
      </c>
      <c r="Q73">
        <f t="shared" si="10"/>
        <v>2.149402821774161</v>
      </c>
      <c r="R73">
        <f t="shared" si="10"/>
        <v>1.4334139953571026</v>
      </c>
      <c r="S73">
        <f t="shared" si="10"/>
        <v>1.6494881708826934</v>
      </c>
      <c r="T73">
        <f t="shared" si="10"/>
        <v>0.78789802282116361</v>
      </c>
      <c r="U73">
        <f t="shared" si="10"/>
        <v>3.2367325838852472</v>
      </c>
      <c r="V73">
        <f t="shared" si="10"/>
        <v>0.87278903614709669</v>
      </c>
      <c r="W73">
        <f t="shared" si="10"/>
        <v>2.851646265768816</v>
      </c>
      <c r="X73">
        <f t="shared" si="10"/>
        <v>3.1752775183159114</v>
      </c>
      <c r="Y73">
        <f t="shared" si="10"/>
        <v>1.0334776232938194</v>
      </c>
      <c r="Z73">
        <f t="shared" si="10"/>
        <v>0.66282700312796627</v>
      </c>
      <c r="AA73">
        <f t="shared" si="10"/>
        <v>0.59229477608980996</v>
      </c>
      <c r="AB73">
        <f t="shared" si="10"/>
        <v>1.2283259218665781</v>
      </c>
      <c r="AC73">
        <f t="shared" si="10"/>
        <v>1.6487506846998998</v>
      </c>
      <c r="AD73">
        <f t="shared" si="10"/>
        <v>1.0024391174078486</v>
      </c>
      <c r="AE73">
        <f t="shared" si="10"/>
        <v>1.3162542197894989</v>
      </c>
      <c r="AG73">
        <f t="shared" si="6"/>
        <v>40</v>
      </c>
      <c r="AH73">
        <f t="shared" si="7"/>
        <v>40.17</v>
      </c>
      <c r="AI73">
        <f t="shared" si="8"/>
        <v>-0.17000000000000171</v>
      </c>
    </row>
    <row r="74" spans="1:35" x14ac:dyDescent="0.25">
      <c r="A74" t="s">
        <v>6</v>
      </c>
      <c r="B74">
        <f t="shared" ref="B74:AE74" si="11">IFERROR(VLOOKUP($A74,table_rank_wins,2,0)/(VLOOKUP($A74,table_rank_wins,2,0)+VLOOKUP(B$70,table_rank_wins,2,0))*(B6+HLOOKUP($A74,table_h2h_wins,MATCH(B$70,$A$2:$A$32,0),0)),0)</f>
        <v>0</v>
      </c>
      <c r="C74">
        <f t="shared" si="11"/>
        <v>1.4429542308142469</v>
      </c>
      <c r="D74">
        <f t="shared" si="11"/>
        <v>1.6964400888893012</v>
      </c>
      <c r="E74">
        <f t="shared" si="11"/>
        <v>0</v>
      </c>
      <c r="F74">
        <f t="shared" si="11"/>
        <v>1.2187109434988541</v>
      </c>
      <c r="G74">
        <f t="shared" si="11"/>
        <v>0.778155509298045</v>
      </c>
      <c r="H74">
        <f t="shared" si="11"/>
        <v>0.57679312395580684</v>
      </c>
      <c r="I74">
        <f t="shared" si="11"/>
        <v>1.0867407530007331</v>
      </c>
      <c r="J74">
        <f t="shared" si="11"/>
        <v>2.108829077410038</v>
      </c>
      <c r="K74">
        <f t="shared" si="11"/>
        <v>0.20521747886455594</v>
      </c>
      <c r="L74">
        <f t="shared" si="11"/>
        <v>0.45072470426696559</v>
      </c>
      <c r="M74">
        <f t="shared" si="11"/>
        <v>1.7195219372634361</v>
      </c>
      <c r="N74">
        <f t="shared" si="11"/>
        <v>0.41473534043023857</v>
      </c>
      <c r="O74">
        <f t="shared" si="11"/>
        <v>1.4255638599237777</v>
      </c>
      <c r="P74">
        <f t="shared" si="11"/>
        <v>0.42291418136168502</v>
      </c>
      <c r="Q74">
        <f t="shared" si="11"/>
        <v>1.844075005504535</v>
      </c>
      <c r="R74">
        <f t="shared" si="11"/>
        <v>1.2077133764369694</v>
      </c>
      <c r="S74">
        <f t="shared" si="11"/>
        <v>1.552137539594403</v>
      </c>
      <c r="T74">
        <f t="shared" si="11"/>
        <v>0.64746709856213192</v>
      </c>
      <c r="U74">
        <f t="shared" si="11"/>
        <v>3.0298277860905332</v>
      </c>
      <c r="V74">
        <f t="shared" si="11"/>
        <v>0.72629381989189334</v>
      </c>
      <c r="W74">
        <f t="shared" si="11"/>
        <v>2.5859576258397405</v>
      </c>
      <c r="X74">
        <f t="shared" si="11"/>
        <v>2.2178110544630192</v>
      </c>
      <c r="Y74">
        <f t="shared" si="11"/>
        <v>0.88109347608325139</v>
      </c>
      <c r="Z74">
        <f t="shared" si="11"/>
        <v>0.53485153317892808</v>
      </c>
      <c r="AA74">
        <f t="shared" si="11"/>
        <v>0.47311899717603573</v>
      </c>
      <c r="AB74">
        <f t="shared" si="11"/>
        <v>1.0792939207873538</v>
      </c>
      <c r="AC74">
        <f t="shared" si="11"/>
        <v>1.3621923669411478</v>
      </c>
      <c r="AD74">
        <f t="shared" si="11"/>
        <v>0.8506038540350136</v>
      </c>
      <c r="AE74">
        <f t="shared" si="11"/>
        <v>1.4614586093959971</v>
      </c>
      <c r="AG74">
        <f t="shared" si="6"/>
        <v>33</v>
      </c>
      <c r="AH74">
        <f t="shared" si="7"/>
        <v>34</v>
      </c>
      <c r="AI74">
        <f t="shared" si="8"/>
        <v>-1</v>
      </c>
    </row>
    <row r="75" spans="1:35" x14ac:dyDescent="0.25">
      <c r="A75" t="s">
        <v>18</v>
      </c>
      <c r="B75">
        <f t="shared" ref="B75:AE75" si="12">IFERROR(VLOOKUP($A75,table_rank_wins,2,0)/(VLOOKUP($A75,table_rank_wins,2,0)+VLOOKUP(B$70,table_rank_wins,2,0))*(B7+HLOOKUP($A75,table_h2h_wins,MATCH(B$70,$A$2:$A$32,0),0)),0)</f>
        <v>0</v>
      </c>
      <c r="C75">
        <f t="shared" si="12"/>
        <v>2.715863189199939</v>
      </c>
      <c r="D75">
        <f t="shared" si="12"/>
        <v>2.5078399992664866</v>
      </c>
      <c r="E75">
        <f t="shared" si="12"/>
        <v>2.7812890565011461</v>
      </c>
      <c r="F75">
        <f t="shared" si="12"/>
        <v>0</v>
      </c>
      <c r="G75">
        <f t="shared" si="12"/>
        <v>1.7768867316679307</v>
      </c>
      <c r="H75">
        <f t="shared" si="12"/>
        <v>0.96098806440534601</v>
      </c>
      <c r="I75">
        <f t="shared" si="12"/>
        <v>1.4617393359528847</v>
      </c>
      <c r="J75">
        <f t="shared" si="12"/>
        <v>2.8715909501270298</v>
      </c>
      <c r="K75">
        <f t="shared" si="12"/>
        <v>0.41388720528413703</v>
      </c>
      <c r="L75">
        <f t="shared" si="12"/>
        <v>0.79803286356435477</v>
      </c>
      <c r="M75">
        <f t="shared" si="12"/>
        <v>2.5298373993469014</v>
      </c>
      <c r="N75">
        <f t="shared" si="12"/>
        <v>0.7476953452483337</v>
      </c>
      <c r="O75">
        <f t="shared" si="12"/>
        <v>1.6998606234124249</v>
      </c>
      <c r="P75">
        <f t="shared" si="12"/>
        <v>0.75929535822875893</v>
      </c>
      <c r="Q75">
        <f t="shared" si="12"/>
        <v>1.9837561411428024</v>
      </c>
      <c r="R75">
        <f t="shared" si="12"/>
        <v>2.4238360030539758</v>
      </c>
      <c r="S75">
        <f t="shared" si="12"/>
        <v>1.7755122184654923</v>
      </c>
      <c r="T75">
        <f t="shared" si="12"/>
        <v>1.044198413491273</v>
      </c>
      <c r="U75">
        <f t="shared" si="12"/>
        <v>2.6308658870689916</v>
      </c>
      <c r="V75">
        <f t="shared" si="12"/>
        <v>1.130938534802141</v>
      </c>
      <c r="W75">
        <f t="shared" si="12"/>
        <v>3.2268347461511775</v>
      </c>
      <c r="X75">
        <f t="shared" si="12"/>
        <v>2.5984368273687823</v>
      </c>
      <c r="Y75">
        <f t="shared" si="12"/>
        <v>1.2849751522915109</v>
      </c>
      <c r="Z75">
        <f t="shared" si="12"/>
        <v>0.90895192478414966</v>
      </c>
      <c r="AA75">
        <f t="shared" si="12"/>
        <v>0.82845574023513369</v>
      </c>
      <c r="AB75">
        <f t="shared" si="12"/>
        <v>1.4558191163004259</v>
      </c>
      <c r="AC75">
        <f t="shared" si="12"/>
        <v>2.1638997289507484</v>
      </c>
      <c r="AD75">
        <f t="shared" si="12"/>
        <v>1.2562004416824275</v>
      </c>
      <c r="AE75">
        <f t="shared" si="12"/>
        <v>2.2712837677065227</v>
      </c>
      <c r="AG75">
        <f t="shared" si="6"/>
        <v>50</v>
      </c>
      <c r="AH75">
        <f t="shared" si="7"/>
        <v>49.01</v>
      </c>
      <c r="AI75">
        <f t="shared" si="8"/>
        <v>0.99000000000000199</v>
      </c>
    </row>
    <row r="76" spans="1:35" x14ac:dyDescent="0.25">
      <c r="A76" t="s">
        <v>28</v>
      </c>
      <c r="B76">
        <f t="shared" ref="B76:AE76" si="13">IFERROR(VLOOKUP($A76,table_rank_wins,2,0)/(VLOOKUP($A76,table_rank_wins,2,0)+VLOOKUP(B$70,table_rank_wins,2,0))*(B8+HLOOKUP($A76,table_h2h_wins,MATCH(B$70,$A$2:$A$32,0),0)),0)</f>
        <v>0</v>
      </c>
      <c r="C76">
        <f t="shared" si="13"/>
        <v>2.9029230611800987</v>
      </c>
      <c r="D76">
        <f t="shared" si="13"/>
        <v>2.7108183010660918</v>
      </c>
      <c r="E76">
        <f t="shared" si="13"/>
        <v>2.221844490701955</v>
      </c>
      <c r="F76">
        <f t="shared" si="13"/>
        <v>2.2231132683320691</v>
      </c>
      <c r="G76">
        <f t="shared" si="13"/>
        <v>0</v>
      </c>
      <c r="H76">
        <f t="shared" si="13"/>
        <v>1.0728617960387705</v>
      </c>
      <c r="I76">
        <f t="shared" si="13"/>
        <v>1.5452120504151357</v>
      </c>
      <c r="J76">
        <f t="shared" si="13"/>
        <v>3.0439515966849591</v>
      </c>
      <c r="K76">
        <f t="shared" si="13"/>
        <v>0.49224435293579283</v>
      </c>
      <c r="L76">
        <f t="shared" si="13"/>
        <v>0.90750552563661446</v>
      </c>
      <c r="M76">
        <f t="shared" si="13"/>
        <v>2.7313371405013034</v>
      </c>
      <c r="N76">
        <f t="shared" si="13"/>
        <v>0.85517571779277568</v>
      </c>
      <c r="O76">
        <f t="shared" si="13"/>
        <v>1.752654442714459</v>
      </c>
      <c r="P76">
        <f t="shared" si="13"/>
        <v>0.86728839384866918</v>
      </c>
      <c r="Q76">
        <f t="shared" si="13"/>
        <v>2.8379732963514033</v>
      </c>
      <c r="R76">
        <f t="shared" si="13"/>
        <v>2.6320080580188074</v>
      </c>
      <c r="S76">
        <f t="shared" si="13"/>
        <v>1.8164360827678081</v>
      </c>
      <c r="T76">
        <f t="shared" si="13"/>
        <v>1.154990845725705</v>
      </c>
      <c r="U76">
        <f t="shared" si="13"/>
        <v>2.6974876616921404</v>
      </c>
      <c r="V76">
        <f t="shared" si="13"/>
        <v>1.2390040223417662</v>
      </c>
      <c r="W76">
        <f t="shared" si="13"/>
        <v>2.5178113863661329</v>
      </c>
      <c r="X76">
        <f t="shared" si="13"/>
        <v>2.6701776889260063</v>
      </c>
      <c r="Y76">
        <f t="shared" si="13"/>
        <v>1.3843141070967715</v>
      </c>
      <c r="Z76">
        <f t="shared" si="13"/>
        <v>1.0207190022040307</v>
      </c>
      <c r="AA76">
        <f t="shared" si="13"/>
        <v>0.93884199985411798</v>
      </c>
      <c r="AB76">
        <f t="shared" si="13"/>
        <v>1.5399209605375515</v>
      </c>
      <c r="AC76">
        <f t="shared" si="13"/>
        <v>2.3835069571024827</v>
      </c>
      <c r="AD76">
        <f t="shared" si="13"/>
        <v>1.3575383234579419</v>
      </c>
      <c r="AE76">
        <f t="shared" si="13"/>
        <v>2.4870274573299689</v>
      </c>
      <c r="AG76">
        <f t="shared" si="6"/>
        <v>53</v>
      </c>
      <c r="AH76">
        <f t="shared" si="7"/>
        <v>52</v>
      </c>
      <c r="AI76">
        <f t="shared" si="8"/>
        <v>1</v>
      </c>
    </row>
    <row r="77" spans="1:35" x14ac:dyDescent="0.25">
      <c r="A77" t="s">
        <v>2</v>
      </c>
      <c r="B77">
        <f t="shared" ref="B77:AE77" si="14">IFERROR(VLOOKUP($A77,table_rank_wins,2,0)/(VLOOKUP($A77,table_rank_wins,2,0)+VLOOKUP(B$70,table_rank_wins,2,0))*(B9+HLOOKUP($A77,table_h2h_wins,MATCH(B$70,$A$2:$A$32,0),0)),0)</f>
        <v>0</v>
      </c>
      <c r="C77">
        <f t="shared" si="14"/>
        <v>1.3914770988870575</v>
      </c>
      <c r="D77">
        <f t="shared" si="14"/>
        <v>1.2900586402479919</v>
      </c>
      <c r="E77">
        <f t="shared" si="14"/>
        <v>1.4232068760441929</v>
      </c>
      <c r="F77">
        <f t="shared" si="14"/>
        <v>1.0390119355946541</v>
      </c>
      <c r="G77">
        <f t="shared" si="14"/>
        <v>0.92713820396122959</v>
      </c>
      <c r="H77">
        <f t="shared" si="14"/>
        <v>0</v>
      </c>
      <c r="I77">
        <f t="shared" si="14"/>
        <v>2.2378360125007899</v>
      </c>
      <c r="J77">
        <f t="shared" si="14"/>
        <v>1.4668700479250116</v>
      </c>
      <c r="K77">
        <f t="shared" si="14"/>
        <v>0.8801934634246299</v>
      </c>
      <c r="L77">
        <f t="shared" si="14"/>
        <v>1.6715013148278688</v>
      </c>
      <c r="M77">
        <f t="shared" si="14"/>
        <v>1.3008216461871067</v>
      </c>
      <c r="N77">
        <f t="shared" si="14"/>
        <v>1.1768804905254449</v>
      </c>
      <c r="O77">
        <f t="shared" si="14"/>
        <v>3.4384706718400873</v>
      </c>
      <c r="P77">
        <f t="shared" si="14"/>
        <v>1.5927907486316859</v>
      </c>
      <c r="Q77">
        <f t="shared" si="14"/>
        <v>1.3570241274359205</v>
      </c>
      <c r="R77">
        <f t="shared" si="14"/>
        <v>1.2488724262904771</v>
      </c>
      <c r="S77">
        <f t="shared" si="14"/>
        <v>2.6859075093193008</v>
      </c>
      <c r="T77">
        <f t="shared" si="14"/>
        <v>2.1661342386091853</v>
      </c>
      <c r="U77">
        <f t="shared" si="14"/>
        <v>1.7702677871443597</v>
      </c>
      <c r="V77">
        <f t="shared" si="14"/>
        <v>2.3381734945526129</v>
      </c>
      <c r="W77">
        <f t="shared" si="14"/>
        <v>1.6371811812977217</v>
      </c>
      <c r="X77">
        <f t="shared" si="14"/>
        <v>1.7498804945031812</v>
      </c>
      <c r="Y77">
        <f t="shared" si="14"/>
        <v>2.6408495740267597</v>
      </c>
      <c r="Z77">
        <f t="shared" si="14"/>
        <v>1.8955567423120814</v>
      </c>
      <c r="AA77">
        <f t="shared" si="14"/>
        <v>1.7331495152013865</v>
      </c>
      <c r="AB77">
        <f t="shared" si="14"/>
        <v>2.2292782701358722</v>
      </c>
      <c r="AC77">
        <f t="shared" si="14"/>
        <v>1.120576314838142</v>
      </c>
      <c r="AD77">
        <f t="shared" si="14"/>
        <v>2.5845819311489366</v>
      </c>
      <c r="AE77">
        <f t="shared" si="14"/>
        <v>1.1737344769794475</v>
      </c>
      <c r="AG77">
        <f t="shared" si="6"/>
        <v>50</v>
      </c>
      <c r="AH77">
        <f t="shared" si="7"/>
        <v>48.17</v>
      </c>
      <c r="AI77">
        <f t="shared" si="8"/>
        <v>1.8299999999999983</v>
      </c>
    </row>
    <row r="78" spans="1:35" x14ac:dyDescent="0.25">
      <c r="A78" t="s">
        <v>20</v>
      </c>
      <c r="B78">
        <f t="shared" ref="B78:AE78" si="15">IFERROR(VLOOKUP($A78,table_rank_wins,2,0)/(VLOOKUP($A78,table_rank_wins,2,0)+VLOOKUP(B$70,table_rank_wins,2,0))*(B10+HLOOKUP($A78,table_h2h_wins,MATCH(B$70,$A$2:$A$32,0),0)),0)</f>
        <v>0</v>
      </c>
      <c r="C78">
        <f t="shared" si="15"/>
        <v>0.87563897577303407</v>
      </c>
      <c r="D78">
        <f t="shared" si="15"/>
        <v>0.76457873194599213</v>
      </c>
      <c r="E78">
        <f t="shared" si="15"/>
        <v>0.91325924699926719</v>
      </c>
      <c r="F78">
        <f t="shared" si="15"/>
        <v>0.53826066404711537</v>
      </c>
      <c r="G78">
        <f t="shared" si="15"/>
        <v>0.45478794958486429</v>
      </c>
      <c r="H78">
        <f t="shared" si="15"/>
        <v>0.76216398749920988</v>
      </c>
      <c r="I78">
        <f t="shared" si="15"/>
        <v>0</v>
      </c>
      <c r="J78">
        <f t="shared" si="15"/>
        <v>0.9675204837497281</v>
      </c>
      <c r="K78">
        <f t="shared" si="15"/>
        <v>0.26299430397702439</v>
      </c>
      <c r="L78">
        <f t="shared" si="15"/>
        <v>0.78581710359631229</v>
      </c>
      <c r="M78">
        <f t="shared" si="15"/>
        <v>0.77574811405873723</v>
      </c>
      <c r="N78">
        <f t="shared" si="15"/>
        <v>0.72092316947598001</v>
      </c>
      <c r="O78">
        <f t="shared" si="15"/>
        <v>2.7036194313170281</v>
      </c>
      <c r="P78">
        <f t="shared" si="15"/>
        <v>0.55172767603850814</v>
      </c>
      <c r="Q78">
        <f t="shared" si="15"/>
        <v>0.83640307814282988</v>
      </c>
      <c r="R78">
        <f t="shared" si="15"/>
        <v>0.723081995935835</v>
      </c>
      <c r="S78">
        <f t="shared" si="15"/>
        <v>2.9776142839282667</v>
      </c>
      <c r="T78">
        <f t="shared" si="15"/>
        <v>1.1475206315826028</v>
      </c>
      <c r="U78">
        <f t="shared" si="15"/>
        <v>1.4481911583741029</v>
      </c>
      <c r="V78">
        <f t="shared" si="15"/>
        <v>1.2958243070286415</v>
      </c>
      <c r="W78">
        <f t="shared" si="15"/>
        <v>1.2116158976515805</v>
      </c>
      <c r="X78">
        <f t="shared" si="15"/>
        <v>1.4087674711336273</v>
      </c>
      <c r="Y78">
        <f t="shared" si="15"/>
        <v>1.1946781864554832</v>
      </c>
      <c r="Z78">
        <f t="shared" si="15"/>
        <v>0.93902890923943394</v>
      </c>
      <c r="AA78">
        <f t="shared" si="15"/>
        <v>0.82639275129340506</v>
      </c>
      <c r="AB78">
        <f t="shared" si="15"/>
        <v>1.9850031872794331</v>
      </c>
      <c r="AC78">
        <f t="shared" si="15"/>
        <v>0.60527431545382837</v>
      </c>
      <c r="AD78">
        <f t="shared" si="15"/>
        <v>1.5337679789038023</v>
      </c>
      <c r="AE78">
        <f t="shared" si="15"/>
        <v>0.65211403473653706</v>
      </c>
      <c r="AG78">
        <f t="shared" si="6"/>
        <v>30</v>
      </c>
      <c r="AH78">
        <f t="shared" si="7"/>
        <v>29.86</v>
      </c>
      <c r="AI78">
        <f t="shared" si="8"/>
        <v>0.14000000000000057</v>
      </c>
    </row>
    <row r="79" spans="1:35" x14ac:dyDescent="0.25">
      <c r="A79" t="s">
        <v>21</v>
      </c>
      <c r="B79">
        <f t="shared" ref="B79:AE79" si="16">IFERROR(VLOOKUP($A79,table_rank_wins,2,0)/(VLOOKUP($A79,table_rank_wins,2,0)+VLOOKUP(B$70,table_rank_wins,2,0))*(B11+HLOOKUP($A79,table_h2h_wins,MATCH(B$70,$A$2:$A$32,0),0)),0)</f>
        <v>0</v>
      </c>
      <c r="C79">
        <f t="shared" si="16"/>
        <v>1.3616187906041346</v>
      </c>
      <c r="D79">
        <f t="shared" si="16"/>
        <v>1.1932417858252753</v>
      </c>
      <c r="E79">
        <f t="shared" si="16"/>
        <v>1.891170922589962</v>
      </c>
      <c r="F79">
        <f t="shared" si="16"/>
        <v>1.1284090498729702</v>
      </c>
      <c r="G79">
        <f t="shared" si="16"/>
        <v>0.9560484033150406</v>
      </c>
      <c r="H79">
        <f t="shared" si="16"/>
        <v>0.53312995207498859</v>
      </c>
      <c r="I79">
        <f t="shared" si="16"/>
        <v>1.0324795162502716</v>
      </c>
      <c r="J79">
        <f t="shared" si="16"/>
        <v>0</v>
      </c>
      <c r="K79">
        <f t="shared" si="16"/>
        <v>0.1860063146132209</v>
      </c>
      <c r="L79">
        <f t="shared" si="16"/>
        <v>0.41382994548471697</v>
      </c>
      <c r="M79">
        <f t="shared" si="16"/>
        <v>1.6136411803109203</v>
      </c>
      <c r="N79">
        <f t="shared" si="16"/>
        <v>0.38006385030252671</v>
      </c>
      <c r="O79">
        <f t="shared" si="16"/>
        <v>1.3799477177544246</v>
      </c>
      <c r="P79">
        <f t="shared" si="16"/>
        <v>0.3877261786286742</v>
      </c>
      <c r="Q79">
        <f t="shared" si="16"/>
        <v>1.3022732608961545</v>
      </c>
      <c r="R79">
        <f t="shared" si="16"/>
        <v>1.5066860786456353</v>
      </c>
      <c r="S79">
        <f t="shared" si="16"/>
        <v>1.5131399359515458</v>
      </c>
      <c r="T79">
        <f t="shared" si="16"/>
        <v>0.60071206643117314</v>
      </c>
      <c r="U79">
        <f t="shared" si="16"/>
        <v>2.9475478646504709</v>
      </c>
      <c r="V79">
        <f t="shared" si="16"/>
        <v>0.67669446308668957</v>
      </c>
      <c r="W79">
        <f t="shared" si="16"/>
        <v>2.4848583084122771</v>
      </c>
      <c r="X79">
        <f t="shared" si="16"/>
        <v>2.8709309986419154</v>
      </c>
      <c r="Y79">
        <f t="shared" si="16"/>
        <v>0.82779315760636285</v>
      </c>
      <c r="Z79">
        <f t="shared" si="16"/>
        <v>0.49326293487209549</v>
      </c>
      <c r="AA79">
        <f t="shared" si="16"/>
        <v>0.4349057044214259</v>
      </c>
      <c r="AB79">
        <f t="shared" si="16"/>
        <v>1.0249871953867744</v>
      </c>
      <c r="AC79">
        <f t="shared" si="16"/>
        <v>1.2660986820861728</v>
      </c>
      <c r="AD79">
        <f t="shared" si="16"/>
        <v>0.79783279768960891</v>
      </c>
      <c r="AE79">
        <f t="shared" si="16"/>
        <v>1.021483488087366</v>
      </c>
      <c r="AG79">
        <f t="shared" si="6"/>
        <v>32</v>
      </c>
      <c r="AH79">
        <f t="shared" si="7"/>
        <v>32.229999999999997</v>
      </c>
      <c r="AI79">
        <f t="shared" si="8"/>
        <v>-0.22999999999999687</v>
      </c>
    </row>
    <row r="80" spans="1:35" x14ac:dyDescent="0.25">
      <c r="A80" t="s">
        <v>24</v>
      </c>
      <c r="B80">
        <f t="shared" ref="B80:AE80" si="17">IFERROR(VLOOKUP($A80,table_rank_wins,2,0)/(VLOOKUP($A80,table_rank_wins,2,0)+VLOOKUP(B$70,table_rank_wins,2,0))*(B12+HLOOKUP($A80,table_h2h_wins,MATCH(B$70,$A$2:$A$32,0),0)),0)</f>
        <v>0</v>
      </c>
      <c r="C80">
        <f t="shared" si="17"/>
        <v>1.7803385098717215</v>
      </c>
      <c r="D80">
        <f t="shared" si="17"/>
        <v>1.7312099215953118</v>
      </c>
      <c r="E80">
        <f t="shared" si="17"/>
        <v>1.794782521135444</v>
      </c>
      <c r="F80">
        <f t="shared" si="17"/>
        <v>1.5861127947158629</v>
      </c>
      <c r="G80">
        <f t="shared" si="17"/>
        <v>1.5077556470642071</v>
      </c>
      <c r="H80">
        <f t="shared" si="17"/>
        <v>3.11980653657537</v>
      </c>
      <c r="I80">
        <f t="shared" si="17"/>
        <v>2.7370056960229756</v>
      </c>
      <c r="J80">
        <f t="shared" si="17"/>
        <v>1.8139936853867791</v>
      </c>
      <c r="K80">
        <f t="shared" si="17"/>
        <v>0</v>
      </c>
      <c r="L80">
        <f t="shared" si="17"/>
        <v>2.871449621022887</v>
      </c>
      <c r="M80">
        <f t="shared" si="17"/>
        <v>1.736650172433156</v>
      </c>
      <c r="N80">
        <f t="shared" si="17"/>
        <v>2.7834759021401418</v>
      </c>
      <c r="O80">
        <f t="shared" si="17"/>
        <v>3.8238206089666646</v>
      </c>
      <c r="P80">
        <f t="shared" si="17"/>
        <v>2.1032136541431017</v>
      </c>
      <c r="Q80">
        <f t="shared" si="17"/>
        <v>1.7641704961915186</v>
      </c>
      <c r="R80">
        <f t="shared" si="17"/>
        <v>1.7098605429004814</v>
      </c>
      <c r="S80">
        <f t="shared" si="17"/>
        <v>3.8722444598654562</v>
      </c>
      <c r="T80">
        <f t="shared" si="17"/>
        <v>3.2287902898122964</v>
      </c>
      <c r="U80">
        <f t="shared" si="17"/>
        <v>1.9293606300993005</v>
      </c>
      <c r="V80">
        <f t="shared" si="17"/>
        <v>3.3318873003823049</v>
      </c>
      <c r="W80">
        <f t="shared" si="17"/>
        <v>1.8823112438425311</v>
      </c>
      <c r="X80">
        <f t="shared" si="17"/>
        <v>1.9224735290339845</v>
      </c>
      <c r="Y80">
        <f t="shared" si="17"/>
        <v>3.4928318057697885</v>
      </c>
      <c r="Z80">
        <f t="shared" si="17"/>
        <v>2.2844593125958332</v>
      </c>
      <c r="AA80">
        <f t="shared" si="17"/>
        <v>2.19136566971269</v>
      </c>
      <c r="AB80">
        <f t="shared" si="17"/>
        <v>3.6445133157390459</v>
      </c>
      <c r="AC80">
        <f t="shared" si="17"/>
        <v>1.637444988152726</v>
      </c>
      <c r="AD80">
        <f t="shared" si="17"/>
        <v>3.4646858008495247</v>
      </c>
      <c r="AE80">
        <f t="shared" si="17"/>
        <v>1.6686000123769558</v>
      </c>
      <c r="AG80">
        <f t="shared" si="6"/>
        <v>67</v>
      </c>
      <c r="AH80">
        <f t="shared" si="7"/>
        <v>67.41</v>
      </c>
      <c r="AI80">
        <f t="shared" si="8"/>
        <v>-0.40999999999999659</v>
      </c>
    </row>
    <row r="81" spans="1:35" x14ac:dyDescent="0.25">
      <c r="A81" t="s">
        <v>4</v>
      </c>
      <c r="B81">
        <f t="shared" ref="B81:AE81" si="18">IFERROR(VLOOKUP($A81,table_rank_wins,2,0)/(VLOOKUP($A81,table_rank_wins,2,0)+VLOOKUP(B$70,table_rank_wins,2,0))*(B13+HLOOKUP($A81,table_h2h_wins,MATCH(B$70,$A$2:$A$32,0),0)),0)</f>
        <v>0</v>
      </c>
      <c r="C81">
        <f t="shared" si="18"/>
        <v>1.5221521343562034</v>
      </c>
      <c r="D81">
        <f t="shared" si="18"/>
        <v>1.4336481435751709</v>
      </c>
      <c r="E81">
        <f t="shared" si="18"/>
        <v>1.5492752957330345</v>
      </c>
      <c r="F81">
        <f t="shared" si="18"/>
        <v>1.2019671364356452</v>
      </c>
      <c r="G81">
        <f t="shared" si="18"/>
        <v>1.0924944743633855</v>
      </c>
      <c r="H81">
        <f t="shared" si="18"/>
        <v>2.3284986851721308</v>
      </c>
      <c r="I81">
        <f t="shared" si="18"/>
        <v>3.2141828964036878</v>
      </c>
      <c r="J81">
        <f t="shared" si="18"/>
        <v>1.586170054515283</v>
      </c>
      <c r="K81">
        <f t="shared" si="18"/>
        <v>1.128550378977113</v>
      </c>
      <c r="L81">
        <f t="shared" si="18"/>
        <v>0</v>
      </c>
      <c r="M81">
        <f t="shared" si="18"/>
        <v>1.4431738750238881</v>
      </c>
      <c r="N81">
        <f t="shared" si="18"/>
        <v>1.8939193872070919</v>
      </c>
      <c r="O81">
        <f t="shared" si="18"/>
        <v>2.6852131313713308</v>
      </c>
      <c r="P81">
        <f t="shared" si="18"/>
        <v>1.918566128299342</v>
      </c>
      <c r="Q81">
        <f t="shared" si="18"/>
        <v>1.4923987269972199</v>
      </c>
      <c r="R81">
        <f t="shared" si="18"/>
        <v>1.3968977279014698</v>
      </c>
      <c r="S81">
        <f t="shared" si="18"/>
        <v>3.6902225608996635</v>
      </c>
      <c r="T81">
        <f t="shared" si="18"/>
        <v>2.4879751278979922</v>
      </c>
      <c r="U81">
        <f t="shared" si="18"/>
        <v>1.8295640259597949</v>
      </c>
      <c r="V81">
        <f t="shared" si="18"/>
        <v>1.9864930611864802</v>
      </c>
      <c r="W81">
        <f t="shared" si="18"/>
        <v>1.7255019623653858</v>
      </c>
      <c r="X81">
        <f t="shared" si="18"/>
        <v>1.8138856726069386</v>
      </c>
      <c r="Y81">
        <f t="shared" si="18"/>
        <v>2.9208826119535707</v>
      </c>
      <c r="Z81">
        <f t="shared" si="18"/>
        <v>1.669495395025582</v>
      </c>
      <c r="AA81">
        <f t="shared" si="18"/>
        <v>2.0630294922217574</v>
      </c>
      <c r="AB81">
        <f t="shared" si="18"/>
        <v>2.4035025034617865</v>
      </c>
      <c r="AC81">
        <f t="shared" si="18"/>
        <v>1.2792943500021428</v>
      </c>
      <c r="AD81">
        <f t="shared" si="18"/>
        <v>2.8712529813639627</v>
      </c>
      <c r="AE81">
        <f t="shared" si="18"/>
        <v>1.3286067711317355</v>
      </c>
      <c r="AG81">
        <f t="shared" si="6"/>
        <v>56</v>
      </c>
      <c r="AH81">
        <f t="shared" si="7"/>
        <v>53.96</v>
      </c>
      <c r="AI81">
        <f t="shared" si="8"/>
        <v>2.0399999999999991</v>
      </c>
    </row>
    <row r="82" spans="1:35" x14ac:dyDescent="0.25">
      <c r="A82" t="s">
        <v>8</v>
      </c>
      <c r="B82">
        <f t="shared" ref="B82:AE82" si="19">IFERROR(VLOOKUP($A82,table_rank_wins,2,0)/(VLOOKUP($A82,table_rank_wins,2,0)+VLOOKUP(B$70,table_rank_wins,2,0))*(B14+HLOOKUP($A82,table_h2h_wins,MATCH(B$70,$A$2:$A$32,0),0)),0)</f>
        <v>0</v>
      </c>
      <c r="C82">
        <f t="shared" si="19"/>
        <v>1.6541348347799303</v>
      </c>
      <c r="D82">
        <f t="shared" si="19"/>
        <v>1.9764161583794526</v>
      </c>
      <c r="E82">
        <f t="shared" si="19"/>
        <v>2.2804780627365639</v>
      </c>
      <c r="F82">
        <f t="shared" si="19"/>
        <v>1.4701626006530986</v>
      </c>
      <c r="G82">
        <f t="shared" si="19"/>
        <v>1.2686628594986966</v>
      </c>
      <c r="H82">
        <f t="shared" si="19"/>
        <v>0.69917835381289317</v>
      </c>
      <c r="I82">
        <f t="shared" si="19"/>
        <v>1.2242518859412628</v>
      </c>
      <c r="J82">
        <f t="shared" si="19"/>
        <v>2.3863588196890793</v>
      </c>
      <c r="K82">
        <f t="shared" si="19"/>
        <v>0.26334982756684394</v>
      </c>
      <c r="L82">
        <f t="shared" si="19"/>
        <v>0.55682612497611195</v>
      </c>
      <c r="M82">
        <f t="shared" si="19"/>
        <v>0</v>
      </c>
      <c r="N82">
        <f t="shared" si="19"/>
        <v>0.51518198862806286</v>
      </c>
      <c r="O82">
        <f t="shared" si="19"/>
        <v>1.5339371669033901</v>
      </c>
      <c r="P82">
        <f t="shared" si="19"/>
        <v>0.52468607781579246</v>
      </c>
      <c r="Q82">
        <f t="shared" si="19"/>
        <v>2.1259299084251508</v>
      </c>
      <c r="R82">
        <f t="shared" si="19"/>
        <v>1.8876936057794367</v>
      </c>
      <c r="S82">
        <f t="shared" si="19"/>
        <v>1.642617876003692</v>
      </c>
      <c r="T82">
        <f t="shared" si="19"/>
        <v>0.77666468367435115</v>
      </c>
      <c r="U82">
        <f t="shared" si="19"/>
        <v>3.2220596669348764</v>
      </c>
      <c r="V82">
        <f t="shared" si="19"/>
        <v>0.86120531591436289</v>
      </c>
      <c r="W82">
        <f t="shared" si="19"/>
        <v>2.1241810011083038</v>
      </c>
      <c r="X82">
        <f t="shared" si="19"/>
        <v>3.1597298971143308</v>
      </c>
      <c r="Y82">
        <f t="shared" si="19"/>
        <v>0.51084713331559306</v>
      </c>
      <c r="Z82">
        <f t="shared" si="19"/>
        <v>0.65241704340054074</v>
      </c>
      <c r="AA82">
        <f t="shared" si="19"/>
        <v>0.58250999181333107</v>
      </c>
      <c r="AB82">
        <f t="shared" si="19"/>
        <v>1.2171185713561044</v>
      </c>
      <c r="AC82">
        <f t="shared" si="19"/>
        <v>1.2194561252235958</v>
      </c>
      <c r="AD82">
        <f t="shared" si="19"/>
        <v>0.99064692758563488</v>
      </c>
      <c r="AE82">
        <f t="shared" si="19"/>
        <v>1.7318091802700373</v>
      </c>
      <c r="AG82">
        <f t="shared" si="6"/>
        <v>38</v>
      </c>
      <c r="AH82">
        <f t="shared" si="7"/>
        <v>39.06</v>
      </c>
      <c r="AI82">
        <f t="shared" si="8"/>
        <v>-1.0600000000000023</v>
      </c>
    </row>
    <row r="83" spans="1:35" x14ac:dyDescent="0.25">
      <c r="A83" t="s">
        <v>29</v>
      </c>
      <c r="B83">
        <f t="shared" ref="B83:AE83" si="20">IFERROR(VLOOKUP($A83,table_rank_wins,2,0)/(VLOOKUP($A83,table_rank_wins,2,0)+VLOOKUP(B$70,table_rank_wins,2,0))*(B15+HLOOKUP($A83,table_h2h_wins,MATCH(B$70,$A$2:$A$32,0),0)),0)</f>
        <v>0</v>
      </c>
      <c r="C83">
        <f t="shared" si="20"/>
        <v>1.5596917175221274</v>
      </c>
      <c r="D83">
        <f t="shared" si="20"/>
        <v>1.475745899228323</v>
      </c>
      <c r="E83">
        <f t="shared" si="20"/>
        <v>1.5852646595697615</v>
      </c>
      <c r="F83">
        <f t="shared" si="20"/>
        <v>1.2523046547516663</v>
      </c>
      <c r="G83">
        <f t="shared" si="20"/>
        <v>1.1448242822072241</v>
      </c>
      <c r="H83">
        <f t="shared" si="20"/>
        <v>1.8231195094745549</v>
      </c>
      <c r="I83">
        <f t="shared" si="20"/>
        <v>3.2790768305240201</v>
      </c>
      <c r="J83">
        <f t="shared" si="20"/>
        <v>1.6199361496974731</v>
      </c>
      <c r="K83">
        <f t="shared" si="20"/>
        <v>1.2165240978598582</v>
      </c>
      <c r="L83">
        <f t="shared" si="20"/>
        <v>2.1060806127929084</v>
      </c>
      <c r="M83">
        <f t="shared" si="20"/>
        <v>1.4848180113719371</v>
      </c>
      <c r="N83">
        <f t="shared" si="20"/>
        <v>0</v>
      </c>
      <c r="O83">
        <f t="shared" si="20"/>
        <v>3.6185330729133938</v>
      </c>
      <c r="P83">
        <f t="shared" si="20"/>
        <v>2.0247000843516187</v>
      </c>
      <c r="Q83">
        <f t="shared" si="20"/>
        <v>1.5315563862315522</v>
      </c>
      <c r="R83">
        <f t="shared" si="20"/>
        <v>1.4406614165149487</v>
      </c>
      <c r="S83">
        <f t="shared" si="20"/>
        <v>2.7894287849443034</v>
      </c>
      <c r="T83">
        <f t="shared" si="20"/>
        <v>1.9398496343607858</v>
      </c>
      <c r="U83">
        <f t="shared" si="20"/>
        <v>1.8454061812999996</v>
      </c>
      <c r="V83">
        <f t="shared" si="20"/>
        <v>2.0564806654631118</v>
      </c>
      <c r="W83">
        <f t="shared" si="20"/>
        <v>1.7496934310145555</v>
      </c>
      <c r="X83">
        <f t="shared" si="20"/>
        <v>1.8310505685560161</v>
      </c>
      <c r="Y83">
        <f t="shared" si="20"/>
        <v>3.0024806934339709</v>
      </c>
      <c r="Z83">
        <f t="shared" si="20"/>
        <v>2.3300960777050013</v>
      </c>
      <c r="AA83">
        <f t="shared" si="20"/>
        <v>2.1688279004355366</v>
      </c>
      <c r="AB83">
        <f t="shared" si="20"/>
        <v>3.2701711475741035</v>
      </c>
      <c r="AC83">
        <f t="shared" si="20"/>
        <v>1.3274833643744954</v>
      </c>
      <c r="AD83">
        <f t="shared" si="20"/>
        <v>2.955261547672579</v>
      </c>
      <c r="AE83">
        <f t="shared" si="20"/>
        <v>1.3751091486971783</v>
      </c>
      <c r="AG83">
        <f t="shared" si="6"/>
        <v>56</v>
      </c>
      <c r="AH83">
        <f t="shared" si="7"/>
        <v>55.8</v>
      </c>
      <c r="AI83">
        <f t="shared" si="8"/>
        <v>0.20000000000000284</v>
      </c>
    </row>
    <row r="84" spans="1:35" x14ac:dyDescent="0.25">
      <c r="A84" t="s">
        <v>5</v>
      </c>
      <c r="B84">
        <f t="shared" ref="B84:AE84" si="21">IFERROR(VLOOKUP($A84,table_rank_wins,2,0)/(VLOOKUP($A84,table_rank_wins,2,0)+VLOOKUP(B$70,table_rank_wins,2,0))*(B16+HLOOKUP($A84,table_h2h_wins,MATCH(B$70,$A$2:$A$32,0),0)),0)</f>
        <v>0</v>
      </c>
      <c r="C84">
        <f t="shared" si="21"/>
        <v>0.54378913185168321</v>
      </c>
      <c r="D84">
        <f t="shared" si="21"/>
        <v>0.45768540350746789</v>
      </c>
      <c r="E84">
        <f t="shared" si="21"/>
        <v>0.57443614007622257</v>
      </c>
      <c r="F84">
        <f t="shared" si="21"/>
        <v>0.300139376587575</v>
      </c>
      <c r="G84">
        <f t="shared" si="21"/>
        <v>0.2473455572855412</v>
      </c>
      <c r="H84">
        <f t="shared" si="21"/>
        <v>0.56152932815991274</v>
      </c>
      <c r="I84">
        <f t="shared" si="21"/>
        <v>1.2963805686829715</v>
      </c>
      <c r="J84">
        <f t="shared" si="21"/>
        <v>0.62005228224557551</v>
      </c>
      <c r="K84">
        <f t="shared" si="21"/>
        <v>0.17617939103333566</v>
      </c>
      <c r="L84">
        <f t="shared" si="21"/>
        <v>0.31478686862866928</v>
      </c>
      <c r="M84">
        <f t="shared" si="21"/>
        <v>0.46606283309660984</v>
      </c>
      <c r="N84">
        <f t="shared" si="21"/>
        <v>0.38146692708660646</v>
      </c>
      <c r="O84">
        <f t="shared" si="21"/>
        <v>0</v>
      </c>
      <c r="P84">
        <f t="shared" si="21"/>
        <v>0.39007667160138898</v>
      </c>
      <c r="Q84">
        <f t="shared" si="21"/>
        <v>0.51264317783454727</v>
      </c>
      <c r="R84">
        <f t="shared" si="21"/>
        <v>0.42708687706802084</v>
      </c>
      <c r="S84">
        <f t="shared" si="21"/>
        <v>2.3308985103724296</v>
      </c>
      <c r="T84">
        <f t="shared" si="21"/>
        <v>0.64681796673763536</v>
      </c>
      <c r="U84">
        <f t="shared" si="21"/>
        <v>1.1144235140147574</v>
      </c>
      <c r="V84">
        <f t="shared" si="21"/>
        <v>0.56052453355053711</v>
      </c>
      <c r="W84">
        <f t="shared" si="21"/>
        <v>0.84852942017110566</v>
      </c>
      <c r="X84">
        <f t="shared" si="21"/>
        <v>1.0665245411568574</v>
      </c>
      <c r="Y84">
        <f t="shared" si="21"/>
        <v>0.96350812511160355</v>
      </c>
      <c r="Z84">
        <f t="shared" si="21"/>
        <v>0.51293952760915529</v>
      </c>
      <c r="AA84">
        <f t="shared" si="21"/>
        <v>0.33299935622664123</v>
      </c>
      <c r="AB84">
        <f t="shared" si="21"/>
        <v>1.28327448661757</v>
      </c>
      <c r="AC84">
        <f t="shared" si="21"/>
        <v>0.34449366973625767</v>
      </c>
      <c r="AD84">
        <f t="shared" si="21"/>
        <v>0.68911416675224291</v>
      </c>
      <c r="AE84">
        <f t="shared" si="21"/>
        <v>0.37660181282279803</v>
      </c>
      <c r="AG84">
        <f t="shared" si="6"/>
        <v>21</v>
      </c>
      <c r="AH84">
        <f t="shared" si="7"/>
        <v>18.34</v>
      </c>
      <c r="AI84">
        <f t="shared" si="8"/>
        <v>2.66</v>
      </c>
    </row>
    <row r="85" spans="1:35" x14ac:dyDescent="0.25">
      <c r="A85" t="s">
        <v>16</v>
      </c>
      <c r="B85">
        <f t="shared" ref="B85:AE85" si="22">IFERROR(VLOOKUP($A85,table_rank_wins,2,0)/(VLOOKUP($A85,table_rank_wins,2,0)+VLOOKUP(B$70,table_rank_wins,2,0))*(B17+HLOOKUP($A85,table_h2h_wins,MATCH(B$70,$A$2:$A$32,0),0)),0)</f>
        <v>0</v>
      </c>
      <c r="C85">
        <f t="shared" si="22"/>
        <v>1.5511513527196403</v>
      </c>
      <c r="D85">
        <f t="shared" si="22"/>
        <v>1.4661346226000906</v>
      </c>
      <c r="E85">
        <f t="shared" si="22"/>
        <v>1.577085818638315</v>
      </c>
      <c r="F85">
        <f t="shared" si="22"/>
        <v>1.2407046417712411</v>
      </c>
      <c r="G85">
        <f t="shared" si="22"/>
        <v>1.1327116061513307</v>
      </c>
      <c r="H85">
        <f t="shared" si="22"/>
        <v>2.4072092513683141</v>
      </c>
      <c r="I85">
        <f t="shared" si="22"/>
        <v>2.4482723239614916</v>
      </c>
      <c r="J85">
        <f t="shared" si="22"/>
        <v>1.6122738213713257</v>
      </c>
      <c r="K85">
        <f t="shared" si="22"/>
        <v>0.89678634585689809</v>
      </c>
      <c r="L85">
        <f t="shared" si="22"/>
        <v>2.081433871700658</v>
      </c>
      <c r="M85">
        <f t="shared" si="22"/>
        <v>1.4753139221842075</v>
      </c>
      <c r="N85">
        <f t="shared" si="22"/>
        <v>1.975299915648381</v>
      </c>
      <c r="O85">
        <f t="shared" si="22"/>
        <v>3.6099233283986112</v>
      </c>
      <c r="P85">
        <f t="shared" si="22"/>
        <v>0</v>
      </c>
      <c r="Q85">
        <f t="shared" si="22"/>
        <v>1.522637324183461</v>
      </c>
      <c r="R85">
        <f t="shared" si="22"/>
        <v>1.4306550798502973</v>
      </c>
      <c r="S85">
        <f t="shared" si="22"/>
        <v>2.7845408352624803</v>
      </c>
      <c r="T85">
        <f t="shared" si="22"/>
        <v>2.5638078918249687</v>
      </c>
      <c r="U85">
        <f t="shared" si="22"/>
        <v>1.8418456832127452</v>
      </c>
      <c r="V85">
        <f t="shared" si="22"/>
        <v>2.7205756021564578</v>
      </c>
      <c r="W85">
        <f t="shared" si="22"/>
        <v>1.7442340626109056</v>
      </c>
      <c r="X85">
        <f t="shared" si="22"/>
        <v>1.8271904029991701</v>
      </c>
      <c r="Y85">
        <f t="shared" si="22"/>
        <v>2.2379033288782715</v>
      </c>
      <c r="Z85">
        <f t="shared" si="22"/>
        <v>2.3060197688228712</v>
      </c>
      <c r="AA85">
        <f t="shared" si="22"/>
        <v>2.1442782284231976</v>
      </c>
      <c r="AB85">
        <f t="shared" si="22"/>
        <v>3.2553169327266005</v>
      </c>
      <c r="AC85">
        <f t="shared" si="22"/>
        <v>1.3164130336280315</v>
      </c>
      <c r="AD85">
        <f t="shared" si="22"/>
        <v>2.9360831936085643</v>
      </c>
      <c r="AE85">
        <f t="shared" si="22"/>
        <v>1.3644474508139142</v>
      </c>
      <c r="AG85">
        <f t="shared" si="6"/>
        <v>55</v>
      </c>
      <c r="AH85">
        <f t="shared" si="7"/>
        <v>55.47</v>
      </c>
      <c r="AI85">
        <f t="shared" si="8"/>
        <v>-0.46999999999999886</v>
      </c>
    </row>
    <row r="86" spans="1:35" x14ac:dyDescent="0.25">
      <c r="A86" t="s">
        <v>12</v>
      </c>
      <c r="B86">
        <f t="shared" ref="B86:AE86" si="23">IFERROR(VLOOKUP($A86,table_rank_wins,2,0)/(VLOOKUP($A86,table_rank_wins,2,0)+VLOOKUP(B$70,table_rank_wins,2,0))*(B18+HLOOKUP($A86,table_h2h_wins,MATCH(B$70,$A$2:$A$32,0),0)),0)</f>
        <v>0</v>
      </c>
      <c r="C86">
        <f t="shared" si="23"/>
        <v>2.0801014660565262</v>
      </c>
      <c r="D86">
        <f t="shared" si="23"/>
        <v>1.8505971782258388</v>
      </c>
      <c r="E86">
        <f t="shared" si="23"/>
        <v>2.1559249944954648</v>
      </c>
      <c r="F86">
        <f t="shared" si="23"/>
        <v>1.0162438588571978</v>
      </c>
      <c r="G86">
        <f t="shared" si="23"/>
        <v>1.1620267036485969</v>
      </c>
      <c r="H86">
        <f t="shared" si="23"/>
        <v>0.6429758725640794</v>
      </c>
      <c r="I86">
        <f t="shared" si="23"/>
        <v>1.1635969218571702</v>
      </c>
      <c r="J86">
        <f t="shared" si="23"/>
        <v>1.6977267391038453</v>
      </c>
      <c r="K86">
        <f t="shared" si="23"/>
        <v>0.23582950380848144</v>
      </c>
      <c r="L86">
        <f t="shared" si="23"/>
        <v>0.50760127300278024</v>
      </c>
      <c r="M86">
        <f t="shared" si="23"/>
        <v>1.8740700915748496</v>
      </c>
      <c r="N86">
        <f t="shared" si="23"/>
        <v>0.46844361376844779</v>
      </c>
      <c r="O86">
        <f t="shared" si="23"/>
        <v>1.487356822165453</v>
      </c>
      <c r="P86">
        <f t="shared" si="23"/>
        <v>0.47736267581653902</v>
      </c>
      <c r="Q86">
        <f t="shared" si="23"/>
        <v>0</v>
      </c>
      <c r="R86">
        <f t="shared" si="23"/>
        <v>1.7626030578021898</v>
      </c>
      <c r="S86">
        <f t="shared" si="23"/>
        <v>1.6040961030556993</v>
      </c>
      <c r="T86">
        <f t="shared" si="23"/>
        <v>0.71766993890578168</v>
      </c>
      <c r="U86">
        <f t="shared" si="23"/>
        <v>2.3549918170469417</v>
      </c>
      <c r="V86">
        <f t="shared" si="23"/>
        <v>0.79998830410028543</v>
      </c>
      <c r="W86">
        <f t="shared" si="23"/>
        <v>2.7253154295703337</v>
      </c>
      <c r="X86">
        <f t="shared" si="23"/>
        <v>3.0729755825190455</v>
      </c>
      <c r="Y86">
        <f t="shared" si="23"/>
        <v>0.95867286043428668</v>
      </c>
      <c r="Z86">
        <f t="shared" si="23"/>
        <v>0.59824472237428084</v>
      </c>
      <c r="AA86">
        <f t="shared" si="23"/>
        <v>0.53185137257430493</v>
      </c>
      <c r="AB86">
        <f t="shared" si="23"/>
        <v>1.1562902392651979</v>
      </c>
      <c r="AC86">
        <f t="shared" si="23"/>
        <v>0.75291553380855758</v>
      </c>
      <c r="AD86">
        <f t="shared" si="23"/>
        <v>0.92772453753314699</v>
      </c>
      <c r="AE86">
        <f t="shared" si="23"/>
        <v>1.6091790944296831</v>
      </c>
      <c r="AG86">
        <f t="shared" si="6"/>
        <v>37</v>
      </c>
      <c r="AH86">
        <f t="shared" si="7"/>
        <v>36.39</v>
      </c>
      <c r="AI86">
        <f t="shared" si="8"/>
        <v>0.60999999999999943</v>
      </c>
    </row>
    <row r="87" spans="1:35" x14ac:dyDescent="0.25">
      <c r="A87" t="s">
        <v>7</v>
      </c>
      <c r="B87">
        <f t="shared" ref="B87:AE87" si="24">IFERROR(VLOOKUP($A87,table_rank_wins,2,0)/(VLOOKUP($A87,table_rank_wins,2,0)+VLOOKUP(B$70,table_rank_wins,2,0))*(B19+HLOOKUP($A87,table_h2h_wins,MATCH(B$70,$A$2:$A$32,0),0)),0)</f>
        <v>0</v>
      </c>
      <c r="C87">
        <f t="shared" si="24"/>
        <v>2.3159961748335447</v>
      </c>
      <c r="D87">
        <f t="shared" si="24"/>
        <v>1.5665860046428972</v>
      </c>
      <c r="E87">
        <f t="shared" si="24"/>
        <v>1.7922866235630304</v>
      </c>
      <c r="F87">
        <f t="shared" si="24"/>
        <v>1.5761639969460244</v>
      </c>
      <c r="G87">
        <f t="shared" si="24"/>
        <v>1.3679919419811928</v>
      </c>
      <c r="H87">
        <f t="shared" si="24"/>
        <v>0.75112757370952288</v>
      </c>
      <c r="I87">
        <f t="shared" si="24"/>
        <v>1.2769180040641652</v>
      </c>
      <c r="J87">
        <f t="shared" si="24"/>
        <v>2.4933139213543649</v>
      </c>
      <c r="K87">
        <f t="shared" si="24"/>
        <v>0.29013945709951855</v>
      </c>
      <c r="L87">
        <f t="shared" si="24"/>
        <v>0.60310227209853029</v>
      </c>
      <c r="M87">
        <f t="shared" si="24"/>
        <v>2.1123063942205635</v>
      </c>
      <c r="N87">
        <f t="shared" si="24"/>
        <v>0.55933858348505139</v>
      </c>
      <c r="O87">
        <f t="shared" si="24"/>
        <v>1.5729131229319793</v>
      </c>
      <c r="P87">
        <f t="shared" si="24"/>
        <v>0.56934492014970273</v>
      </c>
      <c r="Q87">
        <f t="shared" si="24"/>
        <v>2.2373969421978104</v>
      </c>
      <c r="R87">
        <f t="shared" si="24"/>
        <v>0</v>
      </c>
      <c r="S87">
        <f t="shared" si="24"/>
        <v>1.6744340865539515</v>
      </c>
      <c r="T87">
        <f t="shared" si="24"/>
        <v>0.83069462340453482</v>
      </c>
      <c r="U87">
        <f t="shared" si="24"/>
        <v>3.2901010446871615</v>
      </c>
      <c r="V87">
        <f t="shared" si="24"/>
        <v>0.91670936537054248</v>
      </c>
      <c r="W87">
        <f t="shared" si="24"/>
        <v>2.922980890643152</v>
      </c>
      <c r="X87">
        <f t="shared" si="24"/>
        <v>3.2319233031144248</v>
      </c>
      <c r="Y87">
        <f t="shared" si="24"/>
        <v>1.0777527451583533</v>
      </c>
      <c r="Z87">
        <f t="shared" si="24"/>
        <v>0.70276891563113375</v>
      </c>
      <c r="AA87">
        <f t="shared" si="24"/>
        <v>0.62998887048303565</v>
      </c>
      <c r="AB87">
        <f t="shared" si="24"/>
        <v>1.2699801963879929</v>
      </c>
      <c r="AC87">
        <f t="shared" si="24"/>
        <v>1.3016022905430447</v>
      </c>
      <c r="AD87">
        <f t="shared" si="24"/>
        <v>1.0468247172677503</v>
      </c>
      <c r="AE87">
        <f t="shared" si="24"/>
        <v>1.3821996577219882</v>
      </c>
      <c r="AG87">
        <f t="shared" si="6"/>
        <v>41</v>
      </c>
      <c r="AH87">
        <f t="shared" si="7"/>
        <v>41.36</v>
      </c>
      <c r="AI87">
        <f t="shared" si="8"/>
        <v>-0.35999999999999943</v>
      </c>
    </row>
    <row r="88" spans="1:35" x14ac:dyDescent="0.25">
      <c r="A88" t="s">
        <v>17</v>
      </c>
      <c r="B88">
        <f t="shared" ref="B88:AE88" si="25">IFERROR(VLOOKUP($A88,table_rank_wins,2,0)/(VLOOKUP($A88,table_rank_wins,2,0)+VLOOKUP(B$70,table_rank_wins,2,0))*(B20+HLOOKUP($A88,table_h2h_wins,MATCH(B$70,$A$2:$A$32,0),0)),0)</f>
        <v>0</v>
      </c>
      <c r="C88">
        <f t="shared" si="25"/>
        <v>0.42196947521110384</v>
      </c>
      <c r="D88">
        <f t="shared" si="25"/>
        <v>0.35051182911730649</v>
      </c>
      <c r="E88">
        <f t="shared" si="25"/>
        <v>0.44786246040559691</v>
      </c>
      <c r="F88">
        <f t="shared" si="25"/>
        <v>0.22448778153450788</v>
      </c>
      <c r="G88">
        <f t="shared" si="25"/>
        <v>0.18356391723219204</v>
      </c>
      <c r="H88">
        <f t="shared" si="25"/>
        <v>0.31409249068069911</v>
      </c>
      <c r="I88">
        <f t="shared" si="25"/>
        <v>1.0223857160717331</v>
      </c>
      <c r="J88">
        <f t="shared" si="25"/>
        <v>0.48686006404845422</v>
      </c>
      <c r="K88">
        <f t="shared" si="25"/>
        <v>0.12775554013454407</v>
      </c>
      <c r="L88">
        <f t="shared" si="25"/>
        <v>0.30977743910033689</v>
      </c>
      <c r="M88">
        <f t="shared" si="25"/>
        <v>0.3573821239963082</v>
      </c>
      <c r="N88">
        <f t="shared" si="25"/>
        <v>0.21057121505569687</v>
      </c>
      <c r="O88">
        <f t="shared" si="25"/>
        <v>1.6691014896275704</v>
      </c>
      <c r="P88">
        <f t="shared" si="25"/>
        <v>0.2154591647375198</v>
      </c>
      <c r="Q88">
        <f t="shared" si="25"/>
        <v>0.39590389694430078</v>
      </c>
      <c r="R88">
        <f t="shared" si="25"/>
        <v>0.32556591344604852</v>
      </c>
      <c r="S88">
        <f t="shared" si="25"/>
        <v>0</v>
      </c>
      <c r="T88">
        <f t="shared" si="25"/>
        <v>0.48545937508581111</v>
      </c>
      <c r="U88">
        <f t="shared" si="25"/>
        <v>0.94798963579194895</v>
      </c>
      <c r="V88">
        <f t="shared" si="25"/>
        <v>0.56515178318473569</v>
      </c>
      <c r="W88">
        <f t="shared" si="25"/>
        <v>0.69082822443597558</v>
      </c>
      <c r="X88">
        <f t="shared" si="25"/>
        <v>0.89997436018910981</v>
      </c>
      <c r="Y88">
        <f t="shared" si="25"/>
        <v>0.74059526424189825</v>
      </c>
      <c r="Z88">
        <f t="shared" si="25"/>
        <v>0.38118233858850836</v>
      </c>
      <c r="AA88">
        <f t="shared" si="25"/>
        <v>0.32828331954630519</v>
      </c>
      <c r="AB88">
        <f t="shared" si="25"/>
        <v>0.75826035697361083</v>
      </c>
      <c r="AC88">
        <f t="shared" si="25"/>
        <v>0.25936818233561948</v>
      </c>
      <c r="AD88">
        <f t="shared" si="25"/>
        <v>0.70384855857683981</v>
      </c>
      <c r="AE88">
        <f t="shared" si="25"/>
        <v>0.28490772270117276</v>
      </c>
      <c r="AG88">
        <f t="shared" si="6"/>
        <v>16</v>
      </c>
      <c r="AH88">
        <f t="shared" si="7"/>
        <v>14.11</v>
      </c>
      <c r="AI88">
        <f t="shared" si="8"/>
        <v>1.8900000000000006</v>
      </c>
    </row>
    <row r="89" spans="1:35" x14ac:dyDescent="0.25">
      <c r="A89" t="s">
        <v>0</v>
      </c>
      <c r="B89">
        <f t="shared" ref="B89:AE89" si="26">IFERROR(VLOOKUP($A89,table_rank_wins,2,0)/(VLOOKUP($A89,table_rank_wins,2,0)+VLOOKUP(B$70,table_rank_wins,2,0))*(B21+HLOOKUP($A89,table_h2h_wins,MATCH(B$70,$A$2:$A$32,0),0)),0)</f>
        <v>0</v>
      </c>
      <c r="C89">
        <f t="shared" si="26"/>
        <v>1.31877622371564</v>
      </c>
      <c r="D89">
        <f t="shared" si="26"/>
        <v>1.2121019771788366</v>
      </c>
      <c r="E89">
        <f t="shared" si="26"/>
        <v>1.3525329014378682</v>
      </c>
      <c r="F89">
        <f t="shared" si="26"/>
        <v>0.95580158650872704</v>
      </c>
      <c r="G89">
        <f t="shared" si="26"/>
        <v>0.8450091542742949</v>
      </c>
      <c r="H89">
        <f t="shared" si="26"/>
        <v>1.8338657613908143</v>
      </c>
      <c r="I89">
        <f t="shared" si="26"/>
        <v>2.8524793684173972</v>
      </c>
      <c r="J89">
        <f t="shared" si="26"/>
        <v>1.3992879335688269</v>
      </c>
      <c r="K89">
        <f t="shared" si="26"/>
        <v>0.77120971018770335</v>
      </c>
      <c r="L89">
        <f t="shared" si="26"/>
        <v>1.5120248721020078</v>
      </c>
      <c r="M89">
        <f t="shared" si="26"/>
        <v>1.2233353163256488</v>
      </c>
      <c r="N89">
        <f t="shared" si="26"/>
        <v>1.0601503656392142</v>
      </c>
      <c r="O89">
        <f t="shared" si="26"/>
        <v>3.3531820332623643</v>
      </c>
      <c r="P89">
        <f t="shared" si="26"/>
        <v>1.4361921081750311</v>
      </c>
      <c r="Q89">
        <f t="shared" si="26"/>
        <v>1.2823300610942183</v>
      </c>
      <c r="R89">
        <f t="shared" si="26"/>
        <v>1.1693053765954653</v>
      </c>
      <c r="S89">
        <f t="shared" si="26"/>
        <v>3.5145406249141891</v>
      </c>
      <c r="T89">
        <f t="shared" si="26"/>
        <v>0</v>
      </c>
      <c r="U89">
        <f t="shared" si="26"/>
        <v>1.7341761397630246</v>
      </c>
      <c r="V89">
        <f t="shared" si="26"/>
        <v>2.1744900646987064</v>
      </c>
      <c r="W89">
        <f t="shared" si="26"/>
        <v>1.5850817394075245</v>
      </c>
      <c r="X89">
        <f t="shared" si="26"/>
        <v>1.7111086247684959</v>
      </c>
      <c r="Y89">
        <f t="shared" si="26"/>
        <v>1.865772173178458</v>
      </c>
      <c r="Z89">
        <f t="shared" si="26"/>
        <v>1.2979433792475885</v>
      </c>
      <c r="AA89">
        <f t="shared" si="26"/>
        <v>1.5717615506127509</v>
      </c>
      <c r="AB89">
        <f t="shared" si="26"/>
        <v>2.8401678315278813</v>
      </c>
      <c r="AC89">
        <f t="shared" si="26"/>
        <v>1.0378886858500738</v>
      </c>
      <c r="AD89">
        <f t="shared" si="26"/>
        <v>1.8216452414082358</v>
      </c>
      <c r="AE89">
        <f t="shared" si="26"/>
        <v>1.0919949947128851</v>
      </c>
      <c r="AG89">
        <f t="shared" si="6"/>
        <v>45</v>
      </c>
      <c r="AH89">
        <f t="shared" si="7"/>
        <v>45.82</v>
      </c>
      <c r="AI89">
        <f t="shared" si="8"/>
        <v>-0.82000000000000028</v>
      </c>
    </row>
    <row r="90" spans="1:35" x14ac:dyDescent="0.25">
      <c r="A90" t="s">
        <v>19</v>
      </c>
      <c r="B90">
        <f t="shared" ref="B90:AE90" si="27">IFERROR(VLOOKUP($A90,table_rank_wins,2,0)/(VLOOKUP($A90,table_rank_wins,2,0)+VLOOKUP(B$70,table_rank_wins,2,0))*(B22+HLOOKUP($A90,table_h2h_wins,MATCH(B$70,$A$2:$A$32,0),0)),0)</f>
        <v>0</v>
      </c>
      <c r="C90">
        <f t="shared" si="27"/>
        <v>0.91535125661124028</v>
      </c>
      <c r="D90">
        <f t="shared" si="27"/>
        <v>0.76326741611475279</v>
      </c>
      <c r="E90">
        <f t="shared" si="27"/>
        <v>0.97017221390946651</v>
      </c>
      <c r="F90">
        <f t="shared" si="27"/>
        <v>0.36913411293100834</v>
      </c>
      <c r="G90">
        <f t="shared" si="27"/>
        <v>0.30251233830785973</v>
      </c>
      <c r="H90">
        <f t="shared" si="27"/>
        <v>0.22973221285564044</v>
      </c>
      <c r="I90">
        <f t="shared" si="27"/>
        <v>0.55180884162589716</v>
      </c>
      <c r="J90">
        <f t="shared" si="27"/>
        <v>1.0524521353495286</v>
      </c>
      <c r="K90">
        <f t="shared" si="27"/>
        <v>7.063936990069955E-2</v>
      </c>
      <c r="L90">
        <f t="shared" si="27"/>
        <v>0.17043597404020489</v>
      </c>
      <c r="M90">
        <f t="shared" si="27"/>
        <v>0.77794033306512389</v>
      </c>
      <c r="N90">
        <f t="shared" si="27"/>
        <v>0.15459381870000033</v>
      </c>
      <c r="O90">
        <f t="shared" si="27"/>
        <v>0.88557648598524252</v>
      </c>
      <c r="P90">
        <f t="shared" si="27"/>
        <v>0.1581543167872547</v>
      </c>
      <c r="Q90">
        <f t="shared" si="27"/>
        <v>0.64500818295305828</v>
      </c>
      <c r="R90">
        <f t="shared" si="27"/>
        <v>0.70989895531283853</v>
      </c>
      <c r="S90">
        <f t="shared" si="27"/>
        <v>1.0520103642080512</v>
      </c>
      <c r="T90">
        <f t="shared" si="27"/>
        <v>0.26582386023697541</v>
      </c>
      <c r="U90">
        <f t="shared" si="27"/>
        <v>0</v>
      </c>
      <c r="V90">
        <f t="shared" si="27"/>
        <v>0.30879498495743574</v>
      </c>
      <c r="W90">
        <f t="shared" si="27"/>
        <v>1.4772716337275957</v>
      </c>
      <c r="X90">
        <f t="shared" si="27"/>
        <v>1.9034672497143976</v>
      </c>
      <c r="Y90">
        <f t="shared" si="27"/>
        <v>0.40274734506558912</v>
      </c>
      <c r="Z90">
        <f t="shared" si="27"/>
        <v>0.20931557900638606</v>
      </c>
      <c r="AA90">
        <f t="shared" si="27"/>
        <v>0.18052682343755477</v>
      </c>
      <c r="AB90">
        <f t="shared" si="27"/>
        <v>0.5458367505236903</v>
      </c>
      <c r="AC90">
        <f t="shared" si="27"/>
        <v>0.56757949522874163</v>
      </c>
      <c r="AD90">
        <f t="shared" si="27"/>
        <v>0.38314243895329519</v>
      </c>
      <c r="AE90">
        <f t="shared" si="27"/>
        <v>0.6226079185701564</v>
      </c>
      <c r="AG90">
        <f t="shared" si="6"/>
        <v>17</v>
      </c>
      <c r="AH90">
        <f t="shared" si="7"/>
        <v>16.649999999999999</v>
      </c>
      <c r="AI90">
        <f t="shared" si="8"/>
        <v>0.35000000000000142</v>
      </c>
    </row>
    <row r="91" spans="1:35" x14ac:dyDescent="0.25">
      <c r="A91" t="s">
        <v>26</v>
      </c>
      <c r="B91">
        <f t="shared" ref="B91:AE91" si="28">IFERROR(VLOOKUP($A91,table_rank_wins,2,0)/(VLOOKUP($A91,table_rank_wins,2,0)+VLOOKUP(B$70,table_rank_wins,2,0))*(B23+HLOOKUP($A91,table_h2h_wins,MATCH(B$70,$A$2:$A$32,0),0)),0)</f>
        <v>0</v>
      </c>
      <c r="C91">
        <f t="shared" si="28"/>
        <v>1.2381546635990932</v>
      </c>
      <c r="D91">
        <f t="shared" si="28"/>
        <v>1.1272109638529033</v>
      </c>
      <c r="E91">
        <f t="shared" si="28"/>
        <v>1.2737061801081064</v>
      </c>
      <c r="F91">
        <f t="shared" si="28"/>
        <v>0.86906146519785876</v>
      </c>
      <c r="G91">
        <f t="shared" si="28"/>
        <v>0.76099597765823357</v>
      </c>
      <c r="H91">
        <f t="shared" si="28"/>
        <v>1.6618265054473871</v>
      </c>
      <c r="I91">
        <f t="shared" si="28"/>
        <v>2.7041756929713587</v>
      </c>
      <c r="J91">
        <f t="shared" si="28"/>
        <v>1.3233055369133104</v>
      </c>
      <c r="K91">
        <f t="shared" si="28"/>
        <v>0.66811269961769504</v>
      </c>
      <c r="L91">
        <f t="shared" si="28"/>
        <v>1.0135069388135201</v>
      </c>
      <c r="M91">
        <f t="shared" si="28"/>
        <v>1.1387946840856371</v>
      </c>
      <c r="N91">
        <f t="shared" si="28"/>
        <v>0.94351933453688841</v>
      </c>
      <c r="O91">
        <f t="shared" si="28"/>
        <v>2.4394754664494629</v>
      </c>
      <c r="P91">
        <f t="shared" si="28"/>
        <v>1.2794243978435424</v>
      </c>
      <c r="Q91">
        <f t="shared" si="28"/>
        <v>1.2000116958997145</v>
      </c>
      <c r="R91">
        <f t="shared" si="28"/>
        <v>1.0832906346294575</v>
      </c>
      <c r="S91">
        <f t="shared" si="28"/>
        <v>3.4348482168152641</v>
      </c>
      <c r="T91">
        <f t="shared" si="28"/>
        <v>1.8255099353012938</v>
      </c>
      <c r="U91">
        <f t="shared" si="28"/>
        <v>1.6912050150425644</v>
      </c>
      <c r="V91">
        <f t="shared" si="28"/>
        <v>0</v>
      </c>
      <c r="W91">
        <f t="shared" si="28"/>
        <v>1.5246159790490663</v>
      </c>
      <c r="X91">
        <f t="shared" si="28"/>
        <v>1.6651286351921279</v>
      </c>
      <c r="Y91">
        <f t="shared" si="28"/>
        <v>2.3200143226646692</v>
      </c>
      <c r="Z91">
        <f t="shared" si="28"/>
        <v>1.5612573390320506</v>
      </c>
      <c r="AA91">
        <f t="shared" si="28"/>
        <v>1.0562433606309898</v>
      </c>
      <c r="AB91">
        <f t="shared" si="28"/>
        <v>2.6910031962326579</v>
      </c>
      <c r="AC91">
        <f t="shared" si="28"/>
        <v>0.95047996007543178</v>
      </c>
      <c r="AD91">
        <f t="shared" si="28"/>
        <v>2.2592197311813806</v>
      </c>
      <c r="AE91">
        <f t="shared" si="28"/>
        <v>1.0047883945269622</v>
      </c>
      <c r="AG91">
        <f t="shared" si="6"/>
        <v>45</v>
      </c>
      <c r="AH91">
        <f t="shared" si="7"/>
        <v>42.71</v>
      </c>
      <c r="AI91">
        <f t="shared" si="8"/>
        <v>2.2899999999999991</v>
      </c>
    </row>
    <row r="92" spans="1:35" x14ac:dyDescent="0.25">
      <c r="A92" t="s">
        <v>1</v>
      </c>
      <c r="B92">
        <f t="shared" ref="B92:AE92" si="29">IFERROR(VLOOKUP($A92,table_rank_wins,2,0)/(VLOOKUP($A92,table_rank_wins,2,0)+VLOOKUP(B$70,table_rank_wins,2,0))*(B24+HLOOKUP($A92,table_h2h_wins,MATCH(B$70,$A$2:$A$32,0),0)),0)</f>
        <v>0</v>
      </c>
      <c r="C92">
        <f t="shared" si="29"/>
        <v>1.0089572755120511</v>
      </c>
      <c r="D92">
        <f t="shared" si="29"/>
        <v>1.1483537342311838</v>
      </c>
      <c r="E92">
        <f t="shared" si="29"/>
        <v>1.4140423741602595</v>
      </c>
      <c r="F92">
        <f t="shared" si="29"/>
        <v>0.77316525384882262</v>
      </c>
      <c r="G92">
        <f t="shared" si="29"/>
        <v>0.48218861363386678</v>
      </c>
      <c r="H92">
        <f t="shared" si="29"/>
        <v>0.36281881870227811</v>
      </c>
      <c r="I92">
        <f t="shared" si="29"/>
        <v>0.78838410234841938</v>
      </c>
      <c r="J92">
        <f t="shared" si="29"/>
        <v>1.5151416915877234</v>
      </c>
      <c r="K92">
        <f t="shared" si="29"/>
        <v>0.11768875615746904</v>
      </c>
      <c r="L92">
        <f t="shared" si="29"/>
        <v>0.27449803763461417</v>
      </c>
      <c r="M92">
        <f t="shared" si="29"/>
        <v>0.87581899889169634</v>
      </c>
      <c r="N92">
        <f t="shared" si="29"/>
        <v>0.2503065689854444</v>
      </c>
      <c r="O92">
        <f t="shared" si="29"/>
        <v>1.1514705798288944</v>
      </c>
      <c r="P92">
        <f t="shared" si="29"/>
        <v>0.25576593738909426</v>
      </c>
      <c r="Q92">
        <f t="shared" si="29"/>
        <v>1.2746845704296665</v>
      </c>
      <c r="R92">
        <f t="shared" si="29"/>
        <v>1.077019109356848</v>
      </c>
      <c r="S92">
        <f t="shared" si="29"/>
        <v>1.3091717755640246</v>
      </c>
      <c r="T92">
        <f t="shared" si="29"/>
        <v>0.41491826059247533</v>
      </c>
      <c r="U92">
        <f t="shared" si="29"/>
        <v>2.5227283662724043</v>
      </c>
      <c r="V92">
        <f t="shared" si="29"/>
        <v>0.47538402095093374</v>
      </c>
      <c r="W92">
        <f t="shared" si="29"/>
        <v>0</v>
      </c>
      <c r="X92">
        <f t="shared" si="29"/>
        <v>1.823730606518668</v>
      </c>
      <c r="Y92">
        <f t="shared" si="29"/>
        <v>0.60198050501765099</v>
      </c>
      <c r="Z92">
        <f t="shared" si="29"/>
        <v>0.33279809257222959</v>
      </c>
      <c r="AA92">
        <f t="shared" si="29"/>
        <v>0.2897741732357727</v>
      </c>
      <c r="AB92">
        <f t="shared" si="29"/>
        <v>0.78123283179128455</v>
      </c>
      <c r="AC92">
        <f t="shared" si="29"/>
        <v>0.88080357081793992</v>
      </c>
      <c r="AD92">
        <f t="shared" si="29"/>
        <v>0.57617578687220028</v>
      </c>
      <c r="AE92">
        <f t="shared" si="29"/>
        <v>0.95772656892755281</v>
      </c>
      <c r="AG92">
        <f t="shared" si="6"/>
        <v>25</v>
      </c>
      <c r="AH92">
        <f t="shared" si="7"/>
        <v>23.74</v>
      </c>
      <c r="AI92">
        <f t="shared" si="8"/>
        <v>1.2600000000000016</v>
      </c>
    </row>
    <row r="93" spans="1:35" x14ac:dyDescent="0.25">
      <c r="A93" t="s">
        <v>9</v>
      </c>
      <c r="B93">
        <f t="shared" ref="B93:AE93" si="30">IFERROR(VLOOKUP($A93,table_rank_wins,2,0)/(VLOOKUP($A93,table_rank_wins,2,0)+VLOOKUP(B$70,table_rank_wins,2,0))*(B25+HLOOKUP($A93,table_h2h_wins,MATCH(B$70,$A$2:$A$32,0),0)),0)</f>
        <v>0</v>
      </c>
      <c r="C93">
        <f t="shared" si="30"/>
        <v>0.98532381093522281</v>
      </c>
      <c r="D93">
        <f t="shared" si="30"/>
        <v>0.82472248168408868</v>
      </c>
      <c r="E93">
        <f t="shared" si="30"/>
        <v>0.78218894553698048</v>
      </c>
      <c r="F93">
        <f t="shared" si="30"/>
        <v>0.40156317263121777</v>
      </c>
      <c r="G93">
        <f t="shared" si="30"/>
        <v>0.32982231107399385</v>
      </c>
      <c r="H93">
        <f t="shared" si="30"/>
        <v>0.25011950549681877</v>
      </c>
      <c r="I93">
        <f t="shared" si="30"/>
        <v>0.5912325288663729</v>
      </c>
      <c r="J93">
        <f t="shared" si="30"/>
        <v>1.1290690013580842</v>
      </c>
      <c r="K93">
        <f t="shared" si="30"/>
        <v>7.7526470966015296E-2</v>
      </c>
      <c r="L93">
        <f t="shared" si="30"/>
        <v>0.1861143273930615</v>
      </c>
      <c r="M93">
        <f t="shared" si="30"/>
        <v>0.84027010288566928</v>
      </c>
      <c r="N93">
        <f t="shared" si="30"/>
        <v>0.168949431443984</v>
      </c>
      <c r="O93">
        <f t="shared" si="30"/>
        <v>0.93347545884314265</v>
      </c>
      <c r="P93">
        <f t="shared" si="30"/>
        <v>0.17280959700082996</v>
      </c>
      <c r="Q93">
        <f t="shared" si="30"/>
        <v>0.92702441748095432</v>
      </c>
      <c r="R93">
        <f t="shared" si="30"/>
        <v>0.76807669688557489</v>
      </c>
      <c r="S93">
        <f t="shared" si="30"/>
        <v>1.1000256398108903</v>
      </c>
      <c r="T93">
        <f t="shared" si="30"/>
        <v>0.28889137523150427</v>
      </c>
      <c r="U93">
        <f t="shared" si="30"/>
        <v>2.0965327502856024</v>
      </c>
      <c r="V93">
        <f t="shared" si="30"/>
        <v>0.33487136480787205</v>
      </c>
      <c r="W93">
        <f t="shared" si="30"/>
        <v>1.1762693934813317</v>
      </c>
      <c r="X93">
        <f t="shared" si="30"/>
        <v>0</v>
      </c>
      <c r="Y93">
        <f t="shared" si="30"/>
        <v>0.43471821750787548</v>
      </c>
      <c r="Z93">
        <f t="shared" si="30"/>
        <v>0.2281245062166968</v>
      </c>
      <c r="AA93">
        <f t="shared" si="30"/>
        <v>0.19703346334938721</v>
      </c>
      <c r="AB93">
        <f t="shared" si="30"/>
        <v>0.58500612215230374</v>
      </c>
      <c r="AC93">
        <f t="shared" si="30"/>
        <v>0.6162785549983204</v>
      </c>
      <c r="AD93">
        <f t="shared" si="30"/>
        <v>0.41396037597877838</v>
      </c>
      <c r="AE93">
        <f t="shared" si="30"/>
        <v>0.67509984640096721</v>
      </c>
      <c r="AG93">
        <f t="shared" si="6"/>
        <v>18</v>
      </c>
      <c r="AH93">
        <f t="shared" si="7"/>
        <v>17.52</v>
      </c>
      <c r="AI93">
        <f t="shared" si="8"/>
        <v>0.48000000000000043</v>
      </c>
    </row>
    <row r="94" spans="1:35" x14ac:dyDescent="0.25">
      <c r="A94" t="s">
        <v>23</v>
      </c>
      <c r="B94">
        <f t="shared" ref="B94:AE94" si="31">IFERROR(VLOOKUP($A94,table_rank_wins,2,0)/(VLOOKUP($A94,table_rank_wins,2,0)+VLOOKUP(B$70,table_rank_wins,2,0))*(B26+HLOOKUP($A94,table_h2h_wins,MATCH(B$70,$A$2:$A$32,0),0)),0)</f>
        <v>0</v>
      </c>
      <c r="C94">
        <f t="shared" si="31"/>
        <v>1.0812433999617652</v>
      </c>
      <c r="D94">
        <f t="shared" si="31"/>
        <v>0.96652237670618069</v>
      </c>
      <c r="E94">
        <f t="shared" si="31"/>
        <v>1.1189065239167486</v>
      </c>
      <c r="F94">
        <f t="shared" si="31"/>
        <v>0.71502484770848906</v>
      </c>
      <c r="G94">
        <f t="shared" si="31"/>
        <v>0.6156858929032285</v>
      </c>
      <c r="H94">
        <f t="shared" si="31"/>
        <v>1.3591504259732405</v>
      </c>
      <c r="I94">
        <f t="shared" si="31"/>
        <v>1.8053218135445164</v>
      </c>
      <c r="J94">
        <f t="shared" si="31"/>
        <v>1.1722068423936371</v>
      </c>
      <c r="K94">
        <f t="shared" si="31"/>
        <v>0.50716819423021164</v>
      </c>
      <c r="L94">
        <f t="shared" si="31"/>
        <v>1.0791173880464291</v>
      </c>
      <c r="M94">
        <f t="shared" si="31"/>
        <v>0.48915286668440683</v>
      </c>
      <c r="N94">
        <f t="shared" si="31"/>
        <v>0.99751930656602894</v>
      </c>
      <c r="O94">
        <f t="shared" si="31"/>
        <v>3.0364918748883967</v>
      </c>
      <c r="P94">
        <f t="shared" si="31"/>
        <v>0.76209667112172863</v>
      </c>
      <c r="Q94">
        <f t="shared" si="31"/>
        <v>1.0413271395657133</v>
      </c>
      <c r="R94">
        <f t="shared" si="31"/>
        <v>0.92224725484164671</v>
      </c>
      <c r="S94">
        <f t="shared" si="31"/>
        <v>3.2594047357581015</v>
      </c>
      <c r="T94">
        <f t="shared" si="31"/>
        <v>1.1342278268215416</v>
      </c>
      <c r="U94">
        <f t="shared" si="31"/>
        <v>1.5972526549344108</v>
      </c>
      <c r="V94">
        <f t="shared" si="31"/>
        <v>1.6799856773353312</v>
      </c>
      <c r="W94">
        <f t="shared" si="31"/>
        <v>1.3980194949823492</v>
      </c>
      <c r="X94">
        <f t="shared" si="31"/>
        <v>1.5652817824921244</v>
      </c>
      <c r="Y94">
        <f t="shared" si="31"/>
        <v>0</v>
      </c>
      <c r="Z94">
        <f t="shared" si="31"/>
        <v>1.2669729857690322</v>
      </c>
      <c r="AA94">
        <f t="shared" si="31"/>
        <v>1.129515549511479</v>
      </c>
      <c r="AB94">
        <f t="shared" si="31"/>
        <v>2.3926983080858704</v>
      </c>
      <c r="AC94">
        <f t="shared" si="31"/>
        <v>0.79211994901140448</v>
      </c>
      <c r="AD94">
        <f t="shared" si="31"/>
        <v>1.4534384391470407</v>
      </c>
      <c r="AE94">
        <f t="shared" si="31"/>
        <v>0.84466221689342236</v>
      </c>
      <c r="AG94">
        <f t="shared" si="6"/>
        <v>38</v>
      </c>
      <c r="AH94">
        <f t="shared" si="7"/>
        <v>36.18</v>
      </c>
      <c r="AI94">
        <f t="shared" si="8"/>
        <v>1.8200000000000003</v>
      </c>
    </row>
    <row r="95" spans="1:35" x14ac:dyDescent="0.25">
      <c r="A95" t="s">
        <v>27</v>
      </c>
      <c r="B95">
        <f t="shared" ref="B95:AE95" si="32">IFERROR(VLOOKUP($A95,table_rank_wins,2,0)/(VLOOKUP($A95,table_rank_wins,2,0)+VLOOKUP(B$70,table_rank_wins,2,0))*(B27+HLOOKUP($A95,table_h2h_wins,MATCH(B$70,$A$2:$A$32,0),0)),0)</f>
        <v>0</v>
      </c>
      <c r="C95">
        <f t="shared" si="32"/>
        <v>1.4348096651402202</v>
      </c>
      <c r="D95">
        <f t="shared" si="32"/>
        <v>1.3371729968720336</v>
      </c>
      <c r="E95">
        <f t="shared" si="32"/>
        <v>1.4651484668210719</v>
      </c>
      <c r="F95">
        <f t="shared" si="32"/>
        <v>1.0910480752158502</v>
      </c>
      <c r="G95">
        <f t="shared" si="32"/>
        <v>0.97928099779596933</v>
      </c>
      <c r="H95">
        <f t="shared" si="32"/>
        <v>2.1044432576879188</v>
      </c>
      <c r="I95">
        <f t="shared" si="32"/>
        <v>3.0609710907605661</v>
      </c>
      <c r="J95">
        <f t="shared" si="32"/>
        <v>1.5067370651279044</v>
      </c>
      <c r="K95">
        <f t="shared" si="32"/>
        <v>0.71554068740416688</v>
      </c>
      <c r="L95">
        <f t="shared" si="32"/>
        <v>1.330504604974418</v>
      </c>
      <c r="M95">
        <f t="shared" si="32"/>
        <v>1.3475829565994593</v>
      </c>
      <c r="N95">
        <f t="shared" si="32"/>
        <v>1.669903922294999</v>
      </c>
      <c r="O95">
        <f t="shared" si="32"/>
        <v>3.4870604723908447</v>
      </c>
      <c r="P95">
        <f t="shared" si="32"/>
        <v>1.693980231177129</v>
      </c>
      <c r="Q95">
        <f t="shared" si="32"/>
        <v>1.4017552776257192</v>
      </c>
      <c r="R95">
        <f t="shared" si="32"/>
        <v>1.2972310843688664</v>
      </c>
      <c r="S95">
        <f t="shared" si="32"/>
        <v>3.6188176614114917</v>
      </c>
      <c r="T95">
        <f t="shared" si="32"/>
        <v>1.7020566207524117</v>
      </c>
      <c r="U95">
        <f t="shared" si="32"/>
        <v>1.7906844209936139</v>
      </c>
      <c r="V95">
        <f t="shared" si="32"/>
        <v>2.4387426609679492</v>
      </c>
      <c r="W95">
        <f t="shared" si="32"/>
        <v>1.6672019074277704</v>
      </c>
      <c r="X95">
        <f t="shared" si="32"/>
        <v>1.7718754937833032</v>
      </c>
      <c r="Y95">
        <f t="shared" si="32"/>
        <v>2.7330270142309674</v>
      </c>
      <c r="Z95">
        <f t="shared" si="32"/>
        <v>0</v>
      </c>
      <c r="AA95">
        <f t="shared" si="32"/>
        <v>1.8364532307659625</v>
      </c>
      <c r="AB95">
        <f t="shared" si="32"/>
        <v>2.2876136752044647</v>
      </c>
      <c r="AC95">
        <f t="shared" si="32"/>
        <v>1.1717166966077146</v>
      </c>
      <c r="AD95">
        <f t="shared" si="32"/>
        <v>2.6786660904952129</v>
      </c>
      <c r="AE95">
        <f t="shared" si="32"/>
        <v>1.2239245065408897</v>
      </c>
      <c r="AG95">
        <f t="shared" si="6"/>
        <v>51</v>
      </c>
      <c r="AH95">
        <f t="shared" si="7"/>
        <v>50.84</v>
      </c>
      <c r="AI95">
        <f t="shared" si="8"/>
        <v>0.15999999999999659</v>
      </c>
    </row>
    <row r="96" spans="1:35" x14ac:dyDescent="0.25">
      <c r="A96" t="s">
        <v>3</v>
      </c>
      <c r="B96">
        <f t="shared" ref="B96:AE96" si="33">IFERROR(VLOOKUP($A96,table_rank_wins,2,0)/(VLOOKUP($A96,table_rank_wins,2,0)+VLOOKUP(B$70,table_rank_wins,2,0))*(B28+HLOOKUP($A96,table_h2h_wins,MATCH(B$70,$A$2:$A$32,0),0)),0)</f>
        <v>0</v>
      </c>
      <c r="C96">
        <f t="shared" si="33"/>
        <v>1.4988461469993102</v>
      </c>
      <c r="D96">
        <f t="shared" si="33"/>
        <v>1.4077052239101902</v>
      </c>
      <c r="E96">
        <f t="shared" si="33"/>
        <v>1.5268810028239643</v>
      </c>
      <c r="F96">
        <f t="shared" si="33"/>
        <v>1.1715442597648664</v>
      </c>
      <c r="G96">
        <f t="shared" si="33"/>
        <v>1.061158000145882</v>
      </c>
      <c r="H96">
        <f t="shared" si="33"/>
        <v>2.2668504847986131</v>
      </c>
      <c r="I96">
        <f t="shared" si="33"/>
        <v>3.1736072487065949</v>
      </c>
      <c r="J96">
        <f t="shared" si="33"/>
        <v>1.565094295578574</v>
      </c>
      <c r="K96">
        <f t="shared" si="33"/>
        <v>0.80863433028731013</v>
      </c>
      <c r="L96">
        <f t="shared" si="33"/>
        <v>1.9369705077782424</v>
      </c>
      <c r="M96">
        <f t="shared" si="33"/>
        <v>1.417490008186669</v>
      </c>
      <c r="N96">
        <f t="shared" si="33"/>
        <v>1.8311720995644631</v>
      </c>
      <c r="O96">
        <f t="shared" si="33"/>
        <v>2.6670006437733589</v>
      </c>
      <c r="P96">
        <f t="shared" si="33"/>
        <v>1.8557217715768024</v>
      </c>
      <c r="Q96">
        <f t="shared" si="33"/>
        <v>1.4681486274256952</v>
      </c>
      <c r="R96">
        <f t="shared" si="33"/>
        <v>1.3700111295169644</v>
      </c>
      <c r="S96">
        <f t="shared" si="33"/>
        <v>3.6717166804536951</v>
      </c>
      <c r="T96">
        <f t="shared" si="33"/>
        <v>2.4282384493872491</v>
      </c>
      <c r="U96">
        <f t="shared" si="33"/>
        <v>1.819473176562445</v>
      </c>
      <c r="V96">
        <f t="shared" si="33"/>
        <v>1.9437566393690102</v>
      </c>
      <c r="W96">
        <f t="shared" si="33"/>
        <v>1.7102258267642272</v>
      </c>
      <c r="X96">
        <f t="shared" si="33"/>
        <v>1.8029665366506129</v>
      </c>
      <c r="Y96">
        <f t="shared" si="33"/>
        <v>2.870484450488521</v>
      </c>
      <c r="Z96">
        <f t="shared" si="33"/>
        <v>2.1635467692340375</v>
      </c>
      <c r="AA96">
        <f t="shared" si="33"/>
        <v>0</v>
      </c>
      <c r="AB96">
        <f t="shared" si="33"/>
        <v>3.1637309593040648</v>
      </c>
      <c r="AC96">
        <f t="shared" si="33"/>
        <v>1.2499798996023948</v>
      </c>
      <c r="AD96">
        <f t="shared" si="33"/>
        <v>2.1146053233007338</v>
      </c>
      <c r="AE96">
        <f t="shared" si="33"/>
        <v>1.3002008931508424</v>
      </c>
      <c r="AG96">
        <f t="shared" si="6"/>
        <v>55</v>
      </c>
      <c r="AH96">
        <f t="shared" si="7"/>
        <v>53.27</v>
      </c>
      <c r="AI96">
        <f t="shared" si="8"/>
        <v>1.7299999999999969</v>
      </c>
    </row>
    <row r="97" spans="1:35" x14ac:dyDescent="0.25">
      <c r="A97" t="s">
        <v>25</v>
      </c>
      <c r="B97">
        <f t="shared" ref="B97:AE97" si="34">IFERROR(VLOOKUP($A97,table_rank_wins,2,0)/(VLOOKUP($A97,table_rank_wins,2,0)+VLOOKUP(B$70,table_rank_wins,2,0))*(B29+HLOOKUP($A97,table_h2h_wins,MATCH(B$70,$A$2:$A$32,0),0)),0)</f>
        <v>0</v>
      </c>
      <c r="C97">
        <f t="shared" si="34"/>
        <v>0.88302830491700224</v>
      </c>
      <c r="D97">
        <f t="shared" si="34"/>
        <v>0.77167407813342181</v>
      </c>
      <c r="E97">
        <f t="shared" si="34"/>
        <v>0.92070607921264636</v>
      </c>
      <c r="F97">
        <f t="shared" si="34"/>
        <v>0.54418088369957418</v>
      </c>
      <c r="G97">
        <f t="shared" si="34"/>
        <v>0.46007903946244849</v>
      </c>
      <c r="H97">
        <f t="shared" si="34"/>
        <v>0.77072172986412746</v>
      </c>
      <c r="I97">
        <f t="shared" si="34"/>
        <v>2.0149968127205669</v>
      </c>
      <c r="J97">
        <f t="shared" si="34"/>
        <v>0.97501280461322537</v>
      </c>
      <c r="K97">
        <f t="shared" si="34"/>
        <v>0.35548668426095414</v>
      </c>
      <c r="L97">
        <f t="shared" si="34"/>
        <v>0.5964974965382136</v>
      </c>
      <c r="M97">
        <f t="shared" si="34"/>
        <v>0.78288142864389565</v>
      </c>
      <c r="N97">
        <f t="shared" si="34"/>
        <v>0.72982885242589635</v>
      </c>
      <c r="O97">
        <f t="shared" si="34"/>
        <v>2.7167255133824297</v>
      </c>
      <c r="P97">
        <f t="shared" si="34"/>
        <v>0.7446830672733995</v>
      </c>
      <c r="Q97">
        <f t="shared" si="34"/>
        <v>0.84370976073480219</v>
      </c>
      <c r="R97">
        <f t="shared" si="34"/>
        <v>0.73001980361200725</v>
      </c>
      <c r="S97">
        <f t="shared" si="34"/>
        <v>2.2417396430263894</v>
      </c>
      <c r="T97">
        <f t="shared" si="34"/>
        <v>1.1598321684721185</v>
      </c>
      <c r="U97">
        <f t="shared" si="34"/>
        <v>1.4541632494763099</v>
      </c>
      <c r="V97">
        <f t="shared" si="34"/>
        <v>1.3089968037673421</v>
      </c>
      <c r="W97">
        <f t="shared" si="34"/>
        <v>1.2187671682087153</v>
      </c>
      <c r="X97">
        <f t="shared" si="34"/>
        <v>1.4149938778476965</v>
      </c>
      <c r="Y97">
        <f t="shared" si="34"/>
        <v>1.607301691914129</v>
      </c>
      <c r="Z97">
        <f t="shared" si="34"/>
        <v>0.71238632479553532</v>
      </c>
      <c r="AA97">
        <f t="shared" si="34"/>
        <v>0.836269040695935</v>
      </c>
      <c r="AB97">
        <f t="shared" si="34"/>
        <v>0</v>
      </c>
      <c r="AC97">
        <f t="shared" si="34"/>
        <v>0.61162319888262184</v>
      </c>
      <c r="AD97">
        <f t="shared" si="34"/>
        <v>1.5479746519595983</v>
      </c>
      <c r="AE97">
        <f t="shared" si="34"/>
        <v>0.65872218709266217</v>
      </c>
      <c r="AG97">
        <f t="shared" si="6"/>
        <v>29</v>
      </c>
      <c r="AH97">
        <f t="shared" si="7"/>
        <v>29.61</v>
      </c>
      <c r="AI97">
        <f t="shared" si="8"/>
        <v>-0.60999999999999943</v>
      </c>
    </row>
    <row r="98" spans="1:35" x14ac:dyDescent="0.25">
      <c r="A98" t="s">
        <v>15</v>
      </c>
      <c r="B98">
        <f t="shared" ref="B98:AE98" si="35">IFERROR(VLOOKUP($A98,table_rank_wins,2,0)/(VLOOKUP($A98,table_rank_wins,2,0)+VLOOKUP(B$70,table_rank_wins,2,0))*(B30+HLOOKUP($A98,table_h2h_wins,MATCH(B$70,$A$2:$A$32,0),0)),0)</f>
        <v>0</v>
      </c>
      <c r="C98">
        <f t="shared" si="35"/>
        <v>2.5686431546891142</v>
      </c>
      <c r="D98">
        <f t="shared" si="35"/>
        <v>2.3512493153001</v>
      </c>
      <c r="E98">
        <f t="shared" si="35"/>
        <v>2.637807633058852</v>
      </c>
      <c r="F98">
        <f t="shared" si="35"/>
        <v>1.8361002710492518</v>
      </c>
      <c r="G98">
        <f t="shared" si="35"/>
        <v>1.6164930428975175</v>
      </c>
      <c r="H98">
        <f t="shared" si="35"/>
        <v>0.87942368516185798</v>
      </c>
      <c r="I98">
        <f t="shared" si="35"/>
        <v>1.3947256845461715</v>
      </c>
      <c r="J98">
        <f t="shared" si="35"/>
        <v>2.7339013179138276</v>
      </c>
      <c r="K98">
        <f t="shared" si="35"/>
        <v>0.36255501184727401</v>
      </c>
      <c r="L98">
        <f t="shared" si="35"/>
        <v>0.72070564999785702</v>
      </c>
      <c r="M98">
        <f t="shared" si="35"/>
        <v>1.780543874776404</v>
      </c>
      <c r="N98">
        <f t="shared" si="35"/>
        <v>0.67251663562550446</v>
      </c>
      <c r="O98">
        <f t="shared" si="35"/>
        <v>1.6555063302637423</v>
      </c>
      <c r="P98">
        <f t="shared" si="35"/>
        <v>0.68358696637196836</v>
      </c>
      <c r="Q98">
        <f t="shared" si="35"/>
        <v>1.2470844661914424</v>
      </c>
      <c r="R98">
        <f t="shared" si="35"/>
        <v>1.6983977094569553</v>
      </c>
      <c r="S98">
        <f t="shared" si="35"/>
        <v>1.7406318176643805</v>
      </c>
      <c r="T98">
        <f t="shared" si="35"/>
        <v>0.96211131414992601</v>
      </c>
      <c r="U98">
        <f t="shared" si="35"/>
        <v>3.4324205047712586</v>
      </c>
      <c r="V98">
        <f t="shared" si="35"/>
        <v>1.0495200399245681</v>
      </c>
      <c r="W98">
        <f t="shared" si="35"/>
        <v>3.1191964291820597</v>
      </c>
      <c r="X98">
        <f t="shared" si="35"/>
        <v>3.3837214450016799</v>
      </c>
      <c r="Y98">
        <f t="shared" si="35"/>
        <v>1.2078800509885956</v>
      </c>
      <c r="Z98">
        <f t="shared" si="35"/>
        <v>0.82828330339228551</v>
      </c>
      <c r="AA98">
        <f t="shared" si="35"/>
        <v>0.75002010039760503</v>
      </c>
      <c r="AB98">
        <f t="shared" si="35"/>
        <v>1.3883768011173783</v>
      </c>
      <c r="AC98">
        <f t="shared" si="35"/>
        <v>0</v>
      </c>
      <c r="AD98">
        <f t="shared" si="35"/>
        <v>1.1779875306889365</v>
      </c>
      <c r="AE98">
        <f t="shared" si="35"/>
        <v>1.5814433397113836</v>
      </c>
      <c r="AG98">
        <f t="shared" si="6"/>
        <v>48</v>
      </c>
      <c r="AH98">
        <f t="shared" si="7"/>
        <v>45.46</v>
      </c>
      <c r="AI98">
        <f t="shared" si="8"/>
        <v>2.5399999999999991</v>
      </c>
    </row>
    <row r="99" spans="1:35" x14ac:dyDescent="0.25">
      <c r="A99" t="s">
        <v>22</v>
      </c>
      <c r="B99">
        <f t="shared" ref="B99:AE99" si="36">IFERROR(VLOOKUP($A99,table_rank_wins,2,0)/(VLOOKUP($A99,table_rank_wins,2,0)+VLOOKUP(B$70,table_rank_wins,2,0))*(B31+HLOOKUP($A99,table_h2h_wins,MATCH(B$70,$A$2:$A$32,0),0)),0)</f>
        <v>0</v>
      </c>
      <c r="C99">
        <f t="shared" si="36"/>
        <v>1.1120019850009668</v>
      </c>
      <c r="D99">
        <f t="shared" si="36"/>
        <v>0.99756088259215137</v>
      </c>
      <c r="E99">
        <f t="shared" si="36"/>
        <v>1.1493961459649862</v>
      </c>
      <c r="F99">
        <f t="shared" si="36"/>
        <v>0.74379955831757261</v>
      </c>
      <c r="G99">
        <f t="shared" si="36"/>
        <v>0.64246167654205832</v>
      </c>
      <c r="H99">
        <f t="shared" si="36"/>
        <v>1.4154180688510634</v>
      </c>
      <c r="I99">
        <f t="shared" si="36"/>
        <v>2.4662320210961979</v>
      </c>
      <c r="J99">
        <f t="shared" si="36"/>
        <v>1.2021672023103913</v>
      </c>
      <c r="K99">
        <f t="shared" si="36"/>
        <v>0.53531419915047518</v>
      </c>
      <c r="L99">
        <f t="shared" si="36"/>
        <v>1.1287470186360371</v>
      </c>
      <c r="M99">
        <f t="shared" si="36"/>
        <v>1.0093530724143651</v>
      </c>
      <c r="N99">
        <f t="shared" si="36"/>
        <v>1.0447384523274206</v>
      </c>
      <c r="O99">
        <f t="shared" si="36"/>
        <v>2.3108858332477569</v>
      </c>
      <c r="P99">
        <f t="shared" si="36"/>
        <v>1.0639168063914355</v>
      </c>
      <c r="Q99">
        <f t="shared" si="36"/>
        <v>1.0722754624668529</v>
      </c>
      <c r="R99">
        <f t="shared" si="36"/>
        <v>0.95317528273224961</v>
      </c>
      <c r="S99">
        <f t="shared" si="36"/>
        <v>3.2961514414231599</v>
      </c>
      <c r="T99">
        <f t="shared" si="36"/>
        <v>1.1783547585917638</v>
      </c>
      <c r="U99">
        <f t="shared" si="36"/>
        <v>1.6168575610467049</v>
      </c>
      <c r="V99">
        <f t="shared" si="36"/>
        <v>1.7407802688186196</v>
      </c>
      <c r="W99">
        <f t="shared" si="36"/>
        <v>1.4238242131277996</v>
      </c>
      <c r="X99">
        <f t="shared" si="36"/>
        <v>1.5860396240212218</v>
      </c>
      <c r="Y99">
        <f t="shared" si="36"/>
        <v>1.5465615608529595</v>
      </c>
      <c r="Z99">
        <f t="shared" si="36"/>
        <v>1.3213339095047876</v>
      </c>
      <c r="AA99">
        <f t="shared" si="36"/>
        <v>0.88539467669926597</v>
      </c>
      <c r="AB99">
        <f t="shared" si="36"/>
        <v>2.4520253480404017</v>
      </c>
      <c r="AC99">
        <f t="shared" si="36"/>
        <v>0.82201246931106342</v>
      </c>
      <c r="AD99">
        <f t="shared" si="36"/>
        <v>0</v>
      </c>
      <c r="AE99">
        <f t="shared" si="36"/>
        <v>0.87510101373135496</v>
      </c>
      <c r="AG99">
        <f t="shared" si="6"/>
        <v>38</v>
      </c>
      <c r="AH99">
        <f t="shared" si="7"/>
        <v>37.590000000000003</v>
      </c>
      <c r="AI99">
        <f t="shared" si="8"/>
        <v>0.40999999999999659</v>
      </c>
    </row>
    <row r="100" spans="1:35" x14ac:dyDescent="0.25">
      <c r="A100" t="s">
        <v>13</v>
      </c>
      <c r="B100">
        <f t="shared" ref="B100:AE100" si="37">IFERROR(VLOOKUP($A100,table_rank_wins,2,0)/(VLOOKUP($A100,table_rank_wins,2,0)+VLOOKUP(B$70,table_rank_wins,2,0))*(B32+HLOOKUP($A100,table_h2h_wins,MATCH(B$70,$A$2:$A$32,0),0)),0)</f>
        <v>0</v>
      </c>
      <c r="C100">
        <f t="shared" si="37"/>
        <v>2.4672653975516985</v>
      </c>
      <c r="D100">
        <f t="shared" si="37"/>
        <v>1.6837457802105011</v>
      </c>
      <c r="E100">
        <f t="shared" si="37"/>
        <v>2.5385413906040033</v>
      </c>
      <c r="F100">
        <f t="shared" si="37"/>
        <v>1.728716232293477</v>
      </c>
      <c r="G100">
        <f t="shared" si="37"/>
        <v>1.5129725426700309</v>
      </c>
      <c r="H100">
        <f t="shared" si="37"/>
        <v>0.82626552302055267</v>
      </c>
      <c r="I100">
        <f t="shared" si="37"/>
        <v>1.3478859652634629</v>
      </c>
      <c r="J100">
        <f t="shared" si="37"/>
        <v>1.9785165119126338</v>
      </c>
      <c r="K100">
        <f t="shared" si="37"/>
        <v>0.33139998762304429</v>
      </c>
      <c r="L100">
        <f t="shared" si="37"/>
        <v>0.67139322886826447</v>
      </c>
      <c r="M100">
        <f t="shared" si="37"/>
        <v>2.2681908197299627</v>
      </c>
      <c r="N100">
        <f t="shared" si="37"/>
        <v>0.62489085130282163</v>
      </c>
      <c r="O100">
        <f t="shared" si="37"/>
        <v>1.6233981871772019</v>
      </c>
      <c r="P100">
        <f t="shared" si="37"/>
        <v>0.63555254918608572</v>
      </c>
      <c r="Q100">
        <f t="shared" si="37"/>
        <v>2.3908209055703171</v>
      </c>
      <c r="R100">
        <f t="shared" si="37"/>
        <v>1.6178003422780121</v>
      </c>
      <c r="S100">
        <f t="shared" si="37"/>
        <v>1.7150922772988275</v>
      </c>
      <c r="T100">
        <f t="shared" si="37"/>
        <v>0.90800500528711492</v>
      </c>
      <c r="U100">
        <f t="shared" si="37"/>
        <v>3.3773920814298437</v>
      </c>
      <c r="V100">
        <f t="shared" si="37"/>
        <v>0.99521160547303755</v>
      </c>
      <c r="W100">
        <f t="shared" si="37"/>
        <v>3.0422734310724469</v>
      </c>
      <c r="X100">
        <f t="shared" si="37"/>
        <v>3.324900153599033</v>
      </c>
      <c r="Y100">
        <f t="shared" si="37"/>
        <v>1.1553377831065774</v>
      </c>
      <c r="Z100">
        <f t="shared" si="37"/>
        <v>0.77607549345911031</v>
      </c>
      <c r="AA100">
        <f t="shared" si="37"/>
        <v>0.69979910684915758</v>
      </c>
      <c r="AB100">
        <f t="shared" si="37"/>
        <v>1.3412778129073377</v>
      </c>
      <c r="AC100">
        <f t="shared" si="37"/>
        <v>1.4185566602886166</v>
      </c>
      <c r="AD100">
        <f t="shared" si="37"/>
        <v>1.1248989862686449</v>
      </c>
      <c r="AE100">
        <f t="shared" si="37"/>
        <v>0</v>
      </c>
      <c r="AG100">
        <f t="shared" si="6"/>
        <v>46</v>
      </c>
      <c r="AH100">
        <f t="shared" si="7"/>
        <v>44.13</v>
      </c>
      <c r="AI100">
        <f t="shared" si="8"/>
        <v>1.8699999999999974</v>
      </c>
    </row>
    <row r="101" spans="1:35" x14ac:dyDescent="0.25">
      <c r="AG101">
        <f t="shared" si="6"/>
        <v>1228</v>
      </c>
      <c r="AH101">
        <f>SUM(AH71:AH100)</f>
        <v>1146</v>
      </c>
      <c r="AI101">
        <f t="shared" ref="AI101" si="38">SUM(AI71:AI100)</f>
        <v>81.999999999999972</v>
      </c>
    </row>
    <row r="102" spans="1:35" x14ac:dyDescent="0.25">
      <c r="A102" t="s">
        <v>39</v>
      </c>
    </row>
    <row r="103" spans="1:35" x14ac:dyDescent="0.25">
      <c r="B103" t="s">
        <v>14</v>
      </c>
      <c r="C103" t="s">
        <v>11</v>
      </c>
      <c r="D103" t="s">
        <v>10</v>
      </c>
      <c r="E103" t="s">
        <v>6</v>
      </c>
      <c r="F103" t="s">
        <v>18</v>
      </c>
      <c r="G103" t="s">
        <v>28</v>
      </c>
      <c r="H103" t="s">
        <v>2</v>
      </c>
      <c r="I103" t="s">
        <v>20</v>
      </c>
      <c r="J103" t="s">
        <v>21</v>
      </c>
      <c r="K103" t="s">
        <v>24</v>
      </c>
      <c r="L103" t="s">
        <v>4</v>
      </c>
      <c r="M103" t="s">
        <v>8</v>
      </c>
      <c r="N103" t="s">
        <v>29</v>
      </c>
      <c r="O103" t="s">
        <v>5</v>
      </c>
      <c r="P103" t="s">
        <v>16</v>
      </c>
      <c r="Q103" t="s">
        <v>12</v>
      </c>
      <c r="R103" t="s">
        <v>7</v>
      </c>
      <c r="S103" t="s">
        <v>17</v>
      </c>
      <c r="T103" t="s">
        <v>0</v>
      </c>
      <c r="U103" t="s">
        <v>19</v>
      </c>
      <c r="V103" t="s">
        <v>26</v>
      </c>
      <c r="W103" t="s">
        <v>1</v>
      </c>
      <c r="X103" t="s">
        <v>9</v>
      </c>
      <c r="Y103" t="s">
        <v>23</v>
      </c>
      <c r="Z103" t="s">
        <v>27</v>
      </c>
      <c r="AA103" t="s">
        <v>3</v>
      </c>
      <c r="AB103" t="s">
        <v>25</v>
      </c>
      <c r="AC103" t="s">
        <v>15</v>
      </c>
      <c r="AD103" t="s">
        <v>22</v>
      </c>
      <c r="AE103" t="s">
        <v>13</v>
      </c>
    </row>
    <row r="104" spans="1:35" x14ac:dyDescent="0.25">
      <c r="A104" t="s">
        <v>14</v>
      </c>
      <c r="B104">
        <f t="shared" ref="B104:AE104" si="39">(B3-B71)^2</f>
        <v>0</v>
      </c>
      <c r="C104">
        <f t="shared" si="39"/>
        <v>16</v>
      </c>
      <c r="D104">
        <f t="shared" si="39"/>
        <v>4</v>
      </c>
      <c r="E104">
        <f t="shared" si="39"/>
        <v>4</v>
      </c>
      <c r="F104">
        <f t="shared" si="39"/>
        <v>4</v>
      </c>
      <c r="G104">
        <f t="shared" si="39"/>
        <v>9</v>
      </c>
      <c r="H104">
        <f t="shared" si="39"/>
        <v>4</v>
      </c>
      <c r="I104">
        <f t="shared" si="39"/>
        <v>1</v>
      </c>
      <c r="J104">
        <f t="shared" si="39"/>
        <v>9</v>
      </c>
      <c r="K104">
        <f t="shared" si="39"/>
        <v>1</v>
      </c>
      <c r="L104">
        <f t="shared" si="39"/>
        <v>4</v>
      </c>
      <c r="M104">
        <f t="shared" si="39"/>
        <v>9</v>
      </c>
      <c r="N104">
        <f t="shared" si="39"/>
        <v>4</v>
      </c>
      <c r="O104">
        <f t="shared" si="39"/>
        <v>1</v>
      </c>
      <c r="P104">
        <f t="shared" si="39"/>
        <v>1</v>
      </c>
      <c r="Q104">
        <f t="shared" si="39"/>
        <v>16</v>
      </c>
      <c r="R104">
        <f t="shared" si="39"/>
        <v>9</v>
      </c>
      <c r="S104">
        <f t="shared" si="39"/>
        <v>4</v>
      </c>
      <c r="T104">
        <f t="shared" si="39"/>
        <v>1</v>
      </c>
      <c r="U104">
        <f t="shared" si="39"/>
        <v>4</v>
      </c>
      <c r="V104">
        <f t="shared" si="39"/>
        <v>1</v>
      </c>
      <c r="W104">
        <f t="shared" si="39"/>
        <v>9</v>
      </c>
      <c r="X104">
        <f t="shared" si="39"/>
        <v>9</v>
      </c>
      <c r="Y104">
        <f t="shared" si="39"/>
        <v>4</v>
      </c>
      <c r="Z104">
        <f t="shared" si="39"/>
        <v>4</v>
      </c>
      <c r="AA104">
        <f t="shared" si="39"/>
        <v>0</v>
      </c>
      <c r="AB104">
        <f t="shared" si="39"/>
        <v>4</v>
      </c>
      <c r="AC104">
        <f t="shared" si="39"/>
        <v>1</v>
      </c>
      <c r="AD104">
        <f t="shared" si="39"/>
        <v>4</v>
      </c>
      <c r="AE104">
        <f t="shared" si="39"/>
        <v>9</v>
      </c>
    </row>
    <row r="105" spans="1:35" x14ac:dyDescent="0.25">
      <c r="A105" t="s">
        <v>11</v>
      </c>
      <c r="B105">
        <f t="shared" ref="B105:AE105" si="40">(B4-B72)^2</f>
        <v>0</v>
      </c>
      <c r="C105">
        <f t="shared" si="40"/>
        <v>0</v>
      </c>
      <c r="D105">
        <f t="shared" si="40"/>
        <v>0.59471906361797588</v>
      </c>
      <c r="E105">
        <f t="shared" si="40"/>
        <v>0.19620845059624112</v>
      </c>
      <c r="F105">
        <f t="shared" si="40"/>
        <v>8.0733727251629431E-2</v>
      </c>
      <c r="G105">
        <f t="shared" si="40"/>
        <v>9.4239320506428192E-3</v>
      </c>
      <c r="H105">
        <f t="shared" si="40"/>
        <v>0.15325431895302682</v>
      </c>
      <c r="I105">
        <f t="shared" si="40"/>
        <v>0.76674361589284856</v>
      </c>
      <c r="J105">
        <f t="shared" si="40"/>
        <v>0.13076814971799694</v>
      </c>
      <c r="K105">
        <f t="shared" si="40"/>
        <v>0.60892818998881859</v>
      </c>
      <c r="L105">
        <f t="shared" si="40"/>
        <v>0.22833858270033175</v>
      </c>
      <c r="M105">
        <f t="shared" si="40"/>
        <v>0.42789238207256697</v>
      </c>
      <c r="N105">
        <f t="shared" si="40"/>
        <v>0.31325481866286914</v>
      </c>
      <c r="O105">
        <f t="shared" si="40"/>
        <v>0.29570661992000707</v>
      </c>
      <c r="P105">
        <f t="shared" si="40"/>
        <v>0.20146510816540858</v>
      </c>
      <c r="Q105">
        <f t="shared" si="40"/>
        <v>3.6860103806383</v>
      </c>
      <c r="R105">
        <f t="shared" si="40"/>
        <v>0.46786123284234277</v>
      </c>
      <c r="S105">
        <f t="shared" si="40"/>
        <v>0.33411928758772669</v>
      </c>
      <c r="T105">
        <f t="shared" si="40"/>
        <v>0.4640658333751238</v>
      </c>
      <c r="U105">
        <f t="shared" si="40"/>
        <v>0.83786792297977708</v>
      </c>
      <c r="V105">
        <f t="shared" si="40"/>
        <v>1.5330269709921838</v>
      </c>
      <c r="W105">
        <f t="shared" si="40"/>
        <v>1.0179947838087009</v>
      </c>
      <c r="X105">
        <f t="shared" si="40"/>
        <v>2.1539052546507578E-4</v>
      </c>
      <c r="Y105">
        <f t="shared" si="40"/>
        <v>0.84411369011381709</v>
      </c>
      <c r="Z105">
        <f t="shared" si="40"/>
        <v>0.18905944489935045</v>
      </c>
      <c r="AA105">
        <f t="shared" si="40"/>
        <v>0.2488474783760575</v>
      </c>
      <c r="AB105">
        <f t="shared" si="40"/>
        <v>0.77973898728459468</v>
      </c>
      <c r="AC105">
        <f t="shared" si="40"/>
        <v>0.32335503737478732</v>
      </c>
      <c r="AD105">
        <f t="shared" si="40"/>
        <v>0.78854047464222354</v>
      </c>
      <c r="AE105">
        <f t="shared" si="40"/>
        <v>0.21833695174914725</v>
      </c>
    </row>
    <row r="106" spans="1:35" x14ac:dyDescent="0.25">
      <c r="A106" t="s">
        <v>10</v>
      </c>
      <c r="B106">
        <f t="shared" ref="B106:AE106" si="41">(B5-B73)^2</f>
        <v>1</v>
      </c>
      <c r="C106">
        <f t="shared" si="41"/>
        <v>0.59471906361797555</v>
      </c>
      <c r="D106">
        <f t="shared" si="41"/>
        <v>0</v>
      </c>
      <c r="E106">
        <f t="shared" si="41"/>
        <v>9.2148619633535087E-2</v>
      </c>
      <c r="F106">
        <f t="shared" si="41"/>
        <v>0.24222146632201147</v>
      </c>
      <c r="G106">
        <f t="shared" si="41"/>
        <v>0.50526265713048568</v>
      </c>
      <c r="H106">
        <f t="shared" si="41"/>
        <v>0.50401673428653004</v>
      </c>
      <c r="I106">
        <f t="shared" si="41"/>
        <v>0.58458063734414145</v>
      </c>
      <c r="J106">
        <f t="shared" si="41"/>
        <v>3.7342387788941479E-2</v>
      </c>
      <c r="K106">
        <f t="shared" si="41"/>
        <v>7.2248106248798433E-2</v>
      </c>
      <c r="L106">
        <f t="shared" si="41"/>
        <v>0.32075442527585046</v>
      </c>
      <c r="M106">
        <f t="shared" si="41"/>
        <v>0.95338851434448835</v>
      </c>
      <c r="N106">
        <f t="shared" si="41"/>
        <v>0.2748423621759199</v>
      </c>
      <c r="O106">
        <f t="shared" si="41"/>
        <v>0.29410512156885782</v>
      </c>
      <c r="P106">
        <f t="shared" si="41"/>
        <v>0.21728148638652872</v>
      </c>
      <c r="Q106">
        <f t="shared" si="41"/>
        <v>1.3211268467024038</v>
      </c>
      <c r="R106">
        <f t="shared" si="41"/>
        <v>0.18784769137140653</v>
      </c>
      <c r="S106">
        <f t="shared" si="41"/>
        <v>0.42183488411654674</v>
      </c>
      <c r="T106">
        <f t="shared" si="41"/>
        <v>1.4691912030808445</v>
      </c>
      <c r="U106">
        <f t="shared" si="41"/>
        <v>5.6042316272985608E-2</v>
      </c>
      <c r="V106">
        <f t="shared" si="41"/>
        <v>0.76176070161857801</v>
      </c>
      <c r="W106">
        <f t="shared" si="41"/>
        <v>0.72530136199796869</v>
      </c>
      <c r="X106">
        <f t="shared" si="41"/>
        <v>0.68016717179516184</v>
      </c>
      <c r="Y106">
        <f t="shared" si="41"/>
        <v>1.120751261402881E-3</v>
      </c>
      <c r="Z106">
        <f t="shared" si="41"/>
        <v>0.11368562981966847</v>
      </c>
      <c r="AA106">
        <f t="shared" si="41"/>
        <v>0.35081310178327813</v>
      </c>
      <c r="AB106">
        <f t="shared" si="41"/>
        <v>5.2132726596222714E-2</v>
      </c>
      <c r="AC106">
        <f t="shared" si="41"/>
        <v>0.12337608149878919</v>
      </c>
      <c r="AD106">
        <f t="shared" si="41"/>
        <v>0.99512771447803205</v>
      </c>
      <c r="AE106">
        <f t="shared" si="41"/>
        <v>0.10001673153466466</v>
      </c>
    </row>
    <row r="107" spans="1:35" x14ac:dyDescent="0.25">
      <c r="A107" t="s">
        <v>6</v>
      </c>
      <c r="B107">
        <f t="shared" ref="B107:AE107" si="42">(B6-B74)^2</f>
        <v>4</v>
      </c>
      <c r="C107">
        <f t="shared" si="42"/>
        <v>0.19620845059624112</v>
      </c>
      <c r="D107">
        <f t="shared" si="42"/>
        <v>9.214861963353535E-2</v>
      </c>
      <c r="E107">
        <f t="shared" si="42"/>
        <v>0</v>
      </c>
      <c r="F107">
        <f t="shared" si="42"/>
        <v>0.6104125898084507</v>
      </c>
      <c r="G107">
        <f t="shared" si="42"/>
        <v>0.60552599665089979</v>
      </c>
      <c r="H107">
        <f t="shared" si="42"/>
        <v>0.33269030784269876</v>
      </c>
      <c r="I107">
        <f t="shared" si="42"/>
        <v>0.83404245222966789</v>
      </c>
      <c r="J107">
        <f t="shared" si="42"/>
        <v>1.1843768089920043E-2</v>
      </c>
      <c r="K107">
        <f t="shared" si="42"/>
        <v>4.2114213631524462E-2</v>
      </c>
      <c r="L107">
        <f t="shared" si="42"/>
        <v>0.20315275903654359</v>
      </c>
      <c r="M107">
        <f t="shared" si="42"/>
        <v>0.51771181820332801</v>
      </c>
      <c r="N107">
        <f t="shared" si="42"/>
        <v>0.17200540260178587</v>
      </c>
      <c r="O107">
        <f t="shared" si="42"/>
        <v>0.18110459887322464</v>
      </c>
      <c r="P107">
        <f t="shared" si="42"/>
        <v>0.17885640479682421</v>
      </c>
      <c r="Q107">
        <f t="shared" si="42"/>
        <v>2.4312603908410804E-2</v>
      </c>
      <c r="R107">
        <f t="shared" si="42"/>
        <v>0.62771809387690736</v>
      </c>
      <c r="S107">
        <f t="shared" si="42"/>
        <v>0.20058078344055491</v>
      </c>
      <c r="T107">
        <f t="shared" si="42"/>
        <v>0.12427944659620162</v>
      </c>
      <c r="U107">
        <f t="shared" si="42"/>
        <v>8.8969682306260347E-4</v>
      </c>
      <c r="V107">
        <f t="shared" si="42"/>
        <v>0.52750271281315797</v>
      </c>
      <c r="W107">
        <f t="shared" si="42"/>
        <v>0.34334633927974539</v>
      </c>
      <c r="X107">
        <f t="shared" si="42"/>
        <v>4.7441655446292308E-2</v>
      </c>
      <c r="Y107">
        <f t="shared" si="42"/>
        <v>1.4138761429964309E-2</v>
      </c>
      <c r="Z107">
        <f t="shared" si="42"/>
        <v>0.28606616254385003</v>
      </c>
      <c r="AA107">
        <f t="shared" si="42"/>
        <v>0.22384158548885771</v>
      </c>
      <c r="AB107">
        <f t="shared" si="42"/>
        <v>1.1648753674485386</v>
      </c>
      <c r="AC107">
        <f t="shared" si="42"/>
        <v>0.40679857678813552</v>
      </c>
      <c r="AD107">
        <f t="shared" si="42"/>
        <v>2.2319208429191523E-2</v>
      </c>
      <c r="AE107">
        <f t="shared" si="42"/>
        <v>0.29002682939369318</v>
      </c>
    </row>
    <row r="108" spans="1:35" x14ac:dyDescent="0.25">
      <c r="A108" t="s">
        <v>18</v>
      </c>
      <c r="B108">
        <f t="shared" ref="B108:AE108" si="43">(B7-B75)^2</f>
        <v>1</v>
      </c>
      <c r="C108">
        <f t="shared" si="43"/>
        <v>8.0733727251629681E-2</v>
      </c>
      <c r="D108">
        <f t="shared" si="43"/>
        <v>0.24222146632201191</v>
      </c>
      <c r="E108">
        <f t="shared" si="43"/>
        <v>0.61041258980845103</v>
      </c>
      <c r="F108">
        <f t="shared" si="43"/>
        <v>0</v>
      </c>
      <c r="G108">
        <f t="shared" si="43"/>
        <v>0.60355299384167926</v>
      </c>
      <c r="H108">
        <f t="shared" si="43"/>
        <v>1.5219311188414311E-3</v>
      </c>
      <c r="I108">
        <f t="shared" si="43"/>
        <v>0.21320321436621095</v>
      </c>
      <c r="J108">
        <f t="shared" si="43"/>
        <v>0.75967078434333857</v>
      </c>
      <c r="K108">
        <f t="shared" si="43"/>
        <v>0.34352820812963936</v>
      </c>
      <c r="L108">
        <f t="shared" si="43"/>
        <v>4.0790724200014533E-2</v>
      </c>
      <c r="M108">
        <f t="shared" si="43"/>
        <v>0.28072766974668789</v>
      </c>
      <c r="N108">
        <f t="shared" si="43"/>
        <v>6.3657638809357528E-2</v>
      </c>
      <c r="O108">
        <f t="shared" si="43"/>
        <v>0.48980489220322809</v>
      </c>
      <c r="P108">
        <f t="shared" si="43"/>
        <v>5.7938724570221492E-2</v>
      </c>
      <c r="Q108">
        <f t="shared" si="43"/>
        <v>2.6386295057255661E-4</v>
      </c>
      <c r="R108">
        <f t="shared" si="43"/>
        <v>0.33196495137681814</v>
      </c>
      <c r="S108">
        <f t="shared" si="43"/>
        <v>5.0394764058284837E-2</v>
      </c>
      <c r="T108">
        <f t="shared" si="43"/>
        <v>0.91355667277259966</v>
      </c>
      <c r="U108">
        <f t="shared" si="43"/>
        <v>0.13625999332936245</v>
      </c>
      <c r="V108">
        <f t="shared" si="43"/>
        <v>1.7144899896131494E-2</v>
      </c>
      <c r="W108">
        <f t="shared" si="43"/>
        <v>1.5051234943638241</v>
      </c>
      <c r="X108">
        <f t="shared" si="43"/>
        <v>0.16125298161364912</v>
      </c>
      <c r="Y108">
        <f t="shared" si="43"/>
        <v>8.1210837423569854E-2</v>
      </c>
      <c r="Z108">
        <f t="shared" si="43"/>
        <v>8.2897520005111424E-3</v>
      </c>
      <c r="AA108">
        <f t="shared" si="43"/>
        <v>2.9427433058275932E-2</v>
      </c>
      <c r="AB108">
        <f t="shared" si="43"/>
        <v>0.20777106678490123</v>
      </c>
      <c r="AC108">
        <f t="shared" si="43"/>
        <v>3.3712642053471349</v>
      </c>
      <c r="AD108">
        <f t="shared" si="43"/>
        <v>6.5638666318270936E-2</v>
      </c>
      <c r="AE108">
        <f t="shared" si="43"/>
        <v>7.359488262104659E-2</v>
      </c>
    </row>
    <row r="109" spans="1:35" x14ac:dyDescent="0.25">
      <c r="A109" t="s">
        <v>28</v>
      </c>
      <c r="B109">
        <f t="shared" ref="B109:AE109" si="44">(B8-B76)^2</f>
        <v>1</v>
      </c>
      <c r="C109">
        <f t="shared" si="44"/>
        <v>9.4239320506428626E-3</v>
      </c>
      <c r="D109">
        <f t="shared" si="44"/>
        <v>0.50526265713048513</v>
      </c>
      <c r="E109">
        <f t="shared" si="44"/>
        <v>0.60552599665089979</v>
      </c>
      <c r="F109">
        <f t="shared" si="44"/>
        <v>0.6035529938416796</v>
      </c>
      <c r="G109">
        <f t="shared" si="44"/>
        <v>0</v>
      </c>
      <c r="H109">
        <f t="shared" si="44"/>
        <v>5.3088413219953955E-3</v>
      </c>
      <c r="I109">
        <f t="shared" si="44"/>
        <v>0.2972561799178764</v>
      </c>
      <c r="J109">
        <f t="shared" si="44"/>
        <v>1.9317428511573052E-3</v>
      </c>
      <c r="K109">
        <f t="shared" si="44"/>
        <v>0.25781579712559172</v>
      </c>
      <c r="L109">
        <f t="shared" si="44"/>
        <v>0.82356627906098789</v>
      </c>
      <c r="M109">
        <f t="shared" si="44"/>
        <v>0.53485401307662317</v>
      </c>
      <c r="N109">
        <f t="shared" si="44"/>
        <v>1.3106226371312863</v>
      </c>
      <c r="O109">
        <f t="shared" si="44"/>
        <v>6.1179824708894832E-2</v>
      </c>
      <c r="P109">
        <f t="shared" si="44"/>
        <v>1.2830355827099278</v>
      </c>
      <c r="Q109">
        <f t="shared" si="44"/>
        <v>0.70219924539803669</v>
      </c>
      <c r="R109">
        <f t="shared" si="44"/>
        <v>0.13541806936308939</v>
      </c>
      <c r="S109">
        <f t="shared" si="44"/>
        <v>3.3695711709626999E-2</v>
      </c>
      <c r="T109">
        <f t="shared" si="44"/>
        <v>2.4022162258769283E-2</v>
      </c>
      <c r="U109">
        <f t="shared" si="44"/>
        <v>0.48648903821276968</v>
      </c>
      <c r="V109">
        <f t="shared" si="44"/>
        <v>5.7122922695543484E-2</v>
      </c>
      <c r="W109">
        <f t="shared" si="44"/>
        <v>0.23250585911815078</v>
      </c>
      <c r="X109">
        <f t="shared" si="44"/>
        <v>0.44913813473420283</v>
      </c>
      <c r="Y109">
        <f t="shared" si="44"/>
        <v>0.14769733291358875</v>
      </c>
      <c r="Z109">
        <f t="shared" si="44"/>
        <v>4.2927705233062767E-4</v>
      </c>
      <c r="AA109">
        <f t="shared" si="44"/>
        <v>3.7403009818437051E-3</v>
      </c>
      <c r="AB109">
        <f t="shared" si="44"/>
        <v>0.29151464362779217</v>
      </c>
      <c r="AC109">
        <f t="shared" si="44"/>
        <v>0.38006367194104007</v>
      </c>
      <c r="AD109">
        <f t="shared" si="44"/>
        <v>0.12783365274111588</v>
      </c>
      <c r="AE109">
        <f t="shared" si="44"/>
        <v>0.26314082953335688</v>
      </c>
    </row>
    <row r="110" spans="1:35" x14ac:dyDescent="0.25">
      <c r="A110" t="s">
        <v>2</v>
      </c>
      <c r="B110">
        <f t="shared" ref="B110:AE110" si="45">(B9-B77)^2</f>
        <v>0</v>
      </c>
      <c r="C110">
        <f t="shared" si="45"/>
        <v>0.15325431895302699</v>
      </c>
      <c r="D110">
        <f t="shared" si="45"/>
        <v>0.50401673428653015</v>
      </c>
      <c r="E110">
        <f t="shared" si="45"/>
        <v>0.33269030784269898</v>
      </c>
      <c r="F110">
        <f t="shared" si="45"/>
        <v>1.5219311188414397E-3</v>
      </c>
      <c r="G110">
        <f t="shared" si="45"/>
        <v>5.3088413219953791E-3</v>
      </c>
      <c r="H110">
        <f t="shared" si="45"/>
        <v>0</v>
      </c>
      <c r="I110">
        <f t="shared" si="45"/>
        <v>5.6565968842275889E-2</v>
      </c>
      <c r="J110">
        <f t="shared" si="45"/>
        <v>0.21796764164950266</v>
      </c>
      <c r="K110">
        <f t="shared" si="45"/>
        <v>0.77474053305544532</v>
      </c>
      <c r="L110">
        <f t="shared" si="45"/>
        <v>0.45091401581555657</v>
      </c>
      <c r="M110">
        <f t="shared" si="45"/>
        <v>1.6921369551889343</v>
      </c>
      <c r="N110">
        <f t="shared" si="45"/>
        <v>3.1286707928521985E-2</v>
      </c>
      <c r="O110">
        <f t="shared" si="45"/>
        <v>0.31531518638372297</v>
      </c>
      <c r="P110">
        <f t="shared" si="45"/>
        <v>0.35140087166331463</v>
      </c>
      <c r="Q110">
        <f t="shared" si="45"/>
        <v>0.1274662275713804</v>
      </c>
      <c r="R110">
        <f t="shared" si="45"/>
        <v>0.56419263198675473</v>
      </c>
      <c r="S110">
        <f t="shared" si="45"/>
        <v>9.8654092702005133E-2</v>
      </c>
      <c r="T110">
        <f t="shared" si="45"/>
        <v>0.6953321080198831</v>
      </c>
      <c r="U110">
        <f t="shared" si="45"/>
        <v>5.2776889623549213E-2</v>
      </c>
      <c r="V110">
        <f t="shared" si="45"/>
        <v>0.43801432331270029</v>
      </c>
      <c r="W110">
        <f t="shared" si="45"/>
        <v>0.13163749520451667</v>
      </c>
      <c r="X110">
        <f t="shared" si="45"/>
        <v>6.2559767029973179E-2</v>
      </c>
      <c r="Y110">
        <f t="shared" si="45"/>
        <v>2.6923873245837986</v>
      </c>
      <c r="Z110">
        <f t="shared" si="45"/>
        <v>1.0908394076464972E-2</v>
      </c>
      <c r="AA110">
        <f t="shared" si="45"/>
        <v>7.1209181237255059E-2</v>
      </c>
      <c r="AB110">
        <f t="shared" si="45"/>
        <v>0.5940119848847536</v>
      </c>
      <c r="AC110">
        <f t="shared" si="45"/>
        <v>0.77338601802366269</v>
      </c>
      <c r="AD110">
        <f t="shared" si="45"/>
        <v>0.17257217192794683</v>
      </c>
      <c r="AE110">
        <f t="shared" si="45"/>
        <v>0.68271471453242705</v>
      </c>
    </row>
    <row r="111" spans="1:35" x14ac:dyDescent="0.25">
      <c r="A111" t="s">
        <v>20</v>
      </c>
      <c r="B111">
        <f t="shared" ref="B111:AE111" si="46">(B10-B78)^2</f>
        <v>1</v>
      </c>
      <c r="C111">
        <f t="shared" si="46"/>
        <v>0.76674361589284812</v>
      </c>
      <c r="D111">
        <f t="shared" si="46"/>
        <v>0.58458063734414134</v>
      </c>
      <c r="E111">
        <f t="shared" si="46"/>
        <v>0.83404245222966855</v>
      </c>
      <c r="F111">
        <f t="shared" si="46"/>
        <v>0.21320321436621087</v>
      </c>
      <c r="G111">
        <f t="shared" si="46"/>
        <v>0.2972561799178764</v>
      </c>
      <c r="H111">
        <f t="shared" si="46"/>
        <v>5.6565968842275993E-2</v>
      </c>
      <c r="I111">
        <f t="shared" si="46"/>
        <v>0</v>
      </c>
      <c r="J111">
        <f t="shared" si="46"/>
        <v>1.0549189758516766E-3</v>
      </c>
      <c r="K111">
        <f t="shared" si="46"/>
        <v>0.54317739597031067</v>
      </c>
      <c r="L111">
        <f t="shared" si="46"/>
        <v>0.61750852030449743</v>
      </c>
      <c r="M111">
        <f t="shared" si="46"/>
        <v>1.4987926802307387</v>
      </c>
      <c r="N111">
        <f t="shared" si="46"/>
        <v>7.7883877335332571E-2</v>
      </c>
      <c r="O111">
        <f t="shared" si="46"/>
        <v>8.7841441492841829E-2</v>
      </c>
      <c r="P111">
        <f t="shared" si="46"/>
        <v>0.2009480764298367</v>
      </c>
      <c r="Q111">
        <f t="shared" si="46"/>
        <v>2.6763952841141025E-2</v>
      </c>
      <c r="R111">
        <f t="shared" si="46"/>
        <v>7.6683580974880899E-2</v>
      </c>
      <c r="S111">
        <f t="shared" si="46"/>
        <v>5.0112028404426042E-4</v>
      </c>
      <c r="T111">
        <f t="shared" si="46"/>
        <v>3.4316798104121191</v>
      </c>
      <c r="U111">
        <f t="shared" si="46"/>
        <v>0.20087531444472023</v>
      </c>
      <c r="V111">
        <f t="shared" si="46"/>
        <v>8.7512020628975951E-2</v>
      </c>
      <c r="W111">
        <f t="shared" si="46"/>
        <v>0.62154949283572314</v>
      </c>
      <c r="X111">
        <f t="shared" si="46"/>
        <v>1.9846257877242355</v>
      </c>
      <c r="Y111">
        <f t="shared" si="46"/>
        <v>3.7899596281595872E-2</v>
      </c>
      <c r="Z111">
        <f t="shared" si="46"/>
        <v>0.88177529238740104</v>
      </c>
      <c r="AA111">
        <f t="shared" si="46"/>
        <v>0.68292497939028363</v>
      </c>
      <c r="AB111">
        <f t="shared" si="46"/>
        <v>2.2490439177575583E-4</v>
      </c>
      <c r="AC111">
        <f t="shared" si="46"/>
        <v>0.36635699694810053</v>
      </c>
      <c r="AD111">
        <f t="shared" si="46"/>
        <v>0.21737229749544529</v>
      </c>
      <c r="AE111">
        <f t="shared" si="46"/>
        <v>0.42525271430036549</v>
      </c>
    </row>
    <row r="112" spans="1:35" x14ac:dyDescent="0.25">
      <c r="A112" t="s">
        <v>21</v>
      </c>
      <c r="B112">
        <f t="shared" ref="B112:AE112" si="47">(B11-B79)^2</f>
        <v>1</v>
      </c>
      <c r="C112">
        <f t="shared" si="47"/>
        <v>0.13076814971799694</v>
      </c>
      <c r="D112">
        <f t="shared" si="47"/>
        <v>3.734238778894157E-2</v>
      </c>
      <c r="E112">
        <f t="shared" si="47"/>
        <v>1.1843768089920043E-2</v>
      </c>
      <c r="F112">
        <f t="shared" si="47"/>
        <v>0.75967078434333857</v>
      </c>
      <c r="G112">
        <f t="shared" si="47"/>
        <v>1.9317428511573345E-3</v>
      </c>
      <c r="H112">
        <f t="shared" si="47"/>
        <v>0.21796764164950244</v>
      </c>
      <c r="I112">
        <f t="shared" si="47"/>
        <v>1.0549189758516549E-3</v>
      </c>
      <c r="J112">
        <f t="shared" si="47"/>
        <v>0</v>
      </c>
      <c r="K112">
        <f t="shared" si="47"/>
        <v>3.4598349075992511E-2</v>
      </c>
      <c r="L112">
        <f t="shared" si="47"/>
        <v>0.3435953328104499</v>
      </c>
      <c r="M112">
        <f t="shared" si="47"/>
        <v>0.14927313755153881</v>
      </c>
      <c r="N112">
        <f t="shared" si="47"/>
        <v>0.14444853030678143</v>
      </c>
      <c r="O112">
        <f t="shared" si="47"/>
        <v>1.9042557037356451</v>
      </c>
      <c r="P112">
        <f t="shared" si="47"/>
        <v>0.37487923233664616</v>
      </c>
      <c r="Q112">
        <f t="shared" si="47"/>
        <v>0.4868226024604857</v>
      </c>
      <c r="R112">
        <f t="shared" si="47"/>
        <v>0.25673078229329094</v>
      </c>
      <c r="S112">
        <f t="shared" si="47"/>
        <v>2.2895924657714484</v>
      </c>
      <c r="T112">
        <f t="shared" si="47"/>
        <v>0.36085498675601019</v>
      </c>
      <c r="U112">
        <f t="shared" si="47"/>
        <v>2.7512265027253183E-3</v>
      </c>
      <c r="V112">
        <f t="shared" si="47"/>
        <v>0.10452647019880393</v>
      </c>
      <c r="W112">
        <f t="shared" si="47"/>
        <v>0.26537096241186064</v>
      </c>
      <c r="X112">
        <f t="shared" si="47"/>
        <v>3.5003828016792347</v>
      </c>
      <c r="Y112">
        <f t="shared" si="47"/>
        <v>2.9655196567186987E-2</v>
      </c>
      <c r="Z112">
        <f t="shared" si="47"/>
        <v>0.24330832291863311</v>
      </c>
      <c r="AA112">
        <f t="shared" si="47"/>
        <v>0.31933156289544479</v>
      </c>
      <c r="AB112">
        <f t="shared" si="47"/>
        <v>0.95064996915974798</v>
      </c>
      <c r="AC112">
        <f t="shared" si="47"/>
        <v>0.53861114443565239</v>
      </c>
      <c r="AD112">
        <f t="shared" si="47"/>
        <v>0.63653717306922841</v>
      </c>
      <c r="AE112">
        <f t="shared" si="47"/>
        <v>4.6154026039999679E-4</v>
      </c>
    </row>
    <row r="113" spans="1:31" x14ac:dyDescent="0.25">
      <c r="A113" t="s">
        <v>24</v>
      </c>
      <c r="B113">
        <f t="shared" ref="B113:AE113" si="48">(B12-B80)^2</f>
        <v>1</v>
      </c>
      <c r="C113">
        <f t="shared" si="48"/>
        <v>0.60892818998881881</v>
      </c>
      <c r="D113">
        <f t="shared" si="48"/>
        <v>7.2248106248798405E-2</v>
      </c>
      <c r="E113">
        <f t="shared" si="48"/>
        <v>4.2114213631524483E-2</v>
      </c>
      <c r="F113">
        <f t="shared" si="48"/>
        <v>0.34352820812963919</v>
      </c>
      <c r="G113">
        <f t="shared" si="48"/>
        <v>0.25781579712559161</v>
      </c>
      <c r="H113">
        <f t="shared" si="48"/>
        <v>0.77474053305544544</v>
      </c>
      <c r="I113">
        <f t="shared" si="48"/>
        <v>0.54317739597031067</v>
      </c>
      <c r="J113">
        <f t="shared" si="48"/>
        <v>3.4598349075992525E-2</v>
      </c>
      <c r="K113">
        <f t="shared" si="48"/>
        <v>0</v>
      </c>
      <c r="L113">
        <f t="shared" si="48"/>
        <v>1.2736259578893854</v>
      </c>
      <c r="M113">
        <f t="shared" si="48"/>
        <v>0.54265347654579843</v>
      </c>
      <c r="N113">
        <f t="shared" si="48"/>
        <v>4.6882684954025429E-2</v>
      </c>
      <c r="O113">
        <f t="shared" si="48"/>
        <v>0.67868039575820616</v>
      </c>
      <c r="P113">
        <f t="shared" si="48"/>
        <v>1.0653058401571812E-2</v>
      </c>
      <c r="Q113">
        <f t="shared" si="48"/>
        <v>5.5615554866554562E-2</v>
      </c>
      <c r="R113">
        <f t="shared" si="48"/>
        <v>8.4180904566003398E-2</v>
      </c>
      <c r="S113">
        <f t="shared" si="48"/>
        <v>1.6321478035069038E-2</v>
      </c>
      <c r="T113">
        <f t="shared" si="48"/>
        <v>5.2344996712394593E-2</v>
      </c>
      <c r="U113">
        <f t="shared" si="48"/>
        <v>4.9899205799678534E-3</v>
      </c>
      <c r="V113">
        <f t="shared" si="48"/>
        <v>0.11014918015505425</v>
      </c>
      <c r="W113">
        <f t="shared" si="48"/>
        <v>1.3850643325892168E-2</v>
      </c>
      <c r="X113">
        <f t="shared" si="48"/>
        <v>6.010353700444445E-3</v>
      </c>
      <c r="Y113">
        <f t="shared" si="48"/>
        <v>0.2428831887783105</v>
      </c>
      <c r="Z113">
        <f t="shared" si="48"/>
        <v>0.51199847533082754</v>
      </c>
      <c r="AA113">
        <f t="shared" si="48"/>
        <v>1.4193521589699662</v>
      </c>
      <c r="AB113">
        <f t="shared" si="48"/>
        <v>0.12637078268684726</v>
      </c>
      <c r="AC113">
        <f t="shared" si="48"/>
        <v>0.131446136615577</v>
      </c>
      <c r="AD113">
        <f t="shared" si="48"/>
        <v>0.21593289351116415</v>
      </c>
      <c r="AE113">
        <f t="shared" si="48"/>
        <v>0.10982595179655387</v>
      </c>
    </row>
    <row r="114" spans="1:31" x14ac:dyDescent="0.25">
      <c r="A114" t="s">
        <v>4</v>
      </c>
      <c r="B114">
        <f t="shared" ref="B114:AE114" si="49">(B13-B81)^2</f>
        <v>0</v>
      </c>
      <c r="C114">
        <f t="shared" si="49"/>
        <v>0.22833858270033183</v>
      </c>
      <c r="D114">
        <f t="shared" si="49"/>
        <v>0.32075442527585024</v>
      </c>
      <c r="E114">
        <f t="shared" si="49"/>
        <v>0.20315275903654353</v>
      </c>
      <c r="F114">
        <f t="shared" si="49"/>
        <v>4.0790724200014533E-2</v>
      </c>
      <c r="G114">
        <f t="shared" si="49"/>
        <v>0.82356627906098789</v>
      </c>
      <c r="H114">
        <f t="shared" si="49"/>
        <v>0.45091401581555718</v>
      </c>
      <c r="I114">
        <f t="shared" si="49"/>
        <v>0.61750852030449721</v>
      </c>
      <c r="J114">
        <f t="shared" si="49"/>
        <v>0.3435953328104499</v>
      </c>
      <c r="K114">
        <f t="shared" si="49"/>
        <v>1.2736259578893854</v>
      </c>
      <c r="L114">
        <f t="shared" si="49"/>
        <v>0</v>
      </c>
      <c r="M114">
        <f t="shared" si="49"/>
        <v>0.31005533345591263</v>
      </c>
      <c r="N114">
        <f t="shared" si="49"/>
        <v>1.1253096410518908E-2</v>
      </c>
      <c r="O114">
        <f t="shared" si="49"/>
        <v>0.4695170354037046</v>
      </c>
      <c r="P114">
        <f t="shared" si="49"/>
        <v>6.6314754601592227E-3</v>
      </c>
      <c r="Q114">
        <f t="shared" si="49"/>
        <v>0.25765905235404291</v>
      </c>
      <c r="R114">
        <f t="shared" si="49"/>
        <v>0.36373235061040954</v>
      </c>
      <c r="S114">
        <f t="shared" si="49"/>
        <v>9.5962061775562699E-2</v>
      </c>
      <c r="T114">
        <f t="shared" si="49"/>
        <v>0.23811972544706189</v>
      </c>
      <c r="U114">
        <f t="shared" si="49"/>
        <v>2.9048421247033451E-2</v>
      </c>
      <c r="V114">
        <f t="shared" si="49"/>
        <v>1.0271963150231518</v>
      </c>
      <c r="W114">
        <f t="shared" si="49"/>
        <v>0.52635309739602565</v>
      </c>
      <c r="X114">
        <f t="shared" si="49"/>
        <v>3.4638542860971663E-2</v>
      </c>
      <c r="Y114">
        <f t="shared" si="49"/>
        <v>6.2595610912892768E-3</v>
      </c>
      <c r="Z114">
        <f t="shared" si="49"/>
        <v>0.44822408396046004</v>
      </c>
      <c r="AA114">
        <f t="shared" si="49"/>
        <v>1.1300317013332473</v>
      </c>
      <c r="AB114">
        <f t="shared" si="49"/>
        <v>0.35580926337635599</v>
      </c>
      <c r="AC114">
        <f t="shared" si="49"/>
        <v>7.8005333943119412E-2</v>
      </c>
      <c r="AD114">
        <f t="shared" si="49"/>
        <v>1.6575794807668142E-2</v>
      </c>
      <c r="AE114">
        <f t="shared" si="49"/>
        <v>0.10798241003362481</v>
      </c>
    </row>
    <row r="115" spans="1:31" x14ac:dyDescent="0.25">
      <c r="A115" t="s">
        <v>8</v>
      </c>
      <c r="B115">
        <f t="shared" ref="B115:AE115" si="50">(B14-B82)^2</f>
        <v>0</v>
      </c>
      <c r="C115">
        <f t="shared" si="50"/>
        <v>0.42789238207256669</v>
      </c>
      <c r="D115">
        <f t="shared" si="50"/>
        <v>0.95338851434448835</v>
      </c>
      <c r="E115">
        <f t="shared" si="50"/>
        <v>0.51771181820332801</v>
      </c>
      <c r="F115">
        <f t="shared" si="50"/>
        <v>0.28072766974668789</v>
      </c>
      <c r="G115">
        <f t="shared" si="50"/>
        <v>0.53485401307662317</v>
      </c>
      <c r="H115">
        <f t="shared" si="50"/>
        <v>1.6921369551889349</v>
      </c>
      <c r="I115">
        <f t="shared" si="50"/>
        <v>1.4987926802307387</v>
      </c>
      <c r="J115">
        <f t="shared" si="50"/>
        <v>0.14927313755153845</v>
      </c>
      <c r="K115">
        <f t="shared" si="50"/>
        <v>0.54265347654579843</v>
      </c>
      <c r="L115">
        <f t="shared" si="50"/>
        <v>0.31005533345591263</v>
      </c>
      <c r="M115">
        <f t="shared" si="50"/>
        <v>0</v>
      </c>
      <c r="N115">
        <f t="shared" si="50"/>
        <v>0.26541248140676549</v>
      </c>
      <c r="O115">
        <f t="shared" si="50"/>
        <v>0.28508889820081867</v>
      </c>
      <c r="P115">
        <f t="shared" si="50"/>
        <v>0.2752954802537198</v>
      </c>
      <c r="Q115">
        <f t="shared" si="50"/>
        <v>0.76399852498566523</v>
      </c>
      <c r="R115">
        <f t="shared" si="50"/>
        <v>1.2612726182824578E-2</v>
      </c>
      <c r="S115">
        <f t="shared" si="50"/>
        <v>0.41295773455949647</v>
      </c>
      <c r="T115">
        <f t="shared" si="50"/>
        <v>1.4965492961695752</v>
      </c>
      <c r="U115">
        <f t="shared" si="50"/>
        <v>0.60519116180947541</v>
      </c>
      <c r="V115">
        <f t="shared" si="50"/>
        <v>1.9263964330431808E-2</v>
      </c>
      <c r="W115">
        <f t="shared" si="50"/>
        <v>0.76705891881965305</v>
      </c>
      <c r="X115">
        <f t="shared" si="50"/>
        <v>2.5513640032154714E-2</v>
      </c>
      <c r="Y115">
        <f t="shared" si="50"/>
        <v>0.26096479361675928</v>
      </c>
      <c r="Z115">
        <f t="shared" si="50"/>
        <v>0.42564799851950308</v>
      </c>
      <c r="AA115">
        <f t="shared" si="50"/>
        <v>0.33931789056236705</v>
      </c>
      <c r="AB115">
        <f t="shared" si="50"/>
        <v>1.4813776167399244</v>
      </c>
      <c r="AC115">
        <f t="shared" si="50"/>
        <v>1.4870732413453462</v>
      </c>
      <c r="AD115">
        <f t="shared" si="50"/>
        <v>1.0187936247923186</v>
      </c>
      <c r="AE115">
        <f t="shared" si="50"/>
        <v>7.1926315787429362E-2</v>
      </c>
    </row>
    <row r="116" spans="1:31" x14ac:dyDescent="0.25">
      <c r="A116" t="s">
        <v>29</v>
      </c>
      <c r="B116">
        <f t="shared" ref="B116:AE116" si="51">(B15-B83)^2</f>
        <v>0</v>
      </c>
      <c r="C116">
        <f t="shared" si="51"/>
        <v>0.31325481866286886</v>
      </c>
      <c r="D116">
        <f t="shared" si="51"/>
        <v>0.27484236217591967</v>
      </c>
      <c r="E116">
        <f t="shared" si="51"/>
        <v>0.17200540260178585</v>
      </c>
      <c r="F116">
        <f t="shared" si="51"/>
        <v>6.3657638809357528E-2</v>
      </c>
      <c r="G116">
        <f t="shared" si="51"/>
        <v>1.3106226371312859</v>
      </c>
      <c r="H116">
        <f t="shared" si="51"/>
        <v>3.1286707928522069E-2</v>
      </c>
      <c r="I116">
        <f t="shared" si="51"/>
        <v>7.7883877335332641E-2</v>
      </c>
      <c r="J116">
        <f t="shared" si="51"/>
        <v>0.14444853030678156</v>
      </c>
      <c r="K116">
        <f t="shared" si="51"/>
        <v>4.6882684954025429E-2</v>
      </c>
      <c r="L116">
        <f t="shared" si="51"/>
        <v>1.1253096410518955E-2</v>
      </c>
      <c r="M116">
        <f t="shared" si="51"/>
        <v>0.26541248140676549</v>
      </c>
      <c r="N116">
        <f t="shared" si="51"/>
        <v>0</v>
      </c>
      <c r="O116">
        <f t="shared" si="51"/>
        <v>0.14551701646089815</v>
      </c>
      <c r="P116">
        <f t="shared" si="51"/>
        <v>6.1009416697708119E-4</v>
      </c>
      <c r="Q116">
        <f t="shared" si="51"/>
        <v>0.28255219174354712</v>
      </c>
      <c r="R116">
        <f t="shared" si="51"/>
        <v>0.19418248400496113</v>
      </c>
      <c r="S116">
        <f t="shared" si="51"/>
        <v>4.4340236610032446E-2</v>
      </c>
      <c r="T116">
        <f t="shared" si="51"/>
        <v>3.6180664865311562E-3</v>
      </c>
      <c r="U116">
        <f t="shared" si="51"/>
        <v>2.3899248780248607E-2</v>
      </c>
      <c r="V116">
        <f t="shared" si="51"/>
        <v>3.1900655711559513E-3</v>
      </c>
      <c r="W116">
        <f t="shared" si="51"/>
        <v>6.265337847726507E-2</v>
      </c>
      <c r="X116">
        <f t="shared" si="51"/>
        <v>2.8543910385245411E-2</v>
      </c>
      <c r="Y116">
        <f t="shared" si="51"/>
        <v>0.99504476697197142</v>
      </c>
      <c r="Z116">
        <f t="shared" si="51"/>
        <v>0.44877126510622373</v>
      </c>
      <c r="AA116">
        <f t="shared" si="51"/>
        <v>2.8502859965471472E-2</v>
      </c>
      <c r="AB116">
        <f t="shared" si="51"/>
        <v>7.2992448981508029E-2</v>
      </c>
      <c r="AC116">
        <f t="shared" si="51"/>
        <v>1.7622120826910295</v>
      </c>
      <c r="AD116">
        <f t="shared" si="51"/>
        <v>1.0914784337714949</v>
      </c>
      <c r="AE116">
        <f t="shared" si="51"/>
        <v>0.14070687343632179</v>
      </c>
    </row>
    <row r="117" spans="1:31" x14ac:dyDescent="0.25">
      <c r="A117" t="s">
        <v>5</v>
      </c>
      <c r="B117">
        <f t="shared" ref="B117:AE117" si="52">(B16-B84)^2</f>
        <v>1</v>
      </c>
      <c r="C117">
        <f t="shared" si="52"/>
        <v>0.2957066199200073</v>
      </c>
      <c r="D117">
        <f t="shared" si="52"/>
        <v>0.29410512156885793</v>
      </c>
      <c r="E117">
        <f t="shared" si="52"/>
        <v>0.18110459887322447</v>
      </c>
      <c r="F117">
        <f t="shared" si="52"/>
        <v>0.48980489220322809</v>
      </c>
      <c r="G117">
        <f t="shared" si="52"/>
        <v>6.1179824708894943E-2</v>
      </c>
      <c r="H117">
        <f t="shared" si="52"/>
        <v>0.31531518638372297</v>
      </c>
      <c r="I117">
        <f t="shared" si="52"/>
        <v>8.7841441492841565E-2</v>
      </c>
      <c r="J117">
        <f t="shared" si="52"/>
        <v>1.9042557037356445</v>
      </c>
      <c r="K117">
        <f t="shared" si="52"/>
        <v>0.6786803957582056</v>
      </c>
      <c r="L117">
        <f t="shared" si="52"/>
        <v>0.4695170354037046</v>
      </c>
      <c r="M117">
        <f t="shared" si="52"/>
        <v>0.28508889820081867</v>
      </c>
      <c r="N117">
        <f t="shared" si="52"/>
        <v>0.14551701646089832</v>
      </c>
      <c r="O117">
        <f t="shared" si="52"/>
        <v>0</v>
      </c>
      <c r="P117">
        <f t="shared" si="52"/>
        <v>0.15215980972761786</v>
      </c>
      <c r="Q117">
        <f t="shared" si="52"/>
        <v>0.26280302778030323</v>
      </c>
      <c r="R117">
        <f t="shared" si="52"/>
        <v>0.32822944642767304</v>
      </c>
      <c r="S117">
        <f t="shared" si="52"/>
        <v>0.44769680342183377</v>
      </c>
      <c r="T117">
        <f t="shared" si="52"/>
        <v>0.41837348209460878</v>
      </c>
      <c r="U117">
        <f t="shared" si="52"/>
        <v>1.2419397685890001</v>
      </c>
      <c r="V117">
        <f t="shared" si="52"/>
        <v>0.31418775271204719</v>
      </c>
      <c r="W117">
        <f t="shared" si="52"/>
        <v>2.2943336553701451E-2</v>
      </c>
      <c r="X117">
        <f t="shared" si="52"/>
        <v>0.87137643226241568</v>
      </c>
      <c r="Y117">
        <f t="shared" si="52"/>
        <v>0.92834790715607751</v>
      </c>
      <c r="Z117">
        <f t="shared" si="52"/>
        <v>0.26310695898390341</v>
      </c>
      <c r="AA117">
        <f t="shared" si="52"/>
        <v>0.44488985879407505</v>
      </c>
      <c r="AB117">
        <f t="shared" si="52"/>
        <v>8.0244434768447864E-2</v>
      </c>
      <c r="AC117">
        <f t="shared" si="52"/>
        <v>0.42968854901583836</v>
      </c>
      <c r="AD117">
        <f t="shared" si="52"/>
        <v>9.6650001314152231E-2</v>
      </c>
      <c r="AE117">
        <f t="shared" si="52"/>
        <v>0.14182892542141781</v>
      </c>
    </row>
    <row r="118" spans="1:31" x14ac:dyDescent="0.25">
      <c r="A118" t="s">
        <v>16</v>
      </c>
      <c r="B118">
        <f t="shared" ref="B118:AE118" si="53">(B17-B85)^2</f>
        <v>1</v>
      </c>
      <c r="C118">
        <f t="shared" si="53"/>
        <v>0.20146510816540872</v>
      </c>
      <c r="D118">
        <f t="shared" si="53"/>
        <v>0.21728148638652894</v>
      </c>
      <c r="E118">
        <f t="shared" si="53"/>
        <v>0.17885640479682421</v>
      </c>
      <c r="F118">
        <f t="shared" si="53"/>
        <v>5.7938724570221492E-2</v>
      </c>
      <c r="G118">
        <f t="shared" si="53"/>
        <v>1.2830355827099273</v>
      </c>
      <c r="H118">
        <f t="shared" si="53"/>
        <v>0.35140087166331463</v>
      </c>
      <c r="I118">
        <f t="shared" si="53"/>
        <v>0.2009480764298365</v>
      </c>
      <c r="J118">
        <f t="shared" si="53"/>
        <v>0.37487923233664605</v>
      </c>
      <c r="K118">
        <f t="shared" si="53"/>
        <v>1.0653058401571857E-2</v>
      </c>
      <c r="L118">
        <f t="shared" si="53"/>
        <v>6.6314754601592227E-3</v>
      </c>
      <c r="M118">
        <f t="shared" si="53"/>
        <v>0.2752954802537198</v>
      </c>
      <c r="N118">
        <f t="shared" si="53"/>
        <v>6.1009416697709214E-4</v>
      </c>
      <c r="O118">
        <f t="shared" si="53"/>
        <v>0.15215980972761772</v>
      </c>
      <c r="P118">
        <f t="shared" si="53"/>
        <v>0</v>
      </c>
      <c r="Q118">
        <f t="shared" si="53"/>
        <v>0.22787512426272613</v>
      </c>
      <c r="R118">
        <f t="shared" si="53"/>
        <v>0.18546379780086591</v>
      </c>
      <c r="S118">
        <f t="shared" si="53"/>
        <v>0.61550432219435025</v>
      </c>
      <c r="T118">
        <f t="shared" si="53"/>
        <v>0.31787933888411563</v>
      </c>
      <c r="U118">
        <f t="shared" si="53"/>
        <v>2.5012787918443337E-2</v>
      </c>
      <c r="V118">
        <f t="shared" si="53"/>
        <v>7.8077994110226159E-2</v>
      </c>
      <c r="W118">
        <f t="shared" si="53"/>
        <v>6.5416214728522146E-2</v>
      </c>
      <c r="X118">
        <f t="shared" si="53"/>
        <v>2.986315681558923E-2</v>
      </c>
      <c r="Y118">
        <f t="shared" si="53"/>
        <v>0.58079133613482004</v>
      </c>
      <c r="Z118">
        <f t="shared" si="53"/>
        <v>2.8695690236189186</v>
      </c>
      <c r="AA118">
        <f t="shared" si="53"/>
        <v>2.0816207196936384E-2</v>
      </c>
      <c r="AB118">
        <f t="shared" si="53"/>
        <v>6.5186736136919443E-2</v>
      </c>
      <c r="AC118">
        <f t="shared" si="53"/>
        <v>0.10011720784969382</v>
      </c>
      <c r="AD118">
        <f t="shared" si="53"/>
        <v>0.87625174535640882</v>
      </c>
      <c r="AE118">
        <f t="shared" si="53"/>
        <v>1.8617168460325888</v>
      </c>
    </row>
    <row r="119" spans="1:31" x14ac:dyDescent="0.25">
      <c r="A119" t="s">
        <v>12</v>
      </c>
      <c r="B119">
        <f t="shared" ref="B119:AE119" si="54">(B18-B86)^2</f>
        <v>0</v>
      </c>
      <c r="C119">
        <f t="shared" si="54"/>
        <v>3.6860103806383</v>
      </c>
      <c r="D119">
        <f t="shared" si="54"/>
        <v>1.3211268467024042</v>
      </c>
      <c r="E119">
        <f t="shared" si="54"/>
        <v>2.4312603908410734E-2</v>
      </c>
      <c r="F119">
        <f t="shared" si="54"/>
        <v>2.6386295057256382E-4</v>
      </c>
      <c r="G119">
        <f t="shared" si="54"/>
        <v>0.70219924539803635</v>
      </c>
      <c r="H119">
        <f t="shared" si="54"/>
        <v>0.12746622757138049</v>
      </c>
      <c r="I119">
        <f t="shared" si="54"/>
        <v>2.6763952841141064E-2</v>
      </c>
      <c r="J119">
        <f t="shared" si="54"/>
        <v>0.48682260246048542</v>
      </c>
      <c r="K119">
        <f t="shared" si="54"/>
        <v>5.5615554866554562E-2</v>
      </c>
      <c r="L119">
        <f t="shared" si="54"/>
        <v>0.25765905235404302</v>
      </c>
      <c r="M119">
        <f t="shared" si="54"/>
        <v>0.76399852498566601</v>
      </c>
      <c r="N119">
        <f t="shared" si="54"/>
        <v>0.28255219174354712</v>
      </c>
      <c r="O119">
        <f t="shared" si="54"/>
        <v>0.26280302778030301</v>
      </c>
      <c r="P119">
        <f t="shared" si="54"/>
        <v>0.22787512426272613</v>
      </c>
      <c r="Q119">
        <f t="shared" si="54"/>
        <v>0</v>
      </c>
      <c r="R119">
        <f t="shared" si="54"/>
        <v>3.1067695393736297</v>
      </c>
      <c r="S119">
        <f t="shared" si="54"/>
        <v>0.36493210172708201</v>
      </c>
      <c r="T119">
        <f t="shared" si="54"/>
        <v>0.51505014120902837</v>
      </c>
      <c r="U119">
        <f t="shared" si="54"/>
        <v>0.41603555607640591</v>
      </c>
      <c r="V119">
        <f t="shared" si="54"/>
        <v>0.63998128669725074</v>
      </c>
      <c r="W119">
        <f t="shared" si="54"/>
        <v>7.5451613232130316E-2</v>
      </c>
      <c r="X119">
        <f t="shared" si="54"/>
        <v>5.3254356439940125E-3</v>
      </c>
      <c r="Y119">
        <f t="shared" si="54"/>
        <v>1.0843622115961107</v>
      </c>
      <c r="Z119">
        <f t="shared" si="54"/>
        <v>0.16140730310011869</v>
      </c>
      <c r="AA119">
        <f t="shared" si="54"/>
        <v>0.28286588250917211</v>
      </c>
      <c r="AB119">
        <f t="shared" si="54"/>
        <v>0.71184616035917703</v>
      </c>
      <c r="AC119">
        <f t="shared" si="54"/>
        <v>6.1050733433110051E-2</v>
      </c>
      <c r="AD119">
        <f t="shared" si="54"/>
        <v>5.2237424747974791E-3</v>
      </c>
      <c r="AE119">
        <f t="shared" si="54"/>
        <v>0.37109916909016877</v>
      </c>
    </row>
    <row r="120" spans="1:31" x14ac:dyDescent="0.25">
      <c r="A120" t="s">
        <v>7</v>
      </c>
      <c r="B120">
        <f t="shared" ref="B120:AE120" si="55">(B19-B87)^2</f>
        <v>1</v>
      </c>
      <c r="C120">
        <f t="shared" si="55"/>
        <v>0.46786123284234277</v>
      </c>
      <c r="D120">
        <f t="shared" si="55"/>
        <v>0.18784769137140672</v>
      </c>
      <c r="E120">
        <f t="shared" si="55"/>
        <v>0.62771809387690702</v>
      </c>
      <c r="F120">
        <f t="shared" si="55"/>
        <v>0.33196495137681842</v>
      </c>
      <c r="G120">
        <f t="shared" si="55"/>
        <v>0.13541806936308956</v>
      </c>
      <c r="H120">
        <f t="shared" si="55"/>
        <v>0.56419263198675473</v>
      </c>
      <c r="I120">
        <f t="shared" si="55"/>
        <v>7.6683580974881024E-2</v>
      </c>
      <c r="J120">
        <f t="shared" si="55"/>
        <v>0.25673078229329072</v>
      </c>
      <c r="K120">
        <f t="shared" si="55"/>
        <v>8.418090456600337E-2</v>
      </c>
      <c r="L120">
        <f t="shared" si="55"/>
        <v>0.36373235061040965</v>
      </c>
      <c r="M120">
        <f t="shared" si="55"/>
        <v>1.2612726182824628E-2</v>
      </c>
      <c r="N120">
        <f t="shared" si="55"/>
        <v>0.19418248400496102</v>
      </c>
      <c r="O120">
        <f t="shared" si="55"/>
        <v>0.32822944642767321</v>
      </c>
      <c r="P120">
        <f t="shared" si="55"/>
        <v>0.18546379780086591</v>
      </c>
      <c r="Q120">
        <f t="shared" si="55"/>
        <v>3.1067695393736292</v>
      </c>
      <c r="R120">
        <f t="shared" si="55"/>
        <v>0</v>
      </c>
      <c r="S120">
        <f t="shared" si="55"/>
        <v>0.10599316399795992</v>
      </c>
      <c r="T120">
        <f t="shared" si="55"/>
        <v>0.69005355735320195</v>
      </c>
      <c r="U120">
        <f t="shared" si="55"/>
        <v>0.5039565267542595</v>
      </c>
      <c r="V120">
        <f t="shared" si="55"/>
        <v>6.9373298169777874E-3</v>
      </c>
      <c r="W120">
        <f t="shared" si="55"/>
        <v>0.85189372449242617</v>
      </c>
      <c r="X120">
        <f t="shared" si="55"/>
        <v>0.58994181229865583</v>
      </c>
      <c r="Y120">
        <f t="shared" si="55"/>
        <v>6.0454893796598307E-3</v>
      </c>
      <c r="Z120">
        <f t="shared" si="55"/>
        <v>8.8346317515092088E-2</v>
      </c>
      <c r="AA120">
        <f t="shared" si="55"/>
        <v>0.39688597693249106</v>
      </c>
      <c r="AB120">
        <f t="shared" si="55"/>
        <v>0.53292891366571349</v>
      </c>
      <c r="AC120">
        <f t="shared" si="55"/>
        <v>9.0963941660811121E-2</v>
      </c>
      <c r="AD120">
        <f t="shared" si="55"/>
        <v>1.0958419886827053</v>
      </c>
      <c r="AE120">
        <f t="shared" si="55"/>
        <v>0.14607657836280491</v>
      </c>
    </row>
    <row r="121" spans="1:31" x14ac:dyDescent="0.25">
      <c r="A121" t="s">
        <v>17</v>
      </c>
      <c r="B121">
        <f t="shared" ref="B121:AE121" si="56">(B20-B88)^2</f>
        <v>0</v>
      </c>
      <c r="C121">
        <f t="shared" si="56"/>
        <v>0.33411928758772669</v>
      </c>
      <c r="D121">
        <f t="shared" si="56"/>
        <v>0.4218348841165469</v>
      </c>
      <c r="E121">
        <f t="shared" si="56"/>
        <v>0.20058078344055486</v>
      </c>
      <c r="F121">
        <f t="shared" si="56"/>
        <v>5.0394764058284934E-2</v>
      </c>
      <c r="G121">
        <f t="shared" si="56"/>
        <v>3.3695711709627048E-2</v>
      </c>
      <c r="H121">
        <f t="shared" si="56"/>
        <v>9.8654092702005064E-2</v>
      </c>
      <c r="I121">
        <f t="shared" si="56"/>
        <v>5.0112028404425044E-4</v>
      </c>
      <c r="J121">
        <f t="shared" si="56"/>
        <v>2.2895924657714484</v>
      </c>
      <c r="K121">
        <f t="shared" si="56"/>
        <v>1.6321478035069101E-2</v>
      </c>
      <c r="L121">
        <f t="shared" si="56"/>
        <v>9.5962061775562935E-2</v>
      </c>
      <c r="M121">
        <f t="shared" si="56"/>
        <v>0.41295773455949619</v>
      </c>
      <c r="N121">
        <f t="shared" si="56"/>
        <v>4.4340236610032543E-2</v>
      </c>
      <c r="O121">
        <f t="shared" si="56"/>
        <v>0.44769680342183377</v>
      </c>
      <c r="P121">
        <f t="shared" si="56"/>
        <v>0.61550432219435014</v>
      </c>
      <c r="Q121">
        <f t="shared" si="56"/>
        <v>0.36493210172708201</v>
      </c>
      <c r="R121">
        <f t="shared" si="56"/>
        <v>0.10599316399795995</v>
      </c>
      <c r="S121">
        <f t="shared" si="56"/>
        <v>0</v>
      </c>
      <c r="T121">
        <f t="shared" si="56"/>
        <v>0.23567080485870623</v>
      </c>
      <c r="U121">
        <f t="shared" si="56"/>
        <v>1.106725806401156</v>
      </c>
      <c r="V121">
        <f t="shared" si="56"/>
        <v>0.3193965380368865</v>
      </c>
      <c r="W121">
        <f t="shared" si="56"/>
        <v>0.47724363567736267</v>
      </c>
      <c r="X121">
        <f t="shared" si="56"/>
        <v>0.80995384899779754</v>
      </c>
      <c r="Y121">
        <f t="shared" si="56"/>
        <v>6.7290816933730596E-2</v>
      </c>
      <c r="Z121">
        <f t="shared" si="56"/>
        <v>2.6205706208977713</v>
      </c>
      <c r="AA121">
        <f t="shared" si="56"/>
        <v>0.10776993789234152</v>
      </c>
      <c r="AB121">
        <f t="shared" si="56"/>
        <v>0.57495876895774767</v>
      </c>
      <c r="AC121">
        <f t="shared" si="56"/>
        <v>6.7271854008083151E-2</v>
      </c>
      <c r="AD121">
        <f t="shared" si="56"/>
        <v>8.7705676257015475E-2</v>
      </c>
      <c r="AE121">
        <f t="shared" si="56"/>
        <v>0.5113569650524229</v>
      </c>
    </row>
    <row r="122" spans="1:31" x14ac:dyDescent="0.25">
      <c r="A122" t="s">
        <v>0</v>
      </c>
      <c r="B122">
        <f t="shared" ref="B122:AE122" si="57">(B21-B89)^2</f>
        <v>1</v>
      </c>
      <c r="C122">
        <f t="shared" si="57"/>
        <v>0.4640658333751238</v>
      </c>
      <c r="D122">
        <f t="shared" si="57"/>
        <v>1.4691912030808449</v>
      </c>
      <c r="E122">
        <f t="shared" si="57"/>
        <v>0.12427944659620169</v>
      </c>
      <c r="F122">
        <f t="shared" si="57"/>
        <v>0.91355667277259966</v>
      </c>
      <c r="G122">
        <f t="shared" si="57"/>
        <v>2.4022162258769318E-2</v>
      </c>
      <c r="H122">
        <f t="shared" si="57"/>
        <v>0.69533210801988232</v>
      </c>
      <c r="I122">
        <f t="shared" si="57"/>
        <v>3.4316798104121191</v>
      </c>
      <c r="J122">
        <f t="shared" si="57"/>
        <v>0.36085498675601019</v>
      </c>
      <c r="K122">
        <f t="shared" si="57"/>
        <v>5.2344996712394697E-2</v>
      </c>
      <c r="L122">
        <f t="shared" si="57"/>
        <v>0.23811972544706189</v>
      </c>
      <c r="M122">
        <f t="shared" si="57"/>
        <v>1.4965492961695752</v>
      </c>
      <c r="N122">
        <f t="shared" si="57"/>
        <v>3.6180664865311562E-3</v>
      </c>
      <c r="O122">
        <f t="shared" si="57"/>
        <v>0.41837348209460917</v>
      </c>
      <c r="P122">
        <f t="shared" si="57"/>
        <v>0.31787933888411585</v>
      </c>
      <c r="Q122">
        <f t="shared" si="57"/>
        <v>0.51505014120902837</v>
      </c>
      <c r="R122">
        <f t="shared" si="57"/>
        <v>0.69005355735320173</v>
      </c>
      <c r="S122">
        <f t="shared" si="57"/>
        <v>0.23567080485870606</v>
      </c>
      <c r="T122">
        <f t="shared" si="57"/>
        <v>0</v>
      </c>
      <c r="U122">
        <f t="shared" si="57"/>
        <v>0.53901460419733627</v>
      </c>
      <c r="V122">
        <f t="shared" si="57"/>
        <v>0.68146665328114586</v>
      </c>
      <c r="W122">
        <f t="shared" si="57"/>
        <v>0.34232064178813443</v>
      </c>
      <c r="X122">
        <f t="shared" si="57"/>
        <v>0.50567547622014153</v>
      </c>
      <c r="Y122">
        <f t="shared" si="57"/>
        <v>1.801710949323387E-2</v>
      </c>
      <c r="Z122">
        <f t="shared" si="57"/>
        <v>1.6846570157326495</v>
      </c>
      <c r="AA122">
        <f t="shared" si="57"/>
        <v>2.0398650683080937</v>
      </c>
      <c r="AB122">
        <f t="shared" si="57"/>
        <v>2.5546322078499727E-2</v>
      </c>
      <c r="AC122">
        <f t="shared" si="57"/>
        <v>0.92565818081529805</v>
      </c>
      <c r="AD122">
        <f t="shared" si="57"/>
        <v>3.1810419912326485E-2</v>
      </c>
      <c r="AE122">
        <f t="shared" si="57"/>
        <v>1.1924530684779939</v>
      </c>
    </row>
    <row r="123" spans="1:31" x14ac:dyDescent="0.25">
      <c r="A123" t="s">
        <v>19</v>
      </c>
      <c r="B123">
        <f t="shared" ref="B123:AE123" si="58">(B22-B90)^2</f>
        <v>1</v>
      </c>
      <c r="C123">
        <f t="shared" si="58"/>
        <v>0.83786792297977664</v>
      </c>
      <c r="D123">
        <f t="shared" si="58"/>
        <v>5.6042316272985608E-2</v>
      </c>
      <c r="E123">
        <f t="shared" si="58"/>
        <v>8.8969682306262331E-4</v>
      </c>
      <c r="F123">
        <f t="shared" si="58"/>
        <v>0.13625999332936242</v>
      </c>
      <c r="G123">
        <f t="shared" si="58"/>
        <v>0.48648903821276951</v>
      </c>
      <c r="H123">
        <f t="shared" si="58"/>
        <v>5.2776889623549289E-2</v>
      </c>
      <c r="I123">
        <f t="shared" si="58"/>
        <v>0.20087531444472012</v>
      </c>
      <c r="J123">
        <f t="shared" si="58"/>
        <v>2.7512265027252718E-3</v>
      </c>
      <c r="K123">
        <f t="shared" si="58"/>
        <v>4.9899205799678577E-3</v>
      </c>
      <c r="L123">
        <f t="shared" si="58"/>
        <v>2.9048421247033395E-2</v>
      </c>
      <c r="M123">
        <f t="shared" si="58"/>
        <v>0.60519116180947585</v>
      </c>
      <c r="N123">
        <f t="shared" si="58"/>
        <v>2.3899248780248572E-2</v>
      </c>
      <c r="O123">
        <f t="shared" si="58"/>
        <v>1.2419397685890001</v>
      </c>
      <c r="P123">
        <f t="shared" si="58"/>
        <v>2.5012787918443313E-2</v>
      </c>
      <c r="Q123">
        <f t="shared" si="58"/>
        <v>0.41603555607640591</v>
      </c>
      <c r="R123">
        <f t="shared" si="58"/>
        <v>0.5039565267542595</v>
      </c>
      <c r="S123">
        <f t="shared" si="58"/>
        <v>1.1067258064011565</v>
      </c>
      <c r="T123">
        <f t="shared" si="58"/>
        <v>0.53901460419733627</v>
      </c>
      <c r="U123">
        <f t="shared" si="58"/>
        <v>0</v>
      </c>
      <c r="V123">
        <f t="shared" si="58"/>
        <v>0.47776437281999151</v>
      </c>
      <c r="W123">
        <f t="shared" si="58"/>
        <v>0.27324494490581686</v>
      </c>
      <c r="X123">
        <f t="shared" si="58"/>
        <v>1.2023840724489072</v>
      </c>
      <c r="Y123">
        <f t="shared" si="58"/>
        <v>0.16220542395738072</v>
      </c>
      <c r="Z123">
        <f t="shared" si="58"/>
        <v>4.3813011614778644E-2</v>
      </c>
      <c r="AA123">
        <f t="shared" si="58"/>
        <v>0.67153628710534452</v>
      </c>
      <c r="AB123">
        <f t="shared" si="58"/>
        <v>0.29793775822226132</v>
      </c>
      <c r="AC123">
        <f t="shared" si="58"/>
        <v>0.18698749294662989</v>
      </c>
      <c r="AD123">
        <f t="shared" si="58"/>
        <v>0.14679812852707955</v>
      </c>
      <c r="AE123">
        <f t="shared" si="58"/>
        <v>0.3876406202662625</v>
      </c>
    </row>
    <row r="124" spans="1:31" x14ac:dyDescent="0.25">
      <c r="A124" t="s">
        <v>26</v>
      </c>
      <c r="B124">
        <f t="shared" ref="B124:AE124" si="59">(B23-B91)^2</f>
        <v>1</v>
      </c>
      <c r="C124">
        <f t="shared" si="59"/>
        <v>1.5330269709921838</v>
      </c>
      <c r="D124">
        <f t="shared" si="59"/>
        <v>0.76176070161857801</v>
      </c>
      <c r="E124">
        <f t="shared" si="59"/>
        <v>0.5275027128131583</v>
      </c>
      <c r="F124">
        <f t="shared" si="59"/>
        <v>1.7144899896131553E-2</v>
      </c>
      <c r="G124">
        <f t="shared" si="59"/>
        <v>5.7122922695543588E-2</v>
      </c>
      <c r="H124">
        <f t="shared" si="59"/>
        <v>0.43801432331270029</v>
      </c>
      <c r="I124">
        <f t="shared" si="59"/>
        <v>8.7512020628975812E-2</v>
      </c>
      <c r="J124">
        <f t="shared" si="59"/>
        <v>0.10452647019880393</v>
      </c>
      <c r="K124">
        <f t="shared" si="59"/>
        <v>0.11014918015505433</v>
      </c>
      <c r="L124">
        <f t="shared" si="59"/>
        <v>1.0271963150231522</v>
      </c>
      <c r="M124">
        <f t="shared" si="59"/>
        <v>1.9263964330431808E-2</v>
      </c>
      <c r="N124">
        <f t="shared" si="59"/>
        <v>3.1900655711559265E-3</v>
      </c>
      <c r="O124">
        <f t="shared" si="59"/>
        <v>0.31418775271204719</v>
      </c>
      <c r="P124">
        <f t="shared" si="59"/>
        <v>7.8077994110226284E-2</v>
      </c>
      <c r="Q124">
        <f t="shared" si="59"/>
        <v>0.63998128669725096</v>
      </c>
      <c r="R124">
        <f t="shared" si="59"/>
        <v>6.9373298169777874E-3</v>
      </c>
      <c r="S124">
        <f t="shared" si="59"/>
        <v>0.31939653803688672</v>
      </c>
      <c r="T124">
        <f t="shared" si="59"/>
        <v>0.68146665328114631</v>
      </c>
      <c r="U124">
        <f t="shared" si="59"/>
        <v>0.47776437281999162</v>
      </c>
      <c r="V124">
        <f t="shared" si="59"/>
        <v>0</v>
      </c>
      <c r="W124">
        <f t="shared" si="59"/>
        <v>0.22598996737547775</v>
      </c>
      <c r="X124">
        <f t="shared" si="59"/>
        <v>0.11213883096828693</v>
      </c>
      <c r="Y124">
        <f t="shared" si="59"/>
        <v>0.46238052138118857</v>
      </c>
      <c r="Z124">
        <f t="shared" si="59"/>
        <v>0.31500980061733813</v>
      </c>
      <c r="AA124">
        <f t="shared" si="59"/>
        <v>3.163315615067571E-3</v>
      </c>
      <c r="AB124">
        <f t="shared" si="59"/>
        <v>9.5479024738433296E-2</v>
      </c>
      <c r="AC124">
        <f t="shared" si="59"/>
        <v>2.4522343541308299E-3</v>
      </c>
      <c r="AD124">
        <f t="shared" si="59"/>
        <v>6.7194869033747245E-2</v>
      </c>
      <c r="AE124">
        <f t="shared" si="59"/>
        <v>0.99044613966822137</v>
      </c>
    </row>
    <row r="125" spans="1:31" x14ac:dyDescent="0.25">
      <c r="A125" t="s">
        <v>1</v>
      </c>
      <c r="B125">
        <f t="shared" ref="B125:AE125" si="60">(B24-B92)^2</f>
        <v>1</v>
      </c>
      <c r="C125">
        <f t="shared" si="60"/>
        <v>1.0179947838087009</v>
      </c>
      <c r="D125">
        <f t="shared" si="60"/>
        <v>0.72530136199796913</v>
      </c>
      <c r="E125">
        <f t="shared" si="60"/>
        <v>0.34334633927974539</v>
      </c>
      <c r="F125">
        <f t="shared" si="60"/>
        <v>1.5051234943638241</v>
      </c>
      <c r="G125">
        <f t="shared" si="60"/>
        <v>0.23250585911815044</v>
      </c>
      <c r="H125">
        <f t="shared" si="60"/>
        <v>0.13163749520451656</v>
      </c>
      <c r="I125">
        <f t="shared" si="60"/>
        <v>0.62154949283572303</v>
      </c>
      <c r="J125">
        <f t="shared" si="60"/>
        <v>0.26537096241186109</v>
      </c>
      <c r="K125">
        <f t="shared" si="60"/>
        <v>1.3850643325892208E-2</v>
      </c>
      <c r="L125">
        <f t="shared" si="60"/>
        <v>0.52635309739602565</v>
      </c>
      <c r="M125">
        <f t="shared" si="60"/>
        <v>0.76705891881965316</v>
      </c>
      <c r="N125">
        <f t="shared" si="60"/>
        <v>6.2653378477265043E-2</v>
      </c>
      <c r="O125">
        <f t="shared" si="60"/>
        <v>2.2943336553701486E-2</v>
      </c>
      <c r="P125">
        <f t="shared" si="60"/>
        <v>6.5416214728522076E-2</v>
      </c>
      <c r="Q125">
        <f t="shared" si="60"/>
        <v>7.5451613232130441E-2</v>
      </c>
      <c r="R125">
        <f t="shared" si="60"/>
        <v>0.85189372449242617</v>
      </c>
      <c r="S125">
        <f t="shared" si="60"/>
        <v>0.47724363567736233</v>
      </c>
      <c r="T125">
        <f t="shared" si="60"/>
        <v>0.34232064178813465</v>
      </c>
      <c r="U125">
        <f t="shared" si="60"/>
        <v>0.27324494490581686</v>
      </c>
      <c r="V125">
        <f t="shared" si="60"/>
        <v>0.2259899673754778</v>
      </c>
      <c r="W125">
        <f t="shared" si="60"/>
        <v>0</v>
      </c>
      <c r="X125">
        <f t="shared" si="60"/>
        <v>3.1070899078276638E-2</v>
      </c>
      <c r="Y125">
        <f t="shared" si="60"/>
        <v>0.15841951838600415</v>
      </c>
      <c r="Z125">
        <f t="shared" si="60"/>
        <v>0.44515838527525514</v>
      </c>
      <c r="AA125">
        <f t="shared" si="60"/>
        <v>8.3969071474475604E-2</v>
      </c>
      <c r="AB125">
        <f t="shared" si="60"/>
        <v>1.4853934103034916</v>
      </c>
      <c r="AC125">
        <f t="shared" si="60"/>
        <v>0.77581493036563365</v>
      </c>
      <c r="AD125">
        <f t="shared" si="60"/>
        <v>0.17962696363339861</v>
      </c>
      <c r="AE125">
        <f t="shared" si="60"/>
        <v>0.91724018082974257</v>
      </c>
    </row>
    <row r="126" spans="1:31" x14ac:dyDescent="0.25">
      <c r="A126" t="s">
        <v>9</v>
      </c>
      <c r="B126">
        <f t="shared" ref="B126:AE126" si="61">(B25-B93)^2</f>
        <v>1</v>
      </c>
      <c r="C126">
        <f t="shared" si="61"/>
        <v>2.1539052546508557E-4</v>
      </c>
      <c r="D126">
        <f t="shared" si="61"/>
        <v>0.68016717179516195</v>
      </c>
      <c r="E126">
        <f t="shared" si="61"/>
        <v>4.7441655446292454E-2</v>
      </c>
      <c r="F126">
        <f t="shared" si="61"/>
        <v>0.1612529816136492</v>
      </c>
      <c r="G126">
        <f t="shared" si="61"/>
        <v>0.44913813473420267</v>
      </c>
      <c r="H126">
        <f t="shared" si="61"/>
        <v>6.2559767029973151E-2</v>
      </c>
      <c r="I126">
        <f t="shared" si="61"/>
        <v>1.9846257877242348</v>
      </c>
      <c r="J126">
        <f t="shared" si="61"/>
        <v>3.5003828016792364</v>
      </c>
      <c r="K126">
        <f t="shared" si="61"/>
        <v>6.0103537004444129E-3</v>
      </c>
      <c r="L126">
        <f t="shared" si="61"/>
        <v>3.4638542860971684E-2</v>
      </c>
      <c r="M126">
        <f t="shared" si="61"/>
        <v>2.5513640032154679E-2</v>
      </c>
      <c r="N126">
        <f t="shared" si="61"/>
        <v>2.8543910385245449E-2</v>
      </c>
      <c r="O126">
        <f t="shared" si="61"/>
        <v>0.87137643226241568</v>
      </c>
      <c r="P126">
        <f t="shared" si="61"/>
        <v>2.9863156815589258E-2</v>
      </c>
      <c r="Q126">
        <f t="shared" si="61"/>
        <v>5.3254356439940455E-3</v>
      </c>
      <c r="R126">
        <f t="shared" si="61"/>
        <v>0.58994181229865528</v>
      </c>
      <c r="S126">
        <f t="shared" si="61"/>
        <v>0.80995384899779732</v>
      </c>
      <c r="T126">
        <f t="shared" si="61"/>
        <v>0.5056754762201412</v>
      </c>
      <c r="U126">
        <f t="shared" si="61"/>
        <v>1.2023840724489072</v>
      </c>
      <c r="V126">
        <f t="shared" si="61"/>
        <v>0.11213883096828693</v>
      </c>
      <c r="W126">
        <f t="shared" si="61"/>
        <v>3.1070899078276558E-2</v>
      </c>
      <c r="X126">
        <f t="shared" si="61"/>
        <v>0</v>
      </c>
      <c r="Y126">
        <f t="shared" si="61"/>
        <v>0.18897992863322455</v>
      </c>
      <c r="Z126">
        <f t="shared" si="61"/>
        <v>5.2040790336611742E-2</v>
      </c>
      <c r="AA126">
        <f t="shared" si="61"/>
        <v>3.8822185679454314E-2</v>
      </c>
      <c r="AB126">
        <f t="shared" si="61"/>
        <v>0.17221991865106864</v>
      </c>
      <c r="AC126">
        <f t="shared" si="61"/>
        <v>0.37979925735081782</v>
      </c>
      <c r="AD126">
        <f t="shared" si="61"/>
        <v>0.17136319288049157</v>
      </c>
      <c r="AE126">
        <f t="shared" si="61"/>
        <v>0.1055601098086751</v>
      </c>
    </row>
    <row r="127" spans="1:31" x14ac:dyDescent="0.25">
      <c r="A127" t="s">
        <v>23</v>
      </c>
      <c r="B127">
        <f t="shared" ref="B127:AE127" si="62">(B26-B94)^2</f>
        <v>0</v>
      </c>
      <c r="C127">
        <f t="shared" si="62"/>
        <v>0.84411369011381687</v>
      </c>
      <c r="D127">
        <f t="shared" si="62"/>
        <v>1.1207512614028736E-3</v>
      </c>
      <c r="E127">
        <f t="shared" si="62"/>
        <v>1.4138761429964309E-2</v>
      </c>
      <c r="F127">
        <f t="shared" si="62"/>
        <v>8.1210837423569854E-2</v>
      </c>
      <c r="G127">
        <f t="shared" si="62"/>
        <v>0.14769733291358875</v>
      </c>
      <c r="H127">
        <f t="shared" si="62"/>
        <v>2.6923873245837981</v>
      </c>
      <c r="I127">
        <f t="shared" si="62"/>
        <v>3.7899596281596046E-2</v>
      </c>
      <c r="J127">
        <f t="shared" si="62"/>
        <v>2.9655196567186987E-2</v>
      </c>
      <c r="K127">
        <f t="shared" si="62"/>
        <v>0.24288318877831039</v>
      </c>
      <c r="L127">
        <f t="shared" si="62"/>
        <v>6.2595610912892412E-3</v>
      </c>
      <c r="M127">
        <f t="shared" si="62"/>
        <v>0.26096479361675945</v>
      </c>
      <c r="N127">
        <f t="shared" si="62"/>
        <v>0.9950447669719712</v>
      </c>
      <c r="O127">
        <f t="shared" si="62"/>
        <v>0.92834790715607707</v>
      </c>
      <c r="P127">
        <f t="shared" si="62"/>
        <v>0.58079133613482026</v>
      </c>
      <c r="Q127">
        <f t="shared" si="62"/>
        <v>1.0843622115961107</v>
      </c>
      <c r="R127">
        <f t="shared" si="62"/>
        <v>6.0454893796598307E-3</v>
      </c>
      <c r="S127">
        <f t="shared" si="62"/>
        <v>6.7290816933730471E-2</v>
      </c>
      <c r="T127">
        <f t="shared" si="62"/>
        <v>1.8017109493233749E-2</v>
      </c>
      <c r="U127">
        <f t="shared" si="62"/>
        <v>0.16220542395738077</v>
      </c>
      <c r="V127">
        <f t="shared" si="62"/>
        <v>0.46238052138118918</v>
      </c>
      <c r="W127">
        <f t="shared" si="62"/>
        <v>0.15841951838600432</v>
      </c>
      <c r="X127">
        <f t="shared" si="62"/>
        <v>0.18897992863322469</v>
      </c>
      <c r="Y127">
        <f t="shared" si="62"/>
        <v>0</v>
      </c>
      <c r="Z127">
        <f t="shared" si="62"/>
        <v>7.1274575130431853E-2</v>
      </c>
      <c r="AA127">
        <f t="shared" si="62"/>
        <v>1.6774277565260377E-2</v>
      </c>
      <c r="AB127">
        <f t="shared" si="62"/>
        <v>1.9396085773452458</v>
      </c>
      <c r="AC127">
        <f t="shared" si="62"/>
        <v>4.3214115599021073E-2</v>
      </c>
      <c r="AD127">
        <f t="shared" si="62"/>
        <v>0.2987295398020231</v>
      </c>
      <c r="AE127">
        <f t="shared" si="62"/>
        <v>1.3348053930736214</v>
      </c>
    </row>
    <row r="128" spans="1:31" x14ac:dyDescent="0.25">
      <c r="A128" t="s">
        <v>27</v>
      </c>
      <c r="B128">
        <f t="shared" ref="B128:AE128" si="63">(B27-B95)^2</f>
        <v>0</v>
      </c>
      <c r="C128">
        <f t="shared" si="63"/>
        <v>0.18905944489935045</v>
      </c>
      <c r="D128">
        <f t="shared" si="63"/>
        <v>0.11368562981966839</v>
      </c>
      <c r="E128">
        <f t="shared" si="63"/>
        <v>0.28606616254385003</v>
      </c>
      <c r="F128">
        <f t="shared" si="63"/>
        <v>8.2897520005111216E-3</v>
      </c>
      <c r="G128">
        <f t="shared" si="63"/>
        <v>4.2927705233062767E-4</v>
      </c>
      <c r="H128">
        <f t="shared" si="63"/>
        <v>1.0908394076465018E-2</v>
      </c>
      <c r="I128">
        <f t="shared" si="63"/>
        <v>0.88177529238740104</v>
      </c>
      <c r="J128">
        <f t="shared" si="63"/>
        <v>0.24330832291863322</v>
      </c>
      <c r="K128">
        <f t="shared" si="63"/>
        <v>0.51199847533082765</v>
      </c>
      <c r="L128">
        <f t="shared" si="63"/>
        <v>0.44822408396046004</v>
      </c>
      <c r="M128">
        <f t="shared" si="63"/>
        <v>0.42564799851950308</v>
      </c>
      <c r="N128">
        <f t="shared" si="63"/>
        <v>0.448771265106224</v>
      </c>
      <c r="O128">
        <f t="shared" si="63"/>
        <v>0.26310695898390341</v>
      </c>
      <c r="P128">
        <f t="shared" si="63"/>
        <v>2.8695690236189195</v>
      </c>
      <c r="Q128">
        <f t="shared" si="63"/>
        <v>0.16140730310011869</v>
      </c>
      <c r="R128">
        <f t="shared" si="63"/>
        <v>8.8346317515092157E-2</v>
      </c>
      <c r="S128">
        <f t="shared" si="63"/>
        <v>2.6205706208977713</v>
      </c>
      <c r="T128">
        <f t="shared" si="63"/>
        <v>1.6846570157326488</v>
      </c>
      <c r="U128">
        <f t="shared" si="63"/>
        <v>4.3813011614778657E-2</v>
      </c>
      <c r="V128">
        <f t="shared" si="63"/>
        <v>0.31500980061733841</v>
      </c>
      <c r="W128">
        <f t="shared" si="63"/>
        <v>0.44515838527525514</v>
      </c>
      <c r="X128">
        <f t="shared" si="63"/>
        <v>5.2040790336611728E-2</v>
      </c>
      <c r="Y128">
        <f t="shared" si="63"/>
        <v>7.1274575130432088E-2</v>
      </c>
      <c r="Z128">
        <f t="shared" si="63"/>
        <v>0</v>
      </c>
      <c r="AA128">
        <f t="shared" si="63"/>
        <v>1.3538410841949666</v>
      </c>
      <c r="AB128">
        <f t="shared" si="63"/>
        <v>8.2721626164619297E-2</v>
      </c>
      <c r="AC128">
        <f t="shared" si="63"/>
        <v>0.68605323067843671</v>
      </c>
      <c r="AD128">
        <f t="shared" si="63"/>
        <v>0.46058766238805648</v>
      </c>
      <c r="AE128">
        <f t="shared" si="63"/>
        <v>5.0142184629580949E-2</v>
      </c>
    </row>
    <row r="129" spans="1:31" x14ac:dyDescent="0.25">
      <c r="A129" t="s">
        <v>3</v>
      </c>
      <c r="B129">
        <f t="shared" ref="B129:AE129" si="64">(B28-B96)^2</f>
        <v>4</v>
      </c>
      <c r="C129">
        <f t="shared" si="64"/>
        <v>0.24884747837605739</v>
      </c>
      <c r="D129">
        <f t="shared" si="64"/>
        <v>0.35081310178327796</v>
      </c>
      <c r="E129">
        <f t="shared" si="64"/>
        <v>0.22384158548885766</v>
      </c>
      <c r="F129">
        <f t="shared" si="64"/>
        <v>2.942743305827597E-2</v>
      </c>
      <c r="G129">
        <f t="shared" si="64"/>
        <v>3.7403009818437051E-3</v>
      </c>
      <c r="H129">
        <f t="shared" si="64"/>
        <v>7.1209181237254823E-2</v>
      </c>
      <c r="I129">
        <f t="shared" si="64"/>
        <v>0.68292497939028363</v>
      </c>
      <c r="J129">
        <f t="shared" si="64"/>
        <v>0.31933156289544479</v>
      </c>
      <c r="K129">
        <f t="shared" si="64"/>
        <v>1.4193521589699662</v>
      </c>
      <c r="L129">
        <f t="shared" si="64"/>
        <v>1.1300317013332477</v>
      </c>
      <c r="M129">
        <f t="shared" si="64"/>
        <v>0.33931789056236689</v>
      </c>
      <c r="N129">
        <f t="shared" si="64"/>
        <v>2.8502859965471548E-2</v>
      </c>
      <c r="O129">
        <f t="shared" si="64"/>
        <v>0.44488985879407517</v>
      </c>
      <c r="P129">
        <f t="shared" si="64"/>
        <v>2.0816207196936384E-2</v>
      </c>
      <c r="Q129">
        <f t="shared" si="64"/>
        <v>0.282865882509172</v>
      </c>
      <c r="R129">
        <f t="shared" si="64"/>
        <v>0.39688597693249106</v>
      </c>
      <c r="S129">
        <f t="shared" si="64"/>
        <v>0.10776993789234131</v>
      </c>
      <c r="T129">
        <f t="shared" si="64"/>
        <v>2.0398650683080937</v>
      </c>
      <c r="U129">
        <f t="shared" si="64"/>
        <v>0.67153628710534419</v>
      </c>
      <c r="V129">
        <f t="shared" si="64"/>
        <v>3.163315615067571E-3</v>
      </c>
      <c r="W129">
        <f t="shared" si="64"/>
        <v>8.3969071474475673E-2</v>
      </c>
      <c r="X129">
        <f t="shared" si="64"/>
        <v>3.8822185679454266E-2</v>
      </c>
      <c r="Y129">
        <f t="shared" si="64"/>
        <v>1.6774277565260377E-2</v>
      </c>
      <c r="Z129">
        <f t="shared" si="64"/>
        <v>1.3538410841949666</v>
      </c>
      <c r="AA129">
        <f t="shared" si="64"/>
        <v>0</v>
      </c>
      <c r="AB129">
        <f t="shared" si="64"/>
        <v>2.680782703462932E-2</v>
      </c>
      <c r="AC129">
        <f t="shared" si="64"/>
        <v>6.2489950205223362E-2</v>
      </c>
      <c r="AD129">
        <f t="shared" si="64"/>
        <v>1.2423450267303333</v>
      </c>
      <c r="AE129">
        <f t="shared" si="64"/>
        <v>9.0120576248563511E-2</v>
      </c>
    </row>
    <row r="130" spans="1:31" x14ac:dyDescent="0.25">
      <c r="A130" t="s">
        <v>25</v>
      </c>
      <c r="B130">
        <f t="shared" ref="B130:AE130" si="65">(B29-B97)^2</f>
        <v>0</v>
      </c>
      <c r="C130">
        <f t="shared" si="65"/>
        <v>0.77973898728459423</v>
      </c>
      <c r="D130">
        <f t="shared" si="65"/>
        <v>5.2132726596222763E-2</v>
      </c>
      <c r="E130">
        <f t="shared" si="65"/>
        <v>1.1648753674485386</v>
      </c>
      <c r="F130">
        <f t="shared" si="65"/>
        <v>0.20777106678490112</v>
      </c>
      <c r="G130">
        <f t="shared" si="65"/>
        <v>0.29151464362779217</v>
      </c>
      <c r="H130">
        <f t="shared" si="65"/>
        <v>0.59401198488475304</v>
      </c>
      <c r="I130">
        <f t="shared" si="65"/>
        <v>2.2490439177575583E-4</v>
      </c>
      <c r="J130">
        <f t="shared" si="65"/>
        <v>0.95064996915974764</v>
      </c>
      <c r="K130">
        <f t="shared" si="65"/>
        <v>0.12637078268684732</v>
      </c>
      <c r="L130">
        <f t="shared" si="65"/>
        <v>0.35580926337635616</v>
      </c>
      <c r="M130">
        <f t="shared" si="65"/>
        <v>1.4813776167399244</v>
      </c>
      <c r="N130">
        <f t="shared" si="65"/>
        <v>7.2992448981508098E-2</v>
      </c>
      <c r="O130">
        <f t="shared" si="65"/>
        <v>8.0244434768447989E-2</v>
      </c>
      <c r="P130">
        <f t="shared" si="65"/>
        <v>6.5186736136919443E-2</v>
      </c>
      <c r="Q130">
        <f t="shared" si="65"/>
        <v>0.71184616035917714</v>
      </c>
      <c r="R130">
        <f t="shared" si="65"/>
        <v>0.5329289136657136</v>
      </c>
      <c r="S130">
        <f t="shared" si="65"/>
        <v>0.57495876895774733</v>
      </c>
      <c r="T130">
        <f t="shared" si="65"/>
        <v>2.5546322078499654E-2</v>
      </c>
      <c r="U130">
        <f t="shared" si="65"/>
        <v>0.2979377582222611</v>
      </c>
      <c r="V130">
        <f t="shared" si="65"/>
        <v>9.5479024738433296E-2</v>
      </c>
      <c r="W130">
        <f t="shared" si="65"/>
        <v>1.4853934103034909</v>
      </c>
      <c r="X130">
        <f t="shared" si="65"/>
        <v>0.17221991865106884</v>
      </c>
      <c r="Y130">
        <f t="shared" si="65"/>
        <v>1.9396085773452478</v>
      </c>
      <c r="Z130">
        <f t="shared" si="65"/>
        <v>8.2721626164619297E-2</v>
      </c>
      <c r="AA130">
        <f t="shared" si="65"/>
        <v>2.6807827034629389E-2</v>
      </c>
      <c r="AB130">
        <f t="shared" si="65"/>
        <v>0</v>
      </c>
      <c r="AC130">
        <f t="shared" si="65"/>
        <v>0.37408293741141119</v>
      </c>
      <c r="AD130">
        <f t="shared" si="65"/>
        <v>0.30027621919024283</v>
      </c>
      <c r="AE130">
        <f t="shared" si="65"/>
        <v>0.11647054558281589</v>
      </c>
    </row>
    <row r="131" spans="1:31" x14ac:dyDescent="0.25">
      <c r="A131" t="s">
        <v>15</v>
      </c>
      <c r="B131">
        <f t="shared" ref="B131:AE131" si="66">(B30-B98)^2</f>
        <v>9</v>
      </c>
      <c r="C131">
        <f t="shared" si="66"/>
        <v>0.32335503737478788</v>
      </c>
      <c r="D131">
        <f t="shared" si="66"/>
        <v>0.12337608149878904</v>
      </c>
      <c r="E131">
        <f t="shared" si="66"/>
        <v>0.40679857678813525</v>
      </c>
      <c r="F131">
        <f t="shared" si="66"/>
        <v>3.3712642053471358</v>
      </c>
      <c r="G131">
        <f t="shared" si="66"/>
        <v>0.38006367194104035</v>
      </c>
      <c r="H131">
        <f t="shared" si="66"/>
        <v>0.77338601802366269</v>
      </c>
      <c r="I131">
        <f t="shared" si="66"/>
        <v>0.3663569969481007</v>
      </c>
      <c r="J131">
        <f t="shared" si="66"/>
        <v>0.53861114443565306</v>
      </c>
      <c r="K131">
        <f t="shared" si="66"/>
        <v>0.131446136615577</v>
      </c>
      <c r="L131">
        <f t="shared" si="66"/>
        <v>7.8005333943119537E-2</v>
      </c>
      <c r="M131">
        <f t="shared" si="66"/>
        <v>1.4870732413453467</v>
      </c>
      <c r="N131">
        <f t="shared" si="66"/>
        <v>1.7622120826910295</v>
      </c>
      <c r="O131">
        <f t="shared" si="66"/>
        <v>0.42968854901583836</v>
      </c>
      <c r="P131">
        <f t="shared" si="66"/>
        <v>0.10011720784969388</v>
      </c>
      <c r="Q131">
        <f t="shared" si="66"/>
        <v>6.1050733433110051E-2</v>
      </c>
      <c r="R131">
        <f t="shared" si="66"/>
        <v>9.0963941660811121E-2</v>
      </c>
      <c r="S131">
        <f t="shared" si="66"/>
        <v>6.7271854008083179E-2</v>
      </c>
      <c r="T131">
        <f t="shared" si="66"/>
        <v>0.9256581808152976</v>
      </c>
      <c r="U131">
        <f t="shared" si="66"/>
        <v>0.18698749294663009</v>
      </c>
      <c r="V131">
        <f t="shared" si="66"/>
        <v>2.452234354130819E-3</v>
      </c>
      <c r="W131">
        <f t="shared" si="66"/>
        <v>0.77581493036563431</v>
      </c>
      <c r="X131">
        <f t="shared" si="66"/>
        <v>0.37979925735081743</v>
      </c>
      <c r="Y131">
        <f t="shared" si="66"/>
        <v>4.3214115599021122E-2</v>
      </c>
      <c r="Z131">
        <f t="shared" si="66"/>
        <v>0.68605323067843693</v>
      </c>
      <c r="AA131">
        <f t="shared" si="66"/>
        <v>6.2489950205223473E-2</v>
      </c>
      <c r="AB131">
        <f t="shared" si="66"/>
        <v>0.37408293741141108</v>
      </c>
      <c r="AC131">
        <f t="shared" si="66"/>
        <v>0</v>
      </c>
      <c r="AD131">
        <f t="shared" si="66"/>
        <v>0.67570449970287216</v>
      </c>
      <c r="AE131">
        <f t="shared" si="66"/>
        <v>2.0123029984491931</v>
      </c>
    </row>
    <row r="132" spans="1:31" x14ac:dyDescent="0.25">
      <c r="A132" t="s">
        <v>22</v>
      </c>
      <c r="B132">
        <f t="shared" ref="B132:AE132" si="67">(B31-B99)^2</f>
        <v>0</v>
      </c>
      <c r="C132">
        <f t="shared" si="67"/>
        <v>0.78854047464222321</v>
      </c>
      <c r="D132">
        <f t="shared" si="67"/>
        <v>0.99512771447803205</v>
      </c>
      <c r="E132">
        <f t="shared" si="67"/>
        <v>2.2319208429191457E-2</v>
      </c>
      <c r="F132">
        <f t="shared" si="67"/>
        <v>6.563866631827088E-2</v>
      </c>
      <c r="G132">
        <f t="shared" si="67"/>
        <v>0.12783365274111572</v>
      </c>
      <c r="H132">
        <f t="shared" si="67"/>
        <v>0.17257217192794683</v>
      </c>
      <c r="I132">
        <f t="shared" si="67"/>
        <v>0.21737229749544551</v>
      </c>
      <c r="J132">
        <f t="shared" si="67"/>
        <v>0.63653717306922808</v>
      </c>
      <c r="K132">
        <f t="shared" si="67"/>
        <v>0.21593289351116424</v>
      </c>
      <c r="L132">
        <f t="shared" si="67"/>
        <v>1.6575794807668087E-2</v>
      </c>
      <c r="M132">
        <f t="shared" si="67"/>
        <v>1.0187936247923186</v>
      </c>
      <c r="N132">
        <f t="shared" si="67"/>
        <v>1.091478433771494</v>
      </c>
      <c r="O132">
        <f t="shared" si="67"/>
        <v>9.6650001314152093E-2</v>
      </c>
      <c r="P132">
        <f t="shared" si="67"/>
        <v>0.87625174535640926</v>
      </c>
      <c r="Q132">
        <f t="shared" si="67"/>
        <v>5.2237424747974626E-3</v>
      </c>
      <c r="R132">
        <f t="shared" si="67"/>
        <v>1.0958419886827058</v>
      </c>
      <c r="S132">
        <f t="shared" si="67"/>
        <v>8.770567625701528E-2</v>
      </c>
      <c r="T132">
        <f t="shared" si="67"/>
        <v>3.1810419912326325E-2</v>
      </c>
      <c r="U132">
        <f t="shared" si="67"/>
        <v>0.14679812852707949</v>
      </c>
      <c r="V132">
        <f t="shared" si="67"/>
        <v>6.7194869033747134E-2</v>
      </c>
      <c r="W132">
        <f t="shared" si="67"/>
        <v>0.1796269636333985</v>
      </c>
      <c r="X132">
        <f t="shared" si="67"/>
        <v>0.17136319288049143</v>
      </c>
      <c r="Y132">
        <f t="shared" si="67"/>
        <v>0.29872953980202333</v>
      </c>
      <c r="Z132">
        <f t="shared" si="67"/>
        <v>0.46058766238805587</v>
      </c>
      <c r="AA132">
        <f t="shared" si="67"/>
        <v>1.2423450267303338</v>
      </c>
      <c r="AB132">
        <f t="shared" si="67"/>
        <v>0.30027621919024283</v>
      </c>
      <c r="AC132">
        <f t="shared" si="67"/>
        <v>0.67570449970287194</v>
      </c>
      <c r="AD132">
        <f t="shared" si="67"/>
        <v>0</v>
      </c>
      <c r="AE132">
        <f t="shared" si="67"/>
        <v>0.76580178423364509</v>
      </c>
    </row>
    <row r="133" spans="1:31" x14ac:dyDescent="0.25">
      <c r="A133" t="s">
        <v>13</v>
      </c>
      <c r="B133">
        <f t="shared" ref="B133:AE133" si="68">(B32-B100)^2</f>
        <v>1</v>
      </c>
      <c r="C133">
        <f t="shared" si="68"/>
        <v>0.21833695174914683</v>
      </c>
      <c r="D133">
        <f t="shared" si="68"/>
        <v>0.10001673153466466</v>
      </c>
      <c r="E133">
        <f t="shared" si="68"/>
        <v>0.29002682939369367</v>
      </c>
      <c r="F133">
        <f t="shared" si="68"/>
        <v>7.3594882621046714E-2</v>
      </c>
      <c r="G133">
        <f t="shared" si="68"/>
        <v>0.26314082953335666</v>
      </c>
      <c r="H133">
        <f t="shared" si="68"/>
        <v>0.68271471453242749</v>
      </c>
      <c r="I133">
        <f t="shared" si="68"/>
        <v>0.42525271430036549</v>
      </c>
      <c r="J133">
        <f t="shared" si="68"/>
        <v>4.6154026040000633E-4</v>
      </c>
      <c r="K133">
        <f t="shared" si="68"/>
        <v>0.10982595179655391</v>
      </c>
      <c r="L133">
        <f t="shared" si="68"/>
        <v>0.10798241003362481</v>
      </c>
      <c r="M133">
        <f t="shared" si="68"/>
        <v>7.1926315787429362E-2</v>
      </c>
      <c r="N133">
        <f t="shared" si="68"/>
        <v>0.14070687343632188</v>
      </c>
      <c r="O133">
        <f t="shared" si="68"/>
        <v>0.1418289254214179</v>
      </c>
      <c r="P133">
        <f t="shared" si="68"/>
        <v>1.8617168460325892</v>
      </c>
      <c r="Q133">
        <f t="shared" si="68"/>
        <v>0.37109916909016849</v>
      </c>
      <c r="R133">
        <f t="shared" si="68"/>
        <v>0.14607657836280474</v>
      </c>
      <c r="S133">
        <f t="shared" si="68"/>
        <v>0.51135696505242323</v>
      </c>
      <c r="T133">
        <f t="shared" si="68"/>
        <v>1.1924530684779939</v>
      </c>
      <c r="U133">
        <f t="shared" si="68"/>
        <v>0.38764062026626239</v>
      </c>
      <c r="V133">
        <f t="shared" si="68"/>
        <v>0.99044613966822093</v>
      </c>
      <c r="W133">
        <f t="shared" si="68"/>
        <v>0.91724018082974323</v>
      </c>
      <c r="X133">
        <f t="shared" si="68"/>
        <v>0.10556010980867525</v>
      </c>
      <c r="Y133">
        <f t="shared" si="68"/>
        <v>1.334805393073621</v>
      </c>
      <c r="Z133">
        <f t="shared" si="68"/>
        <v>5.0142184629580949E-2</v>
      </c>
      <c r="AA133">
        <f t="shared" si="68"/>
        <v>9.0120576248563511E-2</v>
      </c>
      <c r="AB133">
        <f t="shared" si="68"/>
        <v>0.1164705455828158</v>
      </c>
      <c r="AC133">
        <f t="shared" si="68"/>
        <v>2.0123029984491936</v>
      </c>
      <c r="AD133">
        <f t="shared" si="68"/>
        <v>0.76580178423364531</v>
      </c>
      <c r="AE133">
        <f t="shared" si="68"/>
        <v>0</v>
      </c>
    </row>
    <row r="135" spans="1:31" x14ac:dyDescent="0.25">
      <c r="A135" t="s">
        <v>51</v>
      </c>
    </row>
    <row r="136" spans="1:31" x14ac:dyDescent="0.25">
      <c r="A136">
        <f>SUM(B103:AE133)</f>
        <v>544.08322799583959</v>
      </c>
    </row>
    <row r="138" spans="1:31" x14ac:dyDescent="0.25">
      <c r="A138" t="s">
        <v>52</v>
      </c>
    </row>
    <row r="139" spans="1:31" x14ac:dyDescent="0.25">
      <c r="A139" t="s">
        <v>40</v>
      </c>
      <c r="B139" t="s">
        <v>44</v>
      </c>
      <c r="C139" t="s">
        <v>42</v>
      </c>
    </row>
    <row r="140" spans="1:31" x14ac:dyDescent="0.25">
      <c r="B140" t="s">
        <v>43</v>
      </c>
      <c r="C140" t="s">
        <v>59</v>
      </c>
    </row>
    <row r="141" spans="1:31" x14ac:dyDescent="0.25">
      <c r="B141" t="s">
        <v>45</v>
      </c>
      <c r="C141" t="s">
        <v>57</v>
      </c>
    </row>
    <row r="142" spans="1:31" x14ac:dyDescent="0.25">
      <c r="A142" t="s">
        <v>53</v>
      </c>
    </row>
    <row r="143" spans="1:31" x14ac:dyDescent="0.25">
      <c r="B143" t="s">
        <v>44</v>
      </c>
      <c r="C143" t="s">
        <v>55</v>
      </c>
    </row>
    <row r="144" spans="1:31" x14ac:dyDescent="0.25">
      <c r="B144" t="s">
        <v>43</v>
      </c>
      <c r="C144" t="s">
        <v>56</v>
      </c>
    </row>
    <row r="145" spans="1:3" x14ac:dyDescent="0.25">
      <c r="B145" t="s">
        <v>45</v>
      </c>
      <c r="C145" t="s">
        <v>58</v>
      </c>
    </row>
    <row r="146" spans="1:3" x14ac:dyDescent="0.25">
      <c r="B146" t="s">
        <v>54</v>
      </c>
      <c r="C146" t="s">
        <v>14</v>
      </c>
    </row>
    <row r="147" spans="1:3" x14ac:dyDescent="0.25">
      <c r="B147" t="s">
        <v>60</v>
      </c>
      <c r="C147" t="s">
        <v>61</v>
      </c>
    </row>
    <row r="148" spans="1:3" x14ac:dyDescent="0.25">
      <c r="A148" t="s">
        <v>69</v>
      </c>
    </row>
    <row r="149" spans="1:3" x14ac:dyDescent="0.25">
      <c r="A149" t="s">
        <v>70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nba_sched</vt:lpstr>
      <vt:lpstr>nba_win_totals</vt:lpstr>
      <vt:lpstr>a_h2h_wins</vt:lpstr>
      <vt:lpstr>a_win_totals_lookup</vt:lpstr>
      <vt:lpstr>a_wins_total_lookup_header</vt:lpstr>
      <vt:lpstr>table_h2h_wins</vt:lpstr>
      <vt:lpstr>table_rank_wins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aelhabr</dc:creator>
  <cp:lastModifiedBy>ElHabr, Anthony</cp:lastModifiedBy>
  <dcterms:created xsi:type="dcterms:W3CDTF">2017-05-13T11:09:01Z</dcterms:created>
  <dcterms:modified xsi:type="dcterms:W3CDTF">2017-10-16T00:23:35Z</dcterms:modified>
</cp:coreProperties>
</file>